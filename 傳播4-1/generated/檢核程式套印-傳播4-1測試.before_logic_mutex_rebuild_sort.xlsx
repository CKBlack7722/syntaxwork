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2" autoFilterDateGrouping="1"/>
  </bookViews>
  <sheets>
    <sheet xmlns:r="http://schemas.openxmlformats.org/officeDocument/2006/relationships" name="all" sheetId="1" state="visible" r:id="rId1"/>
    <sheet xmlns:r="http://schemas.openxmlformats.org/officeDocument/2006/relationships" name="數值題" sheetId="2" state="visible" r:id="rId2"/>
    <sheet xmlns:r="http://schemas.openxmlformats.org/officeDocument/2006/relationships" name="開放欄位" sheetId="3" state="visible" r:id="rId3"/>
    <sheet xmlns:r="http://schemas.openxmlformats.org/officeDocument/2006/relationships" name="複選題" sheetId="4" state="visible" r:id="rId4"/>
    <sheet xmlns:r="http://schemas.openxmlformats.org/officeDocument/2006/relationships" name="複選題內_互斥" sheetId="5" state="visible" r:id="rId5"/>
    <sheet xmlns:r="http://schemas.openxmlformats.org/officeDocument/2006/relationships" name="複選題變項清單" sheetId="6" state="visible" r:id="rId6"/>
    <sheet xmlns:r="http://schemas.openxmlformats.org/officeDocument/2006/relationships" name="特殊變項範圍" sheetId="7" state="visible" r:id="rId7"/>
    <sheet xmlns:r="http://schemas.openxmlformats.org/officeDocument/2006/relationships" name="邏輯組" sheetId="8" state="visible" r:id="rId8"/>
    <sheet xmlns:r="http://schemas.openxmlformats.org/officeDocument/2006/relationships" name="檢核項目清單" sheetId="9" state="visible" r:id="rId9"/>
    <sheet xmlns:r="http://schemas.openxmlformats.org/officeDocument/2006/relationships" name="96特殊處理變項" sheetId="10" state="visible" r:id="rId10"/>
    <sheet xmlns:r="http://schemas.openxmlformats.org/officeDocument/2006/relationships" name="變項清單_問卷" sheetId="11" state="hidden" r:id="rId11"/>
    <sheet xmlns:r="http://schemas.openxmlformats.org/officeDocument/2006/relationships" name="變項清單_訪問紀錄" sheetId="12" state="hidden" r:id="rId12"/>
    <sheet xmlns:r="http://schemas.openxmlformats.org/officeDocument/2006/relationships" name="問卷＋訪問紀錄" sheetId="13" state="visible" r:id="rId13"/>
    <sheet xmlns:r="http://schemas.openxmlformats.org/officeDocument/2006/relationships" name="可輸入小數點清單" sheetId="14" state="visible" r:id="rId14"/>
  </sheets>
  <definedNames>
    <definedName name="_xlnm._FilterDatabase" localSheetId="1" hidden="1">'數值題'!$A$1:$L$19</definedName>
    <definedName name="_xlnm._FilterDatabase" localSheetId="2" hidden="1">'開放欄位'!$A$1:$I$61</definedName>
    <definedName name="_xlnm._FilterDatabase" localSheetId="7" hidden="1">'邏輯組'!$A$1:$I$333</definedName>
    <definedName name="_xlnm._FilterDatabase" localSheetId="8" hidden="1">'檢核項目清單'!$A$1:$H$48</definedName>
    <definedName name="_xlnm._FilterDatabase" localSheetId="9" hidden="1">'96特殊處理變項'!$A$1:$J$35</definedName>
    <definedName name="_xlnm._FilterDatabase" localSheetId="11" hidden="1">'變項清單_訪問紀錄'!$A$1:$C$57</definedName>
    <definedName name="_xlnm._FilterDatabase" localSheetId="12" hidden="1">'問卷＋訪問紀錄'!$A$1:$D$943</definedName>
  </definedNames>
  <calcPr calcId="191029" fullCalcOnLoad="1"/>
</workbook>
</file>

<file path=xl/styles.xml><?xml version="1.0" encoding="utf-8"?>
<styleSheet xmlns="http://schemas.openxmlformats.org/spreadsheetml/2006/main">
  <numFmts count="0"/>
  <fonts count="6">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rgb="FFFF0000"/>
      <sz val="12"/>
    </font>
    <font>
      <b val="1"/>
      <color rgb="00FFFFFF"/>
    </font>
  </fonts>
  <fills count="13">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rgb="001F4E78"/>
      </patternFill>
    </fill>
    <fill>
      <patternFill patternType="solid">
        <fgColor rgb="00E2F0D9"/>
      </patternFill>
    </fill>
    <fill>
      <patternFill patternType="solid">
        <fgColor rgb="00DDEBF7"/>
      </patternFill>
    </fill>
    <fill>
      <patternFill patternType="solid">
        <fgColor rgb="00FCE4D6"/>
      </patternFill>
    </fill>
    <fill>
      <patternFill patternType="solid">
        <fgColor rgb="00548235"/>
      </patternFill>
    </fill>
    <fill>
      <patternFill patternType="solid">
        <fgColor rgb="00FFF2CC"/>
      </patternFill>
    </fill>
    <fill>
      <patternFill patternType="solid">
        <fgColor rgb="00D9EAF7"/>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5">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xf numFmtId="0" fontId="5" fillId="6" borderId="0" applyAlignment="1" pivotButton="0" quotePrefix="0" xfId="0">
      <alignment horizontal="center" vertical="center"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5" fillId="10" borderId="0" applyAlignment="1" pivotButton="0" quotePrefix="0" xfId="0">
      <alignment horizontal="center" vertical="center" wrapText="1"/>
    </xf>
    <xf numFmtId="0" fontId="0" fillId="11" borderId="0" applyAlignment="1" pivotButton="0" quotePrefix="0" xfId="0">
      <alignment vertical="top" wrapText="1"/>
    </xf>
    <xf numFmtId="0" fontId="0" fillId="12" borderId="0" applyAlignment="1" pivotButton="0" quotePrefix="0" xfId="0">
      <alignment vertical="top" wrapText="1"/>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886"/>
  <sheetViews>
    <sheetView topLeftCell="A487" zoomScale="110" zoomScaleNormal="110" workbookViewId="0">
      <selection activeCell="A24" sqref="A24:A885"/>
    </sheetView>
  </sheetViews>
  <sheetFormatPr baseColWidth="8" defaultRowHeight="16.5"/>
  <cols>
    <col width="14.375" customWidth="1" style="1" min="1" max="1"/>
    <col width="8.875" customWidth="1" style="1" min="2" max="3"/>
    <col width="17.125" customWidth="1" style="16"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字串</t>
        </is>
      </c>
      <c r="C873" s="1" t="n">
        <v>11</v>
      </c>
      <c r="D873" s="1">
        <f>IF(B873="數值","F","A")</f>
        <v/>
      </c>
      <c r="E873" s="1">
        <f>A873&amp;" "&amp;D873&amp;C873</f>
        <v/>
      </c>
    </row>
    <row r="874">
      <c r="A874" s="1" t="inlineStr">
        <is>
          <t>vZ2_1g2</t>
        </is>
      </c>
      <c r="B874" s="1" t="inlineStr">
        <is>
          <t>字串</t>
        </is>
      </c>
      <c r="C874" s="1" t="n">
        <v>9</v>
      </c>
      <c r="D874" s="1">
        <f>IF(B874="數值","F","A")</f>
        <v/>
      </c>
      <c r="E874" s="1">
        <f>A874&amp;" "&amp;D874&amp;C874</f>
        <v/>
      </c>
    </row>
    <row r="875">
      <c r="A875" s="1" t="inlineStr">
        <is>
          <t>vZ2_2</t>
        </is>
      </c>
      <c r="B875" s="1" t="inlineStr">
        <is>
          <t>字串</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N805"/>
  <sheetViews>
    <sheetView zoomScale="130" zoomScaleNormal="130" workbookViewId="0">
      <pane xSplit="4" ySplit="1" topLeftCell="E38" activePane="bottomRight" state="frozen"/>
      <selection pane="topRight" activeCell="F1" sqref="F1"/>
      <selection pane="bottomLeft" activeCell="A2" sqref="A2"/>
      <selection pane="bottomRight" activeCell="I11" sqref="I11"/>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7" min="5" max="5"/>
    <col width="17.875" bestFit="1" customWidth="1" style="7" min="6" max="6"/>
    <col width="13.125" bestFit="1" customWidth="1" style="7" min="7" max="7"/>
    <col width="11" customWidth="1" style="12" min="8" max="8"/>
    <col width="12.625" customWidth="1" style="9" min="9" max="9"/>
    <col width="13.75" customWidth="1" style="9" min="10" max="10"/>
    <col width="10.875" customWidth="1" style="9" min="11" max="11"/>
    <col width="25.375" customWidth="1" style="1" min="12" max="12"/>
    <col width="8.875" customWidth="1" style="16" min="13" max="14"/>
    <col width="8.875" customWidth="1" style="1" min="15" max="28"/>
    <col width="8.875" customWidth="1" style="1" min="29" max="16384"/>
  </cols>
  <sheetData>
    <row r="1">
      <c r="A1" s="1" t="inlineStr">
        <is>
          <t>m</t>
        </is>
      </c>
      <c r="B1" s="1" t="inlineStr">
        <is>
          <t>p</t>
        </is>
      </c>
      <c r="C1" s="1" t="inlineStr">
        <is>
          <t>var</t>
        </is>
      </c>
      <c r="D1" s="1" t="inlineStr">
        <is>
          <t>變項屬性</t>
        </is>
      </c>
      <c r="E1" s="7" t="inlineStr">
        <is>
          <t>寬度</t>
        </is>
      </c>
      <c r="F1" s="7" t="inlineStr">
        <is>
          <t>可輸入小數點</t>
        </is>
      </c>
      <c r="G1" s="7" t="inlineStr">
        <is>
          <t>in_or_not</t>
        </is>
      </c>
      <c r="H1" s="12" t="inlineStr">
        <is>
          <t>r1</t>
        </is>
      </c>
      <c r="I1" s="9" t="inlineStr">
        <is>
          <t>r2</t>
        </is>
      </c>
      <c r="J1" s="9" t="inlineStr">
        <is>
          <t>r3</t>
        </is>
      </c>
      <c r="K1" s="9" t="inlineStr">
        <is>
          <t>r4</t>
        </is>
      </c>
      <c r="L1" s="1" t="inlineStr">
        <is>
          <t>range</t>
        </is>
      </c>
      <c r="M1" s="9" t="inlineStr">
        <is>
          <t>s</t>
        </is>
      </c>
      <c r="N1" s="9" t="inlineStr">
        <is>
          <t>s=</t>
        </is>
      </c>
    </row>
    <row r="2">
      <c r="A2" s="1" t="n">
        <v>101</v>
      </c>
      <c r="B2" s="1">
        <f>A2</f>
        <v/>
      </c>
      <c r="C2" s="1" t="inlineStr">
        <is>
          <t>vZA</t>
        </is>
      </c>
      <c r="D2" s="1" t="inlineStr">
        <is>
          <t>數值</t>
        </is>
      </c>
      <c r="E2" s="1" t="n">
        <v>2</v>
      </c>
      <c r="G2" s="1" t="inlineStr">
        <is>
          <t>range</t>
        </is>
      </c>
    </row>
    <row r="3">
      <c r="A3" s="1" t="n">
        <v>102</v>
      </c>
      <c r="B3" s="1">
        <f>A3</f>
        <v/>
      </c>
      <c r="C3" s="1" t="inlineStr">
        <is>
          <t>vZA0</t>
        </is>
      </c>
      <c r="D3" s="1" t="inlineStr">
        <is>
          <t>數值</t>
        </is>
      </c>
      <c r="E3" s="1" t="n">
        <v>2</v>
      </c>
      <c r="G3" s="1" t="inlineStr">
        <is>
          <t>range</t>
        </is>
      </c>
    </row>
    <row r="4">
      <c r="A4" s="1" t="n">
        <v>103</v>
      </c>
      <c r="B4" s="1">
        <f>A4</f>
        <v/>
      </c>
      <c r="C4" s="1" t="inlineStr">
        <is>
          <t>vZA0_1</t>
        </is>
      </c>
      <c r="D4" s="1" t="inlineStr">
        <is>
          <t>數值</t>
        </is>
      </c>
      <c r="E4" s="1" t="n">
        <v>2</v>
      </c>
      <c r="G4" s="1" t="inlineStr">
        <is>
          <t>range</t>
        </is>
      </c>
    </row>
    <row r="5">
      <c r="A5" s="1" t="n">
        <v>104</v>
      </c>
      <c r="B5" s="1">
        <f>A5</f>
        <v/>
      </c>
      <c r="C5" s="1" t="inlineStr">
        <is>
          <t>vSF0</t>
        </is>
      </c>
      <c r="D5" s="1" t="inlineStr">
        <is>
          <t>數值</t>
        </is>
      </c>
      <c r="E5" s="1" t="n">
        <v>2</v>
      </c>
      <c r="G5" s="1" t="inlineStr">
        <is>
          <t>range</t>
        </is>
      </c>
    </row>
    <row r="6">
      <c r="A6" s="1" t="n">
        <v>105</v>
      </c>
      <c r="B6" s="1">
        <f>A6</f>
        <v/>
      </c>
      <c r="C6" s="1" t="inlineStr">
        <is>
          <t>vA1</t>
        </is>
      </c>
      <c r="D6" s="1" t="inlineStr">
        <is>
          <t>數值</t>
        </is>
      </c>
      <c r="E6" s="1" t="n">
        <v>4</v>
      </c>
      <c r="G6" s="1" t="inlineStr">
        <is>
          <t>range</t>
        </is>
      </c>
      <c r="H6" s="1" t="inlineStr">
        <is>
          <t>997,998</t>
        </is>
      </c>
      <c r="I6" s="1" t="n"/>
      <c r="L6" s="1">
        <f>CONCAT(IF(D6="數值",CONCATENATE(G6&amp;"("&amp;C6&amp;","&amp;IF(ISERROR(SEARCH(",",H6,1)),(H6&amp;","&amp;H6),H6)&amp;IF(ISBLANK(I6),"",IF(ISERROR(SEARCH(",",I6,1)),CONCATENATE(","&amp;I6&amp;","&amp;I6),CONCATENATE(","&amp;I6))&amp;IF(ISBLANK(J6),"",IF(ISERROR(SEARCH(",",J6,1)),CONCATENATE(","&amp;J6&amp;","&amp;J6),CONCATENATE(","&amp;J6))&amp;IF(ISBLANK(K6),"",IF(ISERROR(SEARCH(",",K6,1)),CONCATENATE(","&amp;K6&amp;","&amp;K6),CONCATENATE(","&amp;K6))))))&amp;")","")&amp;" "&amp;F6)</f>
        <v/>
      </c>
    </row>
    <row r="7">
      <c r="A7" s="1" t="n">
        <v>106</v>
      </c>
      <c r="B7" s="1">
        <f>A7</f>
        <v/>
      </c>
      <c r="C7" s="1" t="inlineStr">
        <is>
          <t>vA2</t>
        </is>
      </c>
      <c r="D7" s="1" t="inlineStr">
        <is>
          <t>數值</t>
        </is>
      </c>
      <c r="E7" s="1" t="n">
        <v>2</v>
      </c>
      <c r="G7" s="1" t="inlineStr">
        <is>
          <t>range</t>
        </is>
      </c>
      <c r="H7" s="1" t="inlineStr">
        <is>
          <t>1,12</t>
        </is>
      </c>
      <c r="I7" s="1" t="inlineStr">
        <is>
          <t>97,98</t>
        </is>
      </c>
      <c r="J7" s="1" t="inlineStr">
        <is>
          <t>997,998</t>
        </is>
      </c>
      <c r="K7" s="1" t="n"/>
      <c r="L7" s="1">
        <f>CONCAT(IF(D7="數值",CONCATENATE(G7&amp;"("&amp;C7&amp;","&amp;IF(ISERROR(SEARCH(",",H7,1)),(H7&amp;","&amp;H7),H7)&amp;IF(ISBLANK(I7),"",IF(ISERROR(SEARCH(",",I7,1)),CONCATENATE(","&amp;I7&amp;","&amp;I7),CONCATENATE(","&amp;I7))&amp;IF(ISBLANK(J7),"",IF(ISERROR(SEARCH(",",J7,1)),CONCATENATE(","&amp;J7&amp;","&amp;J7),CONCATENATE(","&amp;J7))&amp;IF(ISBLANK(K7),"",IF(ISERROR(SEARCH(",",K7,1)),CONCATENATE(","&amp;K7&amp;","&amp;K7),CONCATENATE(","&amp;K7))))))&amp;")","")&amp;" "&amp;F7)</f>
        <v/>
      </c>
    </row>
    <row r="8">
      <c r="A8" s="1" t="n">
        <v>107</v>
      </c>
      <c r="B8" s="1">
        <f>A8</f>
        <v/>
      </c>
      <c r="C8" s="1" t="inlineStr">
        <is>
          <t>vA3</t>
        </is>
      </c>
      <c r="D8" s="1" t="inlineStr">
        <is>
          <t>數值</t>
        </is>
      </c>
      <c r="E8" s="1" t="n">
        <v>2</v>
      </c>
      <c r="G8" s="1" t="inlineStr">
        <is>
          <t>range</t>
        </is>
      </c>
      <c r="H8" s="1" t="inlineStr">
        <is>
          <t>1,22</t>
        </is>
      </c>
      <c r="I8" s="1" t="inlineStr">
        <is>
          <t>88</t>
        </is>
      </c>
      <c r="J8" s="1" t="inlineStr">
        <is>
          <t>97,98</t>
        </is>
      </c>
      <c r="L8" s="1">
        <f>CONCAT(IF(D8="數值",CONCATENATE(G8&amp;"("&amp;C8&amp;","&amp;IF(ISERROR(SEARCH(",",H8,1)),(H8&amp;","&amp;H8),H8)&amp;IF(ISBLANK(I8),"",IF(ISERROR(SEARCH(",",I8,1)),CONCATENATE(","&amp;I8&amp;","&amp;I8),CONCATENATE(","&amp;I8))&amp;IF(ISBLANK(J8),"",IF(ISERROR(SEARCH(",",J8,1)),CONCATENATE(","&amp;J8&amp;","&amp;J8),CONCATENATE(","&amp;J8))&amp;IF(ISBLANK(K8),"",IF(ISERROR(SEARCH(",",K8,1)),CONCATENATE(","&amp;K8&amp;","&amp;K8),CONCATENATE(","&amp;K8))))))&amp;")","")&amp;" "&amp;F8)</f>
        <v/>
      </c>
    </row>
    <row r="9">
      <c r="A9" s="1" t="n">
        <v>108</v>
      </c>
      <c r="B9" s="1">
        <f>A9</f>
        <v/>
      </c>
      <c r="C9" s="1" t="inlineStr">
        <is>
          <t>vA4</t>
        </is>
      </c>
      <c r="D9" s="1" t="inlineStr">
        <is>
          <t>數值</t>
        </is>
      </c>
      <c r="E9" s="1" t="n">
        <v>2</v>
      </c>
      <c r="G9" s="1" t="inlineStr">
        <is>
          <t>range</t>
        </is>
      </c>
      <c r="H9" s="1" t="inlineStr">
        <is>
          <t>1,2</t>
        </is>
      </c>
      <c r="I9" s="1" t="inlineStr">
        <is>
          <t>97,98</t>
        </is>
      </c>
      <c r="J9" s="1" t="n"/>
      <c r="L9" s="1">
        <f>CONCAT(IF(D9="數值",CONCATENATE(G9&amp;"("&amp;C9&amp;","&amp;IF(ISERROR(SEARCH(",",H9,1)),(H9&amp;","&amp;H9),H9)&amp;IF(ISBLANK(I9),"",IF(ISERROR(SEARCH(",",I9,1)),CONCATENATE(","&amp;I9&amp;","&amp;I9),CONCATENATE(","&amp;I9))&amp;IF(ISBLANK(J9),"",IF(ISERROR(SEARCH(",",J9,1)),CONCATENATE(","&amp;J9&amp;","&amp;J9),CONCATENATE(","&amp;J9))&amp;IF(ISBLANK(K9),"",IF(ISERROR(SEARCH(",",K9,1)),CONCATENATE(","&amp;K9&amp;","&amp;K9),CONCATENATE(","&amp;K9))))))&amp;")","")&amp;" "&amp;F9)</f>
        <v/>
      </c>
    </row>
    <row r="10">
      <c r="A10" s="1" t="n">
        <v>109</v>
      </c>
      <c r="B10" s="1">
        <f>A10</f>
        <v/>
      </c>
      <c r="C10" s="1" t="inlineStr">
        <is>
          <t>vA5city</t>
        </is>
      </c>
      <c r="D10" s="1" t="inlineStr">
        <is>
          <t>數值</t>
        </is>
      </c>
      <c r="E10" s="1" t="n">
        <v>2</v>
      </c>
      <c r="G10" s="1" t="inlineStr">
        <is>
          <t>range</t>
        </is>
      </c>
      <c r="H10" s="1" t="inlineStr">
        <is>
          <t>1,29</t>
        </is>
      </c>
      <c r="L10" s="1">
        <f>CONCAT(IF(D10="數值",CONCATENATE(G10&amp;"("&amp;C10&amp;","&amp;IF(ISERROR(SEARCH(",",H10,1)),(H10&amp;","&amp;H10),H10)&amp;IF(ISBLANK(I10),"",IF(ISERROR(SEARCH(",",I10,1)),CONCATENATE(","&amp;I10&amp;","&amp;I10),CONCATENATE(","&amp;I10))&amp;IF(ISBLANK(J10),"",IF(ISERROR(SEARCH(",",J10,1)),CONCATENATE(","&amp;J10&amp;","&amp;J10),CONCATENATE(","&amp;J10))&amp;IF(ISBLANK(K10),"",IF(ISERROR(SEARCH(",",K10,1)),CONCATENATE(","&amp;K10&amp;","&amp;K10),CONCATENATE(","&amp;K10))))))&amp;")","")&amp;" "&amp;F10)</f>
        <v/>
      </c>
    </row>
    <row r="11" ht="297" customHeight="1" s="16">
      <c r="A11" s="1" t="n">
        <v>110</v>
      </c>
      <c r="B11" s="1">
        <f>A11</f>
        <v/>
      </c>
      <c r="C11" s="1" t="inlineStr">
        <is>
          <t>vA5town</t>
        </is>
      </c>
      <c r="D11" s="1" t="inlineStr">
        <is>
          <t>數值</t>
        </is>
      </c>
      <c r="E11" s="1" t="n">
        <v>4</v>
      </c>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c r="L11" s="1">
        <f>CONCAT(IF(D11="數值",CONCATENATE(G11&amp;"("&amp;C11&amp;","&amp;IF(ISERROR(SEARCH(",",H11,1)),(H11&amp;","&amp;H11),H11)&amp;IF(ISBLANK(I11),"",IF(ISERROR(SEARCH(",",I11,1)),CONCATENATE(","&amp;I11&amp;","&amp;I11),CONCATENATE(","&amp;I11))&amp;IF(ISBLANK(J11),"",IF(ISERROR(SEARCH(",",J11,1)),CONCATENATE(","&amp;J11&amp;","&amp;J11),CONCATENATE(","&amp;J11))&amp;IF(ISBLANK(K11),"",IF(ISERROR(SEARCH(",",K11,1)),CONCATENATE(","&amp;K11&amp;","&amp;K11),CONCATENATE(","&amp;K11))))))&amp;")","")&amp;" "&amp;F11)</f>
        <v/>
      </c>
    </row>
    <row r="12" ht="15" customHeight="1" s="16">
      <c r="A12" s="1" t="n">
        <v>111</v>
      </c>
      <c r="B12" s="1">
        <f>A12</f>
        <v/>
      </c>
      <c r="C12" s="1" t="inlineStr">
        <is>
          <t>vA6</t>
        </is>
      </c>
      <c r="D12" s="1" t="inlineStr">
        <is>
          <t>數值</t>
        </is>
      </c>
      <c r="E12" s="1" t="n">
        <v>2</v>
      </c>
      <c r="G12" s="1" t="inlineStr">
        <is>
          <t>range</t>
        </is>
      </c>
      <c r="H12" s="1" t="inlineStr">
        <is>
          <t>1,6</t>
        </is>
      </c>
      <c r="I12" s="1" t="inlineStr">
        <is>
          <t>88</t>
        </is>
      </c>
      <c r="J12" s="1" t="inlineStr">
        <is>
          <t>97,98</t>
        </is>
      </c>
      <c r="L12" s="1">
        <f>CONCAT(IF(D12="數值",CONCATENATE(G12&amp;"("&amp;C12&amp;","&amp;IF(ISERROR(SEARCH(",",H12,1)),(H12&amp;","&amp;H12),H12)&amp;IF(ISBLANK(I12),"",IF(ISERROR(SEARCH(",",I12,1)),CONCATENATE(","&amp;I12&amp;","&amp;I12),CONCATENATE(","&amp;I12))&amp;IF(ISBLANK(J12),"",IF(ISERROR(SEARCH(",",J12,1)),CONCATENATE(","&amp;J12&amp;","&amp;J12),CONCATENATE(","&amp;J12))&amp;IF(ISBLANK(K12),"",IF(ISERROR(SEARCH(",",K12,1)),CONCATENATE(","&amp;K12&amp;","&amp;K12),CONCATENATE(","&amp;K12))))))&amp;")","")&amp;" "&amp;F12)</f>
        <v/>
      </c>
    </row>
    <row r="13" ht="15" customHeight="1" s="16">
      <c r="A13" s="1" t="n">
        <v>112</v>
      </c>
      <c r="B13" s="1">
        <f>A13</f>
        <v/>
      </c>
      <c r="C13" s="1" t="inlineStr">
        <is>
          <t>vA7</t>
        </is>
      </c>
      <c r="D13" s="1" t="inlineStr">
        <is>
          <t>數值</t>
        </is>
      </c>
      <c r="E13" s="1" t="n">
        <v>2</v>
      </c>
      <c r="G13" s="1" t="inlineStr">
        <is>
          <t>range</t>
        </is>
      </c>
      <c r="H13" s="1" t="inlineStr">
        <is>
          <t>1,6</t>
        </is>
      </c>
      <c r="I13" s="1" t="inlineStr">
        <is>
          <t>88</t>
        </is>
      </c>
      <c r="J13" s="1" t="inlineStr">
        <is>
          <t>97,98</t>
        </is>
      </c>
      <c r="L13" s="1">
        <f>CONCAT(IF(D13="數值",CONCATENATE(G13&amp;"("&amp;C13&amp;","&amp;IF(ISERROR(SEARCH(",",H13,1)),(H13&amp;","&amp;H13),H13)&amp;IF(ISBLANK(I13),"",IF(ISERROR(SEARCH(",",I13,1)),CONCATENATE(","&amp;I13&amp;","&amp;I13),CONCATENATE(","&amp;I13))&amp;IF(ISBLANK(J13),"",IF(ISERROR(SEARCH(",",J13,1)),CONCATENATE(","&amp;J13&amp;","&amp;J13),CONCATENATE(","&amp;J13))&amp;IF(ISBLANK(K13),"",IF(ISERROR(SEARCH(",",K13,1)),CONCATENATE(","&amp;K13&amp;","&amp;K13),CONCATENATE(","&amp;K13))))))&amp;")","")&amp;" "&amp;F13)</f>
        <v/>
      </c>
    </row>
    <row r="14">
      <c r="A14" s="1" t="n">
        <v>113</v>
      </c>
      <c r="B14" s="1">
        <f>A14</f>
        <v/>
      </c>
      <c r="C14" s="1" t="inlineStr">
        <is>
          <t>vA8</t>
        </is>
      </c>
      <c r="D14" s="1" t="inlineStr">
        <is>
          <t>數值</t>
        </is>
      </c>
      <c r="E14" s="1" t="n">
        <v>2</v>
      </c>
      <c r="G14" s="1" t="inlineStr">
        <is>
          <t>range</t>
        </is>
      </c>
      <c r="H14" s="1" t="inlineStr">
        <is>
          <t>1,7</t>
        </is>
      </c>
      <c r="I14" s="1" t="inlineStr">
        <is>
          <t>88</t>
        </is>
      </c>
      <c r="J14" s="1" t="inlineStr">
        <is>
          <t>97,98</t>
        </is>
      </c>
      <c r="L14" s="1">
        <f>CONCAT(IF(D14="數值",CONCATENATE(G14&amp;"("&amp;C14&amp;","&amp;IF(ISERROR(SEARCH(",",H14,1)),(H14&amp;","&amp;H14),H14)&amp;IF(ISBLANK(I14),"",IF(ISERROR(SEARCH(",",I14,1)),CONCATENATE(","&amp;I14&amp;","&amp;I14),CONCATENATE(","&amp;I14))&amp;IF(ISBLANK(J14),"",IF(ISERROR(SEARCH(",",J14,1)),CONCATENATE(","&amp;J14&amp;","&amp;J14),CONCATENATE(","&amp;J14))&amp;IF(ISBLANK(K14),"",IF(ISERROR(SEARCH(",",K14,1)),CONCATENATE(","&amp;K14&amp;","&amp;K14),CONCATENATE(","&amp;K14))))))&amp;")","")&amp;" "&amp;F14)</f>
        <v/>
      </c>
    </row>
    <row r="15">
      <c r="A15" s="1" t="n">
        <v>114</v>
      </c>
      <c r="B15" s="1">
        <f>A15</f>
        <v/>
      </c>
      <c r="C15" s="1" t="inlineStr">
        <is>
          <t>vA9</t>
        </is>
      </c>
      <c r="D15" s="1" t="inlineStr">
        <is>
          <t>數值</t>
        </is>
      </c>
      <c r="E15" s="1" t="n">
        <v>2</v>
      </c>
      <c r="G15" s="1" t="inlineStr">
        <is>
          <t>range</t>
        </is>
      </c>
      <c r="H15" s="1" t="inlineStr">
        <is>
          <t>1,8</t>
        </is>
      </c>
      <c r="I15" s="1" t="inlineStr">
        <is>
          <t>88</t>
        </is>
      </c>
      <c r="J15" s="1" t="inlineStr">
        <is>
          <t>97,98</t>
        </is>
      </c>
      <c r="L15" s="1">
        <f>CONCAT(IF(D15="數值",CONCATENATE(G15&amp;"("&amp;C15&amp;","&amp;IF(ISERROR(SEARCH(",",H15,1)),(H15&amp;","&amp;H15),H15)&amp;IF(ISBLANK(I15),"",IF(ISERROR(SEARCH(",",I15,1)),CONCATENATE(","&amp;I15&amp;","&amp;I15),CONCATENATE(","&amp;I15))&amp;IF(ISBLANK(J15),"",IF(ISERROR(SEARCH(",",J15,1)),CONCATENATE(","&amp;J15&amp;","&amp;J15),CONCATENATE(","&amp;J15))&amp;IF(ISBLANK(K15),"",IF(ISERROR(SEARCH(",",K15,1)),CONCATENATE(","&amp;K15&amp;","&amp;K15),CONCATENATE(","&amp;K15))))))&amp;")","")&amp;" "&amp;F15)</f>
        <v/>
      </c>
    </row>
    <row r="16">
      <c r="A16" s="1" t="n">
        <v>115</v>
      </c>
      <c r="B16" s="1">
        <f>A16</f>
        <v/>
      </c>
      <c r="C16" s="1" t="inlineStr">
        <is>
          <t>vO1_1</t>
        </is>
      </c>
      <c r="D16" s="1" t="inlineStr">
        <is>
          <t>數值</t>
        </is>
      </c>
      <c r="E16" s="1" t="n">
        <v>2</v>
      </c>
      <c r="G16" s="1" t="inlineStr">
        <is>
          <t>range</t>
        </is>
      </c>
    </row>
    <row r="17">
      <c r="A17" s="1" t="n">
        <v>116</v>
      </c>
      <c r="B17" s="1">
        <f>A17</f>
        <v/>
      </c>
      <c r="C17" s="1" t="inlineStr">
        <is>
          <t>vO1</t>
        </is>
      </c>
      <c r="D17" s="1" t="inlineStr">
        <is>
          <t>數值</t>
        </is>
      </c>
      <c r="E17" s="1" t="n">
        <v>2</v>
      </c>
      <c r="G17" s="1" t="inlineStr">
        <is>
          <t>range</t>
        </is>
      </c>
      <c r="H17" s="1" t="inlineStr">
        <is>
          <t>1,6</t>
        </is>
      </c>
      <c r="I17" s="1" t="inlineStr">
        <is>
          <t>9,14</t>
        </is>
      </c>
      <c r="J17" s="1" t="inlineStr">
        <is>
          <t>88</t>
        </is>
      </c>
      <c r="K17" s="1" t="inlineStr">
        <is>
          <t>97,98</t>
        </is>
      </c>
      <c r="L17" s="1">
        <f>CONCAT(IF(D17="數值",CONCATENATE(G17&amp;"("&amp;C17&amp;","&amp;IF(ISERROR(SEARCH(",",H17,1)),(H17&amp;","&amp;H17),H17)&amp;IF(ISBLANK(I17),"",IF(ISERROR(SEARCH(",",I17,1)),CONCATENATE(","&amp;I17&amp;","&amp;I17),CONCATENATE(","&amp;I17))&amp;IF(ISBLANK(J17),"",IF(ISERROR(SEARCH(",",J17,1)),CONCATENATE(","&amp;J17&amp;","&amp;J17),CONCATENATE(","&amp;J17))&amp;IF(ISBLANK(K17),"",IF(ISERROR(SEARCH(",",K17,1)),CONCATENATE(","&amp;K17&amp;","&amp;K17),CONCATENATE(","&amp;K17))))))&amp;")","")&amp;" "&amp;F17)</f>
        <v/>
      </c>
    </row>
    <row r="18">
      <c r="A18" s="1" t="n">
        <v>117</v>
      </c>
      <c r="B18" s="1">
        <f>A18</f>
        <v/>
      </c>
      <c r="C18" s="1" t="inlineStr">
        <is>
          <t>vO2</t>
        </is>
      </c>
      <c r="D18" s="1" t="inlineStr">
        <is>
          <t>數值</t>
        </is>
      </c>
      <c r="E18" s="1" t="n">
        <v>2</v>
      </c>
      <c r="G18" s="1" t="inlineStr">
        <is>
          <t>range</t>
        </is>
      </c>
      <c r="H18" s="1" t="inlineStr">
        <is>
          <t>1,19</t>
        </is>
      </c>
      <c r="I18" s="1" t="inlineStr">
        <is>
          <t>88</t>
        </is>
      </c>
      <c r="J18" s="1" t="inlineStr">
        <is>
          <t>97,98</t>
        </is>
      </c>
      <c r="L18" s="1">
        <f>CONCAT(IF(D18="數值",CONCATENATE(G18&amp;"("&amp;C18&amp;","&amp;IF(ISERROR(SEARCH(",",H18,1)),(H18&amp;","&amp;H18),H18)&amp;IF(ISBLANK(I18),"",IF(ISERROR(SEARCH(",",I18,1)),CONCATENATE(","&amp;I18&amp;","&amp;I18),CONCATENATE(","&amp;I18))&amp;IF(ISBLANK(J18),"",IF(ISERROR(SEARCH(",",J18,1)),CONCATENATE(","&amp;J18&amp;","&amp;J18),CONCATENATE(","&amp;J18))&amp;IF(ISBLANK(K18),"",IF(ISERROR(SEARCH(",",K18,1)),CONCATENATE(","&amp;K18&amp;","&amp;K18),CONCATENATE(","&amp;K18))))))&amp;")","")&amp;" "&amp;F18)</f>
        <v/>
      </c>
    </row>
    <row r="19" ht="19.9" customHeight="1" s="16">
      <c r="A19" s="1" t="n">
        <v>118</v>
      </c>
      <c r="B19" s="1">
        <f>A19</f>
        <v/>
      </c>
      <c r="C19" s="1" t="inlineStr">
        <is>
          <t>vO3</t>
        </is>
      </c>
      <c r="D19" s="1" t="inlineStr">
        <is>
          <t>數值</t>
        </is>
      </c>
      <c r="E19" s="1" t="n">
        <v>2</v>
      </c>
      <c r="G19" s="1" t="inlineStr">
        <is>
          <t>range</t>
        </is>
      </c>
      <c r="H19" s="1" t="inlineStr">
        <is>
          <t>1,6</t>
        </is>
      </c>
      <c r="I19" s="1" t="inlineStr">
        <is>
          <t>88</t>
        </is>
      </c>
      <c r="J19" s="1" t="inlineStr">
        <is>
          <t>97,98</t>
        </is>
      </c>
      <c r="L19" s="1">
        <f>CONCAT(IF(D19="數值",CONCATENATE(G19&amp;"("&amp;C19&amp;","&amp;IF(ISERROR(SEARCH(",",H19,1)),(H19&amp;","&amp;H19),H19)&amp;IF(ISBLANK(I19),"",IF(ISERROR(SEARCH(",",I19,1)),CONCATENATE(","&amp;I19&amp;","&amp;I19),CONCATENATE(","&amp;I19))&amp;IF(ISBLANK(J19),"",IF(ISERROR(SEARCH(",",J19,1)),CONCATENATE(","&amp;J19&amp;","&amp;J19),CONCATENATE(","&amp;J19))&amp;IF(ISBLANK(K19),"",IF(ISERROR(SEARCH(",",K19,1)),CONCATENATE(","&amp;K19&amp;","&amp;K19),CONCATENATE(","&amp;K19))))))&amp;")","")&amp;" "&amp;F19)</f>
        <v/>
      </c>
    </row>
    <row r="20">
      <c r="A20" s="1" t="n">
        <v>119</v>
      </c>
      <c r="B20" s="1">
        <f>A20</f>
        <v/>
      </c>
      <c r="C20" s="1" t="inlineStr">
        <is>
          <t>vO4</t>
        </is>
      </c>
      <c r="D20" s="1" t="inlineStr">
        <is>
          <t>數值</t>
        </is>
      </c>
      <c r="E20" s="1" t="n">
        <v>5</v>
      </c>
      <c r="G20" s="1" t="inlineStr">
        <is>
          <t>range</t>
        </is>
      </c>
      <c r="H20" s="1" t="inlineStr">
        <is>
          <t>0,5000</t>
        </is>
      </c>
      <c r="I20" s="1" t="inlineStr">
        <is>
          <t>9991</t>
        </is>
      </c>
      <c r="J20" s="1" t="inlineStr">
        <is>
          <t>9997</t>
        </is>
      </c>
      <c r="K20" s="1" t="inlineStr">
        <is>
          <t>9998</t>
        </is>
      </c>
      <c r="L20" s="1">
        <f>CONCAT(IF(D20="數值",CONCATENATE(G20&amp;"("&amp;C20&amp;","&amp;IF(ISERROR(SEARCH(",",H20,1)),(H20&amp;","&amp;H20),H20)&amp;IF(ISBLANK(I20),"",IF(ISERROR(SEARCH(",",I20,1)),CONCATENATE(","&amp;I20&amp;","&amp;I20),CONCATENATE(","&amp;I20))&amp;IF(ISBLANK(J20),"",IF(ISERROR(SEARCH(",",J20,1)),CONCATENATE(","&amp;J20&amp;","&amp;J20),CONCATENATE(","&amp;J20))&amp;IF(ISBLANK(K20),"",IF(ISERROR(SEARCH(",",K20,1)),CONCATENATE(","&amp;K20&amp;","&amp;K20),CONCATENATE(","&amp;K20))))))&amp;")","")&amp;" "&amp;F20)</f>
        <v/>
      </c>
    </row>
    <row r="21">
      <c r="A21" s="1" t="n">
        <v>120</v>
      </c>
      <c r="B21" s="1">
        <f>A21</f>
        <v/>
      </c>
      <c r="C21" s="1" t="inlineStr">
        <is>
          <t>vD1</t>
        </is>
      </c>
      <c r="D21" s="1" t="inlineStr">
        <is>
          <t>數值</t>
        </is>
      </c>
      <c r="E21" s="1" t="n">
        <v>2</v>
      </c>
      <c r="G21" s="1" t="inlineStr">
        <is>
          <t>range</t>
        </is>
      </c>
      <c r="H21" s="1" t="inlineStr">
        <is>
          <t>1,3</t>
        </is>
      </c>
      <c r="I21" s="1" t="inlineStr">
        <is>
          <t>97,98</t>
        </is>
      </c>
      <c r="J21" s="1" t="n"/>
      <c r="L21" s="1">
        <f>CONCAT(IF(D21="數值",CONCATENATE(G21&amp;"("&amp;C21&amp;","&amp;IF(ISERROR(SEARCH(",",H21,1)),(H21&amp;","&amp;H21),H21)&amp;IF(ISBLANK(I21),"",IF(ISERROR(SEARCH(",",I21,1)),CONCATENATE(","&amp;I21&amp;","&amp;I21),CONCATENATE(","&amp;I21))&amp;IF(ISBLANK(J21),"",IF(ISERROR(SEARCH(",",J21,1)),CONCATENATE(","&amp;J21&amp;","&amp;J21),CONCATENATE(","&amp;J21))&amp;IF(ISBLANK(K21),"",IF(ISERROR(SEARCH(",",K21,1)),CONCATENATE(","&amp;K21&amp;","&amp;K21),CONCATENATE(","&amp;K21))))))&amp;")","")&amp;" "&amp;F21)</f>
        <v/>
      </c>
    </row>
    <row r="22">
      <c r="A22" s="1" t="n">
        <v>121</v>
      </c>
      <c r="B22" s="1">
        <f>A22</f>
        <v/>
      </c>
      <c r="C22" s="1" t="inlineStr">
        <is>
          <t>vD2</t>
        </is>
      </c>
      <c r="D22" s="1" t="inlineStr">
        <is>
          <t>數值</t>
        </is>
      </c>
      <c r="E22" s="1" t="n">
        <v>4</v>
      </c>
      <c r="G22" s="1" t="inlineStr">
        <is>
          <t>range</t>
        </is>
      </c>
      <c r="H22" s="1" t="inlineStr">
        <is>
          <t>95</t>
        </is>
      </c>
      <c r="I22" s="1" t="inlineStr">
        <is>
          <t>97,98</t>
        </is>
      </c>
      <c r="J22" s="1" t="n"/>
      <c r="L22" s="1">
        <f>CONCAT(IF(D22="數值",CONCATENATE(G22&amp;"("&amp;C22&amp;","&amp;IF(ISERROR(SEARCH(",",H22,1)),(H22&amp;","&amp;H22),H22)&amp;IF(ISBLANK(I22),"",IF(ISERROR(SEARCH(",",I22,1)),CONCATENATE(","&amp;I22&amp;","&amp;I22),CONCATENATE(","&amp;I22))&amp;IF(ISBLANK(J22),"",IF(ISERROR(SEARCH(",",J22,1)),CONCATENATE(","&amp;J22&amp;","&amp;J22),CONCATENATE(","&amp;J22))&amp;IF(ISBLANK(K22),"",IF(ISERROR(SEARCH(",",K22,1)),CONCATENATE(","&amp;K22&amp;","&amp;K22),CONCATENATE(","&amp;K22))))))&amp;")","")&amp;" "&amp;F22)</f>
        <v/>
      </c>
    </row>
    <row r="23">
      <c r="A23" s="1" t="n">
        <v>122</v>
      </c>
      <c r="B23" s="1">
        <f>A23</f>
        <v/>
      </c>
      <c r="C23" s="1" t="inlineStr">
        <is>
          <t>vD3</t>
        </is>
      </c>
      <c r="D23" s="1" t="inlineStr">
        <is>
          <t>數值</t>
        </is>
      </c>
      <c r="E23" s="1" t="n">
        <v>5</v>
      </c>
      <c r="G23" s="1" t="inlineStr">
        <is>
          <t>range</t>
        </is>
      </c>
      <c r="H23" s="1" t="inlineStr">
        <is>
          <t>1,2359</t>
        </is>
      </c>
      <c r="I23" s="1" t="inlineStr">
        <is>
          <t>9797</t>
        </is>
      </c>
      <c r="J23" s="1" t="inlineStr">
        <is>
          <t>9898</t>
        </is>
      </c>
      <c r="L23" s="1">
        <f>CONCAT(IF(D23="數值",CONCATENATE(G23&amp;"("&amp;C23&amp;","&amp;IF(ISERROR(SEARCH(",",H23,1)),(H23&amp;","&amp;H23),H23)&amp;IF(ISBLANK(I23),"",IF(ISERROR(SEARCH(",",I23,1)),CONCATENATE(","&amp;I23&amp;","&amp;I23),CONCATENATE(","&amp;I23))&amp;IF(ISBLANK(J23),"",IF(ISERROR(SEARCH(",",J23,1)),CONCATENATE(","&amp;J23&amp;","&amp;J23),CONCATENATE(","&amp;J23))&amp;IF(ISBLANK(K23),"",IF(ISERROR(SEARCH(",",K23,1)),CONCATENATE(","&amp;K23&amp;","&amp;K23),CONCATENATE(","&amp;K23))))))&amp;")","")&amp;" "&amp;F23)</f>
        <v/>
      </c>
    </row>
    <row r="24">
      <c r="A24" s="1" t="n">
        <v>123</v>
      </c>
      <c r="B24" s="1">
        <f>A24</f>
        <v/>
      </c>
      <c r="C24" s="1" t="inlineStr">
        <is>
          <t>vD4sD4</t>
        </is>
      </c>
      <c r="D24" s="1" t="inlineStr">
        <is>
          <t>數值</t>
        </is>
      </c>
      <c r="E24" s="1" t="n">
        <v>2</v>
      </c>
      <c r="G24" s="1" t="inlineStr">
        <is>
          <t>range</t>
        </is>
      </c>
      <c r="H24" s="1" t="inlineStr">
        <is>
          <t>1,4</t>
        </is>
      </c>
      <c r="I24" s="1" t="inlineStr">
        <is>
          <t>97,98</t>
        </is>
      </c>
      <c r="J24" s="1" t="n"/>
      <c r="L24" s="1">
        <f>CONCAT(IF(D24="數值",CONCATENATE(G24&amp;"("&amp;C24&amp;","&amp;IF(ISERROR(SEARCH(",",H24,1)),(H24&amp;","&amp;H24),H24)&amp;IF(ISBLANK(I24),"",IF(ISERROR(SEARCH(",",I24,1)),CONCATENATE(","&amp;I24&amp;","&amp;I24),CONCATENATE(","&amp;I24))&amp;IF(ISBLANK(J24),"",IF(ISERROR(SEARCH(",",J24,1)),CONCATENATE(","&amp;J24&amp;","&amp;J24),CONCATENATE(","&amp;J24))&amp;IF(ISBLANK(K24),"",IF(ISERROR(SEARCH(",",K24,1)),CONCATENATE(","&amp;K24&amp;","&amp;K24),CONCATENATE(","&amp;K24))))))&amp;")","")&amp;" "&amp;F24)</f>
        <v/>
      </c>
    </row>
    <row r="25">
      <c r="A25" s="1" t="n">
        <v>124</v>
      </c>
      <c r="B25" s="1">
        <f>A25</f>
        <v/>
      </c>
      <c r="C25" s="1" t="inlineStr">
        <is>
          <t>vD4sD5</t>
        </is>
      </c>
      <c r="D25" s="1" t="inlineStr">
        <is>
          <t>數值</t>
        </is>
      </c>
      <c r="E25" s="1" t="n">
        <v>2</v>
      </c>
      <c r="G25" s="1" t="inlineStr">
        <is>
          <t>range</t>
        </is>
      </c>
      <c r="H25" s="1" t="inlineStr">
        <is>
          <t>1,4</t>
        </is>
      </c>
      <c r="I25" s="1" t="inlineStr">
        <is>
          <t>97,98</t>
        </is>
      </c>
      <c r="J25" s="1" t="n"/>
      <c r="L25" s="1">
        <f>CONCAT(IF(D25="數值",CONCATENATE(G25&amp;"("&amp;C25&amp;","&amp;IF(ISERROR(SEARCH(",",H25,1)),(H25&amp;","&amp;H25),H25)&amp;IF(ISBLANK(I25),"",IF(ISERROR(SEARCH(",",I25,1)),CONCATENATE(","&amp;I25&amp;","&amp;I25),CONCATENATE(","&amp;I25))&amp;IF(ISBLANK(J25),"",IF(ISERROR(SEARCH(",",J25,1)),CONCATENATE(","&amp;J25&amp;","&amp;J25),CONCATENATE(","&amp;J25))&amp;IF(ISBLANK(K25),"",IF(ISERROR(SEARCH(",",K25,1)),CONCATENATE(","&amp;K25&amp;","&amp;K25),CONCATENATE(","&amp;K25))))))&amp;")","")&amp;" "&amp;F25)</f>
        <v/>
      </c>
    </row>
    <row r="26">
      <c r="A26" s="1" t="n">
        <v>125</v>
      </c>
      <c r="B26" s="1">
        <f>A26</f>
        <v/>
      </c>
      <c r="C26" s="1" t="inlineStr">
        <is>
          <t>vD4sD6</t>
        </is>
      </c>
      <c r="D26" s="1" t="inlineStr">
        <is>
          <t>數值</t>
        </is>
      </c>
      <c r="E26" s="1" t="n">
        <v>2</v>
      </c>
      <c r="G26" s="1" t="inlineStr">
        <is>
          <t>range</t>
        </is>
      </c>
      <c r="H26" s="1" t="inlineStr">
        <is>
          <t>1,4</t>
        </is>
      </c>
      <c r="I26" s="1" t="inlineStr">
        <is>
          <t>97,98</t>
        </is>
      </c>
      <c r="J26" s="1" t="n"/>
      <c r="L26" s="1">
        <f>CONCAT(IF(D26="數值",CONCATENATE(G26&amp;"("&amp;C26&amp;","&amp;IF(ISERROR(SEARCH(",",H26,1)),(H26&amp;","&amp;H26),H26)&amp;IF(ISBLANK(I26),"",IF(ISERROR(SEARCH(",",I26,1)),CONCATENATE(","&amp;I26&amp;","&amp;I26),CONCATENATE(","&amp;I26))&amp;IF(ISBLANK(J26),"",IF(ISERROR(SEARCH(",",J26,1)),CONCATENATE(","&amp;J26&amp;","&amp;J26),CONCATENATE(","&amp;J26))&amp;IF(ISBLANK(K26),"",IF(ISERROR(SEARCH(",",K26,1)),CONCATENATE(","&amp;K26&amp;","&amp;K26),CONCATENATE(","&amp;K26))))))&amp;")","")&amp;" "&amp;F26)</f>
        <v/>
      </c>
    </row>
    <row r="27">
      <c r="A27" s="1" t="n">
        <v>126</v>
      </c>
      <c r="B27" s="1">
        <f>A27</f>
        <v/>
      </c>
      <c r="C27" s="1" t="inlineStr">
        <is>
          <t>vD4sD7</t>
        </is>
      </c>
      <c r="D27" s="1" t="inlineStr">
        <is>
          <t>數值</t>
        </is>
      </c>
      <c r="E27" s="1" t="n">
        <v>2</v>
      </c>
      <c r="G27" s="1" t="inlineStr">
        <is>
          <t>range</t>
        </is>
      </c>
      <c r="H27" s="1" t="inlineStr">
        <is>
          <t>1,4</t>
        </is>
      </c>
      <c r="I27" s="1" t="inlineStr">
        <is>
          <t>97,98</t>
        </is>
      </c>
      <c r="J27" s="1" t="n"/>
      <c r="L27" s="1">
        <f>CONCAT(IF(D27="數值",CONCATENATE(G27&amp;"("&amp;C27&amp;","&amp;IF(ISERROR(SEARCH(",",H27,1)),(H27&amp;","&amp;H27),H27)&amp;IF(ISBLANK(I27),"",IF(ISERROR(SEARCH(",",I27,1)),CONCATENATE(","&amp;I27&amp;","&amp;I27),CONCATENATE(","&amp;I27))&amp;IF(ISBLANK(J27),"",IF(ISERROR(SEARCH(",",J27,1)),CONCATENATE(","&amp;J27&amp;","&amp;J27),CONCATENATE(","&amp;J27))&amp;IF(ISBLANK(K27),"",IF(ISERROR(SEARCH(",",K27,1)),CONCATENATE(","&amp;K27&amp;","&amp;K27),CONCATENATE(","&amp;K27))))))&amp;")","")&amp;" "&amp;F27)</f>
        <v/>
      </c>
    </row>
    <row r="28">
      <c r="A28" s="1" t="n">
        <v>127</v>
      </c>
      <c r="B28" s="1">
        <f>A28</f>
        <v/>
      </c>
      <c r="C28" s="1" t="inlineStr">
        <is>
          <t>vD4sD8</t>
        </is>
      </c>
      <c r="D28" s="1" t="inlineStr">
        <is>
          <t>數值</t>
        </is>
      </c>
      <c r="E28" s="1" t="n">
        <v>2</v>
      </c>
      <c r="G28" s="1" t="inlineStr">
        <is>
          <t>range</t>
        </is>
      </c>
      <c r="H28" s="1" t="inlineStr">
        <is>
          <t>1,4</t>
        </is>
      </c>
      <c r="I28" s="1" t="inlineStr">
        <is>
          <t>97,98</t>
        </is>
      </c>
      <c r="J28" s="1" t="n"/>
      <c r="L28" s="1">
        <f>CONCAT(IF(D28="數值",CONCATENATE(G28&amp;"("&amp;C28&amp;","&amp;IF(ISERROR(SEARCH(",",H28,1)),(H28&amp;","&amp;H28),H28)&amp;IF(ISBLANK(I28),"",IF(ISERROR(SEARCH(",",I28,1)),CONCATENATE(","&amp;I28&amp;","&amp;I28),CONCATENATE(","&amp;I28))&amp;IF(ISBLANK(J28),"",IF(ISERROR(SEARCH(",",J28,1)),CONCATENATE(","&amp;J28&amp;","&amp;J28),CONCATENATE(","&amp;J28))&amp;IF(ISBLANK(K28),"",IF(ISERROR(SEARCH(",",K28,1)),CONCATENATE(","&amp;K28&amp;","&amp;K28),CONCATENATE(","&amp;K28))))))&amp;")","")&amp;" "&amp;F28)</f>
        <v/>
      </c>
    </row>
    <row r="29">
      <c r="A29" s="1" t="n">
        <v>128</v>
      </c>
      <c r="B29" s="1">
        <f>A29</f>
        <v/>
      </c>
      <c r="C29" s="1" t="inlineStr">
        <is>
          <t>vK1m01</t>
        </is>
      </c>
      <c r="D29" s="1" t="inlineStr">
        <is>
          <t>數值</t>
        </is>
      </c>
      <c r="E29" s="1" t="n">
        <v>2</v>
      </c>
      <c r="G29" s="1" t="inlineStr">
        <is>
          <t>range</t>
        </is>
      </c>
      <c r="H29" s="1" t="inlineStr">
        <is>
          <t>0,1</t>
        </is>
      </c>
      <c r="L29" s="1">
        <f>CONCAT(IF(D29="數值",CONCATENATE(G29&amp;"("&amp;C29&amp;","&amp;IF(ISERROR(SEARCH(",",H29,1)),(H29&amp;","&amp;H29),H29)&amp;IF(ISBLANK(I29),"",IF(ISERROR(SEARCH(",",I29,1)),CONCATENATE(","&amp;I29&amp;","&amp;I29),CONCATENATE(","&amp;I29))&amp;IF(ISBLANK(J29),"",IF(ISERROR(SEARCH(",",J29,1)),CONCATENATE(","&amp;J29&amp;","&amp;J29),CONCATENATE(","&amp;J29))&amp;IF(ISBLANK(K29),"",IF(ISERROR(SEARCH(",",K29,1)),CONCATENATE(","&amp;K29&amp;","&amp;K29),CONCATENATE(","&amp;K29))))))&amp;")","")&amp;" "&amp;F29)</f>
        <v/>
      </c>
    </row>
    <row r="30">
      <c r="A30" s="1" t="n">
        <v>129</v>
      </c>
      <c r="B30" s="1">
        <f>A30</f>
        <v/>
      </c>
      <c r="C30" s="1" t="inlineStr">
        <is>
          <t>vK1m02</t>
        </is>
      </c>
      <c r="D30" s="1" t="inlineStr">
        <is>
          <t>數值</t>
        </is>
      </c>
      <c r="E30" s="1" t="n">
        <v>2</v>
      </c>
      <c r="G30" s="1" t="inlineStr">
        <is>
          <t>range</t>
        </is>
      </c>
      <c r="H30" s="1" t="inlineStr">
        <is>
          <t>0,1</t>
        </is>
      </c>
      <c r="L30" s="1">
        <f>CONCAT(IF(D30="數值",CONCATENATE(G30&amp;"("&amp;C30&amp;","&amp;IF(ISERROR(SEARCH(",",H30,1)),(H30&amp;","&amp;H30),H30)&amp;IF(ISBLANK(I30),"",IF(ISERROR(SEARCH(",",I30,1)),CONCATENATE(","&amp;I30&amp;","&amp;I30),CONCATENATE(","&amp;I30))&amp;IF(ISBLANK(J30),"",IF(ISERROR(SEARCH(",",J30,1)),CONCATENATE(","&amp;J30&amp;","&amp;J30),CONCATENATE(","&amp;J30))&amp;IF(ISBLANK(K30),"",IF(ISERROR(SEARCH(",",K30,1)),CONCATENATE(","&amp;K30&amp;","&amp;K30),CONCATENATE(","&amp;K30))))))&amp;")","")&amp;" "&amp;F30)</f>
        <v/>
      </c>
    </row>
    <row r="31">
      <c r="A31" s="1" t="n">
        <v>130</v>
      </c>
      <c r="B31" s="1">
        <f>A31</f>
        <v/>
      </c>
      <c r="C31" s="1" t="inlineStr">
        <is>
          <t>vK1m03</t>
        </is>
      </c>
      <c r="D31" s="1" t="inlineStr">
        <is>
          <t>數值</t>
        </is>
      </c>
      <c r="E31" s="1" t="n">
        <v>2</v>
      </c>
      <c r="G31" s="1" t="inlineStr">
        <is>
          <t>range</t>
        </is>
      </c>
      <c r="H31" s="1" t="inlineStr">
        <is>
          <t>0,1</t>
        </is>
      </c>
      <c r="L31" s="1">
        <f>CONCAT(IF(D31="數值",CONCATENATE(G31&amp;"("&amp;C31&amp;","&amp;IF(ISERROR(SEARCH(",",H31,1)),(H31&amp;","&amp;H31),H31)&amp;IF(ISBLANK(I31),"",IF(ISERROR(SEARCH(",",I31,1)),CONCATENATE(","&amp;I31&amp;","&amp;I31),CONCATENATE(","&amp;I31))&amp;IF(ISBLANK(J31),"",IF(ISERROR(SEARCH(",",J31,1)),CONCATENATE(","&amp;J31&amp;","&amp;J31),CONCATENATE(","&amp;J31))&amp;IF(ISBLANK(K31),"",IF(ISERROR(SEARCH(",",K31,1)),CONCATENATE(","&amp;K31&amp;","&amp;K31),CONCATENATE(","&amp;K31))))))&amp;")","")&amp;" "&amp;F31)</f>
        <v/>
      </c>
    </row>
    <row r="32">
      <c r="A32" s="1" t="n">
        <v>131</v>
      </c>
      <c r="B32" s="1">
        <f>A32</f>
        <v/>
      </c>
      <c r="C32" s="1" t="inlineStr">
        <is>
          <t>vK1m04</t>
        </is>
      </c>
      <c r="D32" s="1" t="inlineStr">
        <is>
          <t>數值</t>
        </is>
      </c>
      <c r="E32" s="1" t="n">
        <v>2</v>
      </c>
      <c r="G32" s="1" t="inlineStr">
        <is>
          <t>range</t>
        </is>
      </c>
      <c r="H32" s="1" t="inlineStr">
        <is>
          <t>0,1</t>
        </is>
      </c>
      <c r="L32" s="1">
        <f>CONCAT(IF(D32="數值",CONCATENATE(G32&amp;"("&amp;C32&amp;","&amp;IF(ISERROR(SEARCH(",",H32,1)),(H32&amp;","&amp;H32),H32)&amp;IF(ISBLANK(I32),"",IF(ISERROR(SEARCH(",",I32,1)),CONCATENATE(","&amp;I32&amp;","&amp;I32),CONCATENATE(","&amp;I32))&amp;IF(ISBLANK(J32),"",IF(ISERROR(SEARCH(",",J32,1)),CONCATENATE(","&amp;J32&amp;","&amp;J32),CONCATENATE(","&amp;J32))&amp;IF(ISBLANK(K32),"",IF(ISERROR(SEARCH(",",K32,1)),CONCATENATE(","&amp;K32&amp;","&amp;K32),CONCATENATE(","&amp;K32))))))&amp;")","")&amp;" "&amp;F32)</f>
        <v/>
      </c>
    </row>
    <row r="33">
      <c r="A33" s="1" t="n">
        <v>132</v>
      </c>
      <c r="B33" s="1">
        <f>A33</f>
        <v/>
      </c>
      <c r="C33" s="1" t="inlineStr">
        <is>
          <t>vK1m05</t>
        </is>
      </c>
      <c r="D33" s="1" t="inlineStr">
        <is>
          <t>數值</t>
        </is>
      </c>
      <c r="E33" s="1" t="n">
        <v>2</v>
      </c>
      <c r="G33" s="1" t="inlineStr">
        <is>
          <t>range</t>
        </is>
      </c>
      <c r="H33" s="1" t="inlineStr">
        <is>
          <t>0,1</t>
        </is>
      </c>
      <c r="L33" s="1">
        <f>CONCAT(IF(D33="數值",CONCATENATE(G33&amp;"("&amp;C33&amp;","&amp;IF(ISERROR(SEARCH(",",H33,1)),(H33&amp;","&amp;H33),H33)&amp;IF(ISBLANK(I33),"",IF(ISERROR(SEARCH(",",I33,1)),CONCATENATE(","&amp;I33&amp;","&amp;I33),CONCATENATE(","&amp;I33))&amp;IF(ISBLANK(J33),"",IF(ISERROR(SEARCH(",",J33,1)),CONCATENATE(","&amp;J33&amp;","&amp;J33),CONCATENATE(","&amp;J33))&amp;IF(ISBLANK(K33),"",IF(ISERROR(SEARCH(",",K33,1)),CONCATENATE(","&amp;K33&amp;","&amp;K33),CONCATENATE(","&amp;K33))))))&amp;")","")&amp;" "&amp;F33)</f>
        <v/>
      </c>
    </row>
    <row r="34">
      <c r="A34" s="1" t="n">
        <v>133</v>
      </c>
      <c r="B34" s="1">
        <f>A34</f>
        <v/>
      </c>
      <c r="C34" s="1" t="inlineStr">
        <is>
          <t>vK1m06</t>
        </is>
      </c>
      <c r="D34" s="1" t="inlineStr">
        <is>
          <t>數值</t>
        </is>
      </c>
      <c r="E34" s="1" t="n">
        <v>2</v>
      </c>
      <c r="G34" s="1" t="inlineStr">
        <is>
          <t>range</t>
        </is>
      </c>
      <c r="H34" s="1" t="inlineStr">
        <is>
          <t>0,1</t>
        </is>
      </c>
      <c r="L34" s="1">
        <f>CONCAT(IF(D34="數值",CONCATENATE(G34&amp;"("&amp;C34&amp;","&amp;IF(ISERROR(SEARCH(",",H34,1)),(H34&amp;","&amp;H34),H34)&amp;IF(ISBLANK(I34),"",IF(ISERROR(SEARCH(",",I34,1)),CONCATENATE(","&amp;I34&amp;","&amp;I34),CONCATENATE(","&amp;I34))&amp;IF(ISBLANK(J34),"",IF(ISERROR(SEARCH(",",J34,1)),CONCATENATE(","&amp;J34&amp;","&amp;J34),CONCATENATE(","&amp;J34))&amp;IF(ISBLANK(K34),"",IF(ISERROR(SEARCH(",",K34,1)),CONCATENATE(","&amp;K34&amp;","&amp;K34),CONCATENATE(","&amp;K34))))))&amp;")","")&amp;" "&amp;F34)</f>
        <v/>
      </c>
    </row>
    <row r="35">
      <c r="A35" s="1" t="n">
        <v>134</v>
      </c>
      <c r="B35" s="1">
        <f>A35</f>
        <v/>
      </c>
      <c r="C35" s="1" t="inlineStr">
        <is>
          <t>vK1m07</t>
        </is>
      </c>
      <c r="D35" s="1" t="inlineStr">
        <is>
          <t>數值</t>
        </is>
      </c>
      <c r="E35" s="1" t="n">
        <v>2</v>
      </c>
      <c r="G35" s="1" t="inlineStr">
        <is>
          <t>range</t>
        </is>
      </c>
      <c r="H35" s="1" t="inlineStr">
        <is>
          <t>0,1</t>
        </is>
      </c>
      <c r="L35" s="1">
        <f>CONCAT(IF(D35="數值",CONCATENATE(G35&amp;"("&amp;C35&amp;","&amp;IF(ISERROR(SEARCH(",",H35,1)),(H35&amp;","&amp;H35),H35)&amp;IF(ISBLANK(I35),"",IF(ISERROR(SEARCH(",",I35,1)),CONCATENATE(","&amp;I35&amp;","&amp;I35),CONCATENATE(","&amp;I35))&amp;IF(ISBLANK(J35),"",IF(ISERROR(SEARCH(",",J35,1)),CONCATENATE(","&amp;J35&amp;","&amp;J35),CONCATENATE(","&amp;J35))&amp;IF(ISBLANK(K35),"",IF(ISERROR(SEARCH(",",K35,1)),CONCATENATE(","&amp;K35&amp;","&amp;K35),CONCATENATE(","&amp;K35))))))&amp;")","")&amp;" "&amp;F35)</f>
        <v/>
      </c>
    </row>
    <row r="36">
      <c r="A36" s="1" t="n">
        <v>135</v>
      </c>
      <c r="B36" s="1">
        <f>A36</f>
        <v/>
      </c>
      <c r="C36" s="1" t="inlineStr">
        <is>
          <t>vK1m08</t>
        </is>
      </c>
      <c r="D36" s="1" t="inlineStr">
        <is>
          <t>數值</t>
        </is>
      </c>
      <c r="E36" s="1" t="n">
        <v>2</v>
      </c>
      <c r="G36" s="1" t="inlineStr">
        <is>
          <t>range</t>
        </is>
      </c>
      <c r="H36" s="1" t="inlineStr">
        <is>
          <t>0,1</t>
        </is>
      </c>
      <c r="L36" s="1">
        <f>CONCAT(IF(D36="數值",CONCATENATE(G36&amp;"("&amp;C36&amp;","&amp;IF(ISERROR(SEARCH(",",H36,1)),(H36&amp;","&amp;H36),H36)&amp;IF(ISBLANK(I36),"",IF(ISERROR(SEARCH(",",I36,1)),CONCATENATE(","&amp;I36&amp;","&amp;I36),CONCATENATE(","&amp;I36))&amp;IF(ISBLANK(J36),"",IF(ISERROR(SEARCH(",",J36,1)),CONCATENATE(","&amp;J36&amp;","&amp;J36),CONCATENATE(","&amp;J36))&amp;IF(ISBLANK(K36),"",IF(ISERROR(SEARCH(",",K36,1)),CONCATENATE(","&amp;K36&amp;","&amp;K36),CONCATENATE(","&amp;K36))))))&amp;")","")&amp;" "&amp;F36)</f>
        <v/>
      </c>
    </row>
    <row r="37">
      <c r="A37" s="1" t="n">
        <v>136</v>
      </c>
      <c r="B37" s="1">
        <f>A37</f>
        <v/>
      </c>
      <c r="C37" s="1" t="inlineStr">
        <is>
          <t>vK1m09</t>
        </is>
      </c>
      <c r="D37" s="1" t="inlineStr">
        <is>
          <t>數值</t>
        </is>
      </c>
      <c r="E37" s="1" t="n">
        <v>2</v>
      </c>
      <c r="G37" s="1" t="inlineStr">
        <is>
          <t>range</t>
        </is>
      </c>
      <c r="H37" s="1" t="inlineStr">
        <is>
          <t>0,1</t>
        </is>
      </c>
      <c r="L37" s="1">
        <f>CONCAT(IF(D37="數值",CONCATENATE(G37&amp;"("&amp;C37&amp;","&amp;IF(ISERROR(SEARCH(",",H37,1)),(H37&amp;","&amp;H37),H37)&amp;IF(ISBLANK(I37),"",IF(ISERROR(SEARCH(",",I37,1)),CONCATENATE(","&amp;I37&amp;","&amp;I37),CONCATENATE(","&amp;I37))&amp;IF(ISBLANK(J37),"",IF(ISERROR(SEARCH(",",J37,1)),CONCATENATE(","&amp;J37&amp;","&amp;J37),CONCATENATE(","&amp;J37))&amp;IF(ISBLANK(K37),"",IF(ISERROR(SEARCH(",",K37,1)),CONCATENATE(","&amp;K37&amp;","&amp;K37),CONCATENATE(","&amp;K37))))))&amp;")","")&amp;" "&amp;F37)</f>
        <v/>
      </c>
    </row>
    <row r="38">
      <c r="A38" s="1" t="n">
        <v>137</v>
      </c>
      <c r="B38" s="1">
        <f>A38</f>
        <v/>
      </c>
      <c r="C38" s="1" t="inlineStr">
        <is>
          <t>vK1m10</t>
        </is>
      </c>
      <c r="D38" s="1" t="inlineStr">
        <is>
          <t>數值</t>
        </is>
      </c>
      <c r="E38" s="1" t="n">
        <v>2</v>
      </c>
      <c r="G38" s="1" t="inlineStr">
        <is>
          <t>range</t>
        </is>
      </c>
      <c r="H38" s="1" t="inlineStr">
        <is>
          <t>0,1</t>
        </is>
      </c>
      <c r="I38" s="1" t="inlineStr">
        <is>
          <t>96</t>
        </is>
      </c>
      <c r="L38" s="1">
        <f>CONCAT(IF(D38="數值",CONCATENATE(G38&amp;"("&amp;C38&amp;","&amp;IF(ISERROR(SEARCH(",",H38,1)),(H38&amp;","&amp;H38),H38)&amp;IF(ISBLANK(I38),"",IF(ISERROR(SEARCH(",",I38,1)),CONCATENATE(","&amp;I38&amp;","&amp;I38),CONCATENATE(","&amp;I38))&amp;IF(ISBLANK(J38),"",IF(ISERROR(SEARCH(",",J38,1)),CONCATENATE(","&amp;J38&amp;","&amp;J38),CONCATENATE(","&amp;J38))&amp;IF(ISBLANK(K38),"",IF(ISERROR(SEARCH(",",K38,1)),CONCATENATE(","&amp;K38&amp;","&amp;K38),CONCATENATE(","&amp;K38))))))&amp;")","")&amp;" "&amp;F38)</f>
        <v/>
      </c>
    </row>
    <row r="39">
      <c r="A39" s="1" t="n">
        <v>138</v>
      </c>
      <c r="B39" s="1">
        <f>A39</f>
        <v/>
      </c>
      <c r="C39" s="1" t="inlineStr">
        <is>
          <t>vK1m11</t>
        </is>
      </c>
      <c r="D39" s="1" t="inlineStr">
        <is>
          <t>數值</t>
        </is>
      </c>
      <c r="E39" s="1" t="n">
        <v>2</v>
      </c>
      <c r="G39" s="1" t="inlineStr">
        <is>
          <t>range</t>
        </is>
      </c>
      <c r="H39" s="1" t="inlineStr">
        <is>
          <t>0,1</t>
        </is>
      </c>
      <c r="I39" s="1" t="inlineStr">
        <is>
          <t>96</t>
        </is>
      </c>
      <c r="L39" s="1">
        <f>CONCAT(IF(D39="數值",CONCATENATE(G39&amp;"("&amp;C39&amp;","&amp;IF(ISERROR(SEARCH(",",H39,1)),(H39&amp;","&amp;H39),H39)&amp;IF(ISBLANK(I39),"",IF(ISERROR(SEARCH(",",I39,1)),CONCATENATE(","&amp;I39&amp;","&amp;I39),CONCATENATE(","&amp;I39))&amp;IF(ISBLANK(J39),"",IF(ISERROR(SEARCH(",",J39,1)),CONCATENATE(","&amp;J39&amp;","&amp;J39),CONCATENATE(","&amp;J39))&amp;IF(ISBLANK(K39),"",IF(ISERROR(SEARCH(",",K39,1)),CONCATENATE(","&amp;K39&amp;","&amp;K39),CONCATENATE(","&amp;K39))))))&amp;")","")&amp;" "&amp;F39)</f>
        <v/>
      </c>
    </row>
    <row r="40">
      <c r="A40" s="1" t="n">
        <v>139</v>
      </c>
      <c r="B40" s="1">
        <f>A40</f>
        <v/>
      </c>
      <c r="C40" s="1" t="inlineStr">
        <is>
          <t>vK1m12</t>
        </is>
      </c>
      <c r="D40" s="1" t="inlineStr">
        <is>
          <t>數值</t>
        </is>
      </c>
      <c r="E40" s="1" t="n">
        <v>2</v>
      </c>
      <c r="G40" s="1" t="inlineStr">
        <is>
          <t>range</t>
        </is>
      </c>
      <c r="H40" s="1" t="inlineStr">
        <is>
          <t>0,1</t>
        </is>
      </c>
      <c r="I40" s="1" t="inlineStr">
        <is>
          <t>96</t>
        </is>
      </c>
      <c r="L40" s="1">
        <f>CONCAT(IF(D40="數值",CONCATENATE(G40&amp;"("&amp;C40&amp;","&amp;IF(ISERROR(SEARCH(",",H40,1)),(H40&amp;","&amp;H40),H40)&amp;IF(ISBLANK(I40),"",IF(ISERROR(SEARCH(",",I40,1)),CONCATENATE(","&amp;I40&amp;","&amp;I40),CONCATENATE(","&amp;I40))&amp;IF(ISBLANK(J40),"",IF(ISERROR(SEARCH(",",J40,1)),CONCATENATE(","&amp;J40&amp;","&amp;J40),CONCATENATE(","&amp;J40))&amp;IF(ISBLANK(K40),"",IF(ISERROR(SEARCH(",",K40,1)),CONCATENATE(","&amp;K40&amp;","&amp;K40),CONCATENATE(","&amp;K40))))))&amp;")","")&amp;" "&amp;F40)</f>
        <v/>
      </c>
    </row>
    <row r="41">
      <c r="A41" s="1" t="n">
        <v>140</v>
      </c>
      <c r="B41" s="1">
        <f>A41</f>
        <v/>
      </c>
      <c r="C41" s="1" t="inlineStr">
        <is>
          <t>vK1m13</t>
        </is>
      </c>
      <c r="D41" s="1" t="inlineStr">
        <is>
          <t>數值</t>
        </is>
      </c>
      <c r="E41" s="1" t="n">
        <v>2</v>
      </c>
      <c r="G41" s="1" t="inlineStr">
        <is>
          <t>range</t>
        </is>
      </c>
      <c r="H41" s="1" t="inlineStr">
        <is>
          <t>0,1</t>
        </is>
      </c>
      <c r="I41" s="1" t="inlineStr">
        <is>
          <t>96</t>
        </is>
      </c>
      <c r="L41" s="1">
        <f>CONCAT(IF(D41="數值",CONCATENATE(G41&amp;"("&amp;C41&amp;","&amp;IF(ISERROR(SEARCH(",",H41,1)),(H41&amp;","&amp;H41),H41)&amp;IF(ISBLANK(I41),"",IF(ISERROR(SEARCH(",",I41,1)),CONCATENATE(","&amp;I41&amp;","&amp;I41),CONCATENATE(","&amp;I41))&amp;IF(ISBLANK(J41),"",IF(ISERROR(SEARCH(",",J41,1)),CONCATENATE(","&amp;J41&amp;","&amp;J41),CONCATENATE(","&amp;J41))&amp;IF(ISBLANK(K41),"",IF(ISERROR(SEARCH(",",K41,1)),CONCATENATE(","&amp;K41&amp;","&amp;K41),CONCATENATE(","&amp;K41))))))&amp;")","")&amp;" "&amp;F41)</f>
        <v/>
      </c>
    </row>
    <row r="42">
      <c r="A42" s="1" t="n">
        <v>141</v>
      </c>
      <c r="B42" s="1">
        <f>A42</f>
        <v/>
      </c>
      <c r="C42" s="1" t="inlineStr">
        <is>
          <t>vK1m88</t>
        </is>
      </c>
      <c r="D42" s="1" t="inlineStr">
        <is>
          <t>數值</t>
        </is>
      </c>
      <c r="E42" s="1" t="n">
        <v>2</v>
      </c>
      <c r="G42" s="1" t="inlineStr">
        <is>
          <t>range</t>
        </is>
      </c>
      <c r="H42" s="1" t="inlineStr">
        <is>
          <t>0,1</t>
        </is>
      </c>
      <c r="I42" s="1" t="inlineStr">
        <is>
          <t>96</t>
        </is>
      </c>
      <c r="L42" s="1">
        <f>CONCAT(IF(D42="數值",CONCATENATE(G42&amp;"("&amp;C42&amp;","&amp;IF(ISERROR(SEARCH(",",H42,1)),(H42&amp;","&amp;H42),H42)&amp;IF(ISBLANK(I42),"",IF(ISERROR(SEARCH(",",I42,1)),CONCATENATE(","&amp;I42&amp;","&amp;I42),CONCATENATE(","&amp;I42))&amp;IF(ISBLANK(J42),"",IF(ISERROR(SEARCH(",",J42,1)),CONCATENATE(","&amp;J42&amp;","&amp;J42),CONCATENATE(","&amp;J42))&amp;IF(ISBLANK(K42),"",IF(ISERROR(SEARCH(",",K42,1)),CONCATENATE(","&amp;K42&amp;","&amp;K42),CONCATENATE(","&amp;K42))))))&amp;")","")&amp;" "&amp;F42)</f>
        <v/>
      </c>
    </row>
    <row r="43">
      <c r="A43" s="1" t="n">
        <v>142</v>
      </c>
      <c r="B43" s="1">
        <f>A43</f>
        <v/>
      </c>
      <c r="C43" s="1" t="inlineStr">
        <is>
          <t>vK1m90</t>
        </is>
      </c>
      <c r="D43" s="1" t="inlineStr">
        <is>
          <t>數值</t>
        </is>
      </c>
      <c r="E43" s="1" t="n">
        <v>2</v>
      </c>
      <c r="G43" s="1" t="inlineStr">
        <is>
          <t>range</t>
        </is>
      </c>
      <c r="H43" s="1" t="inlineStr">
        <is>
          <t>0,1</t>
        </is>
      </c>
      <c r="I43" s="1" t="inlineStr">
        <is>
          <t>96</t>
        </is>
      </c>
      <c r="L43" s="1">
        <f>CONCAT(IF(D43="數值",CONCATENATE(G43&amp;"("&amp;C43&amp;","&amp;IF(ISERROR(SEARCH(",",H43,1)),(H43&amp;","&amp;H43),H43)&amp;IF(ISBLANK(I43),"",IF(ISERROR(SEARCH(",",I43,1)),CONCATENATE(","&amp;I43&amp;","&amp;I43),CONCATENATE(","&amp;I43))&amp;IF(ISBLANK(J43),"",IF(ISERROR(SEARCH(",",J43,1)),CONCATENATE(","&amp;J43&amp;","&amp;J43),CONCATENATE(","&amp;J43))&amp;IF(ISBLANK(K43),"",IF(ISERROR(SEARCH(",",K43,1)),CONCATENATE(","&amp;K43&amp;","&amp;K43),CONCATENATE(","&amp;K43))))))&amp;")","")&amp;" "&amp;F43)</f>
        <v/>
      </c>
    </row>
    <row r="44">
      <c r="A44" s="1" t="n">
        <v>143</v>
      </c>
      <c r="B44" s="1">
        <f>A44</f>
        <v/>
      </c>
      <c r="C44" s="1" t="inlineStr">
        <is>
          <t>vK2m01</t>
        </is>
      </c>
      <c r="D44" s="1" t="inlineStr">
        <is>
          <t>數值</t>
        </is>
      </c>
      <c r="E44" s="1" t="n">
        <v>2</v>
      </c>
      <c r="G44" s="1" t="inlineStr">
        <is>
          <t>range</t>
        </is>
      </c>
      <c r="H44" s="1" t="inlineStr">
        <is>
          <t>0,1</t>
        </is>
      </c>
      <c r="L44" s="1">
        <f>CONCAT(IF(D44="數值",CONCATENATE(G44&amp;"("&amp;C44&amp;","&amp;IF(ISERROR(SEARCH(",",H44,1)),(H44&amp;","&amp;H44),H44)&amp;IF(ISBLANK(I44),"",IF(ISERROR(SEARCH(",",I44,1)),CONCATENATE(","&amp;I44&amp;","&amp;I44),CONCATENATE(","&amp;I44))&amp;IF(ISBLANK(J44),"",IF(ISERROR(SEARCH(",",J44,1)),CONCATENATE(","&amp;J44&amp;","&amp;J44),CONCATENATE(","&amp;J44))&amp;IF(ISBLANK(K44),"",IF(ISERROR(SEARCH(",",K44,1)),CONCATENATE(","&amp;K44&amp;","&amp;K44),CONCATENATE(","&amp;K44))))))&amp;")","")&amp;" "&amp;F44)</f>
        <v/>
      </c>
    </row>
    <row r="45">
      <c r="A45" s="1" t="n">
        <v>144</v>
      </c>
      <c r="B45" s="1">
        <f>A45</f>
        <v/>
      </c>
      <c r="C45" s="1" t="inlineStr">
        <is>
          <t>vK2m02</t>
        </is>
      </c>
      <c r="D45" s="1" t="inlineStr">
        <is>
          <t>數值</t>
        </is>
      </c>
      <c r="E45" s="1" t="n">
        <v>2</v>
      </c>
      <c r="G45" s="1" t="inlineStr">
        <is>
          <t>range</t>
        </is>
      </c>
      <c r="H45" s="1" t="inlineStr">
        <is>
          <t>0,1</t>
        </is>
      </c>
      <c r="L45" s="1">
        <f>CONCAT(IF(D45="數值",CONCATENATE(G45&amp;"("&amp;C45&amp;","&amp;IF(ISERROR(SEARCH(",",H45,1)),(H45&amp;","&amp;H45),H45)&amp;IF(ISBLANK(I45),"",IF(ISERROR(SEARCH(",",I45,1)),CONCATENATE(","&amp;I45&amp;","&amp;I45),CONCATENATE(","&amp;I45))&amp;IF(ISBLANK(J45),"",IF(ISERROR(SEARCH(",",J45,1)),CONCATENATE(","&amp;J45&amp;","&amp;J45),CONCATENATE(","&amp;J45))&amp;IF(ISBLANK(K45),"",IF(ISERROR(SEARCH(",",K45,1)),CONCATENATE(","&amp;K45&amp;","&amp;K45),CONCATENATE(","&amp;K45))))))&amp;")","")&amp;" "&amp;F45)</f>
        <v/>
      </c>
    </row>
    <row r="46">
      <c r="A46" s="1" t="n">
        <v>145</v>
      </c>
      <c r="B46" s="1">
        <f>A46</f>
        <v/>
      </c>
      <c r="C46" s="1" t="inlineStr">
        <is>
          <t>vK2m03</t>
        </is>
      </c>
      <c r="D46" s="1" t="inlineStr">
        <is>
          <t>數值</t>
        </is>
      </c>
      <c r="E46" s="1" t="n">
        <v>2</v>
      </c>
      <c r="G46" s="1" t="inlineStr">
        <is>
          <t>range</t>
        </is>
      </c>
      <c r="H46" s="1" t="inlineStr">
        <is>
          <t>0,1</t>
        </is>
      </c>
      <c r="L46" s="1">
        <f>CONCAT(IF(D46="數值",CONCATENATE(G46&amp;"("&amp;C46&amp;","&amp;IF(ISERROR(SEARCH(",",H46,1)),(H46&amp;","&amp;H46),H46)&amp;IF(ISBLANK(I46),"",IF(ISERROR(SEARCH(",",I46,1)),CONCATENATE(","&amp;I46&amp;","&amp;I46),CONCATENATE(","&amp;I46))&amp;IF(ISBLANK(J46),"",IF(ISERROR(SEARCH(",",J46,1)),CONCATENATE(","&amp;J46&amp;","&amp;J46),CONCATENATE(","&amp;J46))&amp;IF(ISBLANK(K46),"",IF(ISERROR(SEARCH(",",K46,1)),CONCATENATE(","&amp;K46&amp;","&amp;K46),CONCATENATE(","&amp;K46))))))&amp;")","")&amp;" "&amp;F46)</f>
        <v/>
      </c>
    </row>
    <row r="47">
      <c r="A47" s="1" t="n">
        <v>146</v>
      </c>
      <c r="B47" s="1">
        <f>A47</f>
        <v/>
      </c>
      <c r="C47" s="1" t="inlineStr">
        <is>
          <t>vK2m04</t>
        </is>
      </c>
      <c r="D47" s="1" t="inlineStr">
        <is>
          <t>數值</t>
        </is>
      </c>
      <c r="E47" s="1" t="n">
        <v>2</v>
      </c>
      <c r="G47" s="1" t="inlineStr">
        <is>
          <t>range</t>
        </is>
      </c>
      <c r="H47" s="1" t="inlineStr">
        <is>
          <t>0,1</t>
        </is>
      </c>
      <c r="L47" s="1">
        <f>CONCAT(IF(D47="數值",CONCATENATE(G47&amp;"("&amp;C47&amp;","&amp;IF(ISERROR(SEARCH(",",H47,1)),(H47&amp;","&amp;H47),H47)&amp;IF(ISBLANK(I47),"",IF(ISERROR(SEARCH(",",I47,1)),CONCATENATE(","&amp;I47&amp;","&amp;I47),CONCATENATE(","&amp;I47))&amp;IF(ISBLANK(J47),"",IF(ISERROR(SEARCH(",",J47,1)),CONCATENATE(","&amp;J47&amp;","&amp;J47),CONCATENATE(","&amp;J47))&amp;IF(ISBLANK(K47),"",IF(ISERROR(SEARCH(",",K47,1)),CONCATENATE(","&amp;K47&amp;","&amp;K47),CONCATENATE(","&amp;K47))))))&amp;")","")&amp;" "&amp;F47)</f>
        <v/>
      </c>
    </row>
    <row r="48">
      <c r="A48" s="1" t="n">
        <v>147</v>
      </c>
      <c r="B48" s="1">
        <f>A48</f>
        <v/>
      </c>
      <c r="C48" s="1" t="inlineStr">
        <is>
          <t>vK2m05</t>
        </is>
      </c>
      <c r="D48" s="1" t="inlineStr">
        <is>
          <t>數值</t>
        </is>
      </c>
      <c r="E48" s="1" t="n">
        <v>2</v>
      </c>
      <c r="G48" s="1" t="inlineStr">
        <is>
          <t>range</t>
        </is>
      </c>
      <c r="H48" s="1" t="inlineStr">
        <is>
          <t>0,1</t>
        </is>
      </c>
      <c r="L48" s="1">
        <f>CONCAT(IF(D48="數值",CONCATENATE(G48&amp;"("&amp;C48&amp;","&amp;IF(ISERROR(SEARCH(",",H48,1)),(H48&amp;","&amp;H48),H48)&amp;IF(ISBLANK(I48),"",IF(ISERROR(SEARCH(",",I48,1)),CONCATENATE(","&amp;I48&amp;","&amp;I48),CONCATENATE(","&amp;I48))&amp;IF(ISBLANK(J48),"",IF(ISERROR(SEARCH(",",J48,1)),CONCATENATE(","&amp;J48&amp;","&amp;J48),CONCATENATE(","&amp;J48))&amp;IF(ISBLANK(K48),"",IF(ISERROR(SEARCH(",",K48,1)),CONCATENATE(","&amp;K48&amp;","&amp;K48),CONCATENATE(","&amp;K48))))))&amp;")","")&amp;" "&amp;F48)</f>
        <v/>
      </c>
    </row>
    <row r="49">
      <c r="A49" s="1" t="n">
        <v>148</v>
      </c>
      <c r="B49" s="1">
        <f>A49</f>
        <v/>
      </c>
      <c r="C49" s="1" t="inlineStr">
        <is>
          <t>vK2m06</t>
        </is>
      </c>
      <c r="D49" s="1" t="inlineStr">
        <is>
          <t>數值</t>
        </is>
      </c>
      <c r="E49" s="1" t="n">
        <v>2</v>
      </c>
      <c r="G49" s="1" t="inlineStr">
        <is>
          <t>range</t>
        </is>
      </c>
      <c r="H49" s="1" t="inlineStr">
        <is>
          <t>0,1</t>
        </is>
      </c>
      <c r="L49" s="1">
        <f>CONCAT(IF(D49="數值",CONCATENATE(G49&amp;"("&amp;C49&amp;","&amp;IF(ISERROR(SEARCH(",",H49,1)),(H49&amp;","&amp;H49),H49)&amp;IF(ISBLANK(I49),"",IF(ISERROR(SEARCH(",",I49,1)),CONCATENATE(","&amp;I49&amp;","&amp;I49),CONCATENATE(","&amp;I49))&amp;IF(ISBLANK(J49),"",IF(ISERROR(SEARCH(",",J49,1)),CONCATENATE(","&amp;J49&amp;","&amp;J49),CONCATENATE(","&amp;J49))&amp;IF(ISBLANK(K49),"",IF(ISERROR(SEARCH(",",K49,1)),CONCATENATE(","&amp;K49&amp;","&amp;K49),CONCATENATE(","&amp;K49))))))&amp;")","")&amp;" "&amp;F49)</f>
        <v/>
      </c>
    </row>
    <row r="50">
      <c r="A50" s="1" t="n">
        <v>149</v>
      </c>
      <c r="B50" s="1">
        <f>A50</f>
        <v/>
      </c>
      <c r="C50" s="1" t="inlineStr">
        <is>
          <t>vK2m07</t>
        </is>
      </c>
      <c r="D50" s="1" t="inlineStr">
        <is>
          <t>數值</t>
        </is>
      </c>
      <c r="E50" s="1" t="n">
        <v>2</v>
      </c>
      <c r="G50" s="1" t="inlineStr">
        <is>
          <t>range</t>
        </is>
      </c>
      <c r="H50" s="1" t="inlineStr">
        <is>
          <t>0,1</t>
        </is>
      </c>
      <c r="L50" s="1">
        <f>CONCAT(IF(D50="數值",CONCATENATE(G50&amp;"("&amp;C50&amp;","&amp;IF(ISERROR(SEARCH(",",H50,1)),(H50&amp;","&amp;H50),H50)&amp;IF(ISBLANK(I50),"",IF(ISERROR(SEARCH(",",I50,1)),CONCATENATE(","&amp;I50&amp;","&amp;I50),CONCATENATE(","&amp;I50))&amp;IF(ISBLANK(J50),"",IF(ISERROR(SEARCH(",",J50,1)),CONCATENATE(","&amp;J50&amp;","&amp;J50),CONCATENATE(","&amp;J50))&amp;IF(ISBLANK(K50),"",IF(ISERROR(SEARCH(",",K50,1)),CONCATENATE(","&amp;K50&amp;","&amp;K50),CONCATENATE(","&amp;K50))))))&amp;")","")&amp;" "&amp;F50)</f>
        <v/>
      </c>
    </row>
    <row r="51">
      <c r="A51" s="1" t="n">
        <v>150</v>
      </c>
      <c r="B51" s="1">
        <f>A51</f>
        <v/>
      </c>
      <c r="C51" s="1" t="inlineStr">
        <is>
          <t>vK2m08</t>
        </is>
      </c>
      <c r="D51" s="1" t="inlineStr">
        <is>
          <t>數值</t>
        </is>
      </c>
      <c r="E51" s="1" t="n">
        <v>2</v>
      </c>
      <c r="G51" s="1" t="inlineStr">
        <is>
          <t>range</t>
        </is>
      </c>
      <c r="H51" s="1" t="inlineStr">
        <is>
          <t>0,1</t>
        </is>
      </c>
      <c r="L51" s="1">
        <f>CONCAT(IF(D51="數值",CONCATENATE(G51&amp;"("&amp;C51&amp;","&amp;IF(ISERROR(SEARCH(",",H51,1)),(H51&amp;","&amp;H51),H51)&amp;IF(ISBLANK(I51),"",IF(ISERROR(SEARCH(",",I51,1)),CONCATENATE(","&amp;I51&amp;","&amp;I51),CONCATENATE(","&amp;I51))&amp;IF(ISBLANK(J51),"",IF(ISERROR(SEARCH(",",J51,1)),CONCATENATE(","&amp;J51&amp;","&amp;J51),CONCATENATE(","&amp;J51))&amp;IF(ISBLANK(K51),"",IF(ISERROR(SEARCH(",",K51,1)),CONCATENATE(","&amp;K51&amp;","&amp;K51),CONCATENATE(","&amp;K51))))))&amp;")","")&amp;" "&amp;F51)</f>
        <v/>
      </c>
    </row>
    <row r="52">
      <c r="A52" s="1" t="n">
        <v>151</v>
      </c>
      <c r="B52" s="1">
        <f>A52</f>
        <v/>
      </c>
      <c r="C52" s="1" t="inlineStr">
        <is>
          <t>vK2m09</t>
        </is>
      </c>
      <c r="D52" s="1" t="inlineStr">
        <is>
          <t>數值</t>
        </is>
      </c>
      <c r="E52" s="1" t="n">
        <v>2</v>
      </c>
      <c r="G52" s="1" t="inlineStr">
        <is>
          <t>range</t>
        </is>
      </c>
      <c r="H52" s="1" t="inlineStr">
        <is>
          <t>0,1</t>
        </is>
      </c>
      <c r="L52" s="1">
        <f>CONCAT(IF(D52="數值",CONCATENATE(G52&amp;"("&amp;C52&amp;","&amp;IF(ISERROR(SEARCH(",",H52,1)),(H52&amp;","&amp;H52),H52)&amp;IF(ISBLANK(I52),"",IF(ISERROR(SEARCH(",",I52,1)),CONCATENATE(","&amp;I52&amp;","&amp;I52),CONCATENATE(","&amp;I52))&amp;IF(ISBLANK(J52),"",IF(ISERROR(SEARCH(",",J52,1)),CONCATENATE(","&amp;J52&amp;","&amp;J52),CONCATENATE(","&amp;J52))&amp;IF(ISBLANK(K52),"",IF(ISERROR(SEARCH(",",K52,1)),CONCATENATE(","&amp;K52&amp;","&amp;K52),CONCATENATE(","&amp;K52))))))&amp;")","")&amp;" "&amp;F52)</f>
        <v/>
      </c>
    </row>
    <row r="53">
      <c r="A53" s="1" t="n">
        <v>152</v>
      </c>
      <c r="B53" s="1">
        <f>A53</f>
        <v/>
      </c>
      <c r="C53" s="1" t="inlineStr">
        <is>
          <t>vK2m11</t>
        </is>
      </c>
      <c r="D53" s="1" t="inlineStr">
        <is>
          <t>數值</t>
        </is>
      </c>
      <c r="E53" s="1" t="n">
        <v>2</v>
      </c>
      <c r="G53" s="1" t="inlineStr">
        <is>
          <t>range</t>
        </is>
      </c>
      <c r="H53" s="1" t="inlineStr">
        <is>
          <t>0,1</t>
        </is>
      </c>
      <c r="I53" s="1" t="inlineStr">
        <is>
          <t>96</t>
        </is>
      </c>
      <c r="L53" s="1">
        <f>CONCAT(IF(D53="數值",CONCATENATE(G53&amp;"("&amp;C53&amp;","&amp;IF(ISERROR(SEARCH(",",H53,1)),(H53&amp;","&amp;H53),H53)&amp;IF(ISBLANK(I53),"",IF(ISERROR(SEARCH(",",I53,1)),CONCATENATE(","&amp;I53&amp;","&amp;I53),CONCATENATE(","&amp;I53))&amp;IF(ISBLANK(J53),"",IF(ISERROR(SEARCH(",",J53,1)),CONCATENATE(","&amp;J53&amp;","&amp;J53),CONCATENATE(","&amp;J53))&amp;IF(ISBLANK(K53),"",IF(ISERROR(SEARCH(",",K53,1)),CONCATENATE(","&amp;K53&amp;","&amp;K53),CONCATENATE(","&amp;K53))))))&amp;")","")&amp;" "&amp;F53)</f>
        <v/>
      </c>
    </row>
    <row r="54">
      <c r="A54" s="1" t="n">
        <v>153</v>
      </c>
      <c r="B54" s="1">
        <f>A54</f>
        <v/>
      </c>
      <c r="C54" s="1" t="inlineStr">
        <is>
          <t>vK2m12</t>
        </is>
      </c>
      <c r="D54" s="1" t="inlineStr">
        <is>
          <t>數值</t>
        </is>
      </c>
      <c r="E54" s="1" t="n">
        <v>2</v>
      </c>
      <c r="G54" s="1" t="inlineStr">
        <is>
          <t>range</t>
        </is>
      </c>
      <c r="H54" s="1" t="inlineStr">
        <is>
          <t>0,1</t>
        </is>
      </c>
      <c r="I54" s="1" t="inlineStr">
        <is>
          <t>96</t>
        </is>
      </c>
      <c r="L54" s="1">
        <f>CONCAT(IF(D54="數值",CONCATENATE(G54&amp;"("&amp;C54&amp;","&amp;IF(ISERROR(SEARCH(",",H54,1)),(H54&amp;","&amp;H54),H54)&amp;IF(ISBLANK(I54),"",IF(ISERROR(SEARCH(",",I54,1)),CONCATENATE(","&amp;I54&amp;","&amp;I54),CONCATENATE(","&amp;I54))&amp;IF(ISBLANK(J54),"",IF(ISERROR(SEARCH(",",J54,1)),CONCATENATE(","&amp;J54&amp;","&amp;J54),CONCATENATE(","&amp;J54))&amp;IF(ISBLANK(K54),"",IF(ISERROR(SEARCH(",",K54,1)),CONCATENATE(","&amp;K54&amp;","&amp;K54),CONCATENATE(","&amp;K54))))))&amp;")","")&amp;" "&amp;F54)</f>
        <v/>
      </c>
    </row>
    <row r="55">
      <c r="A55" s="1" t="n">
        <v>154</v>
      </c>
      <c r="B55" s="1">
        <f>A55</f>
        <v/>
      </c>
      <c r="C55" s="1" t="inlineStr">
        <is>
          <t>vK2m13</t>
        </is>
      </c>
      <c r="D55" s="1" t="inlineStr">
        <is>
          <t>數值</t>
        </is>
      </c>
      <c r="E55" s="1" t="n">
        <v>2</v>
      </c>
      <c r="G55" s="1" t="inlineStr">
        <is>
          <t>range</t>
        </is>
      </c>
      <c r="H55" s="1" t="inlineStr">
        <is>
          <t>0,1</t>
        </is>
      </c>
      <c r="I55" s="1" t="inlineStr">
        <is>
          <t>96</t>
        </is>
      </c>
      <c r="L55" s="1">
        <f>CONCAT(IF(D55="數值",CONCATENATE(G55&amp;"("&amp;C55&amp;","&amp;IF(ISERROR(SEARCH(",",H55,1)),(H55&amp;","&amp;H55),H55)&amp;IF(ISBLANK(I55),"",IF(ISERROR(SEARCH(",",I55,1)),CONCATENATE(","&amp;I55&amp;","&amp;I55),CONCATENATE(","&amp;I55))&amp;IF(ISBLANK(J55),"",IF(ISERROR(SEARCH(",",J55,1)),CONCATENATE(","&amp;J55&amp;","&amp;J55),CONCATENATE(","&amp;J55))&amp;IF(ISBLANK(K55),"",IF(ISERROR(SEARCH(",",K55,1)),CONCATENATE(","&amp;K55&amp;","&amp;K55),CONCATENATE(","&amp;K55))))))&amp;")","")&amp;" "&amp;F55)</f>
        <v/>
      </c>
    </row>
    <row r="56">
      <c r="A56" s="1" t="n">
        <v>155</v>
      </c>
      <c r="B56" s="1">
        <f>A56</f>
        <v/>
      </c>
      <c r="C56" s="1" t="inlineStr">
        <is>
          <t>vK2m88</t>
        </is>
      </c>
      <c r="D56" s="1" t="inlineStr">
        <is>
          <t>數值</t>
        </is>
      </c>
      <c r="E56" s="1" t="n">
        <v>2</v>
      </c>
      <c r="G56" s="1" t="inlineStr">
        <is>
          <t>range</t>
        </is>
      </c>
      <c r="H56" s="1" t="inlineStr">
        <is>
          <t>0,1</t>
        </is>
      </c>
      <c r="I56" s="1" t="inlineStr">
        <is>
          <t>96</t>
        </is>
      </c>
      <c r="L56" s="1">
        <f>CONCAT(IF(D56="數值",CONCATENATE(G56&amp;"("&amp;C56&amp;","&amp;IF(ISERROR(SEARCH(",",H56,1)),(H56&amp;","&amp;H56),H56)&amp;IF(ISBLANK(I56),"",IF(ISERROR(SEARCH(",",I56,1)),CONCATENATE(","&amp;I56&amp;","&amp;I56),CONCATENATE(","&amp;I56))&amp;IF(ISBLANK(J56),"",IF(ISERROR(SEARCH(",",J56,1)),CONCATENATE(","&amp;J56&amp;","&amp;J56),CONCATENATE(","&amp;J56))&amp;IF(ISBLANK(K56),"",IF(ISERROR(SEARCH(",",K56,1)),CONCATENATE(","&amp;K56&amp;","&amp;K56),CONCATENATE(","&amp;K56))))))&amp;")","")&amp;" "&amp;F56)</f>
        <v/>
      </c>
    </row>
    <row r="57">
      <c r="A57" s="1" t="n">
        <v>156</v>
      </c>
      <c r="B57" s="1">
        <f>A57</f>
        <v/>
      </c>
      <c r="C57" s="1" t="inlineStr">
        <is>
          <t>vK2m90</t>
        </is>
      </c>
      <c r="D57" s="1" t="inlineStr">
        <is>
          <t>數值</t>
        </is>
      </c>
      <c r="E57" s="1" t="n">
        <v>2</v>
      </c>
      <c r="G57" s="1" t="inlineStr">
        <is>
          <t>range</t>
        </is>
      </c>
      <c r="H57" s="1" t="inlineStr">
        <is>
          <t>0,1</t>
        </is>
      </c>
      <c r="I57" s="1" t="inlineStr">
        <is>
          <t>96</t>
        </is>
      </c>
      <c r="L57" s="1">
        <f>CONCAT(IF(D57="數值",CONCATENATE(G57&amp;"("&amp;C57&amp;","&amp;IF(ISERROR(SEARCH(",",H57,1)),(H57&amp;","&amp;H57),H57)&amp;IF(ISBLANK(I57),"",IF(ISERROR(SEARCH(",",I57,1)),CONCATENATE(","&amp;I57&amp;","&amp;I57),CONCATENATE(","&amp;I57))&amp;IF(ISBLANK(J57),"",IF(ISERROR(SEARCH(",",J57,1)),CONCATENATE(","&amp;J57&amp;","&amp;J57),CONCATENATE(","&amp;J57))&amp;IF(ISBLANK(K57),"",IF(ISERROR(SEARCH(",",K57,1)),CONCATENATE(","&amp;K57&amp;","&amp;K57),CONCATENATE(","&amp;K57))))))&amp;")","")&amp;" "&amp;F57)</f>
        <v/>
      </c>
    </row>
    <row r="58">
      <c r="A58" s="1" t="n">
        <v>157</v>
      </c>
      <c r="B58" s="1">
        <f>A58</f>
        <v/>
      </c>
      <c r="C58" s="1" t="inlineStr">
        <is>
          <t>vE17</t>
        </is>
      </c>
      <c r="D58" s="1" t="inlineStr">
        <is>
          <t>數值</t>
        </is>
      </c>
      <c r="E58" s="1" t="n">
        <v>2</v>
      </c>
      <c r="G58" s="1" t="inlineStr">
        <is>
          <t>range</t>
        </is>
      </c>
      <c r="H58" s="1" t="inlineStr">
        <is>
          <t>1,3</t>
        </is>
      </c>
      <c r="I58" s="1" t="inlineStr">
        <is>
          <t>88</t>
        </is>
      </c>
      <c r="J58" s="1" t="inlineStr">
        <is>
          <t>97,98</t>
        </is>
      </c>
      <c r="L58" s="1">
        <f>CONCAT(IF(D58="數值",CONCATENATE(G58&amp;"("&amp;C58&amp;","&amp;IF(ISERROR(SEARCH(",",H58,1)),(H58&amp;","&amp;H58),H58)&amp;IF(ISBLANK(I58),"",IF(ISERROR(SEARCH(",",I58,1)),CONCATENATE(","&amp;I58&amp;","&amp;I58),CONCATENATE(","&amp;I58))&amp;IF(ISBLANK(J58),"",IF(ISERROR(SEARCH(",",J58,1)),CONCATENATE(","&amp;J58&amp;","&amp;J58),CONCATENATE(","&amp;J58))&amp;IF(ISBLANK(K58),"",IF(ISERROR(SEARCH(",",K58,1)),CONCATENATE(","&amp;K58&amp;","&amp;K58),CONCATENATE(","&amp;K58))))))&amp;")","")&amp;" "&amp;F58)</f>
        <v/>
      </c>
    </row>
    <row r="59">
      <c r="A59" s="1" t="n">
        <v>158</v>
      </c>
      <c r="B59" s="1">
        <f>A59</f>
        <v/>
      </c>
      <c r="C59" s="1" t="inlineStr">
        <is>
          <t>vKLI1</t>
        </is>
      </c>
      <c r="D59" s="1" t="inlineStr">
        <is>
          <t>數值</t>
        </is>
      </c>
      <c r="E59" s="1" t="n">
        <v>4</v>
      </c>
      <c r="G59" s="1" t="inlineStr">
        <is>
          <t>range</t>
        </is>
      </c>
      <c r="H59" s="1" t="inlineStr">
        <is>
          <t>95</t>
        </is>
      </c>
      <c r="I59" s="1" t="inlineStr">
        <is>
          <t>97,98</t>
        </is>
      </c>
      <c r="J59" s="1" t="n"/>
      <c r="L59" s="1">
        <f>CONCAT(IF(D59="數值",CONCATENATE(G59&amp;"("&amp;C59&amp;","&amp;IF(ISERROR(SEARCH(",",H59,1)),(H59&amp;","&amp;H59),H59)&amp;IF(ISBLANK(I59),"",IF(ISERROR(SEARCH(",",I59,1)),CONCATENATE(","&amp;I59&amp;","&amp;I59),CONCATENATE(","&amp;I59))&amp;IF(ISBLANK(J59),"",IF(ISERROR(SEARCH(",",J59,1)),CONCATENATE(","&amp;J59&amp;","&amp;J59),CONCATENATE(","&amp;J59))&amp;IF(ISBLANK(K59),"",IF(ISERROR(SEARCH(",",K59,1)),CONCATENATE(","&amp;K59&amp;","&amp;K59),CONCATENATE(","&amp;K59))))))&amp;")","")&amp;" "&amp;F59)</f>
        <v/>
      </c>
    </row>
    <row r="60">
      <c r="A60" s="1" t="n">
        <v>159</v>
      </c>
      <c r="B60" s="1">
        <f>A60</f>
        <v/>
      </c>
      <c r="C60" s="1" t="inlineStr">
        <is>
          <t>vKLI2</t>
        </is>
      </c>
      <c r="D60" s="1" t="inlineStr">
        <is>
          <t>數值</t>
        </is>
      </c>
      <c r="E60" s="1" t="n">
        <v>5</v>
      </c>
      <c r="G60" s="1" t="inlineStr">
        <is>
          <t>range</t>
        </is>
      </c>
      <c r="H60" s="1" t="inlineStr">
        <is>
          <t>1,2359</t>
        </is>
      </c>
      <c r="I60" s="1" t="inlineStr">
        <is>
          <t>9797</t>
        </is>
      </c>
      <c r="J60" s="1" t="inlineStr">
        <is>
          <t>9898</t>
        </is>
      </c>
      <c r="L60" s="1">
        <f>CONCAT(IF(D60="數值",CONCATENATE(G60&amp;"("&amp;C60&amp;","&amp;IF(ISERROR(SEARCH(",",H60,1)),(H60&amp;","&amp;H60),H60)&amp;IF(ISBLANK(I60),"",IF(ISERROR(SEARCH(",",I60,1)),CONCATENATE(","&amp;I60&amp;","&amp;I60),CONCATENATE(","&amp;I60))&amp;IF(ISBLANK(J60),"",IF(ISERROR(SEARCH(",",J60,1)),CONCATENATE(","&amp;J60&amp;","&amp;J60),CONCATENATE(","&amp;J60))&amp;IF(ISBLANK(K60),"",IF(ISERROR(SEARCH(",",K60,1)),CONCATENATE(","&amp;K60&amp;","&amp;K60),CONCATENATE(","&amp;K60))))))&amp;")","")&amp;" "&amp;F60)</f>
        <v/>
      </c>
    </row>
    <row r="61">
      <c r="A61" s="1" t="n">
        <v>160</v>
      </c>
      <c r="B61" s="1">
        <f>A61</f>
        <v/>
      </c>
      <c r="C61" s="1" t="inlineStr">
        <is>
          <t>vKFB1</t>
        </is>
      </c>
      <c r="D61" s="1" t="inlineStr">
        <is>
          <t>數值</t>
        </is>
      </c>
      <c r="E61" s="1" t="n">
        <v>4</v>
      </c>
      <c r="G61" s="1" t="inlineStr">
        <is>
          <t>range</t>
        </is>
      </c>
      <c r="H61" s="1" t="inlineStr">
        <is>
          <t>95</t>
        </is>
      </c>
      <c r="I61" s="1" t="inlineStr">
        <is>
          <t>97,98</t>
        </is>
      </c>
      <c r="J61" s="1" t="n"/>
      <c r="L61" s="1">
        <f>CONCAT(IF(D61="數值",CONCATENATE(G61&amp;"("&amp;C61&amp;","&amp;IF(ISERROR(SEARCH(",",H61,1)),(H61&amp;","&amp;H61),H61)&amp;IF(ISBLANK(I61),"",IF(ISERROR(SEARCH(",",I61,1)),CONCATENATE(","&amp;I61&amp;","&amp;I61),CONCATENATE(","&amp;I61))&amp;IF(ISBLANK(J61),"",IF(ISERROR(SEARCH(",",J61,1)),CONCATENATE(","&amp;J61&amp;","&amp;J61),CONCATENATE(","&amp;J61))&amp;IF(ISBLANK(K61),"",IF(ISERROR(SEARCH(",",K61,1)),CONCATENATE(","&amp;K61&amp;","&amp;K61),CONCATENATE(","&amp;K61))))))&amp;")","")&amp;" "&amp;F61)</f>
        <v/>
      </c>
    </row>
    <row r="62">
      <c r="A62" s="1" t="n">
        <v>161</v>
      </c>
      <c r="B62" s="1">
        <f>A62</f>
        <v/>
      </c>
      <c r="C62" s="1" t="inlineStr">
        <is>
          <t>vKFB2</t>
        </is>
      </c>
      <c r="D62" s="1" t="inlineStr">
        <is>
          <t>數值</t>
        </is>
      </c>
      <c r="E62" s="1" t="n">
        <v>5</v>
      </c>
      <c r="G62" s="1" t="inlineStr">
        <is>
          <t>range</t>
        </is>
      </c>
      <c r="H62" s="1" t="inlineStr">
        <is>
          <t>1,2359</t>
        </is>
      </c>
      <c r="I62" s="1" t="inlineStr">
        <is>
          <t>9797</t>
        </is>
      </c>
      <c r="J62" s="1" t="inlineStr">
        <is>
          <t>9898</t>
        </is>
      </c>
      <c r="L62" s="1">
        <f>CONCAT(IF(D62="數值",CONCATENATE(G62&amp;"("&amp;C62&amp;","&amp;IF(ISERROR(SEARCH(",",H62,1)),(H62&amp;","&amp;H62),H62)&amp;IF(ISBLANK(I62),"",IF(ISERROR(SEARCH(",",I62,1)),CONCATENATE(","&amp;I62&amp;","&amp;I62),CONCATENATE(","&amp;I62))&amp;IF(ISBLANK(J62),"",IF(ISERROR(SEARCH(",",J62,1)),CONCATENATE(","&amp;J62&amp;","&amp;J62),CONCATENATE(","&amp;J62))&amp;IF(ISBLANK(K62),"",IF(ISERROR(SEARCH(",",K62,1)),CONCATENATE(","&amp;K62&amp;","&amp;K62),CONCATENATE(","&amp;K62))))))&amp;")","")&amp;" "&amp;F62)</f>
        <v/>
      </c>
    </row>
    <row r="63">
      <c r="A63" s="1" t="n">
        <v>162</v>
      </c>
      <c r="B63" s="1">
        <f>A63</f>
        <v/>
      </c>
      <c r="C63" s="1" t="inlineStr">
        <is>
          <t>vKFB3m01</t>
        </is>
      </c>
      <c r="D63" s="1" t="inlineStr">
        <is>
          <t>數值</t>
        </is>
      </c>
      <c r="E63" s="1" t="n">
        <v>2</v>
      </c>
      <c r="G63" s="1" t="inlineStr">
        <is>
          <t>range</t>
        </is>
      </c>
      <c r="H63" s="1" t="inlineStr">
        <is>
          <t>0,1</t>
        </is>
      </c>
      <c r="L63" s="1">
        <f>CONCAT(IF(D63="數值",CONCATENATE(G63&amp;"("&amp;C63&amp;","&amp;IF(ISERROR(SEARCH(",",H63,1)),(H63&amp;","&amp;H63),H63)&amp;IF(ISBLANK(I63),"",IF(ISERROR(SEARCH(",",I63,1)),CONCATENATE(","&amp;I63&amp;","&amp;I63),CONCATENATE(","&amp;I63))&amp;IF(ISBLANK(J63),"",IF(ISERROR(SEARCH(",",J63,1)),CONCATENATE(","&amp;J63&amp;","&amp;J63),CONCATENATE(","&amp;J63))&amp;IF(ISBLANK(K63),"",IF(ISERROR(SEARCH(",",K63,1)),CONCATENATE(","&amp;K63&amp;","&amp;K63),CONCATENATE(","&amp;K63))))))&amp;")","")&amp;" "&amp;F63)</f>
        <v/>
      </c>
    </row>
    <row r="64">
      <c r="A64" s="1" t="n">
        <v>163</v>
      </c>
      <c r="B64" s="1">
        <f>A64</f>
        <v/>
      </c>
      <c r="C64" s="1" t="inlineStr">
        <is>
          <t>vKFB3m02</t>
        </is>
      </c>
      <c r="D64" s="1" t="inlineStr">
        <is>
          <t>數值</t>
        </is>
      </c>
      <c r="E64" s="1" t="n">
        <v>2</v>
      </c>
      <c r="G64" s="1" t="inlineStr">
        <is>
          <t>range</t>
        </is>
      </c>
      <c r="H64" s="1" t="inlineStr">
        <is>
          <t>0,1</t>
        </is>
      </c>
      <c r="L64" s="1">
        <f>CONCAT(IF(D64="數值",CONCATENATE(G64&amp;"("&amp;C64&amp;","&amp;IF(ISERROR(SEARCH(",",H64,1)),(H64&amp;","&amp;H64),H64)&amp;IF(ISBLANK(I64),"",IF(ISERROR(SEARCH(",",I64,1)),CONCATENATE(","&amp;I64&amp;","&amp;I64),CONCATENATE(","&amp;I64))&amp;IF(ISBLANK(J64),"",IF(ISERROR(SEARCH(",",J64,1)),CONCATENATE(","&amp;J64&amp;","&amp;J64),CONCATENATE(","&amp;J64))&amp;IF(ISBLANK(K64),"",IF(ISERROR(SEARCH(",",K64,1)),CONCATENATE(","&amp;K64&amp;","&amp;K64),CONCATENATE(","&amp;K64))))))&amp;")","")&amp;" "&amp;F64)</f>
        <v/>
      </c>
    </row>
    <row r="65">
      <c r="A65" s="1" t="n">
        <v>164</v>
      </c>
      <c r="B65" s="1">
        <f>A65</f>
        <v/>
      </c>
      <c r="C65" s="1" t="inlineStr">
        <is>
          <t>vKFB3m03</t>
        </is>
      </c>
      <c r="D65" s="1" t="inlineStr">
        <is>
          <t>數值</t>
        </is>
      </c>
      <c r="E65" s="1" t="n">
        <v>2</v>
      </c>
      <c r="G65" s="1" t="inlineStr">
        <is>
          <t>range</t>
        </is>
      </c>
      <c r="H65" s="1" t="inlineStr">
        <is>
          <t>0,1</t>
        </is>
      </c>
      <c r="L65" s="1">
        <f>CONCAT(IF(D65="數值",CONCATENATE(G65&amp;"("&amp;C65&amp;","&amp;IF(ISERROR(SEARCH(",",H65,1)),(H65&amp;","&amp;H65),H65)&amp;IF(ISBLANK(I65),"",IF(ISERROR(SEARCH(",",I65,1)),CONCATENATE(","&amp;I65&amp;","&amp;I65),CONCATENATE(","&amp;I65))&amp;IF(ISBLANK(J65),"",IF(ISERROR(SEARCH(",",J65,1)),CONCATENATE(","&amp;J65&amp;","&amp;J65),CONCATENATE(","&amp;J65))&amp;IF(ISBLANK(K65),"",IF(ISERROR(SEARCH(",",K65,1)),CONCATENATE(","&amp;K65&amp;","&amp;K65),CONCATENATE(","&amp;K65))))))&amp;")","")&amp;" "&amp;F65)</f>
        <v/>
      </c>
    </row>
    <row r="66">
      <c r="A66" s="1" t="n">
        <v>165</v>
      </c>
      <c r="B66" s="1">
        <f>A66</f>
        <v/>
      </c>
      <c r="C66" s="1" t="inlineStr">
        <is>
          <t>vKFB3m04</t>
        </is>
      </c>
      <c r="D66" s="1" t="inlineStr">
        <is>
          <t>數值</t>
        </is>
      </c>
      <c r="E66" s="1" t="n">
        <v>2</v>
      </c>
      <c r="G66" s="1" t="inlineStr">
        <is>
          <t>range</t>
        </is>
      </c>
      <c r="H66" s="1" t="inlineStr">
        <is>
          <t>0,1</t>
        </is>
      </c>
      <c r="L66" s="1">
        <f>CONCAT(IF(D66="數值",CONCATENATE(G66&amp;"("&amp;C66&amp;","&amp;IF(ISERROR(SEARCH(",",H66,1)),(H66&amp;","&amp;H66),H66)&amp;IF(ISBLANK(I66),"",IF(ISERROR(SEARCH(",",I66,1)),CONCATENATE(","&amp;I66&amp;","&amp;I66),CONCATENATE(","&amp;I66))&amp;IF(ISBLANK(J66),"",IF(ISERROR(SEARCH(",",J66,1)),CONCATENATE(","&amp;J66&amp;","&amp;J66),CONCATENATE(","&amp;J66))&amp;IF(ISBLANK(K66),"",IF(ISERROR(SEARCH(",",K66,1)),CONCATENATE(","&amp;K66&amp;","&amp;K66),CONCATENATE(","&amp;K66))))))&amp;")","")&amp;" "&amp;F66)</f>
        <v/>
      </c>
    </row>
    <row r="67">
      <c r="A67" s="1" t="n">
        <v>166</v>
      </c>
      <c r="B67" s="1">
        <f>A67</f>
        <v/>
      </c>
      <c r="C67" s="1" t="inlineStr">
        <is>
          <t>vKFB3m05</t>
        </is>
      </c>
      <c r="D67" s="1" t="inlineStr">
        <is>
          <t>數值</t>
        </is>
      </c>
      <c r="E67" s="1" t="n">
        <v>2</v>
      </c>
      <c r="G67" s="1" t="inlineStr">
        <is>
          <t>range</t>
        </is>
      </c>
      <c r="H67" s="1" t="inlineStr">
        <is>
          <t>0,1</t>
        </is>
      </c>
      <c r="L67" s="1">
        <f>CONCAT(IF(D67="數值",CONCATENATE(G67&amp;"("&amp;C67&amp;","&amp;IF(ISERROR(SEARCH(",",H67,1)),(H67&amp;","&amp;H67),H67)&amp;IF(ISBLANK(I67),"",IF(ISERROR(SEARCH(",",I67,1)),CONCATENATE(","&amp;I67&amp;","&amp;I67),CONCATENATE(","&amp;I67))&amp;IF(ISBLANK(J67),"",IF(ISERROR(SEARCH(",",J67,1)),CONCATENATE(","&amp;J67&amp;","&amp;J67),CONCATENATE(","&amp;J67))&amp;IF(ISBLANK(K67),"",IF(ISERROR(SEARCH(",",K67,1)),CONCATENATE(","&amp;K67&amp;","&amp;K67),CONCATENATE(","&amp;K67))))))&amp;")","")&amp;" "&amp;F67)</f>
        <v/>
      </c>
    </row>
    <row r="68">
      <c r="A68" s="1" t="n">
        <v>167</v>
      </c>
      <c r="B68" s="1">
        <f>A68</f>
        <v/>
      </c>
      <c r="C68" s="1" t="inlineStr">
        <is>
          <t>vKFB3m06</t>
        </is>
      </c>
      <c r="D68" s="1" t="inlineStr">
        <is>
          <t>數值</t>
        </is>
      </c>
      <c r="E68" s="1" t="n">
        <v>2</v>
      </c>
      <c r="G68" s="1" t="inlineStr">
        <is>
          <t>range</t>
        </is>
      </c>
      <c r="H68" s="1" t="inlineStr">
        <is>
          <t>0,1</t>
        </is>
      </c>
      <c r="L68" s="1">
        <f>CONCAT(IF(D68="數值",CONCATENATE(G68&amp;"("&amp;C68&amp;","&amp;IF(ISERROR(SEARCH(",",H68,1)),(H68&amp;","&amp;H68),H68)&amp;IF(ISBLANK(I68),"",IF(ISERROR(SEARCH(",",I68,1)),CONCATENATE(","&amp;I68&amp;","&amp;I68),CONCATENATE(","&amp;I68))&amp;IF(ISBLANK(J68),"",IF(ISERROR(SEARCH(",",J68,1)),CONCATENATE(","&amp;J68&amp;","&amp;J68),CONCATENATE(","&amp;J68))&amp;IF(ISBLANK(K68),"",IF(ISERROR(SEARCH(",",K68,1)),CONCATENATE(","&amp;K68&amp;","&amp;K68),CONCATENATE(","&amp;K68))))))&amp;")","")&amp;" "&amp;F68)</f>
        <v/>
      </c>
    </row>
    <row r="69">
      <c r="A69" s="1" t="n">
        <v>168</v>
      </c>
      <c r="B69" s="1">
        <f>A69</f>
        <v/>
      </c>
      <c r="C69" s="1" t="inlineStr">
        <is>
          <t>vKFB3m07</t>
        </is>
      </c>
      <c r="D69" s="1" t="inlineStr">
        <is>
          <t>數值</t>
        </is>
      </c>
      <c r="E69" s="1" t="n">
        <v>2</v>
      </c>
      <c r="G69" s="1" t="inlineStr">
        <is>
          <t>range</t>
        </is>
      </c>
      <c r="H69" s="1" t="inlineStr">
        <is>
          <t>0,1</t>
        </is>
      </c>
      <c r="L69" s="1">
        <f>CONCAT(IF(D69="數值",CONCATENATE(G69&amp;"("&amp;C69&amp;","&amp;IF(ISERROR(SEARCH(",",H69,1)),(H69&amp;","&amp;H69),H69)&amp;IF(ISBLANK(I69),"",IF(ISERROR(SEARCH(",",I69,1)),CONCATENATE(","&amp;I69&amp;","&amp;I69),CONCATENATE(","&amp;I69))&amp;IF(ISBLANK(J69),"",IF(ISERROR(SEARCH(",",J69,1)),CONCATENATE(","&amp;J69&amp;","&amp;J69),CONCATENATE(","&amp;J69))&amp;IF(ISBLANK(K69),"",IF(ISERROR(SEARCH(",",K69,1)),CONCATENATE(","&amp;K69&amp;","&amp;K69),CONCATENATE(","&amp;K69))))))&amp;")","")&amp;" "&amp;F69)</f>
        <v/>
      </c>
    </row>
    <row r="70">
      <c r="A70" s="1" t="n">
        <v>169</v>
      </c>
      <c r="B70" s="1">
        <f>A70</f>
        <v/>
      </c>
      <c r="C70" s="1" t="inlineStr">
        <is>
          <t>vKFB3m08</t>
        </is>
      </c>
      <c r="D70" s="1" t="inlineStr">
        <is>
          <t>數值</t>
        </is>
      </c>
      <c r="E70" s="1" t="n">
        <v>2</v>
      </c>
      <c r="G70" s="1" t="inlineStr">
        <is>
          <t>range</t>
        </is>
      </c>
      <c r="H70" s="1" t="inlineStr">
        <is>
          <t>0,1</t>
        </is>
      </c>
      <c r="L70" s="1">
        <f>CONCAT(IF(D70="數值",CONCATENATE(G70&amp;"("&amp;C70&amp;","&amp;IF(ISERROR(SEARCH(",",H70,1)),(H70&amp;","&amp;H70),H70)&amp;IF(ISBLANK(I70),"",IF(ISERROR(SEARCH(",",I70,1)),CONCATENATE(","&amp;I70&amp;","&amp;I70),CONCATENATE(","&amp;I70))&amp;IF(ISBLANK(J70),"",IF(ISERROR(SEARCH(",",J70,1)),CONCATENATE(","&amp;J70&amp;","&amp;J70),CONCATENATE(","&amp;J70))&amp;IF(ISBLANK(K70),"",IF(ISERROR(SEARCH(",",K70,1)),CONCATENATE(","&amp;K70&amp;","&amp;K70),CONCATENATE(","&amp;K70))))))&amp;")","")&amp;" "&amp;F70)</f>
        <v/>
      </c>
    </row>
    <row r="71">
      <c r="A71" s="1" t="n">
        <v>170</v>
      </c>
      <c r="B71" s="1">
        <f>A71</f>
        <v/>
      </c>
      <c r="C71" s="1" t="inlineStr">
        <is>
          <t>vKFB3m09</t>
        </is>
      </c>
      <c r="D71" s="1" t="inlineStr">
        <is>
          <t>數值</t>
        </is>
      </c>
      <c r="E71" s="1" t="n">
        <v>2</v>
      </c>
      <c r="G71" s="1" t="inlineStr">
        <is>
          <t>range</t>
        </is>
      </c>
      <c r="H71" s="1" t="inlineStr">
        <is>
          <t>0,1</t>
        </is>
      </c>
      <c r="L71" s="1">
        <f>CONCAT(IF(D71="數值",CONCATENATE(G71&amp;"("&amp;C71&amp;","&amp;IF(ISERROR(SEARCH(",",H71,1)),(H71&amp;","&amp;H71),H71)&amp;IF(ISBLANK(I71),"",IF(ISERROR(SEARCH(",",I71,1)),CONCATENATE(","&amp;I71&amp;","&amp;I71),CONCATENATE(","&amp;I71))&amp;IF(ISBLANK(J71),"",IF(ISERROR(SEARCH(",",J71,1)),CONCATENATE(","&amp;J71&amp;","&amp;J71),CONCATENATE(","&amp;J71))&amp;IF(ISBLANK(K71),"",IF(ISERROR(SEARCH(",",K71,1)),CONCATENATE(","&amp;K71&amp;","&amp;K71),CONCATENATE(","&amp;K71))))))&amp;")","")&amp;" "&amp;F71)</f>
        <v/>
      </c>
    </row>
    <row r="72">
      <c r="A72" s="1" t="n">
        <v>171</v>
      </c>
      <c r="B72" s="1">
        <f>A72</f>
        <v/>
      </c>
      <c r="C72" s="1" t="inlineStr">
        <is>
          <t>vKFB3m10</t>
        </is>
      </c>
      <c r="D72" s="1" t="inlineStr">
        <is>
          <t>數值</t>
        </is>
      </c>
      <c r="E72" s="1" t="n">
        <v>2</v>
      </c>
      <c r="G72" s="1" t="inlineStr">
        <is>
          <t>range</t>
        </is>
      </c>
      <c r="H72" s="1" t="inlineStr">
        <is>
          <t>0,1</t>
        </is>
      </c>
      <c r="I72" s="1" t="inlineStr">
        <is>
          <t>96</t>
        </is>
      </c>
      <c r="L72" s="1">
        <f>CONCAT(IF(D72="數值",CONCATENATE(G72&amp;"("&amp;C72&amp;","&amp;IF(ISERROR(SEARCH(",",H72,1)),(H72&amp;","&amp;H72),H72)&amp;IF(ISBLANK(I72),"",IF(ISERROR(SEARCH(",",I72,1)),CONCATENATE(","&amp;I72&amp;","&amp;I72),CONCATENATE(","&amp;I72))&amp;IF(ISBLANK(J72),"",IF(ISERROR(SEARCH(",",J72,1)),CONCATENATE(","&amp;J72&amp;","&amp;J72),CONCATENATE(","&amp;J72))&amp;IF(ISBLANK(K72),"",IF(ISERROR(SEARCH(",",K72,1)),CONCATENATE(","&amp;K72&amp;","&amp;K72),CONCATENATE(","&amp;K72))))))&amp;")","")&amp;" "&amp;F72)</f>
        <v/>
      </c>
    </row>
    <row r="73">
      <c r="A73" s="1" t="n">
        <v>172</v>
      </c>
      <c r="B73" s="1">
        <f>A73</f>
        <v/>
      </c>
      <c r="C73" s="1" t="inlineStr">
        <is>
          <t>vKFB3m11</t>
        </is>
      </c>
      <c r="D73" s="1" t="inlineStr">
        <is>
          <t>數值</t>
        </is>
      </c>
      <c r="E73" s="1" t="n">
        <v>2</v>
      </c>
      <c r="G73" s="1" t="inlineStr">
        <is>
          <t>range</t>
        </is>
      </c>
      <c r="H73" s="1" t="inlineStr">
        <is>
          <t>0,1</t>
        </is>
      </c>
      <c r="I73" s="1" t="inlineStr">
        <is>
          <t>96</t>
        </is>
      </c>
      <c r="L73" s="1">
        <f>CONCAT(IF(D73="數值",CONCATENATE(G73&amp;"("&amp;C73&amp;","&amp;IF(ISERROR(SEARCH(",",H73,1)),(H73&amp;","&amp;H73),H73)&amp;IF(ISBLANK(I73),"",IF(ISERROR(SEARCH(",",I73,1)),CONCATENATE(","&amp;I73&amp;","&amp;I73),CONCATENATE(","&amp;I73))&amp;IF(ISBLANK(J73),"",IF(ISERROR(SEARCH(",",J73,1)),CONCATENATE(","&amp;J73&amp;","&amp;J73),CONCATENATE(","&amp;J73))&amp;IF(ISBLANK(K73),"",IF(ISERROR(SEARCH(",",K73,1)),CONCATENATE(","&amp;K73&amp;","&amp;K73),CONCATENATE(","&amp;K73))))))&amp;")","")&amp;" "&amp;F73)</f>
        <v/>
      </c>
    </row>
    <row r="74">
      <c r="A74" s="1" t="n">
        <v>173</v>
      </c>
      <c r="B74" s="1">
        <f>A74</f>
        <v/>
      </c>
      <c r="C74" s="1" t="inlineStr">
        <is>
          <t>vKFB3m12</t>
        </is>
      </c>
      <c r="D74" s="1" t="inlineStr">
        <is>
          <t>數值</t>
        </is>
      </c>
      <c r="E74" s="1" t="n">
        <v>2</v>
      </c>
      <c r="G74" s="1" t="inlineStr">
        <is>
          <t>range</t>
        </is>
      </c>
      <c r="H74" s="1" t="inlineStr">
        <is>
          <t>0,1</t>
        </is>
      </c>
      <c r="I74" s="1" t="inlineStr">
        <is>
          <t>96</t>
        </is>
      </c>
      <c r="L74" s="1">
        <f>CONCAT(IF(D74="數值",CONCATENATE(G74&amp;"("&amp;C74&amp;","&amp;IF(ISERROR(SEARCH(",",H74,1)),(H74&amp;","&amp;H74),H74)&amp;IF(ISBLANK(I74),"",IF(ISERROR(SEARCH(",",I74,1)),CONCATENATE(","&amp;I74&amp;","&amp;I74),CONCATENATE(","&amp;I74))&amp;IF(ISBLANK(J74),"",IF(ISERROR(SEARCH(",",J74,1)),CONCATENATE(","&amp;J74&amp;","&amp;J74),CONCATENATE(","&amp;J74))&amp;IF(ISBLANK(K74),"",IF(ISERROR(SEARCH(",",K74,1)),CONCATENATE(","&amp;K74&amp;","&amp;K74),CONCATENATE(","&amp;K74))))))&amp;")","")&amp;" "&amp;F74)</f>
        <v/>
      </c>
    </row>
    <row r="75">
      <c r="A75" s="1" t="n">
        <v>174</v>
      </c>
      <c r="B75" s="1">
        <f>A75</f>
        <v/>
      </c>
      <c r="C75" s="1" t="inlineStr">
        <is>
          <t>vKFB3m13</t>
        </is>
      </c>
      <c r="D75" s="1" t="inlineStr">
        <is>
          <t>數值</t>
        </is>
      </c>
      <c r="E75" s="1" t="n">
        <v>2</v>
      </c>
      <c r="G75" s="1" t="inlineStr">
        <is>
          <t>range</t>
        </is>
      </c>
      <c r="H75" s="1" t="inlineStr">
        <is>
          <t>0,1</t>
        </is>
      </c>
      <c r="I75" s="1" t="inlineStr">
        <is>
          <t>96</t>
        </is>
      </c>
      <c r="L75" s="1">
        <f>CONCAT(IF(D75="數值",CONCATENATE(G75&amp;"("&amp;C75&amp;","&amp;IF(ISERROR(SEARCH(",",H75,1)),(H75&amp;","&amp;H75),H75)&amp;IF(ISBLANK(I75),"",IF(ISERROR(SEARCH(",",I75,1)),CONCATENATE(","&amp;I75&amp;","&amp;I75),CONCATENATE(","&amp;I75))&amp;IF(ISBLANK(J75),"",IF(ISERROR(SEARCH(",",J75,1)),CONCATENATE(","&amp;J75&amp;","&amp;J75),CONCATENATE(","&amp;J75))&amp;IF(ISBLANK(K75),"",IF(ISERROR(SEARCH(",",K75,1)),CONCATENATE(","&amp;K75&amp;","&amp;K75),CONCATENATE(","&amp;K75))))))&amp;")","")&amp;" "&amp;F75)</f>
        <v/>
      </c>
    </row>
    <row r="76">
      <c r="A76" s="1" t="n">
        <v>175</v>
      </c>
      <c r="B76" s="1">
        <f>A76</f>
        <v/>
      </c>
      <c r="C76" s="1" t="inlineStr">
        <is>
          <t>vKFB3m14</t>
        </is>
      </c>
      <c r="D76" s="1" t="inlineStr">
        <is>
          <t>數值</t>
        </is>
      </c>
      <c r="E76" s="1" t="n">
        <v>2</v>
      </c>
      <c r="G76" s="1" t="inlineStr">
        <is>
          <t>range</t>
        </is>
      </c>
      <c r="H76" s="1" t="inlineStr">
        <is>
          <t>0,1</t>
        </is>
      </c>
      <c r="I76" s="1" t="inlineStr">
        <is>
          <t>96</t>
        </is>
      </c>
      <c r="L76" s="1">
        <f>CONCAT(IF(D76="數值",CONCATENATE(G76&amp;"("&amp;C76&amp;","&amp;IF(ISERROR(SEARCH(",",H76,1)),(H76&amp;","&amp;H76),H76)&amp;IF(ISBLANK(I76),"",IF(ISERROR(SEARCH(",",I76,1)),CONCATENATE(","&amp;I76&amp;","&amp;I76),CONCATENATE(","&amp;I76))&amp;IF(ISBLANK(J76),"",IF(ISERROR(SEARCH(",",J76,1)),CONCATENATE(","&amp;J76&amp;","&amp;J76),CONCATENATE(","&amp;J76))&amp;IF(ISBLANK(K76),"",IF(ISERROR(SEARCH(",",K76,1)),CONCATENATE(","&amp;K76&amp;","&amp;K76),CONCATENATE(","&amp;K76))))))&amp;")","")&amp;" "&amp;F76)</f>
        <v/>
      </c>
    </row>
    <row r="77">
      <c r="A77" s="1" t="n">
        <v>176</v>
      </c>
      <c r="B77" s="1">
        <f>A77</f>
        <v/>
      </c>
      <c r="C77" s="1" t="inlineStr">
        <is>
          <t>vKFB3m15</t>
        </is>
      </c>
      <c r="D77" s="1" t="inlineStr">
        <is>
          <t>數值</t>
        </is>
      </c>
      <c r="E77" s="1" t="n">
        <v>2</v>
      </c>
      <c r="G77" s="1" t="inlineStr">
        <is>
          <t>range</t>
        </is>
      </c>
      <c r="H77" s="1" t="inlineStr">
        <is>
          <t>0,1</t>
        </is>
      </c>
      <c r="I77" s="1" t="inlineStr">
        <is>
          <t>96</t>
        </is>
      </c>
      <c r="L77" s="1">
        <f>CONCAT(IF(D77="數值",CONCATENATE(G77&amp;"("&amp;C77&amp;","&amp;IF(ISERROR(SEARCH(",",H77,1)),(H77&amp;","&amp;H77),H77)&amp;IF(ISBLANK(I77),"",IF(ISERROR(SEARCH(",",I77,1)),CONCATENATE(","&amp;I77&amp;","&amp;I77),CONCATENATE(","&amp;I77))&amp;IF(ISBLANK(J77),"",IF(ISERROR(SEARCH(",",J77,1)),CONCATENATE(","&amp;J77&amp;","&amp;J77),CONCATENATE(","&amp;J77))&amp;IF(ISBLANK(K77),"",IF(ISERROR(SEARCH(",",K77,1)),CONCATENATE(","&amp;K77&amp;","&amp;K77),CONCATENATE(","&amp;K77))))))&amp;")","")&amp;" "&amp;F77)</f>
        <v/>
      </c>
    </row>
    <row r="78">
      <c r="A78" s="1" t="n">
        <v>177</v>
      </c>
      <c r="B78" s="1">
        <f>A78</f>
        <v/>
      </c>
      <c r="C78" s="1" t="inlineStr">
        <is>
          <t>vKFB3m16</t>
        </is>
      </c>
      <c r="D78" s="1" t="inlineStr">
        <is>
          <t>數值</t>
        </is>
      </c>
      <c r="E78" s="1" t="n">
        <v>2</v>
      </c>
      <c r="G78" s="1" t="inlineStr">
        <is>
          <t>range</t>
        </is>
      </c>
      <c r="H78" s="1" t="inlineStr">
        <is>
          <t>0,1</t>
        </is>
      </c>
      <c r="I78" s="1" t="inlineStr">
        <is>
          <t>96</t>
        </is>
      </c>
      <c r="L78" s="1">
        <f>CONCAT(IF(D78="數值",CONCATENATE(G78&amp;"("&amp;C78&amp;","&amp;IF(ISERROR(SEARCH(",",H78,1)),(H78&amp;","&amp;H78),H78)&amp;IF(ISBLANK(I78),"",IF(ISERROR(SEARCH(",",I78,1)),CONCATENATE(","&amp;I78&amp;","&amp;I78),CONCATENATE(","&amp;I78))&amp;IF(ISBLANK(J78),"",IF(ISERROR(SEARCH(",",J78,1)),CONCATENATE(","&amp;J78&amp;","&amp;J78),CONCATENATE(","&amp;J78))&amp;IF(ISBLANK(K78),"",IF(ISERROR(SEARCH(",",K78,1)),CONCATENATE(","&amp;K78&amp;","&amp;K78),CONCATENATE(","&amp;K78))))))&amp;")","")&amp;" "&amp;F78)</f>
        <v/>
      </c>
    </row>
    <row r="79">
      <c r="A79" s="1" t="n">
        <v>178</v>
      </c>
      <c r="B79" s="1">
        <f>A79</f>
        <v/>
      </c>
      <c r="C79" s="1" t="inlineStr">
        <is>
          <t>vKFB3m17</t>
        </is>
      </c>
      <c r="D79" s="1" t="inlineStr">
        <is>
          <t>數值</t>
        </is>
      </c>
      <c r="E79" s="1" t="n">
        <v>2</v>
      </c>
      <c r="G79" s="1" t="inlineStr">
        <is>
          <t>range</t>
        </is>
      </c>
      <c r="H79" s="1" t="inlineStr">
        <is>
          <t>0,1</t>
        </is>
      </c>
      <c r="I79" s="1" t="inlineStr">
        <is>
          <t>96</t>
        </is>
      </c>
      <c r="L79" s="1">
        <f>CONCAT(IF(D79="數值",CONCATENATE(G79&amp;"("&amp;C79&amp;","&amp;IF(ISERROR(SEARCH(",",H79,1)),(H79&amp;","&amp;H79),H79)&amp;IF(ISBLANK(I79),"",IF(ISERROR(SEARCH(",",I79,1)),CONCATENATE(","&amp;I79&amp;","&amp;I79),CONCATENATE(","&amp;I79))&amp;IF(ISBLANK(J79),"",IF(ISERROR(SEARCH(",",J79,1)),CONCATENATE(","&amp;J79&amp;","&amp;J79),CONCATENATE(","&amp;J79))&amp;IF(ISBLANK(K79),"",IF(ISERROR(SEARCH(",",K79,1)),CONCATENATE(","&amp;K79&amp;","&amp;K79),CONCATENATE(","&amp;K79))))))&amp;")","")&amp;" "&amp;F79)</f>
        <v/>
      </c>
    </row>
    <row r="80">
      <c r="A80" s="1" t="n">
        <v>179</v>
      </c>
      <c r="B80" s="1">
        <f>A80</f>
        <v/>
      </c>
      <c r="C80" s="1" t="inlineStr">
        <is>
          <t>vKFB3m88</t>
        </is>
      </c>
      <c r="D80" s="1" t="inlineStr">
        <is>
          <t>數值</t>
        </is>
      </c>
      <c r="E80" s="1" t="n">
        <v>2</v>
      </c>
      <c r="G80" s="1" t="inlineStr">
        <is>
          <t>range</t>
        </is>
      </c>
      <c r="H80" s="1" t="inlineStr">
        <is>
          <t>0,1</t>
        </is>
      </c>
      <c r="I80" s="1" t="inlineStr">
        <is>
          <t>96</t>
        </is>
      </c>
      <c r="L80" s="1">
        <f>CONCAT(IF(D80="數值",CONCATENATE(G80&amp;"("&amp;C80&amp;","&amp;IF(ISERROR(SEARCH(",",H80,1)),(H80&amp;","&amp;H80),H80)&amp;IF(ISBLANK(I80),"",IF(ISERROR(SEARCH(",",I80,1)),CONCATENATE(","&amp;I80&amp;","&amp;I80),CONCATENATE(","&amp;I80))&amp;IF(ISBLANK(J80),"",IF(ISERROR(SEARCH(",",J80,1)),CONCATENATE(","&amp;J80&amp;","&amp;J80),CONCATENATE(","&amp;J80))&amp;IF(ISBLANK(K80),"",IF(ISERROR(SEARCH(",",K80,1)),CONCATENATE(","&amp;K80&amp;","&amp;K80),CONCATENATE(","&amp;K80))))))&amp;")","")&amp;" "&amp;F80)</f>
        <v/>
      </c>
    </row>
    <row r="81">
      <c r="A81" s="1" t="n">
        <v>180</v>
      </c>
      <c r="B81" s="1">
        <f>A81</f>
        <v/>
      </c>
      <c r="C81" s="1" t="inlineStr">
        <is>
          <t>vKFB4m01</t>
        </is>
      </c>
      <c r="D81" s="1" t="inlineStr">
        <is>
          <t>數值</t>
        </is>
      </c>
      <c r="E81" s="1" t="n">
        <v>2</v>
      </c>
      <c r="G81" s="1" t="inlineStr">
        <is>
          <t>range</t>
        </is>
      </c>
      <c r="H81" s="1" t="inlineStr">
        <is>
          <t>0,1</t>
        </is>
      </c>
      <c r="L81" s="1">
        <f>CONCAT(IF(D81="數值",CONCATENATE(G81&amp;"("&amp;C81&amp;","&amp;IF(ISERROR(SEARCH(",",H81,1)),(H81&amp;","&amp;H81),H81)&amp;IF(ISBLANK(I81),"",IF(ISERROR(SEARCH(",",I81,1)),CONCATENATE(","&amp;I81&amp;","&amp;I81),CONCATENATE(","&amp;I81))&amp;IF(ISBLANK(J81),"",IF(ISERROR(SEARCH(",",J81,1)),CONCATENATE(","&amp;J81&amp;","&amp;J81),CONCATENATE(","&amp;J81))&amp;IF(ISBLANK(K81),"",IF(ISERROR(SEARCH(",",K81,1)),CONCATENATE(","&amp;K81&amp;","&amp;K81),CONCATENATE(","&amp;K81))))))&amp;")","")&amp;" "&amp;F81)</f>
        <v/>
      </c>
    </row>
    <row r="82">
      <c r="A82" s="1" t="n">
        <v>181</v>
      </c>
      <c r="B82" s="1">
        <f>A82</f>
        <v/>
      </c>
      <c r="C82" s="1" t="inlineStr">
        <is>
          <t>vKFB4m02</t>
        </is>
      </c>
      <c r="D82" s="1" t="inlineStr">
        <is>
          <t>數值</t>
        </is>
      </c>
      <c r="E82" s="1" t="n">
        <v>2</v>
      </c>
      <c r="G82" s="1" t="inlineStr">
        <is>
          <t>range</t>
        </is>
      </c>
      <c r="H82" s="1" t="inlineStr">
        <is>
          <t>0,1</t>
        </is>
      </c>
      <c r="L82" s="1">
        <f>CONCAT(IF(D82="數值",CONCATENATE(G82&amp;"("&amp;C82&amp;","&amp;IF(ISERROR(SEARCH(",",H82,1)),(H82&amp;","&amp;H82),H82)&amp;IF(ISBLANK(I82),"",IF(ISERROR(SEARCH(",",I82,1)),CONCATENATE(","&amp;I82&amp;","&amp;I82),CONCATENATE(","&amp;I82))&amp;IF(ISBLANK(J82),"",IF(ISERROR(SEARCH(",",J82,1)),CONCATENATE(","&amp;J82&amp;","&amp;J82),CONCATENATE(","&amp;J82))&amp;IF(ISBLANK(K82),"",IF(ISERROR(SEARCH(",",K82,1)),CONCATENATE(","&amp;K82&amp;","&amp;K82),CONCATENATE(","&amp;K82))))))&amp;")","")&amp;" "&amp;F82)</f>
        <v/>
      </c>
    </row>
    <row r="83">
      <c r="A83" s="1" t="n">
        <v>182</v>
      </c>
      <c r="B83" s="1">
        <f>A83</f>
        <v/>
      </c>
      <c r="C83" s="1" t="inlineStr">
        <is>
          <t>vKFB4m03</t>
        </is>
      </c>
      <c r="D83" s="1" t="inlineStr">
        <is>
          <t>數值</t>
        </is>
      </c>
      <c r="E83" s="1" t="n">
        <v>2</v>
      </c>
      <c r="G83" s="1" t="inlineStr">
        <is>
          <t>range</t>
        </is>
      </c>
      <c r="H83" s="1" t="inlineStr">
        <is>
          <t>0,1</t>
        </is>
      </c>
      <c r="L83" s="1">
        <f>CONCAT(IF(D83="數值",CONCATENATE(G83&amp;"("&amp;C83&amp;","&amp;IF(ISERROR(SEARCH(",",H83,1)),(H83&amp;","&amp;H83),H83)&amp;IF(ISBLANK(I83),"",IF(ISERROR(SEARCH(",",I83,1)),CONCATENATE(","&amp;I83&amp;","&amp;I83),CONCATENATE(","&amp;I83))&amp;IF(ISBLANK(J83),"",IF(ISERROR(SEARCH(",",J83,1)),CONCATENATE(","&amp;J83&amp;","&amp;J83),CONCATENATE(","&amp;J83))&amp;IF(ISBLANK(K83),"",IF(ISERROR(SEARCH(",",K83,1)),CONCATENATE(","&amp;K83&amp;","&amp;K83),CONCATENATE(","&amp;K83))))))&amp;")","")&amp;" "&amp;F83)</f>
        <v/>
      </c>
    </row>
    <row r="84">
      <c r="A84" s="1" t="n">
        <v>183</v>
      </c>
      <c r="B84" s="1">
        <f>A84</f>
        <v/>
      </c>
      <c r="C84" s="1" t="inlineStr">
        <is>
          <t>vKFB4m04</t>
        </is>
      </c>
      <c r="D84" s="1" t="inlineStr">
        <is>
          <t>數值</t>
        </is>
      </c>
      <c r="E84" s="1" t="n">
        <v>2</v>
      </c>
      <c r="G84" s="1" t="inlineStr">
        <is>
          <t>range</t>
        </is>
      </c>
      <c r="H84" s="1" t="inlineStr">
        <is>
          <t>0,1</t>
        </is>
      </c>
      <c r="L84" s="1">
        <f>CONCAT(IF(D84="數值",CONCATENATE(G84&amp;"("&amp;C84&amp;","&amp;IF(ISERROR(SEARCH(",",H84,1)),(H84&amp;","&amp;H84),H84)&amp;IF(ISBLANK(I84),"",IF(ISERROR(SEARCH(",",I84,1)),CONCATENATE(","&amp;I84&amp;","&amp;I84),CONCATENATE(","&amp;I84))&amp;IF(ISBLANK(J84),"",IF(ISERROR(SEARCH(",",J84,1)),CONCATENATE(","&amp;J84&amp;","&amp;J84),CONCATENATE(","&amp;J84))&amp;IF(ISBLANK(K84),"",IF(ISERROR(SEARCH(",",K84,1)),CONCATENATE(","&amp;K84&amp;","&amp;K84),CONCATENATE(","&amp;K84))))))&amp;")","")&amp;" "&amp;F84)</f>
        <v/>
      </c>
    </row>
    <row r="85">
      <c r="A85" s="1" t="n">
        <v>184</v>
      </c>
      <c r="B85" s="1">
        <f>A85</f>
        <v/>
      </c>
      <c r="C85" s="1" t="inlineStr">
        <is>
          <t>vKFB4m05</t>
        </is>
      </c>
      <c r="D85" s="1" t="inlineStr">
        <is>
          <t>數值</t>
        </is>
      </c>
      <c r="E85" s="1" t="n">
        <v>2</v>
      </c>
      <c r="G85" s="1" t="inlineStr">
        <is>
          <t>range</t>
        </is>
      </c>
      <c r="H85" s="1" t="inlineStr">
        <is>
          <t>0,1</t>
        </is>
      </c>
      <c r="L85" s="1">
        <f>CONCAT(IF(D85="數值",CONCATENATE(G85&amp;"("&amp;C85&amp;","&amp;IF(ISERROR(SEARCH(",",H85,1)),(H85&amp;","&amp;H85),H85)&amp;IF(ISBLANK(I85),"",IF(ISERROR(SEARCH(",",I85,1)),CONCATENATE(","&amp;I85&amp;","&amp;I85),CONCATENATE(","&amp;I85))&amp;IF(ISBLANK(J85),"",IF(ISERROR(SEARCH(",",J85,1)),CONCATENATE(","&amp;J85&amp;","&amp;J85),CONCATENATE(","&amp;J85))&amp;IF(ISBLANK(K85),"",IF(ISERROR(SEARCH(",",K85,1)),CONCATENATE(","&amp;K85&amp;","&amp;K85),CONCATENATE(","&amp;K85))))))&amp;")","")&amp;" "&amp;F85)</f>
        <v/>
      </c>
    </row>
    <row r="86">
      <c r="A86" s="1" t="n">
        <v>185</v>
      </c>
      <c r="B86" s="1">
        <f>A86</f>
        <v/>
      </c>
      <c r="C86" s="1" t="inlineStr">
        <is>
          <t>vKFB4m06</t>
        </is>
      </c>
      <c r="D86" s="1" t="inlineStr">
        <is>
          <t>數值</t>
        </is>
      </c>
      <c r="E86" s="1" t="n">
        <v>2</v>
      </c>
      <c r="G86" s="1" t="inlineStr">
        <is>
          <t>range</t>
        </is>
      </c>
      <c r="H86" s="1" t="inlineStr">
        <is>
          <t>0,1</t>
        </is>
      </c>
      <c r="L86" s="1">
        <f>CONCAT(IF(D86="數值",CONCATENATE(G86&amp;"("&amp;C86&amp;","&amp;IF(ISERROR(SEARCH(",",H86,1)),(H86&amp;","&amp;H86),H86)&amp;IF(ISBLANK(I86),"",IF(ISERROR(SEARCH(",",I86,1)),CONCATENATE(","&amp;I86&amp;","&amp;I86),CONCATENATE(","&amp;I86))&amp;IF(ISBLANK(J86),"",IF(ISERROR(SEARCH(",",J86,1)),CONCATENATE(","&amp;J86&amp;","&amp;J86),CONCATENATE(","&amp;J86))&amp;IF(ISBLANK(K86),"",IF(ISERROR(SEARCH(",",K86,1)),CONCATENATE(","&amp;K86&amp;","&amp;K86),CONCATENATE(","&amp;K86))))))&amp;")","")&amp;" "&amp;F86)</f>
        <v/>
      </c>
    </row>
    <row r="87">
      <c r="A87" s="1" t="n">
        <v>186</v>
      </c>
      <c r="B87" s="1">
        <f>A87</f>
        <v/>
      </c>
      <c r="C87" s="1" t="inlineStr">
        <is>
          <t>vKFB4m07</t>
        </is>
      </c>
      <c r="D87" s="1" t="inlineStr">
        <is>
          <t>數值</t>
        </is>
      </c>
      <c r="E87" s="1" t="n">
        <v>2</v>
      </c>
      <c r="G87" s="1" t="inlineStr">
        <is>
          <t>range</t>
        </is>
      </c>
      <c r="H87" s="1" t="inlineStr">
        <is>
          <t>0,1</t>
        </is>
      </c>
      <c r="L87" s="1">
        <f>CONCAT(IF(D87="數值",CONCATENATE(G87&amp;"("&amp;C87&amp;","&amp;IF(ISERROR(SEARCH(",",H87,1)),(H87&amp;","&amp;H87),H87)&amp;IF(ISBLANK(I87),"",IF(ISERROR(SEARCH(",",I87,1)),CONCATENATE(","&amp;I87&amp;","&amp;I87),CONCATENATE(","&amp;I87))&amp;IF(ISBLANK(J87),"",IF(ISERROR(SEARCH(",",J87,1)),CONCATENATE(","&amp;J87&amp;","&amp;J87),CONCATENATE(","&amp;J87))&amp;IF(ISBLANK(K87),"",IF(ISERROR(SEARCH(",",K87,1)),CONCATENATE(","&amp;K87&amp;","&amp;K87),CONCATENATE(","&amp;K87))))))&amp;")","")&amp;" "&amp;F87)</f>
        <v/>
      </c>
    </row>
    <row r="88">
      <c r="A88" s="1" t="n">
        <v>187</v>
      </c>
      <c r="B88" s="1">
        <f>A88</f>
        <v/>
      </c>
      <c r="C88" s="1" t="inlineStr">
        <is>
          <t>vKFB4m08</t>
        </is>
      </c>
      <c r="D88" s="1" t="inlineStr">
        <is>
          <t>數值</t>
        </is>
      </c>
      <c r="E88" s="1" t="n">
        <v>2</v>
      </c>
      <c r="G88" s="1" t="inlineStr">
        <is>
          <t>range</t>
        </is>
      </c>
      <c r="H88" s="1" t="inlineStr">
        <is>
          <t>0,1</t>
        </is>
      </c>
      <c r="L88" s="1">
        <f>CONCAT(IF(D88="數值",CONCATENATE(G88&amp;"("&amp;C88&amp;","&amp;IF(ISERROR(SEARCH(",",H88,1)),(H88&amp;","&amp;H88),H88)&amp;IF(ISBLANK(I88),"",IF(ISERROR(SEARCH(",",I88,1)),CONCATENATE(","&amp;I88&amp;","&amp;I88),CONCATENATE(","&amp;I88))&amp;IF(ISBLANK(J88),"",IF(ISERROR(SEARCH(",",J88,1)),CONCATENATE(","&amp;J88&amp;","&amp;J88),CONCATENATE(","&amp;J88))&amp;IF(ISBLANK(K88),"",IF(ISERROR(SEARCH(",",K88,1)),CONCATENATE(","&amp;K88&amp;","&amp;K88),CONCATENATE(","&amp;K88))))))&amp;")","")&amp;" "&amp;F88)</f>
        <v/>
      </c>
    </row>
    <row r="89">
      <c r="A89" s="1" t="n">
        <v>188</v>
      </c>
      <c r="B89" s="1">
        <f>A89</f>
        <v/>
      </c>
      <c r="C89" s="1" t="inlineStr">
        <is>
          <t>vKFB4m09</t>
        </is>
      </c>
      <c r="D89" s="1" t="inlineStr">
        <is>
          <t>數值</t>
        </is>
      </c>
      <c r="E89" s="1" t="n">
        <v>2</v>
      </c>
      <c r="G89" s="1" t="inlineStr">
        <is>
          <t>range</t>
        </is>
      </c>
      <c r="H89" s="1" t="inlineStr">
        <is>
          <t>0,1</t>
        </is>
      </c>
      <c r="L89" s="1">
        <f>CONCAT(IF(D89="數值",CONCATENATE(G89&amp;"("&amp;C89&amp;","&amp;IF(ISERROR(SEARCH(",",H89,1)),(H89&amp;","&amp;H89),H89)&amp;IF(ISBLANK(I89),"",IF(ISERROR(SEARCH(",",I89,1)),CONCATENATE(","&amp;I89&amp;","&amp;I89),CONCATENATE(","&amp;I89))&amp;IF(ISBLANK(J89),"",IF(ISERROR(SEARCH(",",J89,1)),CONCATENATE(","&amp;J89&amp;","&amp;J89),CONCATENATE(","&amp;J89))&amp;IF(ISBLANK(K89),"",IF(ISERROR(SEARCH(",",K89,1)),CONCATENATE(","&amp;K89&amp;","&amp;K89),CONCATENATE(","&amp;K89))))))&amp;")","")&amp;" "&amp;F89)</f>
        <v/>
      </c>
    </row>
    <row r="90">
      <c r="A90" s="1" t="n">
        <v>189</v>
      </c>
      <c r="B90" s="1">
        <f>A90</f>
        <v/>
      </c>
      <c r="C90" s="1" t="inlineStr">
        <is>
          <t>vKFB4m10</t>
        </is>
      </c>
      <c r="D90" s="1" t="inlineStr">
        <is>
          <t>數值</t>
        </is>
      </c>
      <c r="E90" s="1" t="n">
        <v>2</v>
      </c>
      <c r="G90" s="1" t="inlineStr">
        <is>
          <t>range</t>
        </is>
      </c>
      <c r="H90" s="1" t="inlineStr">
        <is>
          <t>0,1</t>
        </is>
      </c>
      <c r="I90" s="1" t="inlineStr">
        <is>
          <t>96</t>
        </is>
      </c>
      <c r="L90" s="1">
        <f>CONCAT(IF(D90="數值",CONCATENATE(G90&amp;"("&amp;C90&amp;","&amp;IF(ISERROR(SEARCH(",",H90,1)),(H90&amp;","&amp;H90),H90)&amp;IF(ISBLANK(I90),"",IF(ISERROR(SEARCH(",",I90,1)),CONCATENATE(","&amp;I90&amp;","&amp;I90),CONCATENATE(","&amp;I90))&amp;IF(ISBLANK(J90),"",IF(ISERROR(SEARCH(",",J90,1)),CONCATENATE(","&amp;J90&amp;","&amp;J90),CONCATENATE(","&amp;J90))&amp;IF(ISBLANK(K90),"",IF(ISERROR(SEARCH(",",K90,1)),CONCATENATE(","&amp;K90&amp;","&amp;K90),CONCATENATE(","&amp;K90))))))&amp;")","")&amp;" "&amp;F90)</f>
        <v/>
      </c>
    </row>
    <row r="91">
      <c r="A91" s="1" t="n">
        <v>190</v>
      </c>
      <c r="B91" s="1">
        <f>A91</f>
        <v/>
      </c>
      <c r="C91" s="1" t="inlineStr">
        <is>
          <t>vKFB4m11</t>
        </is>
      </c>
      <c r="D91" s="1" t="inlineStr">
        <is>
          <t>數值</t>
        </is>
      </c>
      <c r="E91" s="1" t="n">
        <v>2</v>
      </c>
      <c r="G91" s="1" t="inlineStr">
        <is>
          <t>range</t>
        </is>
      </c>
      <c r="H91" s="1" t="inlineStr">
        <is>
          <t>0,1</t>
        </is>
      </c>
      <c r="I91" s="1" t="inlineStr">
        <is>
          <t>96</t>
        </is>
      </c>
      <c r="L91" s="1">
        <f>CONCAT(IF(D91="數值",CONCATENATE(G91&amp;"("&amp;C91&amp;","&amp;IF(ISERROR(SEARCH(",",H91,1)),(H91&amp;","&amp;H91),H91)&amp;IF(ISBLANK(I91),"",IF(ISERROR(SEARCH(",",I91,1)),CONCATENATE(","&amp;I91&amp;","&amp;I91),CONCATENATE(","&amp;I91))&amp;IF(ISBLANK(J91),"",IF(ISERROR(SEARCH(",",J91,1)),CONCATENATE(","&amp;J91&amp;","&amp;J91),CONCATENATE(","&amp;J91))&amp;IF(ISBLANK(K91),"",IF(ISERROR(SEARCH(",",K91,1)),CONCATENATE(","&amp;K91&amp;","&amp;K91),CONCATENATE(","&amp;K91))))))&amp;")","")&amp;" "&amp;F91)</f>
        <v/>
      </c>
    </row>
    <row r="92">
      <c r="A92" s="1" t="n">
        <v>191</v>
      </c>
      <c r="B92" s="1">
        <f>A92</f>
        <v/>
      </c>
      <c r="C92" s="1" t="inlineStr">
        <is>
          <t>vKFB4m12</t>
        </is>
      </c>
      <c r="D92" s="1" t="inlineStr">
        <is>
          <t>數值</t>
        </is>
      </c>
      <c r="E92" s="1" t="n">
        <v>2</v>
      </c>
      <c r="G92" s="1" t="inlineStr">
        <is>
          <t>range</t>
        </is>
      </c>
      <c r="H92" s="1" t="inlineStr">
        <is>
          <t>0,1</t>
        </is>
      </c>
      <c r="I92" s="1" t="inlineStr">
        <is>
          <t>96</t>
        </is>
      </c>
      <c r="L92" s="1">
        <f>CONCAT(IF(D92="數值",CONCATENATE(G92&amp;"("&amp;C92&amp;","&amp;IF(ISERROR(SEARCH(",",H92,1)),(H92&amp;","&amp;H92),H92)&amp;IF(ISBLANK(I92),"",IF(ISERROR(SEARCH(",",I92,1)),CONCATENATE(","&amp;I92&amp;","&amp;I92),CONCATENATE(","&amp;I92))&amp;IF(ISBLANK(J92),"",IF(ISERROR(SEARCH(",",J92,1)),CONCATENATE(","&amp;J92&amp;","&amp;J92),CONCATENATE(","&amp;J92))&amp;IF(ISBLANK(K92),"",IF(ISERROR(SEARCH(",",K92,1)),CONCATENATE(","&amp;K92&amp;","&amp;K92),CONCATENATE(","&amp;K92))))))&amp;")","")&amp;" "&amp;F92)</f>
        <v/>
      </c>
    </row>
    <row r="93">
      <c r="A93" s="1" t="n">
        <v>192</v>
      </c>
      <c r="B93" s="1">
        <f>A93</f>
        <v/>
      </c>
      <c r="C93" s="1" t="inlineStr">
        <is>
          <t>vKFB4m13</t>
        </is>
      </c>
      <c r="D93" s="1" t="inlineStr">
        <is>
          <t>數值</t>
        </is>
      </c>
      <c r="E93" s="1" t="n">
        <v>2</v>
      </c>
      <c r="G93" s="1" t="inlineStr">
        <is>
          <t>range</t>
        </is>
      </c>
      <c r="H93" s="1" t="inlineStr">
        <is>
          <t>0,1</t>
        </is>
      </c>
      <c r="I93" s="1" t="inlineStr">
        <is>
          <t>96</t>
        </is>
      </c>
      <c r="L93" s="1">
        <f>CONCAT(IF(D93="數值",CONCATENATE(G93&amp;"("&amp;C93&amp;","&amp;IF(ISERROR(SEARCH(",",H93,1)),(H93&amp;","&amp;H93),H93)&amp;IF(ISBLANK(I93),"",IF(ISERROR(SEARCH(",",I93,1)),CONCATENATE(","&amp;I93&amp;","&amp;I93),CONCATENATE(","&amp;I93))&amp;IF(ISBLANK(J93),"",IF(ISERROR(SEARCH(",",J93,1)),CONCATENATE(","&amp;J93&amp;","&amp;J93),CONCATENATE(","&amp;J93))&amp;IF(ISBLANK(K93),"",IF(ISERROR(SEARCH(",",K93,1)),CONCATENATE(","&amp;K93&amp;","&amp;K93),CONCATENATE(","&amp;K93))))))&amp;")","")&amp;" "&amp;F93)</f>
        <v/>
      </c>
    </row>
    <row r="94">
      <c r="A94" s="1" t="n">
        <v>193</v>
      </c>
      <c r="B94" s="1">
        <f>A94</f>
        <v/>
      </c>
      <c r="C94" s="1" t="inlineStr">
        <is>
          <t>vKFB4m14</t>
        </is>
      </c>
      <c r="D94" s="1" t="inlineStr">
        <is>
          <t>數值</t>
        </is>
      </c>
      <c r="E94" s="1" t="n">
        <v>2</v>
      </c>
      <c r="G94" s="1" t="inlineStr">
        <is>
          <t>range</t>
        </is>
      </c>
      <c r="H94" s="1" t="inlineStr">
        <is>
          <t>0,1</t>
        </is>
      </c>
      <c r="I94" s="1" t="inlineStr">
        <is>
          <t>96</t>
        </is>
      </c>
      <c r="L94" s="1">
        <f>CONCAT(IF(D94="數值",CONCATENATE(G94&amp;"("&amp;C94&amp;","&amp;IF(ISERROR(SEARCH(",",H94,1)),(H94&amp;","&amp;H94),H94)&amp;IF(ISBLANK(I94),"",IF(ISERROR(SEARCH(",",I94,1)),CONCATENATE(","&amp;I94&amp;","&amp;I94),CONCATENATE(","&amp;I94))&amp;IF(ISBLANK(J94),"",IF(ISERROR(SEARCH(",",J94,1)),CONCATENATE(","&amp;J94&amp;","&amp;J94),CONCATENATE(","&amp;J94))&amp;IF(ISBLANK(K94),"",IF(ISERROR(SEARCH(",",K94,1)),CONCATENATE(","&amp;K94&amp;","&amp;K94),CONCATENATE(","&amp;K94))))))&amp;")","")&amp;" "&amp;F94)</f>
        <v/>
      </c>
    </row>
    <row r="95">
      <c r="A95" s="1" t="n">
        <v>194</v>
      </c>
      <c r="B95" s="1">
        <f>A95</f>
        <v/>
      </c>
      <c r="C95" s="1" t="inlineStr">
        <is>
          <t>vKFB4m15</t>
        </is>
      </c>
      <c r="D95" s="1" t="inlineStr">
        <is>
          <t>數值</t>
        </is>
      </c>
      <c r="E95" s="1" t="n">
        <v>2</v>
      </c>
      <c r="G95" s="1" t="inlineStr">
        <is>
          <t>range</t>
        </is>
      </c>
      <c r="H95" s="1" t="inlineStr">
        <is>
          <t>0,1</t>
        </is>
      </c>
      <c r="I95" s="1" t="inlineStr">
        <is>
          <t>96</t>
        </is>
      </c>
      <c r="L95" s="1">
        <f>CONCAT(IF(D95="數值",CONCATENATE(G95&amp;"("&amp;C95&amp;","&amp;IF(ISERROR(SEARCH(",",H95,1)),(H95&amp;","&amp;H95),H95)&amp;IF(ISBLANK(I95),"",IF(ISERROR(SEARCH(",",I95,1)),CONCATENATE(","&amp;I95&amp;","&amp;I95),CONCATENATE(","&amp;I95))&amp;IF(ISBLANK(J95),"",IF(ISERROR(SEARCH(",",J95,1)),CONCATENATE(","&amp;J95&amp;","&amp;J95),CONCATENATE(","&amp;J95))&amp;IF(ISBLANK(K95),"",IF(ISERROR(SEARCH(",",K95,1)),CONCATENATE(","&amp;K95&amp;","&amp;K95),CONCATENATE(","&amp;K95))))))&amp;")","")&amp;" "&amp;F95)</f>
        <v/>
      </c>
    </row>
    <row r="96">
      <c r="A96" s="1" t="n">
        <v>195</v>
      </c>
      <c r="B96" s="1">
        <f>A96</f>
        <v/>
      </c>
      <c r="C96" s="1" t="inlineStr">
        <is>
          <t>vKFB4m16</t>
        </is>
      </c>
      <c r="D96" s="1" t="inlineStr">
        <is>
          <t>數值</t>
        </is>
      </c>
      <c r="E96" s="1" t="n">
        <v>2</v>
      </c>
      <c r="G96" s="1" t="inlineStr">
        <is>
          <t>range</t>
        </is>
      </c>
      <c r="H96" s="1" t="inlineStr">
        <is>
          <t>0,1</t>
        </is>
      </c>
      <c r="I96" s="1" t="inlineStr">
        <is>
          <t>96</t>
        </is>
      </c>
      <c r="L96" s="1">
        <f>CONCAT(IF(D96="數值",CONCATENATE(G96&amp;"("&amp;C96&amp;","&amp;IF(ISERROR(SEARCH(",",H96,1)),(H96&amp;","&amp;H96),H96)&amp;IF(ISBLANK(I96),"",IF(ISERROR(SEARCH(",",I96,1)),CONCATENATE(","&amp;I96&amp;","&amp;I96),CONCATENATE(","&amp;I96))&amp;IF(ISBLANK(J96),"",IF(ISERROR(SEARCH(",",J96,1)),CONCATENATE(","&amp;J96&amp;","&amp;J96),CONCATENATE(","&amp;J96))&amp;IF(ISBLANK(K96),"",IF(ISERROR(SEARCH(",",K96,1)),CONCATENATE(","&amp;K96&amp;","&amp;K96),CONCATENATE(","&amp;K96))))))&amp;")","")&amp;" "&amp;F96)</f>
        <v/>
      </c>
    </row>
    <row r="97">
      <c r="A97" s="1" t="n">
        <v>196</v>
      </c>
      <c r="B97" s="1">
        <f>A97</f>
        <v/>
      </c>
      <c r="C97" s="1" t="inlineStr">
        <is>
          <t>vKFB4m17</t>
        </is>
      </c>
      <c r="D97" s="1" t="inlineStr">
        <is>
          <t>數值</t>
        </is>
      </c>
      <c r="E97" s="1" t="n">
        <v>2</v>
      </c>
      <c r="G97" s="1" t="inlineStr">
        <is>
          <t>range</t>
        </is>
      </c>
      <c r="H97" s="1" t="inlineStr">
        <is>
          <t>0,1</t>
        </is>
      </c>
      <c r="I97" s="1" t="inlineStr">
        <is>
          <t>96</t>
        </is>
      </c>
      <c r="L97" s="1">
        <f>CONCAT(IF(D97="數值",CONCATENATE(G97&amp;"("&amp;C97&amp;","&amp;IF(ISERROR(SEARCH(",",H97,1)),(H97&amp;","&amp;H97),H97)&amp;IF(ISBLANK(I97),"",IF(ISERROR(SEARCH(",",I97,1)),CONCATENATE(","&amp;I97&amp;","&amp;I97),CONCATENATE(","&amp;I97))&amp;IF(ISBLANK(J97),"",IF(ISERROR(SEARCH(",",J97,1)),CONCATENATE(","&amp;J97&amp;","&amp;J97),CONCATENATE(","&amp;J97))&amp;IF(ISBLANK(K97),"",IF(ISERROR(SEARCH(",",K97,1)),CONCATENATE(","&amp;K97&amp;","&amp;K97),CONCATENATE(","&amp;K97))))))&amp;")","")&amp;" "&amp;F97)</f>
        <v/>
      </c>
    </row>
    <row r="98">
      <c r="A98" s="1" t="n">
        <v>197</v>
      </c>
      <c r="B98" s="1">
        <f>A98</f>
        <v/>
      </c>
      <c r="C98" s="1" t="inlineStr">
        <is>
          <t>vKFB4m18</t>
        </is>
      </c>
      <c r="D98" s="1" t="inlineStr">
        <is>
          <t>數值</t>
        </is>
      </c>
      <c r="E98" s="1" t="n">
        <v>2</v>
      </c>
      <c r="G98" s="1" t="inlineStr">
        <is>
          <t>range</t>
        </is>
      </c>
      <c r="H98" s="1" t="inlineStr">
        <is>
          <t>0,1</t>
        </is>
      </c>
      <c r="I98" s="1" t="inlineStr">
        <is>
          <t>96</t>
        </is>
      </c>
      <c r="L98" s="1">
        <f>CONCAT(IF(D98="數值",CONCATENATE(G98&amp;"("&amp;C98&amp;","&amp;IF(ISERROR(SEARCH(",",H98,1)),(H98&amp;","&amp;H98),H98)&amp;IF(ISBLANK(I98),"",IF(ISERROR(SEARCH(",",I98,1)),CONCATENATE(","&amp;I98&amp;","&amp;I98),CONCATENATE(","&amp;I98))&amp;IF(ISBLANK(J98),"",IF(ISERROR(SEARCH(",",J98,1)),CONCATENATE(","&amp;J98&amp;","&amp;J98),CONCATENATE(","&amp;J98))&amp;IF(ISBLANK(K98),"",IF(ISERROR(SEARCH(",",K98,1)),CONCATENATE(","&amp;K98&amp;","&amp;K98),CONCATENATE(","&amp;K98))))))&amp;")","")&amp;" "&amp;F98)</f>
        <v/>
      </c>
    </row>
    <row r="99">
      <c r="A99" s="1" t="n">
        <v>198</v>
      </c>
      <c r="B99" s="1">
        <f>A99</f>
        <v/>
      </c>
      <c r="C99" s="1" t="inlineStr">
        <is>
          <t>vKFB4m88</t>
        </is>
      </c>
      <c r="D99" s="1" t="inlineStr">
        <is>
          <t>數值</t>
        </is>
      </c>
      <c r="E99" s="1" t="n">
        <v>2</v>
      </c>
      <c r="G99" s="1" t="inlineStr">
        <is>
          <t>range</t>
        </is>
      </c>
      <c r="H99" s="1" t="inlineStr">
        <is>
          <t>0,1</t>
        </is>
      </c>
      <c r="I99" s="1" t="inlineStr">
        <is>
          <t>96</t>
        </is>
      </c>
      <c r="L99" s="1">
        <f>CONCAT(IF(D99="數值",CONCATENATE(G99&amp;"("&amp;C99&amp;","&amp;IF(ISERROR(SEARCH(",",H99,1)),(H99&amp;","&amp;H99),H99)&amp;IF(ISBLANK(I99),"",IF(ISERROR(SEARCH(",",I99,1)),CONCATENATE(","&amp;I99&amp;","&amp;I99),CONCATENATE(","&amp;I99))&amp;IF(ISBLANK(J99),"",IF(ISERROR(SEARCH(",",J99,1)),CONCATENATE(","&amp;J99&amp;","&amp;J99),CONCATENATE(","&amp;J99))&amp;IF(ISBLANK(K99),"",IF(ISERROR(SEARCH(",",K99,1)),CONCATENATE(","&amp;K99&amp;","&amp;K99),CONCATENATE(","&amp;K99))))))&amp;")","")&amp;" "&amp;F99)</f>
        <v/>
      </c>
    </row>
    <row r="100">
      <c r="A100" s="1" t="n">
        <v>199</v>
      </c>
      <c r="B100" s="1">
        <f>A100</f>
        <v/>
      </c>
      <c r="C100" s="1" t="inlineStr">
        <is>
          <t>vKIG1</t>
        </is>
      </c>
      <c r="D100" s="1" t="inlineStr">
        <is>
          <t>數值</t>
        </is>
      </c>
      <c r="E100" s="1" t="n">
        <v>4</v>
      </c>
      <c r="G100" s="1" t="inlineStr">
        <is>
          <t>range</t>
        </is>
      </c>
      <c r="H100" s="1" t="inlineStr">
        <is>
          <t>95</t>
        </is>
      </c>
      <c r="I100" s="1" t="inlineStr">
        <is>
          <t>97,98</t>
        </is>
      </c>
      <c r="J100" s="1" t="n"/>
      <c r="L100" s="1">
        <f>CONCAT(IF(D100="數值",CONCATENATE(G100&amp;"("&amp;C100&amp;","&amp;IF(ISERROR(SEARCH(",",H100,1)),(H100&amp;","&amp;H100),H100)&amp;IF(ISBLANK(I100),"",IF(ISERROR(SEARCH(",",I100,1)),CONCATENATE(","&amp;I100&amp;","&amp;I100),CONCATENATE(","&amp;I100))&amp;IF(ISBLANK(J100),"",IF(ISERROR(SEARCH(",",J100,1)),CONCATENATE(","&amp;J100&amp;","&amp;J100),CONCATENATE(","&amp;J100))&amp;IF(ISBLANK(K100),"",IF(ISERROR(SEARCH(",",K100,1)),CONCATENATE(","&amp;K100&amp;","&amp;K100),CONCATENATE(","&amp;K100))))))&amp;")","")&amp;" "&amp;F100)</f>
        <v/>
      </c>
    </row>
    <row r="101">
      <c r="A101" s="1" t="n">
        <v>200</v>
      </c>
      <c r="B101" s="1">
        <f>A101</f>
        <v/>
      </c>
      <c r="C101" s="1" t="inlineStr">
        <is>
          <t>vKIG2</t>
        </is>
      </c>
      <c r="D101" s="1" t="inlineStr">
        <is>
          <t>數值</t>
        </is>
      </c>
      <c r="E101" s="1" t="n">
        <v>5</v>
      </c>
      <c r="G101" s="1" t="inlineStr">
        <is>
          <t>range</t>
        </is>
      </c>
      <c r="H101" s="1" t="inlineStr">
        <is>
          <t>1,2359</t>
        </is>
      </c>
      <c r="I101" s="1" t="inlineStr">
        <is>
          <t>9797</t>
        </is>
      </c>
      <c r="J101" s="1" t="inlineStr">
        <is>
          <t>9898</t>
        </is>
      </c>
      <c r="L101" s="1">
        <f>CONCAT(IF(D101="數值",CONCATENATE(G101&amp;"("&amp;C101&amp;","&amp;IF(ISERROR(SEARCH(",",H101,1)),(H101&amp;","&amp;H101),H101)&amp;IF(ISBLANK(I101),"",IF(ISERROR(SEARCH(",",I101,1)),CONCATENATE(","&amp;I101&amp;","&amp;I101),CONCATENATE(","&amp;I101))&amp;IF(ISBLANK(J101),"",IF(ISERROR(SEARCH(",",J101,1)),CONCATENATE(","&amp;J101&amp;","&amp;J101),CONCATENATE(","&amp;J101))&amp;IF(ISBLANK(K101),"",IF(ISERROR(SEARCH(",",K101,1)),CONCATENATE(","&amp;K101&amp;","&amp;K101),CONCATENATE(","&amp;K101))))))&amp;")","")&amp;" "&amp;F101)</f>
        <v/>
      </c>
    </row>
    <row r="102">
      <c r="A102" s="1" t="n">
        <v>201</v>
      </c>
      <c r="B102" s="1">
        <f>A102</f>
        <v/>
      </c>
      <c r="C102" s="1" t="inlineStr">
        <is>
          <t>vKIG3m01</t>
        </is>
      </c>
      <c r="D102" s="1" t="inlineStr">
        <is>
          <t>數值</t>
        </is>
      </c>
      <c r="E102" s="1" t="n">
        <v>2</v>
      </c>
      <c r="G102" s="1" t="inlineStr">
        <is>
          <t>range</t>
        </is>
      </c>
      <c r="H102" s="1" t="inlineStr">
        <is>
          <t>0,1</t>
        </is>
      </c>
      <c r="L102" s="1">
        <f>CONCAT(IF(D102="數值",CONCATENATE(G102&amp;"("&amp;C102&amp;","&amp;IF(ISERROR(SEARCH(",",H102,1)),(H102&amp;","&amp;H102),H102)&amp;IF(ISBLANK(I102),"",IF(ISERROR(SEARCH(",",I102,1)),CONCATENATE(","&amp;I102&amp;","&amp;I102),CONCATENATE(","&amp;I102))&amp;IF(ISBLANK(J102),"",IF(ISERROR(SEARCH(",",J102,1)),CONCATENATE(","&amp;J102&amp;","&amp;J102),CONCATENATE(","&amp;J102))&amp;IF(ISBLANK(K102),"",IF(ISERROR(SEARCH(",",K102,1)),CONCATENATE(","&amp;K102&amp;","&amp;K102),CONCATENATE(","&amp;K102))))))&amp;")","")&amp;" "&amp;F102)</f>
        <v/>
      </c>
    </row>
    <row r="103">
      <c r="A103" s="1" t="n">
        <v>202</v>
      </c>
      <c r="B103" s="1">
        <f>A103</f>
        <v/>
      </c>
      <c r="C103" s="1" t="inlineStr">
        <is>
          <t>vKIG3m02</t>
        </is>
      </c>
      <c r="D103" s="1" t="inlineStr">
        <is>
          <t>數值</t>
        </is>
      </c>
      <c r="E103" s="1" t="n">
        <v>2</v>
      </c>
      <c r="G103" s="1" t="inlineStr">
        <is>
          <t>range</t>
        </is>
      </c>
      <c r="H103" s="1" t="inlineStr">
        <is>
          <t>0,1</t>
        </is>
      </c>
      <c r="L103" s="1">
        <f>CONCAT(IF(D103="數值",CONCATENATE(G103&amp;"("&amp;C103&amp;","&amp;IF(ISERROR(SEARCH(",",H103,1)),(H103&amp;","&amp;H103),H103)&amp;IF(ISBLANK(I103),"",IF(ISERROR(SEARCH(",",I103,1)),CONCATENATE(","&amp;I103&amp;","&amp;I103),CONCATENATE(","&amp;I103))&amp;IF(ISBLANK(J103),"",IF(ISERROR(SEARCH(",",J103,1)),CONCATENATE(","&amp;J103&amp;","&amp;J103),CONCATENATE(","&amp;J103))&amp;IF(ISBLANK(K103),"",IF(ISERROR(SEARCH(",",K103,1)),CONCATENATE(","&amp;K103&amp;","&amp;K103),CONCATENATE(","&amp;K103))))))&amp;")","")&amp;" "&amp;F103)</f>
        <v/>
      </c>
    </row>
    <row r="104">
      <c r="A104" s="1" t="n">
        <v>203</v>
      </c>
      <c r="B104" s="1">
        <f>A104</f>
        <v/>
      </c>
      <c r="C104" s="1" t="inlineStr">
        <is>
          <t>vKIG3m03</t>
        </is>
      </c>
      <c r="D104" s="1" t="inlineStr">
        <is>
          <t>數值</t>
        </is>
      </c>
      <c r="E104" s="1" t="n">
        <v>2</v>
      </c>
      <c r="G104" s="1" t="inlineStr">
        <is>
          <t>range</t>
        </is>
      </c>
      <c r="H104" s="1" t="inlineStr">
        <is>
          <t>0,1</t>
        </is>
      </c>
      <c r="L104" s="1">
        <f>CONCAT(IF(D104="數值",CONCATENATE(G104&amp;"("&amp;C104&amp;","&amp;IF(ISERROR(SEARCH(",",H104,1)),(H104&amp;","&amp;H104),H104)&amp;IF(ISBLANK(I104),"",IF(ISERROR(SEARCH(",",I104,1)),CONCATENATE(","&amp;I104&amp;","&amp;I104),CONCATENATE(","&amp;I104))&amp;IF(ISBLANK(J104),"",IF(ISERROR(SEARCH(",",J104,1)),CONCATENATE(","&amp;J104&amp;","&amp;J104),CONCATENATE(","&amp;J104))&amp;IF(ISBLANK(K104),"",IF(ISERROR(SEARCH(",",K104,1)),CONCATENATE(","&amp;K104&amp;","&amp;K104),CONCATENATE(","&amp;K104))))))&amp;")","")&amp;" "&amp;F104)</f>
        <v/>
      </c>
    </row>
    <row r="105">
      <c r="A105" s="1" t="n">
        <v>204</v>
      </c>
      <c r="B105" s="1">
        <f>A105</f>
        <v/>
      </c>
      <c r="C105" s="1" t="inlineStr">
        <is>
          <t>vKIG3m04</t>
        </is>
      </c>
      <c r="D105" s="1" t="inlineStr">
        <is>
          <t>數值</t>
        </is>
      </c>
      <c r="E105" s="1" t="n">
        <v>2</v>
      </c>
      <c r="G105" s="1" t="inlineStr">
        <is>
          <t>range</t>
        </is>
      </c>
      <c r="H105" s="1" t="inlineStr">
        <is>
          <t>0,1</t>
        </is>
      </c>
      <c r="L105" s="1">
        <f>CONCAT(IF(D105="數值",CONCATENATE(G105&amp;"("&amp;C105&amp;","&amp;IF(ISERROR(SEARCH(",",H105,1)),(H105&amp;","&amp;H105),H105)&amp;IF(ISBLANK(I105),"",IF(ISERROR(SEARCH(",",I105,1)),CONCATENATE(","&amp;I105&amp;","&amp;I105),CONCATENATE(","&amp;I105))&amp;IF(ISBLANK(J105),"",IF(ISERROR(SEARCH(",",J105,1)),CONCATENATE(","&amp;J105&amp;","&amp;J105),CONCATENATE(","&amp;J105))&amp;IF(ISBLANK(K105),"",IF(ISERROR(SEARCH(",",K105,1)),CONCATENATE(","&amp;K105&amp;","&amp;K105),CONCATENATE(","&amp;K105))))))&amp;")","")&amp;" "&amp;F105)</f>
        <v/>
      </c>
    </row>
    <row r="106">
      <c r="A106" s="1" t="n">
        <v>205</v>
      </c>
      <c r="B106" s="1">
        <f>A106</f>
        <v/>
      </c>
      <c r="C106" s="1" t="inlineStr">
        <is>
          <t>vKIG3m05</t>
        </is>
      </c>
      <c r="D106" s="1" t="inlineStr">
        <is>
          <t>數值</t>
        </is>
      </c>
      <c r="E106" s="1" t="n">
        <v>2</v>
      </c>
      <c r="G106" s="1" t="inlineStr">
        <is>
          <t>range</t>
        </is>
      </c>
      <c r="H106" s="1" t="inlineStr">
        <is>
          <t>0,1</t>
        </is>
      </c>
      <c r="L106" s="1">
        <f>CONCAT(IF(D106="數值",CONCATENATE(G106&amp;"("&amp;C106&amp;","&amp;IF(ISERROR(SEARCH(",",H106,1)),(H106&amp;","&amp;H106),H106)&amp;IF(ISBLANK(I106),"",IF(ISERROR(SEARCH(",",I106,1)),CONCATENATE(","&amp;I106&amp;","&amp;I106),CONCATENATE(","&amp;I106))&amp;IF(ISBLANK(J106),"",IF(ISERROR(SEARCH(",",J106,1)),CONCATENATE(","&amp;J106&amp;","&amp;J106),CONCATENATE(","&amp;J106))&amp;IF(ISBLANK(K106),"",IF(ISERROR(SEARCH(",",K106,1)),CONCATENATE(","&amp;K106&amp;","&amp;K106),CONCATENATE(","&amp;K106))))))&amp;")","")&amp;" "&amp;F106)</f>
        <v/>
      </c>
    </row>
    <row r="107">
      <c r="A107" s="1" t="n">
        <v>206</v>
      </c>
      <c r="B107" s="1">
        <f>A107</f>
        <v/>
      </c>
      <c r="C107" s="1" t="inlineStr">
        <is>
          <t>vKIG3m06</t>
        </is>
      </c>
      <c r="D107" s="1" t="inlineStr">
        <is>
          <t>數值</t>
        </is>
      </c>
      <c r="E107" s="1" t="n">
        <v>2</v>
      </c>
      <c r="G107" s="1" t="inlineStr">
        <is>
          <t>range</t>
        </is>
      </c>
      <c r="H107" s="1" t="inlineStr">
        <is>
          <t>0,1</t>
        </is>
      </c>
      <c r="L107" s="1">
        <f>CONCAT(IF(D107="數值",CONCATENATE(G107&amp;"("&amp;C107&amp;","&amp;IF(ISERROR(SEARCH(",",H107,1)),(H107&amp;","&amp;H107),H107)&amp;IF(ISBLANK(I107),"",IF(ISERROR(SEARCH(",",I107,1)),CONCATENATE(","&amp;I107&amp;","&amp;I107),CONCATENATE(","&amp;I107))&amp;IF(ISBLANK(J107),"",IF(ISERROR(SEARCH(",",J107,1)),CONCATENATE(","&amp;J107&amp;","&amp;J107),CONCATENATE(","&amp;J107))&amp;IF(ISBLANK(K107),"",IF(ISERROR(SEARCH(",",K107,1)),CONCATENATE(","&amp;K107&amp;","&amp;K107),CONCATENATE(","&amp;K107))))))&amp;")","")&amp;" "&amp;F107)</f>
        <v/>
      </c>
    </row>
    <row r="108">
      <c r="A108" s="1" t="n">
        <v>207</v>
      </c>
      <c r="B108" s="1">
        <f>A108</f>
        <v/>
      </c>
      <c r="C108" s="1" t="inlineStr">
        <is>
          <t>vKIG3m07</t>
        </is>
      </c>
      <c r="D108" s="1" t="inlineStr">
        <is>
          <t>數值</t>
        </is>
      </c>
      <c r="E108" s="1" t="n">
        <v>2</v>
      </c>
      <c r="G108" s="1" t="inlineStr">
        <is>
          <t>range</t>
        </is>
      </c>
      <c r="H108" s="1" t="inlineStr">
        <is>
          <t>0,1</t>
        </is>
      </c>
      <c r="L108" s="1">
        <f>CONCAT(IF(D108="數值",CONCATENATE(G108&amp;"("&amp;C108&amp;","&amp;IF(ISERROR(SEARCH(",",H108,1)),(H108&amp;","&amp;H108),H108)&amp;IF(ISBLANK(I108),"",IF(ISERROR(SEARCH(",",I108,1)),CONCATENATE(","&amp;I108&amp;","&amp;I108),CONCATENATE(","&amp;I108))&amp;IF(ISBLANK(J108),"",IF(ISERROR(SEARCH(",",J108,1)),CONCATENATE(","&amp;J108&amp;","&amp;J108),CONCATENATE(","&amp;J108))&amp;IF(ISBLANK(K108),"",IF(ISERROR(SEARCH(",",K108,1)),CONCATENATE(","&amp;K108&amp;","&amp;K108),CONCATENATE(","&amp;K108))))))&amp;")","")&amp;" "&amp;F108)</f>
        <v/>
      </c>
    </row>
    <row r="109">
      <c r="A109" s="1" t="n">
        <v>208</v>
      </c>
      <c r="B109" s="1">
        <f>A109</f>
        <v/>
      </c>
      <c r="C109" s="1" t="inlineStr">
        <is>
          <t>vKIG3m08</t>
        </is>
      </c>
      <c r="D109" s="1" t="inlineStr">
        <is>
          <t>數值</t>
        </is>
      </c>
      <c r="E109" s="1" t="n">
        <v>2</v>
      </c>
      <c r="G109" s="1" t="inlineStr">
        <is>
          <t>range</t>
        </is>
      </c>
      <c r="H109" s="1" t="inlineStr">
        <is>
          <t>0,1</t>
        </is>
      </c>
      <c r="L109" s="1">
        <f>CONCAT(IF(D109="數值",CONCATENATE(G109&amp;"("&amp;C109&amp;","&amp;IF(ISERROR(SEARCH(",",H109,1)),(H109&amp;","&amp;H109),H109)&amp;IF(ISBLANK(I109),"",IF(ISERROR(SEARCH(",",I109,1)),CONCATENATE(","&amp;I109&amp;","&amp;I109),CONCATENATE(","&amp;I109))&amp;IF(ISBLANK(J109),"",IF(ISERROR(SEARCH(",",J109,1)),CONCATENATE(","&amp;J109&amp;","&amp;J109),CONCATENATE(","&amp;J109))&amp;IF(ISBLANK(K109),"",IF(ISERROR(SEARCH(",",K109,1)),CONCATENATE(","&amp;K109&amp;","&amp;K109),CONCATENATE(","&amp;K109))))))&amp;")","")&amp;" "&amp;F109)</f>
        <v/>
      </c>
    </row>
    <row r="110">
      <c r="A110" s="1" t="n">
        <v>209</v>
      </c>
      <c r="B110" s="1">
        <f>A110</f>
        <v/>
      </c>
      <c r="C110" s="1" t="inlineStr">
        <is>
          <t>vKIG3m09</t>
        </is>
      </c>
      <c r="D110" s="1" t="inlineStr">
        <is>
          <t>數值</t>
        </is>
      </c>
      <c r="E110" s="1" t="n">
        <v>2</v>
      </c>
      <c r="G110" s="1" t="inlineStr">
        <is>
          <t>range</t>
        </is>
      </c>
      <c r="H110" s="1" t="inlineStr">
        <is>
          <t>0,1</t>
        </is>
      </c>
      <c r="L110" s="1">
        <f>CONCAT(IF(D110="數值",CONCATENATE(G110&amp;"("&amp;C110&amp;","&amp;IF(ISERROR(SEARCH(",",H110,1)),(H110&amp;","&amp;H110),H110)&amp;IF(ISBLANK(I110),"",IF(ISERROR(SEARCH(",",I110,1)),CONCATENATE(","&amp;I110&amp;","&amp;I110),CONCATENATE(","&amp;I110))&amp;IF(ISBLANK(J110),"",IF(ISERROR(SEARCH(",",J110,1)),CONCATENATE(","&amp;J110&amp;","&amp;J110),CONCATENATE(","&amp;J110))&amp;IF(ISBLANK(K110),"",IF(ISERROR(SEARCH(",",K110,1)),CONCATENATE(","&amp;K110&amp;","&amp;K110),CONCATENATE(","&amp;K110))))))&amp;")","")&amp;" "&amp;F110)</f>
        <v/>
      </c>
    </row>
    <row r="111">
      <c r="A111" s="1" t="n">
        <v>210</v>
      </c>
      <c r="B111" s="1">
        <f>A111</f>
        <v/>
      </c>
      <c r="C111" s="1" t="inlineStr">
        <is>
          <t>vKIG3m10</t>
        </is>
      </c>
      <c r="D111" s="1" t="inlineStr">
        <is>
          <t>數值</t>
        </is>
      </c>
      <c r="E111" s="1" t="n">
        <v>2</v>
      </c>
      <c r="G111" s="1" t="inlineStr">
        <is>
          <t>range</t>
        </is>
      </c>
      <c r="H111" s="1" t="inlineStr">
        <is>
          <t>0,1</t>
        </is>
      </c>
      <c r="I111" s="1" t="inlineStr">
        <is>
          <t>96</t>
        </is>
      </c>
      <c r="L111" s="1">
        <f>CONCAT(IF(D111="數值",CONCATENATE(G111&amp;"("&amp;C111&amp;","&amp;IF(ISERROR(SEARCH(",",H111,1)),(H111&amp;","&amp;H111),H111)&amp;IF(ISBLANK(I111),"",IF(ISERROR(SEARCH(",",I111,1)),CONCATENATE(","&amp;I111&amp;","&amp;I111),CONCATENATE(","&amp;I111))&amp;IF(ISBLANK(J111),"",IF(ISERROR(SEARCH(",",J111,1)),CONCATENATE(","&amp;J111&amp;","&amp;J111),CONCATENATE(","&amp;J111))&amp;IF(ISBLANK(K111),"",IF(ISERROR(SEARCH(",",K111,1)),CONCATENATE(","&amp;K111&amp;","&amp;K111),CONCATENATE(","&amp;K111))))))&amp;")","")&amp;" "&amp;F111)</f>
        <v/>
      </c>
    </row>
    <row r="112">
      <c r="A112" s="1" t="n">
        <v>211</v>
      </c>
      <c r="B112" s="1">
        <f>A112</f>
        <v/>
      </c>
      <c r="C112" s="1" t="inlineStr">
        <is>
          <t>vKIG3m11</t>
        </is>
      </c>
      <c r="D112" s="1" t="inlineStr">
        <is>
          <t>數值</t>
        </is>
      </c>
      <c r="E112" s="1" t="n">
        <v>2</v>
      </c>
      <c r="G112" s="1" t="inlineStr">
        <is>
          <t>range</t>
        </is>
      </c>
      <c r="H112" s="1" t="inlineStr">
        <is>
          <t>0,1</t>
        </is>
      </c>
      <c r="I112" s="1" t="inlineStr">
        <is>
          <t>96</t>
        </is>
      </c>
      <c r="L112" s="1">
        <f>CONCAT(IF(D112="數值",CONCATENATE(G112&amp;"("&amp;C112&amp;","&amp;IF(ISERROR(SEARCH(",",H112,1)),(H112&amp;","&amp;H112),H112)&amp;IF(ISBLANK(I112),"",IF(ISERROR(SEARCH(",",I112,1)),CONCATENATE(","&amp;I112&amp;","&amp;I112),CONCATENATE(","&amp;I112))&amp;IF(ISBLANK(J112),"",IF(ISERROR(SEARCH(",",J112,1)),CONCATENATE(","&amp;J112&amp;","&amp;J112),CONCATENATE(","&amp;J112))&amp;IF(ISBLANK(K112),"",IF(ISERROR(SEARCH(",",K112,1)),CONCATENATE(","&amp;K112&amp;","&amp;K112),CONCATENATE(","&amp;K112))))))&amp;")","")&amp;" "&amp;F112)</f>
        <v/>
      </c>
    </row>
    <row r="113">
      <c r="A113" s="1" t="n">
        <v>212</v>
      </c>
      <c r="B113" s="1">
        <f>A113</f>
        <v/>
      </c>
      <c r="C113" s="1" t="inlineStr">
        <is>
          <t>vKIG3m12</t>
        </is>
      </c>
      <c r="D113" s="1" t="inlineStr">
        <is>
          <t>數值</t>
        </is>
      </c>
      <c r="E113" s="1" t="n">
        <v>2</v>
      </c>
      <c r="G113" s="1" t="inlineStr">
        <is>
          <t>range</t>
        </is>
      </c>
      <c r="H113" s="1" t="inlineStr">
        <is>
          <t>0,1</t>
        </is>
      </c>
      <c r="I113" s="1" t="inlineStr">
        <is>
          <t>96</t>
        </is>
      </c>
      <c r="L113" s="1">
        <f>CONCAT(IF(D113="數值",CONCATENATE(G113&amp;"("&amp;C113&amp;","&amp;IF(ISERROR(SEARCH(",",H113,1)),(H113&amp;","&amp;H113),H113)&amp;IF(ISBLANK(I113),"",IF(ISERROR(SEARCH(",",I113,1)),CONCATENATE(","&amp;I113&amp;","&amp;I113),CONCATENATE(","&amp;I113))&amp;IF(ISBLANK(J113),"",IF(ISERROR(SEARCH(",",J113,1)),CONCATENATE(","&amp;J113&amp;","&amp;J113),CONCATENATE(","&amp;J113))&amp;IF(ISBLANK(K113),"",IF(ISERROR(SEARCH(",",K113,1)),CONCATENATE(","&amp;K113&amp;","&amp;K113),CONCATENATE(","&amp;K113))))))&amp;")","")&amp;" "&amp;F113)</f>
        <v/>
      </c>
    </row>
    <row r="114">
      <c r="A114" s="1" t="n">
        <v>213</v>
      </c>
      <c r="B114" s="1">
        <f>A114</f>
        <v/>
      </c>
      <c r="C114" s="1" t="inlineStr">
        <is>
          <t>vKIG3m13</t>
        </is>
      </c>
      <c r="D114" s="1" t="inlineStr">
        <is>
          <t>數值</t>
        </is>
      </c>
      <c r="E114" s="1" t="n">
        <v>2</v>
      </c>
      <c r="G114" s="1" t="inlineStr">
        <is>
          <t>range</t>
        </is>
      </c>
      <c r="H114" s="1" t="inlineStr">
        <is>
          <t>0,1</t>
        </is>
      </c>
      <c r="I114" s="1" t="inlineStr">
        <is>
          <t>96</t>
        </is>
      </c>
      <c r="L114" s="1">
        <f>CONCAT(IF(D114="數值",CONCATENATE(G114&amp;"("&amp;C114&amp;","&amp;IF(ISERROR(SEARCH(",",H114,1)),(H114&amp;","&amp;H114),H114)&amp;IF(ISBLANK(I114),"",IF(ISERROR(SEARCH(",",I114,1)),CONCATENATE(","&amp;I114&amp;","&amp;I114),CONCATENATE(","&amp;I114))&amp;IF(ISBLANK(J114),"",IF(ISERROR(SEARCH(",",J114,1)),CONCATENATE(","&amp;J114&amp;","&amp;J114),CONCATENATE(","&amp;J114))&amp;IF(ISBLANK(K114),"",IF(ISERROR(SEARCH(",",K114,1)),CONCATENATE(","&amp;K114&amp;","&amp;K114),CONCATENATE(","&amp;K114))))))&amp;")","")&amp;" "&amp;F114)</f>
        <v/>
      </c>
    </row>
    <row r="115">
      <c r="A115" s="1" t="n">
        <v>214</v>
      </c>
      <c r="B115" s="1">
        <f>A115</f>
        <v/>
      </c>
      <c r="C115" s="1" t="inlineStr">
        <is>
          <t>vKIG3m14</t>
        </is>
      </c>
      <c r="D115" s="1" t="inlineStr">
        <is>
          <t>數值</t>
        </is>
      </c>
      <c r="E115" s="1" t="n">
        <v>2</v>
      </c>
      <c r="G115" s="1" t="inlineStr">
        <is>
          <t>range</t>
        </is>
      </c>
      <c r="H115" s="1" t="inlineStr">
        <is>
          <t>0,1</t>
        </is>
      </c>
      <c r="I115" s="1" t="inlineStr">
        <is>
          <t>96</t>
        </is>
      </c>
      <c r="L115" s="1">
        <f>CONCAT(IF(D115="數值",CONCATENATE(G115&amp;"("&amp;C115&amp;","&amp;IF(ISERROR(SEARCH(",",H115,1)),(H115&amp;","&amp;H115),H115)&amp;IF(ISBLANK(I115),"",IF(ISERROR(SEARCH(",",I115,1)),CONCATENATE(","&amp;I115&amp;","&amp;I115),CONCATENATE(","&amp;I115))&amp;IF(ISBLANK(J115),"",IF(ISERROR(SEARCH(",",J115,1)),CONCATENATE(","&amp;J115&amp;","&amp;J115),CONCATENATE(","&amp;J115))&amp;IF(ISBLANK(K115),"",IF(ISERROR(SEARCH(",",K115,1)),CONCATENATE(","&amp;K115&amp;","&amp;K115),CONCATENATE(","&amp;K115))))))&amp;")","")&amp;" "&amp;F115)</f>
        <v/>
      </c>
    </row>
    <row r="116">
      <c r="A116" s="1" t="n">
        <v>215</v>
      </c>
      <c r="B116" s="1">
        <f>A116</f>
        <v/>
      </c>
      <c r="C116" s="1" t="inlineStr">
        <is>
          <t>vKIG3m15</t>
        </is>
      </c>
      <c r="D116" s="1" t="inlineStr">
        <is>
          <t>數值</t>
        </is>
      </c>
      <c r="E116" s="1" t="n">
        <v>2</v>
      </c>
      <c r="G116" s="1" t="inlineStr">
        <is>
          <t>range</t>
        </is>
      </c>
      <c r="H116" s="1" t="inlineStr">
        <is>
          <t>0,1</t>
        </is>
      </c>
      <c r="I116" s="1" t="inlineStr">
        <is>
          <t>96</t>
        </is>
      </c>
      <c r="L116" s="1">
        <f>CONCAT(IF(D116="數值",CONCATENATE(G116&amp;"("&amp;C116&amp;","&amp;IF(ISERROR(SEARCH(",",H116,1)),(H116&amp;","&amp;H116),H116)&amp;IF(ISBLANK(I116),"",IF(ISERROR(SEARCH(",",I116,1)),CONCATENATE(","&amp;I116&amp;","&amp;I116),CONCATENATE(","&amp;I116))&amp;IF(ISBLANK(J116),"",IF(ISERROR(SEARCH(",",J116,1)),CONCATENATE(","&amp;J116&amp;","&amp;J116),CONCATENATE(","&amp;J116))&amp;IF(ISBLANK(K116),"",IF(ISERROR(SEARCH(",",K116,1)),CONCATENATE(","&amp;K116&amp;","&amp;K116),CONCATENATE(","&amp;K116))))))&amp;")","")&amp;" "&amp;F116)</f>
        <v/>
      </c>
    </row>
    <row r="117">
      <c r="A117" s="1" t="n">
        <v>216</v>
      </c>
      <c r="B117" s="1">
        <f>A117</f>
        <v/>
      </c>
      <c r="C117" s="1" t="inlineStr">
        <is>
          <t>vKIG3m16</t>
        </is>
      </c>
      <c r="D117" s="1" t="inlineStr">
        <is>
          <t>數值</t>
        </is>
      </c>
      <c r="E117" s="1" t="n">
        <v>2</v>
      </c>
      <c r="G117" s="1" t="inlineStr">
        <is>
          <t>range</t>
        </is>
      </c>
      <c r="H117" s="1" t="inlineStr">
        <is>
          <t>0,1</t>
        </is>
      </c>
      <c r="I117" s="1" t="inlineStr">
        <is>
          <t>96</t>
        </is>
      </c>
      <c r="L117" s="1">
        <f>CONCAT(IF(D117="數值",CONCATENATE(G117&amp;"("&amp;C117&amp;","&amp;IF(ISERROR(SEARCH(",",H117,1)),(H117&amp;","&amp;H117),H117)&amp;IF(ISBLANK(I117),"",IF(ISERROR(SEARCH(",",I117,1)),CONCATENATE(","&amp;I117&amp;","&amp;I117),CONCATENATE(","&amp;I117))&amp;IF(ISBLANK(J117),"",IF(ISERROR(SEARCH(",",J117,1)),CONCATENATE(","&amp;J117&amp;","&amp;J117),CONCATENATE(","&amp;J117))&amp;IF(ISBLANK(K117),"",IF(ISERROR(SEARCH(",",K117,1)),CONCATENATE(","&amp;K117&amp;","&amp;K117),CONCATENATE(","&amp;K117))))))&amp;")","")&amp;" "&amp;F117)</f>
        <v/>
      </c>
    </row>
    <row r="118">
      <c r="A118" s="1" t="n">
        <v>217</v>
      </c>
      <c r="B118" s="1">
        <f>A118</f>
        <v/>
      </c>
      <c r="C118" s="1" t="inlineStr">
        <is>
          <t>vKIG3m17</t>
        </is>
      </c>
      <c r="D118" s="1" t="inlineStr">
        <is>
          <t>數值</t>
        </is>
      </c>
      <c r="E118" s="1" t="n">
        <v>2</v>
      </c>
      <c r="G118" s="1" t="inlineStr">
        <is>
          <t>range</t>
        </is>
      </c>
      <c r="H118" s="1" t="inlineStr">
        <is>
          <t>0,1</t>
        </is>
      </c>
      <c r="I118" s="1" t="inlineStr">
        <is>
          <t>96</t>
        </is>
      </c>
      <c r="L118" s="1">
        <f>CONCAT(IF(D118="數值",CONCATENATE(G118&amp;"("&amp;C118&amp;","&amp;IF(ISERROR(SEARCH(",",H118,1)),(H118&amp;","&amp;H118),H118)&amp;IF(ISBLANK(I118),"",IF(ISERROR(SEARCH(",",I118,1)),CONCATENATE(","&amp;I118&amp;","&amp;I118),CONCATENATE(","&amp;I118))&amp;IF(ISBLANK(J118),"",IF(ISERROR(SEARCH(",",J118,1)),CONCATENATE(","&amp;J118&amp;","&amp;J118),CONCATENATE(","&amp;J118))&amp;IF(ISBLANK(K118),"",IF(ISERROR(SEARCH(",",K118,1)),CONCATENATE(","&amp;K118&amp;","&amp;K118),CONCATENATE(","&amp;K118))))))&amp;")","")&amp;" "&amp;F118)</f>
        <v/>
      </c>
    </row>
    <row r="119">
      <c r="A119" s="1" t="n">
        <v>218</v>
      </c>
      <c r="B119" s="1">
        <f>A119</f>
        <v/>
      </c>
      <c r="C119" s="1" t="inlineStr">
        <is>
          <t>vKIG3m88</t>
        </is>
      </c>
      <c r="D119" s="1" t="inlineStr">
        <is>
          <t>數值</t>
        </is>
      </c>
      <c r="E119" s="1" t="n">
        <v>2</v>
      </c>
      <c r="G119" s="1" t="inlineStr">
        <is>
          <t>range</t>
        </is>
      </c>
      <c r="H119" s="1" t="inlineStr">
        <is>
          <t>0,1</t>
        </is>
      </c>
      <c r="I119" s="1" t="inlineStr">
        <is>
          <t>96</t>
        </is>
      </c>
      <c r="L119" s="1">
        <f>CONCAT(IF(D119="數值",CONCATENATE(G119&amp;"("&amp;C119&amp;","&amp;IF(ISERROR(SEARCH(",",H119,1)),(H119&amp;","&amp;H119),H119)&amp;IF(ISBLANK(I119),"",IF(ISERROR(SEARCH(",",I119,1)),CONCATENATE(","&amp;I119&amp;","&amp;I119),CONCATENATE(","&amp;I119))&amp;IF(ISBLANK(J119),"",IF(ISERROR(SEARCH(",",J119,1)),CONCATENATE(","&amp;J119&amp;","&amp;J119),CONCATENATE(","&amp;J119))&amp;IF(ISBLANK(K119),"",IF(ISERROR(SEARCH(",",K119,1)),CONCATENATE(","&amp;K119&amp;","&amp;K119),CONCATENATE(","&amp;K119))))))&amp;")","")&amp;" "&amp;F119)</f>
        <v/>
      </c>
    </row>
    <row r="120">
      <c r="A120" s="1" t="n">
        <v>219</v>
      </c>
      <c r="B120" s="1">
        <f>A120</f>
        <v/>
      </c>
      <c r="C120" s="1" t="inlineStr">
        <is>
          <t>vKIG4m01</t>
        </is>
      </c>
      <c r="D120" s="1" t="inlineStr">
        <is>
          <t>數值</t>
        </is>
      </c>
      <c r="E120" s="1" t="n">
        <v>2</v>
      </c>
      <c r="G120" s="1" t="inlineStr">
        <is>
          <t>range</t>
        </is>
      </c>
      <c r="H120" s="1" t="inlineStr">
        <is>
          <t>0,1</t>
        </is>
      </c>
      <c r="L120" s="1">
        <f>CONCAT(IF(D120="數值",CONCATENATE(G120&amp;"("&amp;C120&amp;","&amp;IF(ISERROR(SEARCH(",",H120,1)),(H120&amp;","&amp;H120),H120)&amp;IF(ISBLANK(I120),"",IF(ISERROR(SEARCH(",",I120,1)),CONCATENATE(","&amp;I120&amp;","&amp;I120),CONCATENATE(","&amp;I120))&amp;IF(ISBLANK(J120),"",IF(ISERROR(SEARCH(",",J120,1)),CONCATENATE(","&amp;J120&amp;","&amp;J120),CONCATENATE(","&amp;J120))&amp;IF(ISBLANK(K120),"",IF(ISERROR(SEARCH(",",K120,1)),CONCATENATE(","&amp;K120&amp;","&amp;K120),CONCATENATE(","&amp;K120))))))&amp;")","")&amp;" "&amp;F120)</f>
        <v/>
      </c>
    </row>
    <row r="121">
      <c r="A121" s="1" t="n">
        <v>220</v>
      </c>
      <c r="B121" s="1">
        <f>A121</f>
        <v/>
      </c>
      <c r="C121" s="1" t="inlineStr">
        <is>
          <t>vKIG4m02</t>
        </is>
      </c>
      <c r="D121" s="1" t="inlineStr">
        <is>
          <t>數值</t>
        </is>
      </c>
      <c r="E121" s="1" t="n">
        <v>2</v>
      </c>
      <c r="G121" s="1" t="inlineStr">
        <is>
          <t>range</t>
        </is>
      </c>
      <c r="H121" s="1" t="inlineStr">
        <is>
          <t>0,1</t>
        </is>
      </c>
      <c r="L121" s="1">
        <f>CONCAT(IF(D121="數值",CONCATENATE(G121&amp;"("&amp;C121&amp;","&amp;IF(ISERROR(SEARCH(",",H121,1)),(H121&amp;","&amp;H121),H121)&amp;IF(ISBLANK(I121),"",IF(ISERROR(SEARCH(",",I121,1)),CONCATENATE(","&amp;I121&amp;","&amp;I121),CONCATENATE(","&amp;I121))&amp;IF(ISBLANK(J121),"",IF(ISERROR(SEARCH(",",J121,1)),CONCATENATE(","&amp;J121&amp;","&amp;J121),CONCATENATE(","&amp;J121))&amp;IF(ISBLANK(K121),"",IF(ISERROR(SEARCH(",",K121,1)),CONCATENATE(","&amp;K121&amp;","&amp;K121),CONCATENATE(","&amp;K121))))))&amp;")","")&amp;" "&amp;F121)</f>
        <v/>
      </c>
    </row>
    <row r="122">
      <c r="A122" s="1" t="n">
        <v>221</v>
      </c>
      <c r="B122" s="1">
        <f>A122</f>
        <v/>
      </c>
      <c r="C122" s="1" t="inlineStr">
        <is>
          <t>vKIG4m03</t>
        </is>
      </c>
      <c r="D122" s="1" t="inlineStr">
        <is>
          <t>數值</t>
        </is>
      </c>
      <c r="E122" s="1" t="n">
        <v>2</v>
      </c>
      <c r="G122" s="1" t="inlineStr">
        <is>
          <t>range</t>
        </is>
      </c>
      <c r="H122" s="1" t="inlineStr">
        <is>
          <t>0,1</t>
        </is>
      </c>
      <c r="L122" s="1">
        <f>CONCAT(IF(D122="數值",CONCATENATE(G122&amp;"("&amp;C122&amp;","&amp;IF(ISERROR(SEARCH(",",H122,1)),(H122&amp;","&amp;H122),H122)&amp;IF(ISBLANK(I122),"",IF(ISERROR(SEARCH(",",I122,1)),CONCATENATE(","&amp;I122&amp;","&amp;I122),CONCATENATE(","&amp;I122))&amp;IF(ISBLANK(J122),"",IF(ISERROR(SEARCH(",",J122,1)),CONCATENATE(","&amp;J122&amp;","&amp;J122),CONCATENATE(","&amp;J122))&amp;IF(ISBLANK(K122),"",IF(ISERROR(SEARCH(",",K122,1)),CONCATENATE(","&amp;K122&amp;","&amp;K122),CONCATENATE(","&amp;K122))))))&amp;")","")&amp;" "&amp;F122)</f>
        <v/>
      </c>
    </row>
    <row r="123">
      <c r="A123" s="1" t="n">
        <v>222</v>
      </c>
      <c r="B123" s="1">
        <f>A123</f>
        <v/>
      </c>
      <c r="C123" s="1" t="inlineStr">
        <is>
          <t>vKIG4m04</t>
        </is>
      </c>
      <c r="D123" s="1" t="inlineStr">
        <is>
          <t>數值</t>
        </is>
      </c>
      <c r="E123" s="1" t="n">
        <v>2</v>
      </c>
      <c r="G123" s="1" t="inlineStr">
        <is>
          <t>range</t>
        </is>
      </c>
      <c r="H123" s="1" t="inlineStr">
        <is>
          <t>0,1</t>
        </is>
      </c>
      <c r="L123" s="1">
        <f>CONCAT(IF(D123="數值",CONCATENATE(G123&amp;"("&amp;C123&amp;","&amp;IF(ISERROR(SEARCH(",",H123,1)),(H123&amp;","&amp;H123),H123)&amp;IF(ISBLANK(I123),"",IF(ISERROR(SEARCH(",",I123,1)),CONCATENATE(","&amp;I123&amp;","&amp;I123),CONCATENATE(","&amp;I123))&amp;IF(ISBLANK(J123),"",IF(ISERROR(SEARCH(",",J123,1)),CONCATENATE(","&amp;J123&amp;","&amp;J123),CONCATENATE(","&amp;J123))&amp;IF(ISBLANK(K123),"",IF(ISERROR(SEARCH(",",K123,1)),CONCATENATE(","&amp;K123&amp;","&amp;K123),CONCATENATE(","&amp;K123))))))&amp;")","")&amp;" "&amp;F123)</f>
        <v/>
      </c>
    </row>
    <row r="124">
      <c r="A124" s="1" t="n">
        <v>223</v>
      </c>
      <c r="B124" s="1">
        <f>A124</f>
        <v/>
      </c>
      <c r="C124" s="1" t="inlineStr">
        <is>
          <t>vKIG4m05</t>
        </is>
      </c>
      <c r="D124" s="1" t="inlineStr">
        <is>
          <t>數值</t>
        </is>
      </c>
      <c r="E124" s="1" t="n">
        <v>2</v>
      </c>
      <c r="G124" s="1" t="inlineStr">
        <is>
          <t>range</t>
        </is>
      </c>
      <c r="H124" s="1" t="inlineStr">
        <is>
          <t>0,1</t>
        </is>
      </c>
      <c r="L124" s="1">
        <f>CONCAT(IF(D124="數值",CONCATENATE(G124&amp;"("&amp;C124&amp;","&amp;IF(ISERROR(SEARCH(",",H124,1)),(H124&amp;","&amp;H124),H124)&amp;IF(ISBLANK(I124),"",IF(ISERROR(SEARCH(",",I124,1)),CONCATENATE(","&amp;I124&amp;","&amp;I124),CONCATENATE(","&amp;I124))&amp;IF(ISBLANK(J124),"",IF(ISERROR(SEARCH(",",J124,1)),CONCATENATE(","&amp;J124&amp;","&amp;J124),CONCATENATE(","&amp;J124))&amp;IF(ISBLANK(K124),"",IF(ISERROR(SEARCH(",",K124,1)),CONCATENATE(","&amp;K124&amp;","&amp;K124),CONCATENATE(","&amp;K124))))))&amp;")","")&amp;" "&amp;F124)</f>
        <v/>
      </c>
    </row>
    <row r="125">
      <c r="A125" s="1" t="n">
        <v>224</v>
      </c>
      <c r="B125" s="1">
        <f>A125</f>
        <v/>
      </c>
      <c r="C125" s="1" t="inlineStr">
        <is>
          <t>vKIG4m06</t>
        </is>
      </c>
      <c r="D125" s="1" t="inlineStr">
        <is>
          <t>數值</t>
        </is>
      </c>
      <c r="E125" s="1" t="n">
        <v>2</v>
      </c>
      <c r="G125" s="1" t="inlineStr">
        <is>
          <t>range</t>
        </is>
      </c>
      <c r="H125" s="1" t="inlineStr">
        <is>
          <t>0,1</t>
        </is>
      </c>
      <c r="L125" s="1">
        <f>CONCAT(IF(D125="數值",CONCATENATE(G125&amp;"("&amp;C125&amp;","&amp;IF(ISERROR(SEARCH(",",H125,1)),(H125&amp;","&amp;H125),H125)&amp;IF(ISBLANK(I125),"",IF(ISERROR(SEARCH(",",I125,1)),CONCATENATE(","&amp;I125&amp;","&amp;I125),CONCATENATE(","&amp;I125))&amp;IF(ISBLANK(J125),"",IF(ISERROR(SEARCH(",",J125,1)),CONCATENATE(","&amp;J125&amp;","&amp;J125),CONCATENATE(","&amp;J125))&amp;IF(ISBLANK(K125),"",IF(ISERROR(SEARCH(",",K125,1)),CONCATENATE(","&amp;K125&amp;","&amp;K125),CONCATENATE(","&amp;K125))))))&amp;")","")&amp;" "&amp;F125)</f>
        <v/>
      </c>
    </row>
    <row r="126">
      <c r="A126" s="1" t="n">
        <v>225</v>
      </c>
      <c r="B126" s="1">
        <f>A126</f>
        <v/>
      </c>
      <c r="C126" s="1" t="inlineStr">
        <is>
          <t>vKIG4m07</t>
        </is>
      </c>
      <c r="D126" s="1" t="inlineStr">
        <is>
          <t>數值</t>
        </is>
      </c>
      <c r="E126" s="1" t="n">
        <v>2</v>
      </c>
      <c r="G126" s="1" t="inlineStr">
        <is>
          <t>range</t>
        </is>
      </c>
      <c r="H126" s="1" t="inlineStr">
        <is>
          <t>0,1</t>
        </is>
      </c>
      <c r="L126" s="1">
        <f>CONCAT(IF(D126="數值",CONCATENATE(G126&amp;"("&amp;C126&amp;","&amp;IF(ISERROR(SEARCH(",",H126,1)),(H126&amp;","&amp;H126),H126)&amp;IF(ISBLANK(I126),"",IF(ISERROR(SEARCH(",",I126,1)),CONCATENATE(","&amp;I126&amp;","&amp;I126),CONCATENATE(","&amp;I126))&amp;IF(ISBLANK(J126),"",IF(ISERROR(SEARCH(",",J126,1)),CONCATENATE(","&amp;J126&amp;","&amp;J126),CONCATENATE(","&amp;J126))&amp;IF(ISBLANK(K126),"",IF(ISERROR(SEARCH(",",K126,1)),CONCATENATE(","&amp;K126&amp;","&amp;K126),CONCATENATE(","&amp;K126))))))&amp;")","")&amp;" "&amp;F126)</f>
        <v/>
      </c>
    </row>
    <row r="127">
      <c r="A127" s="1" t="n">
        <v>226</v>
      </c>
      <c r="B127" s="1">
        <f>A127</f>
        <v/>
      </c>
      <c r="C127" s="1" t="inlineStr">
        <is>
          <t>vKIG4m08</t>
        </is>
      </c>
      <c r="D127" s="1" t="inlineStr">
        <is>
          <t>數值</t>
        </is>
      </c>
      <c r="E127" s="1" t="n">
        <v>2</v>
      </c>
      <c r="G127" s="1" t="inlineStr">
        <is>
          <t>range</t>
        </is>
      </c>
      <c r="H127" s="1" t="inlineStr">
        <is>
          <t>0,1</t>
        </is>
      </c>
      <c r="L127" s="1">
        <f>CONCAT(IF(D127="數值",CONCATENATE(G127&amp;"("&amp;C127&amp;","&amp;IF(ISERROR(SEARCH(",",H127,1)),(H127&amp;","&amp;H127),H127)&amp;IF(ISBLANK(I127),"",IF(ISERROR(SEARCH(",",I127,1)),CONCATENATE(","&amp;I127&amp;","&amp;I127),CONCATENATE(","&amp;I127))&amp;IF(ISBLANK(J127),"",IF(ISERROR(SEARCH(",",J127,1)),CONCATENATE(","&amp;J127&amp;","&amp;J127),CONCATENATE(","&amp;J127))&amp;IF(ISBLANK(K127),"",IF(ISERROR(SEARCH(",",K127,1)),CONCATENATE(","&amp;K127&amp;","&amp;K127),CONCATENATE(","&amp;K127))))))&amp;")","")&amp;" "&amp;F127)</f>
        <v/>
      </c>
    </row>
    <row r="128">
      <c r="A128" s="1" t="n">
        <v>227</v>
      </c>
      <c r="B128" s="1">
        <f>A128</f>
        <v/>
      </c>
      <c r="C128" s="1" t="inlineStr">
        <is>
          <t>vKIG4m09</t>
        </is>
      </c>
      <c r="D128" s="1" t="inlineStr">
        <is>
          <t>數值</t>
        </is>
      </c>
      <c r="E128" s="1" t="n">
        <v>2</v>
      </c>
      <c r="G128" s="1" t="inlineStr">
        <is>
          <t>range</t>
        </is>
      </c>
      <c r="H128" s="1" t="inlineStr">
        <is>
          <t>0,1</t>
        </is>
      </c>
      <c r="L128" s="1">
        <f>CONCAT(IF(D128="數值",CONCATENATE(G128&amp;"("&amp;C128&amp;","&amp;IF(ISERROR(SEARCH(",",H128,1)),(H128&amp;","&amp;H128),H128)&amp;IF(ISBLANK(I128),"",IF(ISERROR(SEARCH(",",I128,1)),CONCATENATE(","&amp;I128&amp;","&amp;I128),CONCATENATE(","&amp;I128))&amp;IF(ISBLANK(J128),"",IF(ISERROR(SEARCH(",",J128,1)),CONCATENATE(","&amp;J128&amp;","&amp;J128),CONCATENATE(","&amp;J128))&amp;IF(ISBLANK(K128),"",IF(ISERROR(SEARCH(",",K128,1)),CONCATENATE(","&amp;K128&amp;","&amp;K128),CONCATENATE(","&amp;K128))))))&amp;")","")&amp;" "&amp;F128)</f>
        <v/>
      </c>
    </row>
    <row r="129">
      <c r="A129" s="1" t="n">
        <v>228</v>
      </c>
      <c r="B129" s="1">
        <f>A129</f>
        <v/>
      </c>
      <c r="C129" s="1" t="inlineStr">
        <is>
          <t>vKIG4m10</t>
        </is>
      </c>
      <c r="D129" s="1" t="inlineStr">
        <is>
          <t>數值</t>
        </is>
      </c>
      <c r="E129" s="1" t="n">
        <v>2</v>
      </c>
      <c r="G129" s="1" t="inlineStr">
        <is>
          <t>range</t>
        </is>
      </c>
      <c r="H129" s="1" t="inlineStr">
        <is>
          <t>0,1</t>
        </is>
      </c>
      <c r="I129" s="1" t="inlineStr">
        <is>
          <t>96</t>
        </is>
      </c>
      <c r="L129" s="1">
        <f>CONCAT(IF(D129="數值",CONCATENATE(G129&amp;"("&amp;C129&amp;","&amp;IF(ISERROR(SEARCH(",",H129,1)),(H129&amp;","&amp;H129),H129)&amp;IF(ISBLANK(I129),"",IF(ISERROR(SEARCH(",",I129,1)),CONCATENATE(","&amp;I129&amp;","&amp;I129),CONCATENATE(","&amp;I129))&amp;IF(ISBLANK(J129),"",IF(ISERROR(SEARCH(",",J129,1)),CONCATENATE(","&amp;J129&amp;","&amp;J129),CONCATENATE(","&amp;J129))&amp;IF(ISBLANK(K129),"",IF(ISERROR(SEARCH(",",K129,1)),CONCATENATE(","&amp;K129&amp;","&amp;K129),CONCATENATE(","&amp;K129))))))&amp;")","")&amp;" "&amp;F129)</f>
        <v/>
      </c>
    </row>
    <row r="130">
      <c r="A130" s="1" t="n">
        <v>229</v>
      </c>
      <c r="B130" s="1">
        <f>A130</f>
        <v/>
      </c>
      <c r="C130" s="1" t="inlineStr">
        <is>
          <t>vKIG4m11</t>
        </is>
      </c>
      <c r="D130" s="1" t="inlineStr">
        <is>
          <t>數值</t>
        </is>
      </c>
      <c r="E130" s="1" t="n">
        <v>2</v>
      </c>
      <c r="G130" s="1" t="inlineStr">
        <is>
          <t>range</t>
        </is>
      </c>
      <c r="H130" s="1" t="inlineStr">
        <is>
          <t>0,1</t>
        </is>
      </c>
      <c r="I130" s="1" t="inlineStr">
        <is>
          <t>96</t>
        </is>
      </c>
      <c r="L130" s="1">
        <f>CONCAT(IF(D130="數值",CONCATENATE(G130&amp;"("&amp;C130&amp;","&amp;IF(ISERROR(SEARCH(",",H130,1)),(H130&amp;","&amp;H130),H130)&amp;IF(ISBLANK(I130),"",IF(ISERROR(SEARCH(",",I130,1)),CONCATENATE(","&amp;I130&amp;","&amp;I130),CONCATENATE(","&amp;I130))&amp;IF(ISBLANK(J130),"",IF(ISERROR(SEARCH(",",J130,1)),CONCATENATE(","&amp;J130&amp;","&amp;J130),CONCATENATE(","&amp;J130))&amp;IF(ISBLANK(K130),"",IF(ISERROR(SEARCH(",",K130,1)),CONCATENATE(","&amp;K130&amp;","&amp;K130),CONCATENATE(","&amp;K130))))))&amp;")","")&amp;" "&amp;F130)</f>
        <v/>
      </c>
    </row>
    <row r="131">
      <c r="A131" s="1" t="n">
        <v>230</v>
      </c>
      <c r="B131" s="1">
        <f>A131</f>
        <v/>
      </c>
      <c r="C131" s="1" t="inlineStr">
        <is>
          <t>vKIG4m12</t>
        </is>
      </c>
      <c r="D131" s="1" t="inlineStr">
        <is>
          <t>數值</t>
        </is>
      </c>
      <c r="E131" s="1" t="n">
        <v>2</v>
      </c>
      <c r="G131" s="1" t="inlineStr">
        <is>
          <t>range</t>
        </is>
      </c>
      <c r="H131" s="1" t="inlineStr">
        <is>
          <t>0,1</t>
        </is>
      </c>
      <c r="I131" s="1" t="inlineStr">
        <is>
          <t>96</t>
        </is>
      </c>
      <c r="L131" s="1">
        <f>CONCAT(IF(D131="數值",CONCATENATE(G131&amp;"("&amp;C131&amp;","&amp;IF(ISERROR(SEARCH(",",H131,1)),(H131&amp;","&amp;H131),H131)&amp;IF(ISBLANK(I131),"",IF(ISERROR(SEARCH(",",I131,1)),CONCATENATE(","&amp;I131&amp;","&amp;I131),CONCATENATE(","&amp;I131))&amp;IF(ISBLANK(J131),"",IF(ISERROR(SEARCH(",",J131,1)),CONCATENATE(","&amp;J131&amp;","&amp;J131),CONCATENATE(","&amp;J131))&amp;IF(ISBLANK(K131),"",IF(ISERROR(SEARCH(",",K131,1)),CONCATENATE(","&amp;K131&amp;","&amp;K131),CONCATENATE(","&amp;K131))))))&amp;")","")&amp;" "&amp;F131)</f>
        <v/>
      </c>
    </row>
    <row r="132">
      <c r="A132" s="1" t="n">
        <v>231</v>
      </c>
      <c r="B132" s="1">
        <f>A132</f>
        <v/>
      </c>
      <c r="C132" s="1" t="inlineStr">
        <is>
          <t>vKIG4m13</t>
        </is>
      </c>
      <c r="D132" s="1" t="inlineStr">
        <is>
          <t>數值</t>
        </is>
      </c>
      <c r="E132" s="1" t="n">
        <v>2</v>
      </c>
      <c r="G132" s="1" t="inlineStr">
        <is>
          <t>range</t>
        </is>
      </c>
      <c r="H132" s="1" t="inlineStr">
        <is>
          <t>0,1</t>
        </is>
      </c>
      <c r="I132" s="1" t="inlineStr">
        <is>
          <t>96</t>
        </is>
      </c>
      <c r="L132" s="1">
        <f>CONCAT(IF(D132="數值",CONCATENATE(G132&amp;"("&amp;C132&amp;","&amp;IF(ISERROR(SEARCH(",",H132,1)),(H132&amp;","&amp;H132),H132)&amp;IF(ISBLANK(I132),"",IF(ISERROR(SEARCH(",",I132,1)),CONCATENATE(","&amp;I132&amp;","&amp;I132),CONCATENATE(","&amp;I132))&amp;IF(ISBLANK(J132),"",IF(ISERROR(SEARCH(",",J132,1)),CONCATENATE(","&amp;J132&amp;","&amp;J132),CONCATENATE(","&amp;J132))&amp;IF(ISBLANK(K132),"",IF(ISERROR(SEARCH(",",K132,1)),CONCATENATE(","&amp;K132&amp;","&amp;K132),CONCATENATE(","&amp;K132))))))&amp;")","")&amp;" "&amp;F132)</f>
        <v/>
      </c>
    </row>
    <row r="133">
      <c r="A133" s="1" t="n">
        <v>232</v>
      </c>
      <c r="B133" s="1">
        <f>A133</f>
        <v/>
      </c>
      <c r="C133" s="1" t="inlineStr">
        <is>
          <t>vKIG4m14</t>
        </is>
      </c>
      <c r="D133" s="1" t="inlineStr">
        <is>
          <t>數值</t>
        </is>
      </c>
      <c r="E133" s="1" t="n">
        <v>2</v>
      </c>
      <c r="G133" s="1" t="inlineStr">
        <is>
          <t>range</t>
        </is>
      </c>
      <c r="H133" s="1" t="inlineStr">
        <is>
          <t>0,1</t>
        </is>
      </c>
      <c r="I133" s="1" t="inlineStr">
        <is>
          <t>96</t>
        </is>
      </c>
      <c r="L133" s="1">
        <f>CONCAT(IF(D133="數值",CONCATENATE(G133&amp;"("&amp;C133&amp;","&amp;IF(ISERROR(SEARCH(",",H133,1)),(H133&amp;","&amp;H133),H133)&amp;IF(ISBLANK(I133),"",IF(ISERROR(SEARCH(",",I133,1)),CONCATENATE(","&amp;I133&amp;","&amp;I133),CONCATENATE(","&amp;I133))&amp;IF(ISBLANK(J133),"",IF(ISERROR(SEARCH(",",J133,1)),CONCATENATE(","&amp;J133&amp;","&amp;J133),CONCATENATE(","&amp;J133))&amp;IF(ISBLANK(K133),"",IF(ISERROR(SEARCH(",",K133,1)),CONCATENATE(","&amp;K133&amp;","&amp;K133),CONCATENATE(","&amp;K133))))))&amp;")","")&amp;" "&amp;F133)</f>
        <v/>
      </c>
    </row>
    <row r="134">
      <c r="A134" s="1" t="n">
        <v>233</v>
      </c>
      <c r="B134" s="1">
        <f>A134</f>
        <v/>
      </c>
      <c r="C134" s="1" t="inlineStr">
        <is>
          <t>vKIG4m88</t>
        </is>
      </c>
      <c r="D134" s="1" t="inlineStr">
        <is>
          <t>數值</t>
        </is>
      </c>
      <c r="E134" s="1" t="n">
        <v>2</v>
      </c>
      <c r="G134" s="1" t="inlineStr">
        <is>
          <t>range</t>
        </is>
      </c>
      <c r="H134" s="1" t="inlineStr">
        <is>
          <t>0,1</t>
        </is>
      </c>
      <c r="I134" s="1" t="inlineStr">
        <is>
          <t>96</t>
        </is>
      </c>
      <c r="L134" s="1">
        <f>CONCAT(IF(D134="數值",CONCATENATE(G134&amp;"("&amp;C134&amp;","&amp;IF(ISERROR(SEARCH(",",H134,1)),(H134&amp;","&amp;H134),H134)&amp;IF(ISBLANK(I134),"",IF(ISERROR(SEARCH(",",I134,1)),CONCATENATE(","&amp;I134&amp;","&amp;I134),CONCATENATE(","&amp;I134))&amp;IF(ISBLANK(J134),"",IF(ISERROR(SEARCH(",",J134,1)),CONCATENATE(","&amp;J134&amp;","&amp;J134),CONCATENATE(","&amp;J134))&amp;IF(ISBLANK(K134),"",IF(ISERROR(SEARCH(",",K134,1)),CONCATENATE(","&amp;K134&amp;","&amp;K134),CONCATENATE(","&amp;K134))))))&amp;")","")&amp;" "&amp;F134)</f>
        <v/>
      </c>
    </row>
    <row r="135">
      <c r="A135" s="1" t="n">
        <v>234</v>
      </c>
      <c r="B135" s="1">
        <f>A135</f>
        <v/>
      </c>
      <c r="C135" s="1" t="inlineStr">
        <is>
          <t>vKTT1</t>
        </is>
      </c>
      <c r="D135" s="1" t="inlineStr">
        <is>
          <t>數值</t>
        </is>
      </c>
      <c r="E135" s="1" t="n">
        <v>4</v>
      </c>
      <c r="G135" s="1" t="inlineStr">
        <is>
          <t>range</t>
        </is>
      </c>
      <c r="H135" s="1" t="inlineStr">
        <is>
          <t>95</t>
        </is>
      </c>
      <c r="I135" s="1" t="inlineStr">
        <is>
          <t>97,98</t>
        </is>
      </c>
      <c r="J135" s="1" t="n"/>
      <c r="L135" s="1">
        <f>CONCAT(IF(D135="數值",CONCATENATE(G135&amp;"("&amp;C135&amp;","&amp;IF(ISERROR(SEARCH(",",H135,1)),(H135&amp;","&amp;H135),H135)&amp;IF(ISBLANK(I135),"",IF(ISERROR(SEARCH(",",I135,1)),CONCATENATE(","&amp;I135&amp;","&amp;I135),CONCATENATE(","&amp;I135))&amp;IF(ISBLANK(J135),"",IF(ISERROR(SEARCH(",",J135,1)),CONCATENATE(","&amp;J135&amp;","&amp;J135),CONCATENATE(","&amp;J135))&amp;IF(ISBLANK(K135),"",IF(ISERROR(SEARCH(",",K135,1)),CONCATENATE(","&amp;K135&amp;","&amp;K135),CONCATENATE(","&amp;K135))))))&amp;")","")&amp;" "&amp;F135)</f>
        <v/>
      </c>
    </row>
    <row r="136">
      <c r="A136" s="1" t="n">
        <v>235</v>
      </c>
      <c r="B136" s="1">
        <f>A136</f>
        <v/>
      </c>
      <c r="C136" s="1" t="inlineStr">
        <is>
          <t>vKTT2</t>
        </is>
      </c>
      <c r="D136" s="1" t="inlineStr">
        <is>
          <t>數值</t>
        </is>
      </c>
      <c r="E136" s="1" t="n">
        <v>5</v>
      </c>
      <c r="G136" s="1" t="inlineStr">
        <is>
          <t>range</t>
        </is>
      </c>
      <c r="H136" s="1" t="inlineStr">
        <is>
          <t>1,2359</t>
        </is>
      </c>
      <c r="I136" s="1" t="inlineStr">
        <is>
          <t>9797</t>
        </is>
      </c>
      <c r="J136" s="1" t="inlineStr">
        <is>
          <t>9898</t>
        </is>
      </c>
      <c r="L136" s="1">
        <f>CONCAT(IF(D136="數值",CONCATENATE(G136&amp;"("&amp;C136&amp;","&amp;IF(ISERROR(SEARCH(",",H136,1)),(H136&amp;","&amp;H136),H136)&amp;IF(ISBLANK(I136),"",IF(ISERROR(SEARCH(",",I136,1)),CONCATENATE(","&amp;I136&amp;","&amp;I136),CONCATENATE(","&amp;I136))&amp;IF(ISBLANK(J136),"",IF(ISERROR(SEARCH(",",J136,1)),CONCATENATE(","&amp;J136&amp;","&amp;J136),CONCATENATE(","&amp;J136))&amp;IF(ISBLANK(K136),"",IF(ISERROR(SEARCH(",",K136,1)),CONCATENATE(","&amp;K136&amp;","&amp;K136),CONCATENATE(","&amp;K136))))))&amp;")","")&amp;" "&amp;F136)</f>
        <v/>
      </c>
    </row>
    <row r="137">
      <c r="A137" s="1" t="n">
        <v>236</v>
      </c>
      <c r="B137" s="1">
        <f>A137</f>
        <v/>
      </c>
      <c r="C137" s="1" t="inlineStr">
        <is>
          <t>vKTT3m01</t>
        </is>
      </c>
      <c r="D137" s="1" t="inlineStr">
        <is>
          <t>數值</t>
        </is>
      </c>
      <c r="E137" s="1" t="n">
        <v>2</v>
      </c>
      <c r="G137" s="1" t="inlineStr">
        <is>
          <t>range</t>
        </is>
      </c>
      <c r="H137" s="1" t="inlineStr">
        <is>
          <t>0,1</t>
        </is>
      </c>
      <c r="L137" s="1">
        <f>CONCAT(IF(D137="數值",CONCATENATE(G137&amp;"("&amp;C137&amp;","&amp;IF(ISERROR(SEARCH(",",H137,1)),(H137&amp;","&amp;H137),H137)&amp;IF(ISBLANK(I137),"",IF(ISERROR(SEARCH(",",I137,1)),CONCATENATE(","&amp;I137&amp;","&amp;I137),CONCATENATE(","&amp;I137))&amp;IF(ISBLANK(J137),"",IF(ISERROR(SEARCH(",",J137,1)),CONCATENATE(","&amp;J137&amp;","&amp;J137),CONCATENATE(","&amp;J137))&amp;IF(ISBLANK(K137),"",IF(ISERROR(SEARCH(",",K137,1)),CONCATENATE(","&amp;K137&amp;","&amp;K137),CONCATENATE(","&amp;K137))))))&amp;")","")&amp;" "&amp;F137)</f>
        <v/>
      </c>
    </row>
    <row r="138">
      <c r="A138" s="1" t="n">
        <v>237</v>
      </c>
      <c r="B138" s="1">
        <f>A138</f>
        <v/>
      </c>
      <c r="C138" s="1" t="inlineStr">
        <is>
          <t>vKTT3m02</t>
        </is>
      </c>
      <c r="D138" s="1" t="inlineStr">
        <is>
          <t>數值</t>
        </is>
      </c>
      <c r="E138" s="1" t="n">
        <v>2</v>
      </c>
      <c r="G138" s="1" t="inlineStr">
        <is>
          <t>range</t>
        </is>
      </c>
      <c r="H138" s="1" t="inlineStr">
        <is>
          <t>0,1</t>
        </is>
      </c>
      <c r="L138" s="1">
        <f>CONCAT(IF(D138="數值",CONCATENATE(G138&amp;"("&amp;C138&amp;","&amp;IF(ISERROR(SEARCH(",",H138,1)),(H138&amp;","&amp;H138),H138)&amp;IF(ISBLANK(I138),"",IF(ISERROR(SEARCH(",",I138,1)),CONCATENATE(","&amp;I138&amp;","&amp;I138),CONCATENATE(","&amp;I138))&amp;IF(ISBLANK(J138),"",IF(ISERROR(SEARCH(",",J138,1)),CONCATENATE(","&amp;J138&amp;","&amp;J138),CONCATENATE(","&amp;J138))&amp;IF(ISBLANK(K138),"",IF(ISERROR(SEARCH(",",K138,1)),CONCATENATE(","&amp;K138&amp;","&amp;K138),CONCATENATE(","&amp;K138))))))&amp;")","")&amp;" "&amp;F138)</f>
        <v/>
      </c>
    </row>
    <row r="139">
      <c r="A139" s="1" t="n">
        <v>238</v>
      </c>
      <c r="B139" s="1">
        <f>A139</f>
        <v/>
      </c>
      <c r="C139" s="1" t="inlineStr">
        <is>
          <t>vKTT3m03</t>
        </is>
      </c>
      <c r="D139" s="1" t="inlineStr">
        <is>
          <t>數值</t>
        </is>
      </c>
      <c r="E139" s="1" t="n">
        <v>2</v>
      </c>
      <c r="G139" s="1" t="inlineStr">
        <is>
          <t>range</t>
        </is>
      </c>
      <c r="H139" s="1" t="inlineStr">
        <is>
          <t>0,1</t>
        </is>
      </c>
      <c r="L139" s="1">
        <f>CONCAT(IF(D139="數值",CONCATENATE(G139&amp;"("&amp;C139&amp;","&amp;IF(ISERROR(SEARCH(",",H139,1)),(H139&amp;","&amp;H139),H139)&amp;IF(ISBLANK(I139),"",IF(ISERROR(SEARCH(",",I139,1)),CONCATENATE(","&amp;I139&amp;","&amp;I139),CONCATENATE(","&amp;I139))&amp;IF(ISBLANK(J139),"",IF(ISERROR(SEARCH(",",J139,1)),CONCATENATE(","&amp;J139&amp;","&amp;J139),CONCATENATE(","&amp;J139))&amp;IF(ISBLANK(K139),"",IF(ISERROR(SEARCH(",",K139,1)),CONCATENATE(","&amp;K139&amp;","&amp;K139),CONCATENATE(","&amp;K139))))))&amp;")","")&amp;" "&amp;F139)</f>
        <v/>
      </c>
    </row>
    <row r="140">
      <c r="A140" s="1" t="n">
        <v>239</v>
      </c>
      <c r="B140" s="1">
        <f>A140</f>
        <v/>
      </c>
      <c r="C140" s="1" t="inlineStr">
        <is>
          <t>vKTT3m04</t>
        </is>
      </c>
      <c r="D140" s="1" t="inlineStr">
        <is>
          <t>數值</t>
        </is>
      </c>
      <c r="E140" s="1" t="n">
        <v>2</v>
      </c>
      <c r="G140" s="1" t="inlineStr">
        <is>
          <t>range</t>
        </is>
      </c>
      <c r="H140" s="1" t="inlineStr">
        <is>
          <t>0,1</t>
        </is>
      </c>
      <c r="L140" s="1">
        <f>CONCAT(IF(D140="數值",CONCATENATE(G140&amp;"("&amp;C140&amp;","&amp;IF(ISERROR(SEARCH(",",H140,1)),(H140&amp;","&amp;H140),H140)&amp;IF(ISBLANK(I140),"",IF(ISERROR(SEARCH(",",I140,1)),CONCATENATE(","&amp;I140&amp;","&amp;I140),CONCATENATE(","&amp;I140))&amp;IF(ISBLANK(J140),"",IF(ISERROR(SEARCH(",",J140,1)),CONCATENATE(","&amp;J140&amp;","&amp;J140),CONCATENATE(","&amp;J140))&amp;IF(ISBLANK(K140),"",IF(ISERROR(SEARCH(",",K140,1)),CONCATENATE(","&amp;K140&amp;","&amp;K140),CONCATENATE(","&amp;K140))))))&amp;")","")&amp;" "&amp;F140)</f>
        <v/>
      </c>
    </row>
    <row r="141">
      <c r="A141" s="1" t="n">
        <v>240</v>
      </c>
      <c r="B141" s="1">
        <f>A141</f>
        <v/>
      </c>
      <c r="C141" s="1" t="inlineStr">
        <is>
          <t>vKTT3m05</t>
        </is>
      </c>
      <c r="D141" s="1" t="inlineStr">
        <is>
          <t>數值</t>
        </is>
      </c>
      <c r="E141" s="1" t="n">
        <v>2</v>
      </c>
      <c r="G141" s="1" t="inlineStr">
        <is>
          <t>range</t>
        </is>
      </c>
      <c r="H141" s="1" t="inlineStr">
        <is>
          <t>0,1</t>
        </is>
      </c>
      <c r="L141" s="1">
        <f>CONCAT(IF(D141="數值",CONCATENATE(G141&amp;"("&amp;C141&amp;","&amp;IF(ISERROR(SEARCH(",",H141,1)),(H141&amp;","&amp;H141),H141)&amp;IF(ISBLANK(I141),"",IF(ISERROR(SEARCH(",",I141,1)),CONCATENATE(","&amp;I141&amp;","&amp;I141),CONCATENATE(","&amp;I141))&amp;IF(ISBLANK(J141),"",IF(ISERROR(SEARCH(",",J141,1)),CONCATENATE(","&amp;J141&amp;","&amp;J141),CONCATENATE(","&amp;J141))&amp;IF(ISBLANK(K141),"",IF(ISERROR(SEARCH(",",K141,1)),CONCATENATE(","&amp;K141&amp;","&amp;K141),CONCATENATE(","&amp;K141))))))&amp;")","")&amp;" "&amp;F141)</f>
        <v/>
      </c>
    </row>
    <row r="142">
      <c r="A142" s="1" t="n">
        <v>241</v>
      </c>
      <c r="B142" s="1">
        <f>A142</f>
        <v/>
      </c>
      <c r="C142" s="1" t="inlineStr">
        <is>
          <t>vKTT3m06</t>
        </is>
      </c>
      <c r="D142" s="1" t="inlineStr">
        <is>
          <t>數值</t>
        </is>
      </c>
      <c r="E142" s="1" t="n">
        <v>2</v>
      </c>
      <c r="G142" s="1" t="inlineStr">
        <is>
          <t>range</t>
        </is>
      </c>
      <c r="H142" s="1" t="inlineStr">
        <is>
          <t>0,1</t>
        </is>
      </c>
      <c r="L142" s="1">
        <f>CONCAT(IF(D142="數值",CONCATENATE(G142&amp;"("&amp;C142&amp;","&amp;IF(ISERROR(SEARCH(",",H142,1)),(H142&amp;","&amp;H142),H142)&amp;IF(ISBLANK(I142),"",IF(ISERROR(SEARCH(",",I142,1)),CONCATENATE(","&amp;I142&amp;","&amp;I142),CONCATENATE(","&amp;I142))&amp;IF(ISBLANK(J142),"",IF(ISERROR(SEARCH(",",J142,1)),CONCATENATE(","&amp;J142&amp;","&amp;J142),CONCATENATE(","&amp;J142))&amp;IF(ISBLANK(K142),"",IF(ISERROR(SEARCH(",",K142,1)),CONCATENATE(","&amp;K142&amp;","&amp;K142),CONCATENATE(","&amp;K142))))))&amp;")","")&amp;" "&amp;F142)</f>
        <v/>
      </c>
    </row>
    <row r="143">
      <c r="A143" s="1" t="n">
        <v>242</v>
      </c>
      <c r="B143" s="1">
        <f>A143</f>
        <v/>
      </c>
      <c r="C143" s="1" t="inlineStr">
        <is>
          <t>vKTT3m07</t>
        </is>
      </c>
      <c r="D143" s="1" t="inlineStr">
        <is>
          <t>數值</t>
        </is>
      </c>
      <c r="E143" s="1" t="n">
        <v>2</v>
      </c>
      <c r="G143" s="1" t="inlineStr">
        <is>
          <t>range</t>
        </is>
      </c>
      <c r="H143" s="1" t="inlineStr">
        <is>
          <t>0,1</t>
        </is>
      </c>
      <c r="L143" s="1">
        <f>CONCAT(IF(D143="數值",CONCATENATE(G143&amp;"("&amp;C143&amp;","&amp;IF(ISERROR(SEARCH(",",H143,1)),(H143&amp;","&amp;H143),H143)&amp;IF(ISBLANK(I143),"",IF(ISERROR(SEARCH(",",I143,1)),CONCATENATE(","&amp;I143&amp;","&amp;I143),CONCATENATE(","&amp;I143))&amp;IF(ISBLANK(J143),"",IF(ISERROR(SEARCH(",",J143,1)),CONCATENATE(","&amp;J143&amp;","&amp;J143),CONCATENATE(","&amp;J143))&amp;IF(ISBLANK(K143),"",IF(ISERROR(SEARCH(",",K143,1)),CONCATENATE(","&amp;K143&amp;","&amp;K143),CONCATENATE(","&amp;K143))))))&amp;")","")&amp;" "&amp;F143)</f>
        <v/>
      </c>
    </row>
    <row r="144">
      <c r="A144" s="1" t="n">
        <v>243</v>
      </c>
      <c r="B144" s="1">
        <f>A144</f>
        <v/>
      </c>
      <c r="C144" s="1" t="inlineStr">
        <is>
          <t>vKTT3m08</t>
        </is>
      </c>
      <c r="D144" s="1" t="inlineStr">
        <is>
          <t>數值</t>
        </is>
      </c>
      <c r="E144" s="1" t="n">
        <v>2</v>
      </c>
      <c r="G144" s="1" t="inlineStr">
        <is>
          <t>range</t>
        </is>
      </c>
      <c r="H144" s="1" t="inlineStr">
        <is>
          <t>0,1</t>
        </is>
      </c>
      <c r="L144" s="1">
        <f>CONCAT(IF(D144="數值",CONCATENATE(G144&amp;"("&amp;C144&amp;","&amp;IF(ISERROR(SEARCH(",",H144,1)),(H144&amp;","&amp;H144),H144)&amp;IF(ISBLANK(I144),"",IF(ISERROR(SEARCH(",",I144,1)),CONCATENATE(","&amp;I144&amp;","&amp;I144),CONCATENATE(","&amp;I144))&amp;IF(ISBLANK(J144),"",IF(ISERROR(SEARCH(",",J144,1)),CONCATENATE(","&amp;J144&amp;","&amp;J144),CONCATENATE(","&amp;J144))&amp;IF(ISBLANK(K144),"",IF(ISERROR(SEARCH(",",K144,1)),CONCATENATE(","&amp;K144&amp;","&amp;K144),CONCATENATE(","&amp;K144))))))&amp;")","")&amp;" "&amp;F144)</f>
        <v/>
      </c>
    </row>
    <row r="145">
      <c r="A145" s="1" t="n">
        <v>244</v>
      </c>
      <c r="B145" s="1">
        <f>A145</f>
        <v/>
      </c>
      <c r="C145" s="1" t="inlineStr">
        <is>
          <t>vKTT3m09</t>
        </is>
      </c>
      <c r="D145" s="1" t="inlineStr">
        <is>
          <t>數值</t>
        </is>
      </c>
      <c r="E145" s="1" t="n">
        <v>2</v>
      </c>
      <c r="G145" s="1" t="inlineStr">
        <is>
          <t>range</t>
        </is>
      </c>
      <c r="H145" s="1" t="inlineStr">
        <is>
          <t>0,1</t>
        </is>
      </c>
      <c r="L145" s="1">
        <f>CONCAT(IF(D145="數值",CONCATENATE(G145&amp;"("&amp;C145&amp;","&amp;IF(ISERROR(SEARCH(",",H145,1)),(H145&amp;","&amp;H145),H145)&amp;IF(ISBLANK(I145),"",IF(ISERROR(SEARCH(",",I145,1)),CONCATENATE(","&amp;I145&amp;","&amp;I145),CONCATENATE(","&amp;I145))&amp;IF(ISBLANK(J145),"",IF(ISERROR(SEARCH(",",J145,1)),CONCATENATE(","&amp;J145&amp;","&amp;J145),CONCATENATE(","&amp;J145))&amp;IF(ISBLANK(K145),"",IF(ISERROR(SEARCH(",",K145,1)),CONCATENATE(","&amp;K145&amp;","&amp;K145),CONCATENATE(","&amp;K145))))))&amp;")","")&amp;" "&amp;F145)</f>
        <v/>
      </c>
    </row>
    <row r="146">
      <c r="A146" s="1" t="n">
        <v>245</v>
      </c>
      <c r="B146" s="1">
        <f>A146</f>
        <v/>
      </c>
      <c r="C146" s="1" t="inlineStr">
        <is>
          <t>vKTT3m10</t>
        </is>
      </c>
      <c r="D146" s="1" t="inlineStr">
        <is>
          <t>數值</t>
        </is>
      </c>
      <c r="E146" s="1" t="n">
        <v>2</v>
      </c>
      <c r="G146" s="1" t="inlineStr">
        <is>
          <t>range</t>
        </is>
      </c>
      <c r="H146" s="1" t="inlineStr">
        <is>
          <t>0,1</t>
        </is>
      </c>
      <c r="I146" s="1" t="inlineStr">
        <is>
          <t>96</t>
        </is>
      </c>
      <c r="L146" s="1">
        <f>CONCAT(IF(D146="數值",CONCATENATE(G146&amp;"("&amp;C146&amp;","&amp;IF(ISERROR(SEARCH(",",H146,1)),(H146&amp;","&amp;H146),H146)&amp;IF(ISBLANK(I146),"",IF(ISERROR(SEARCH(",",I146,1)),CONCATENATE(","&amp;I146&amp;","&amp;I146),CONCATENATE(","&amp;I146))&amp;IF(ISBLANK(J146),"",IF(ISERROR(SEARCH(",",J146,1)),CONCATENATE(","&amp;J146&amp;","&amp;J146),CONCATENATE(","&amp;J146))&amp;IF(ISBLANK(K146),"",IF(ISERROR(SEARCH(",",K146,1)),CONCATENATE(","&amp;K146&amp;","&amp;K146),CONCATENATE(","&amp;K146))))))&amp;")","")&amp;" "&amp;F146)</f>
        <v/>
      </c>
    </row>
    <row r="147">
      <c r="A147" s="1" t="n">
        <v>246</v>
      </c>
      <c r="B147" s="1">
        <f>A147</f>
        <v/>
      </c>
      <c r="C147" s="1" t="inlineStr">
        <is>
          <t>vKTT3m11</t>
        </is>
      </c>
      <c r="D147" s="1" t="inlineStr">
        <is>
          <t>數值</t>
        </is>
      </c>
      <c r="E147" s="1" t="n">
        <v>2</v>
      </c>
      <c r="G147" s="1" t="inlineStr">
        <is>
          <t>range</t>
        </is>
      </c>
      <c r="H147" s="1" t="inlineStr">
        <is>
          <t>0,1</t>
        </is>
      </c>
      <c r="I147" s="1" t="inlineStr">
        <is>
          <t>96</t>
        </is>
      </c>
      <c r="L147" s="1">
        <f>CONCAT(IF(D147="數值",CONCATENATE(G147&amp;"("&amp;C147&amp;","&amp;IF(ISERROR(SEARCH(",",H147,1)),(H147&amp;","&amp;H147),H147)&amp;IF(ISBLANK(I147),"",IF(ISERROR(SEARCH(",",I147,1)),CONCATENATE(","&amp;I147&amp;","&amp;I147),CONCATENATE(","&amp;I147))&amp;IF(ISBLANK(J147),"",IF(ISERROR(SEARCH(",",J147,1)),CONCATENATE(","&amp;J147&amp;","&amp;J147),CONCATENATE(","&amp;J147))&amp;IF(ISBLANK(K147),"",IF(ISERROR(SEARCH(",",K147,1)),CONCATENATE(","&amp;K147&amp;","&amp;K147),CONCATENATE(","&amp;K147))))))&amp;")","")&amp;" "&amp;F147)</f>
        <v/>
      </c>
    </row>
    <row r="148">
      <c r="A148" s="1" t="n">
        <v>247</v>
      </c>
      <c r="B148" s="1">
        <f>A148</f>
        <v/>
      </c>
      <c r="C148" s="1" t="inlineStr">
        <is>
          <t>vKTT3m12</t>
        </is>
      </c>
      <c r="D148" s="1" t="inlineStr">
        <is>
          <t>數值</t>
        </is>
      </c>
      <c r="E148" s="1" t="n">
        <v>2</v>
      </c>
      <c r="G148" s="1" t="inlineStr">
        <is>
          <t>range</t>
        </is>
      </c>
      <c r="H148" s="1" t="inlineStr">
        <is>
          <t>0,1</t>
        </is>
      </c>
      <c r="I148" s="1" t="inlineStr">
        <is>
          <t>96</t>
        </is>
      </c>
      <c r="L148" s="1">
        <f>CONCAT(IF(D148="數值",CONCATENATE(G148&amp;"("&amp;C148&amp;","&amp;IF(ISERROR(SEARCH(",",H148,1)),(H148&amp;","&amp;H148),H148)&amp;IF(ISBLANK(I148),"",IF(ISERROR(SEARCH(",",I148,1)),CONCATENATE(","&amp;I148&amp;","&amp;I148),CONCATENATE(","&amp;I148))&amp;IF(ISBLANK(J148),"",IF(ISERROR(SEARCH(",",J148,1)),CONCATENATE(","&amp;J148&amp;","&amp;J148),CONCATENATE(","&amp;J148))&amp;IF(ISBLANK(K148),"",IF(ISERROR(SEARCH(",",K148,1)),CONCATENATE(","&amp;K148&amp;","&amp;K148),CONCATENATE(","&amp;K148))))))&amp;")","")&amp;" "&amp;F148)</f>
        <v/>
      </c>
    </row>
    <row r="149">
      <c r="A149" s="1" t="n">
        <v>248</v>
      </c>
      <c r="B149" s="1">
        <f>A149</f>
        <v/>
      </c>
      <c r="C149" s="1" t="inlineStr">
        <is>
          <t>vKTT3m13</t>
        </is>
      </c>
      <c r="D149" s="1" t="inlineStr">
        <is>
          <t>數值</t>
        </is>
      </c>
      <c r="E149" s="1" t="n">
        <v>2</v>
      </c>
      <c r="G149" s="1" t="inlineStr">
        <is>
          <t>range</t>
        </is>
      </c>
      <c r="H149" s="1" t="inlineStr">
        <is>
          <t>0,1</t>
        </is>
      </c>
      <c r="I149" s="1" t="inlineStr">
        <is>
          <t>96</t>
        </is>
      </c>
      <c r="L149" s="1">
        <f>CONCAT(IF(D149="數值",CONCATENATE(G149&amp;"("&amp;C149&amp;","&amp;IF(ISERROR(SEARCH(",",H149,1)),(H149&amp;","&amp;H149),H149)&amp;IF(ISBLANK(I149),"",IF(ISERROR(SEARCH(",",I149,1)),CONCATENATE(","&amp;I149&amp;","&amp;I149),CONCATENATE(","&amp;I149))&amp;IF(ISBLANK(J149),"",IF(ISERROR(SEARCH(",",J149,1)),CONCATENATE(","&amp;J149&amp;","&amp;J149),CONCATENATE(","&amp;J149))&amp;IF(ISBLANK(K149),"",IF(ISERROR(SEARCH(",",K149,1)),CONCATENATE(","&amp;K149&amp;","&amp;K149),CONCATENATE(","&amp;K149))))))&amp;")","")&amp;" "&amp;F149)</f>
        <v/>
      </c>
    </row>
    <row r="150">
      <c r="A150" s="1" t="n">
        <v>249</v>
      </c>
      <c r="B150" s="1">
        <f>A150</f>
        <v/>
      </c>
      <c r="C150" s="1" t="inlineStr">
        <is>
          <t>vKTT3m14</t>
        </is>
      </c>
      <c r="D150" s="1" t="inlineStr">
        <is>
          <t>數值</t>
        </is>
      </c>
      <c r="E150" s="1" t="n">
        <v>2</v>
      </c>
      <c r="G150" s="1" t="inlineStr">
        <is>
          <t>range</t>
        </is>
      </c>
      <c r="H150" s="1" t="inlineStr">
        <is>
          <t>0,1</t>
        </is>
      </c>
      <c r="I150" s="1" t="inlineStr">
        <is>
          <t>96</t>
        </is>
      </c>
      <c r="L150" s="1">
        <f>CONCAT(IF(D150="數值",CONCATENATE(G150&amp;"("&amp;C150&amp;","&amp;IF(ISERROR(SEARCH(",",H150,1)),(H150&amp;","&amp;H150),H150)&amp;IF(ISBLANK(I150),"",IF(ISERROR(SEARCH(",",I150,1)),CONCATENATE(","&amp;I150&amp;","&amp;I150),CONCATENATE(","&amp;I150))&amp;IF(ISBLANK(J150),"",IF(ISERROR(SEARCH(",",J150,1)),CONCATENATE(","&amp;J150&amp;","&amp;J150),CONCATENATE(","&amp;J150))&amp;IF(ISBLANK(K150),"",IF(ISERROR(SEARCH(",",K150,1)),CONCATENATE(","&amp;K150&amp;","&amp;K150),CONCATENATE(","&amp;K150))))))&amp;")","")&amp;" "&amp;F150)</f>
        <v/>
      </c>
    </row>
    <row r="151">
      <c r="A151" s="1" t="n">
        <v>250</v>
      </c>
      <c r="B151" s="1">
        <f>A151</f>
        <v/>
      </c>
      <c r="C151" s="1" t="inlineStr">
        <is>
          <t>vKTT3m15</t>
        </is>
      </c>
      <c r="D151" s="1" t="inlineStr">
        <is>
          <t>數值</t>
        </is>
      </c>
      <c r="E151" s="1" t="n">
        <v>2</v>
      </c>
      <c r="G151" s="1" t="inlineStr">
        <is>
          <t>range</t>
        </is>
      </c>
      <c r="H151" s="1" t="inlineStr">
        <is>
          <t>0,1</t>
        </is>
      </c>
      <c r="I151" s="1" t="inlineStr">
        <is>
          <t>96</t>
        </is>
      </c>
      <c r="L151" s="1">
        <f>CONCAT(IF(D151="數值",CONCATENATE(G151&amp;"("&amp;C151&amp;","&amp;IF(ISERROR(SEARCH(",",H151,1)),(H151&amp;","&amp;H151),H151)&amp;IF(ISBLANK(I151),"",IF(ISERROR(SEARCH(",",I151,1)),CONCATENATE(","&amp;I151&amp;","&amp;I151),CONCATENATE(","&amp;I151))&amp;IF(ISBLANK(J151),"",IF(ISERROR(SEARCH(",",J151,1)),CONCATENATE(","&amp;J151&amp;","&amp;J151),CONCATENATE(","&amp;J151))&amp;IF(ISBLANK(K151),"",IF(ISERROR(SEARCH(",",K151,1)),CONCATENATE(","&amp;K151&amp;","&amp;K151),CONCATENATE(","&amp;K151))))))&amp;")","")&amp;" "&amp;F151)</f>
        <v/>
      </c>
    </row>
    <row r="152">
      <c r="A152" s="1" t="n">
        <v>251</v>
      </c>
      <c r="B152" s="1">
        <f>A152</f>
        <v/>
      </c>
      <c r="C152" s="1" t="inlineStr">
        <is>
          <t>vKTT3m16</t>
        </is>
      </c>
      <c r="D152" s="1" t="inlineStr">
        <is>
          <t>數值</t>
        </is>
      </c>
      <c r="E152" s="1" t="n">
        <v>2</v>
      </c>
      <c r="G152" s="1" t="inlineStr">
        <is>
          <t>range</t>
        </is>
      </c>
      <c r="H152" s="1" t="inlineStr">
        <is>
          <t>0,1</t>
        </is>
      </c>
      <c r="I152" s="1" t="inlineStr">
        <is>
          <t>96</t>
        </is>
      </c>
      <c r="L152" s="1">
        <f>CONCAT(IF(D152="數值",CONCATENATE(G152&amp;"("&amp;C152&amp;","&amp;IF(ISERROR(SEARCH(",",H152,1)),(H152&amp;","&amp;H152),H152)&amp;IF(ISBLANK(I152),"",IF(ISERROR(SEARCH(",",I152,1)),CONCATENATE(","&amp;I152&amp;","&amp;I152),CONCATENATE(","&amp;I152))&amp;IF(ISBLANK(J152),"",IF(ISERROR(SEARCH(",",J152,1)),CONCATENATE(","&amp;J152&amp;","&amp;J152),CONCATENATE(","&amp;J152))&amp;IF(ISBLANK(K152),"",IF(ISERROR(SEARCH(",",K152,1)),CONCATENATE(","&amp;K152&amp;","&amp;K152),CONCATENATE(","&amp;K152))))))&amp;")","")&amp;" "&amp;F152)</f>
        <v/>
      </c>
    </row>
    <row r="153">
      <c r="A153" s="1" t="n">
        <v>252</v>
      </c>
      <c r="B153" s="1">
        <f>A153</f>
        <v/>
      </c>
      <c r="C153" s="1" t="inlineStr">
        <is>
          <t>vKTT3m88</t>
        </is>
      </c>
      <c r="D153" s="1" t="inlineStr">
        <is>
          <t>數值</t>
        </is>
      </c>
      <c r="E153" s="1" t="n">
        <v>2</v>
      </c>
      <c r="G153" s="1" t="inlineStr">
        <is>
          <t>range</t>
        </is>
      </c>
      <c r="H153" s="1" t="inlineStr">
        <is>
          <t>0,1</t>
        </is>
      </c>
      <c r="I153" s="1" t="inlineStr">
        <is>
          <t>96</t>
        </is>
      </c>
      <c r="L153" s="1">
        <f>CONCAT(IF(D153="數值",CONCATENATE(G153&amp;"("&amp;C153&amp;","&amp;IF(ISERROR(SEARCH(",",H153,1)),(H153&amp;","&amp;H153),H153)&amp;IF(ISBLANK(I153),"",IF(ISERROR(SEARCH(",",I153,1)),CONCATENATE(","&amp;I153&amp;","&amp;I153),CONCATENATE(","&amp;I153))&amp;IF(ISBLANK(J153),"",IF(ISERROR(SEARCH(",",J153,1)),CONCATENATE(","&amp;J153&amp;","&amp;J153),CONCATENATE(","&amp;J153))&amp;IF(ISBLANK(K153),"",IF(ISERROR(SEARCH(",",K153,1)),CONCATENATE(","&amp;K153&amp;","&amp;K153),CONCATENATE(","&amp;K153))))))&amp;")","")&amp;" "&amp;F153)</f>
        <v/>
      </c>
    </row>
    <row r="154">
      <c r="A154" s="1" t="n">
        <v>253</v>
      </c>
      <c r="B154" s="1">
        <f>A154</f>
        <v/>
      </c>
      <c r="C154" s="1" t="inlineStr">
        <is>
          <t>vKTT4m01</t>
        </is>
      </c>
      <c r="D154" s="1" t="inlineStr">
        <is>
          <t>數值</t>
        </is>
      </c>
      <c r="E154" s="1" t="n">
        <v>2</v>
      </c>
      <c r="G154" s="1" t="inlineStr">
        <is>
          <t>range</t>
        </is>
      </c>
      <c r="H154" s="1" t="inlineStr">
        <is>
          <t>0,1</t>
        </is>
      </c>
      <c r="L154" s="1">
        <f>CONCAT(IF(D154="數值",CONCATENATE(G154&amp;"("&amp;C154&amp;","&amp;IF(ISERROR(SEARCH(",",H154,1)),(H154&amp;","&amp;H154),H154)&amp;IF(ISBLANK(I154),"",IF(ISERROR(SEARCH(",",I154,1)),CONCATENATE(","&amp;I154&amp;","&amp;I154),CONCATENATE(","&amp;I154))&amp;IF(ISBLANK(J154),"",IF(ISERROR(SEARCH(",",J154,1)),CONCATENATE(","&amp;J154&amp;","&amp;J154),CONCATENATE(","&amp;J154))&amp;IF(ISBLANK(K154),"",IF(ISERROR(SEARCH(",",K154,1)),CONCATENATE(","&amp;K154&amp;","&amp;K154),CONCATENATE(","&amp;K154))))))&amp;")","")&amp;" "&amp;F154)</f>
        <v/>
      </c>
    </row>
    <row r="155">
      <c r="A155" s="1" t="n">
        <v>254</v>
      </c>
      <c r="B155" s="1">
        <f>A155</f>
        <v/>
      </c>
      <c r="C155" s="1" t="inlineStr">
        <is>
          <t>vKTT4m02</t>
        </is>
      </c>
      <c r="D155" s="1" t="inlineStr">
        <is>
          <t>數值</t>
        </is>
      </c>
      <c r="E155" s="1" t="n">
        <v>2</v>
      </c>
      <c r="G155" s="1" t="inlineStr">
        <is>
          <t>range</t>
        </is>
      </c>
      <c r="H155" s="1" t="inlineStr">
        <is>
          <t>0,1</t>
        </is>
      </c>
      <c r="L155" s="1">
        <f>CONCAT(IF(D155="數值",CONCATENATE(G155&amp;"("&amp;C155&amp;","&amp;IF(ISERROR(SEARCH(",",H155,1)),(H155&amp;","&amp;H155),H155)&amp;IF(ISBLANK(I155),"",IF(ISERROR(SEARCH(",",I155,1)),CONCATENATE(","&amp;I155&amp;","&amp;I155),CONCATENATE(","&amp;I155))&amp;IF(ISBLANK(J155),"",IF(ISERROR(SEARCH(",",J155,1)),CONCATENATE(","&amp;J155&amp;","&amp;J155),CONCATENATE(","&amp;J155))&amp;IF(ISBLANK(K155),"",IF(ISERROR(SEARCH(",",K155,1)),CONCATENATE(","&amp;K155&amp;","&amp;K155),CONCATENATE(","&amp;K155))))))&amp;")","")&amp;" "&amp;F155)</f>
        <v/>
      </c>
    </row>
    <row r="156">
      <c r="A156" s="1" t="n">
        <v>255</v>
      </c>
      <c r="B156" s="1">
        <f>A156</f>
        <v/>
      </c>
      <c r="C156" s="1" t="inlineStr">
        <is>
          <t>vKTT4m03</t>
        </is>
      </c>
      <c r="D156" s="1" t="inlineStr">
        <is>
          <t>數值</t>
        </is>
      </c>
      <c r="E156" s="1" t="n">
        <v>2</v>
      </c>
      <c r="G156" s="1" t="inlineStr">
        <is>
          <t>range</t>
        </is>
      </c>
      <c r="H156" s="1" t="inlineStr">
        <is>
          <t>0,1</t>
        </is>
      </c>
      <c r="L156" s="1">
        <f>CONCAT(IF(D156="數值",CONCATENATE(G156&amp;"("&amp;C156&amp;","&amp;IF(ISERROR(SEARCH(",",H156,1)),(H156&amp;","&amp;H156),H156)&amp;IF(ISBLANK(I156),"",IF(ISERROR(SEARCH(",",I156,1)),CONCATENATE(","&amp;I156&amp;","&amp;I156),CONCATENATE(","&amp;I156))&amp;IF(ISBLANK(J156),"",IF(ISERROR(SEARCH(",",J156,1)),CONCATENATE(","&amp;J156&amp;","&amp;J156),CONCATENATE(","&amp;J156))&amp;IF(ISBLANK(K156),"",IF(ISERROR(SEARCH(",",K156,1)),CONCATENATE(","&amp;K156&amp;","&amp;K156),CONCATENATE(","&amp;K156))))))&amp;")","")&amp;" "&amp;F156)</f>
        <v/>
      </c>
    </row>
    <row r="157">
      <c r="A157" s="1" t="n">
        <v>256</v>
      </c>
      <c r="B157" s="1">
        <f>A157</f>
        <v/>
      </c>
      <c r="C157" s="1" t="inlineStr">
        <is>
          <t>vKTT4m04</t>
        </is>
      </c>
      <c r="D157" s="1" t="inlineStr">
        <is>
          <t>數值</t>
        </is>
      </c>
      <c r="E157" s="1" t="n">
        <v>2</v>
      </c>
      <c r="G157" s="1" t="inlineStr">
        <is>
          <t>range</t>
        </is>
      </c>
      <c r="H157" s="1" t="inlineStr">
        <is>
          <t>0,1</t>
        </is>
      </c>
      <c r="L157" s="1">
        <f>CONCAT(IF(D157="數值",CONCATENATE(G157&amp;"("&amp;C157&amp;","&amp;IF(ISERROR(SEARCH(",",H157,1)),(H157&amp;","&amp;H157),H157)&amp;IF(ISBLANK(I157),"",IF(ISERROR(SEARCH(",",I157,1)),CONCATENATE(","&amp;I157&amp;","&amp;I157),CONCATENATE(","&amp;I157))&amp;IF(ISBLANK(J157),"",IF(ISERROR(SEARCH(",",J157,1)),CONCATENATE(","&amp;J157&amp;","&amp;J157),CONCATENATE(","&amp;J157))&amp;IF(ISBLANK(K157),"",IF(ISERROR(SEARCH(",",K157,1)),CONCATENATE(","&amp;K157&amp;","&amp;K157),CONCATENATE(","&amp;K157))))))&amp;")","")&amp;" "&amp;F157)</f>
        <v/>
      </c>
    </row>
    <row r="158">
      <c r="A158" s="1" t="n">
        <v>257</v>
      </c>
      <c r="B158" s="1">
        <f>A158</f>
        <v/>
      </c>
      <c r="C158" s="1" t="inlineStr">
        <is>
          <t>vKTT4m05</t>
        </is>
      </c>
      <c r="D158" s="1" t="inlineStr">
        <is>
          <t>數值</t>
        </is>
      </c>
      <c r="E158" s="1" t="n">
        <v>2</v>
      </c>
      <c r="G158" s="1" t="inlineStr">
        <is>
          <t>range</t>
        </is>
      </c>
      <c r="H158" s="1" t="inlineStr">
        <is>
          <t>0,1</t>
        </is>
      </c>
      <c r="L158" s="1">
        <f>CONCAT(IF(D158="數值",CONCATENATE(G158&amp;"("&amp;C158&amp;","&amp;IF(ISERROR(SEARCH(",",H158,1)),(H158&amp;","&amp;H158),H158)&amp;IF(ISBLANK(I158),"",IF(ISERROR(SEARCH(",",I158,1)),CONCATENATE(","&amp;I158&amp;","&amp;I158),CONCATENATE(","&amp;I158))&amp;IF(ISBLANK(J158),"",IF(ISERROR(SEARCH(",",J158,1)),CONCATENATE(","&amp;J158&amp;","&amp;J158),CONCATENATE(","&amp;J158))&amp;IF(ISBLANK(K158),"",IF(ISERROR(SEARCH(",",K158,1)),CONCATENATE(","&amp;K158&amp;","&amp;K158),CONCATENATE(","&amp;K158))))))&amp;")","")&amp;" "&amp;F158)</f>
        <v/>
      </c>
    </row>
    <row r="159">
      <c r="A159" s="1" t="n">
        <v>258</v>
      </c>
      <c r="B159" s="1">
        <f>A159</f>
        <v/>
      </c>
      <c r="C159" s="1" t="inlineStr">
        <is>
          <t>vKTT4m06</t>
        </is>
      </c>
      <c r="D159" s="1" t="inlineStr">
        <is>
          <t>數值</t>
        </is>
      </c>
      <c r="E159" s="1" t="n">
        <v>2</v>
      </c>
      <c r="G159" s="1" t="inlineStr">
        <is>
          <t>range</t>
        </is>
      </c>
      <c r="H159" s="1" t="inlineStr">
        <is>
          <t>0,1</t>
        </is>
      </c>
      <c r="L159" s="1">
        <f>CONCAT(IF(D159="數值",CONCATENATE(G159&amp;"("&amp;C159&amp;","&amp;IF(ISERROR(SEARCH(",",H159,1)),(H159&amp;","&amp;H159),H159)&amp;IF(ISBLANK(I159),"",IF(ISERROR(SEARCH(",",I159,1)),CONCATENATE(","&amp;I159&amp;","&amp;I159),CONCATENATE(","&amp;I159))&amp;IF(ISBLANK(J159),"",IF(ISERROR(SEARCH(",",J159,1)),CONCATENATE(","&amp;J159&amp;","&amp;J159),CONCATENATE(","&amp;J159))&amp;IF(ISBLANK(K159),"",IF(ISERROR(SEARCH(",",K159,1)),CONCATENATE(","&amp;K159&amp;","&amp;K159),CONCATENATE(","&amp;K159))))))&amp;")","")&amp;" "&amp;F159)</f>
        <v/>
      </c>
    </row>
    <row r="160">
      <c r="A160" s="1" t="n">
        <v>259</v>
      </c>
      <c r="B160" s="1">
        <f>A160</f>
        <v/>
      </c>
      <c r="C160" s="1" t="inlineStr">
        <is>
          <t>vKTT4m07</t>
        </is>
      </c>
      <c r="D160" s="1" t="inlineStr">
        <is>
          <t>數值</t>
        </is>
      </c>
      <c r="E160" s="1" t="n">
        <v>2</v>
      </c>
      <c r="G160" s="1" t="inlineStr">
        <is>
          <t>range</t>
        </is>
      </c>
      <c r="H160" s="1" t="inlineStr">
        <is>
          <t>0,1</t>
        </is>
      </c>
      <c r="L160" s="1">
        <f>CONCAT(IF(D160="數值",CONCATENATE(G160&amp;"("&amp;C160&amp;","&amp;IF(ISERROR(SEARCH(",",H160,1)),(H160&amp;","&amp;H160),H160)&amp;IF(ISBLANK(I160),"",IF(ISERROR(SEARCH(",",I160,1)),CONCATENATE(","&amp;I160&amp;","&amp;I160),CONCATENATE(","&amp;I160))&amp;IF(ISBLANK(J160),"",IF(ISERROR(SEARCH(",",J160,1)),CONCATENATE(","&amp;J160&amp;","&amp;J160),CONCATENATE(","&amp;J160))&amp;IF(ISBLANK(K160),"",IF(ISERROR(SEARCH(",",K160,1)),CONCATENATE(","&amp;K160&amp;","&amp;K160),CONCATENATE(","&amp;K160))))))&amp;")","")&amp;" "&amp;F160)</f>
        <v/>
      </c>
    </row>
    <row r="161">
      <c r="A161" s="1" t="n">
        <v>260</v>
      </c>
      <c r="B161" s="1">
        <f>A161</f>
        <v/>
      </c>
      <c r="C161" s="1" t="inlineStr">
        <is>
          <t>vKTT4m08</t>
        </is>
      </c>
      <c r="D161" s="1" t="inlineStr">
        <is>
          <t>數值</t>
        </is>
      </c>
      <c r="E161" s="1" t="n">
        <v>2</v>
      </c>
      <c r="G161" s="1" t="inlineStr">
        <is>
          <t>range</t>
        </is>
      </c>
      <c r="H161" s="1" t="inlineStr">
        <is>
          <t>0,1</t>
        </is>
      </c>
      <c r="L161" s="1">
        <f>CONCAT(IF(D161="數值",CONCATENATE(G161&amp;"("&amp;C161&amp;","&amp;IF(ISERROR(SEARCH(",",H161,1)),(H161&amp;","&amp;H161),H161)&amp;IF(ISBLANK(I161),"",IF(ISERROR(SEARCH(",",I161,1)),CONCATENATE(","&amp;I161&amp;","&amp;I161),CONCATENATE(","&amp;I161))&amp;IF(ISBLANK(J161),"",IF(ISERROR(SEARCH(",",J161,1)),CONCATENATE(","&amp;J161&amp;","&amp;J161),CONCATENATE(","&amp;J161))&amp;IF(ISBLANK(K161),"",IF(ISERROR(SEARCH(",",K161,1)),CONCATENATE(","&amp;K161&amp;","&amp;K161),CONCATENATE(","&amp;K161))))))&amp;")","")&amp;" "&amp;F161)</f>
        <v/>
      </c>
    </row>
    <row r="162">
      <c r="A162" s="1" t="n">
        <v>261</v>
      </c>
      <c r="B162" s="1">
        <f>A162</f>
        <v/>
      </c>
      <c r="C162" s="1" t="inlineStr">
        <is>
          <t>vKTT4m09</t>
        </is>
      </c>
      <c r="D162" s="1" t="inlineStr">
        <is>
          <t>數值</t>
        </is>
      </c>
      <c r="E162" s="1" t="n">
        <v>2</v>
      </c>
      <c r="G162" s="1" t="inlineStr">
        <is>
          <t>range</t>
        </is>
      </c>
      <c r="H162" s="1" t="inlineStr">
        <is>
          <t>0,1</t>
        </is>
      </c>
      <c r="L162" s="1">
        <f>CONCAT(IF(D162="數值",CONCATENATE(G162&amp;"("&amp;C162&amp;","&amp;IF(ISERROR(SEARCH(",",H162,1)),(H162&amp;","&amp;H162),H162)&amp;IF(ISBLANK(I162),"",IF(ISERROR(SEARCH(",",I162,1)),CONCATENATE(","&amp;I162&amp;","&amp;I162),CONCATENATE(","&amp;I162))&amp;IF(ISBLANK(J162),"",IF(ISERROR(SEARCH(",",J162,1)),CONCATENATE(","&amp;J162&amp;","&amp;J162),CONCATENATE(","&amp;J162))&amp;IF(ISBLANK(K162),"",IF(ISERROR(SEARCH(",",K162,1)),CONCATENATE(","&amp;K162&amp;","&amp;K162),CONCATENATE(","&amp;K162))))))&amp;")","")&amp;" "&amp;F162)</f>
        <v/>
      </c>
    </row>
    <row r="163">
      <c r="A163" s="1" t="n">
        <v>262</v>
      </c>
      <c r="B163" s="1">
        <f>A163</f>
        <v/>
      </c>
      <c r="C163" s="1" t="inlineStr">
        <is>
          <t>vKTT4m10</t>
        </is>
      </c>
      <c r="D163" s="1" t="inlineStr">
        <is>
          <t>數值</t>
        </is>
      </c>
      <c r="E163" s="1" t="n">
        <v>2</v>
      </c>
      <c r="G163" s="1" t="inlineStr">
        <is>
          <t>range</t>
        </is>
      </c>
      <c r="H163" s="1" t="inlineStr">
        <is>
          <t>0,1</t>
        </is>
      </c>
      <c r="I163" s="1" t="inlineStr">
        <is>
          <t>96</t>
        </is>
      </c>
      <c r="L163" s="1">
        <f>CONCAT(IF(D163="數值",CONCATENATE(G163&amp;"("&amp;C163&amp;","&amp;IF(ISERROR(SEARCH(",",H163,1)),(H163&amp;","&amp;H163),H163)&amp;IF(ISBLANK(I163),"",IF(ISERROR(SEARCH(",",I163,1)),CONCATENATE(","&amp;I163&amp;","&amp;I163),CONCATENATE(","&amp;I163))&amp;IF(ISBLANK(J163),"",IF(ISERROR(SEARCH(",",J163,1)),CONCATENATE(","&amp;J163&amp;","&amp;J163),CONCATENATE(","&amp;J163))&amp;IF(ISBLANK(K163),"",IF(ISERROR(SEARCH(",",K163,1)),CONCATENATE(","&amp;K163&amp;","&amp;K163),CONCATENATE(","&amp;K163))))))&amp;")","")&amp;" "&amp;F163)</f>
        <v/>
      </c>
    </row>
    <row r="164">
      <c r="A164" s="1" t="n">
        <v>263</v>
      </c>
      <c r="B164" s="1">
        <f>A164</f>
        <v/>
      </c>
      <c r="C164" s="1" t="inlineStr">
        <is>
          <t>vKTT4m11</t>
        </is>
      </c>
      <c r="D164" s="1" t="inlineStr">
        <is>
          <t>數值</t>
        </is>
      </c>
      <c r="E164" s="1" t="n">
        <v>2</v>
      </c>
      <c r="G164" s="1" t="inlineStr">
        <is>
          <t>range</t>
        </is>
      </c>
      <c r="H164" s="1" t="inlineStr">
        <is>
          <t>0,1</t>
        </is>
      </c>
      <c r="I164" s="1" t="inlineStr">
        <is>
          <t>96</t>
        </is>
      </c>
      <c r="L164" s="1">
        <f>CONCAT(IF(D164="數值",CONCATENATE(G164&amp;"("&amp;C164&amp;","&amp;IF(ISERROR(SEARCH(",",H164,1)),(H164&amp;","&amp;H164),H164)&amp;IF(ISBLANK(I164),"",IF(ISERROR(SEARCH(",",I164,1)),CONCATENATE(","&amp;I164&amp;","&amp;I164),CONCATENATE(","&amp;I164))&amp;IF(ISBLANK(J164),"",IF(ISERROR(SEARCH(",",J164,1)),CONCATENATE(","&amp;J164&amp;","&amp;J164),CONCATENATE(","&amp;J164))&amp;IF(ISBLANK(K164),"",IF(ISERROR(SEARCH(",",K164,1)),CONCATENATE(","&amp;K164&amp;","&amp;K164),CONCATENATE(","&amp;K164))))))&amp;")","")&amp;" "&amp;F164)</f>
        <v/>
      </c>
    </row>
    <row r="165">
      <c r="A165" s="1" t="n">
        <v>264</v>
      </c>
      <c r="B165" s="1">
        <f>A165</f>
        <v/>
      </c>
      <c r="C165" s="1" t="inlineStr">
        <is>
          <t>vKTT4m12</t>
        </is>
      </c>
      <c r="D165" s="1" t="inlineStr">
        <is>
          <t>數值</t>
        </is>
      </c>
      <c r="E165" s="1" t="n">
        <v>2</v>
      </c>
      <c r="G165" s="1" t="inlineStr">
        <is>
          <t>range</t>
        </is>
      </c>
      <c r="H165" s="1" t="inlineStr">
        <is>
          <t>0,1</t>
        </is>
      </c>
      <c r="I165" s="1" t="inlineStr">
        <is>
          <t>96</t>
        </is>
      </c>
      <c r="L165" s="1">
        <f>CONCAT(IF(D165="數值",CONCATENATE(G165&amp;"("&amp;C165&amp;","&amp;IF(ISERROR(SEARCH(",",H165,1)),(H165&amp;","&amp;H165),H165)&amp;IF(ISBLANK(I165),"",IF(ISERROR(SEARCH(",",I165,1)),CONCATENATE(","&amp;I165&amp;","&amp;I165),CONCATENATE(","&amp;I165))&amp;IF(ISBLANK(J165),"",IF(ISERROR(SEARCH(",",J165,1)),CONCATENATE(","&amp;J165&amp;","&amp;J165),CONCATENATE(","&amp;J165))&amp;IF(ISBLANK(K165),"",IF(ISERROR(SEARCH(",",K165,1)),CONCATENATE(","&amp;K165&amp;","&amp;K165),CONCATENATE(","&amp;K165))))))&amp;")","")&amp;" "&amp;F165)</f>
        <v/>
      </c>
    </row>
    <row r="166">
      <c r="A166" s="1" t="n">
        <v>265</v>
      </c>
      <c r="B166" s="1">
        <f>A166</f>
        <v/>
      </c>
      <c r="C166" s="1" t="inlineStr">
        <is>
          <t>vKTT4m13</t>
        </is>
      </c>
      <c r="D166" s="1" t="inlineStr">
        <is>
          <t>數值</t>
        </is>
      </c>
      <c r="E166" s="1" t="n">
        <v>2</v>
      </c>
      <c r="G166" s="1" t="inlineStr">
        <is>
          <t>range</t>
        </is>
      </c>
      <c r="H166" s="1" t="inlineStr">
        <is>
          <t>0,1</t>
        </is>
      </c>
      <c r="I166" s="1" t="inlineStr">
        <is>
          <t>96</t>
        </is>
      </c>
      <c r="L166" s="1">
        <f>CONCAT(IF(D166="數值",CONCATENATE(G166&amp;"("&amp;C166&amp;","&amp;IF(ISERROR(SEARCH(",",H166,1)),(H166&amp;","&amp;H166),H166)&amp;IF(ISBLANK(I166),"",IF(ISERROR(SEARCH(",",I166,1)),CONCATENATE(","&amp;I166&amp;","&amp;I166),CONCATENATE(","&amp;I166))&amp;IF(ISBLANK(J166),"",IF(ISERROR(SEARCH(",",J166,1)),CONCATENATE(","&amp;J166&amp;","&amp;J166),CONCATENATE(","&amp;J166))&amp;IF(ISBLANK(K166),"",IF(ISERROR(SEARCH(",",K166,1)),CONCATENATE(","&amp;K166&amp;","&amp;K166),CONCATENATE(","&amp;K166))))))&amp;")","")&amp;" "&amp;F166)</f>
        <v/>
      </c>
    </row>
    <row r="167">
      <c r="A167" s="1" t="n">
        <v>266</v>
      </c>
      <c r="B167" s="1">
        <f>A167</f>
        <v/>
      </c>
      <c r="C167" s="1" t="inlineStr">
        <is>
          <t>vKTT4m14</t>
        </is>
      </c>
      <c r="D167" s="1" t="inlineStr">
        <is>
          <t>數值</t>
        </is>
      </c>
      <c r="E167" s="1" t="n">
        <v>2</v>
      </c>
      <c r="G167" s="1" t="inlineStr">
        <is>
          <t>range</t>
        </is>
      </c>
      <c r="H167" s="1" t="inlineStr">
        <is>
          <t>0,1</t>
        </is>
      </c>
      <c r="I167" s="1" t="inlineStr">
        <is>
          <t>96</t>
        </is>
      </c>
      <c r="L167" s="1">
        <f>CONCAT(IF(D167="數值",CONCATENATE(G167&amp;"("&amp;C167&amp;","&amp;IF(ISERROR(SEARCH(",",H167,1)),(H167&amp;","&amp;H167),H167)&amp;IF(ISBLANK(I167),"",IF(ISERROR(SEARCH(",",I167,1)),CONCATENATE(","&amp;I167&amp;","&amp;I167),CONCATENATE(","&amp;I167))&amp;IF(ISBLANK(J167),"",IF(ISERROR(SEARCH(",",J167,1)),CONCATENATE(","&amp;J167&amp;","&amp;J167),CONCATENATE(","&amp;J167))&amp;IF(ISBLANK(K167),"",IF(ISERROR(SEARCH(",",K167,1)),CONCATENATE(","&amp;K167&amp;","&amp;K167),CONCATENATE(","&amp;K167))))))&amp;")","")&amp;" "&amp;F167)</f>
        <v/>
      </c>
    </row>
    <row r="168">
      <c r="A168" s="1" t="n">
        <v>267</v>
      </c>
      <c r="B168" s="1">
        <f>A168</f>
        <v/>
      </c>
      <c r="C168" s="1" t="inlineStr">
        <is>
          <t>vKTT4m88</t>
        </is>
      </c>
      <c r="D168" s="1" t="inlineStr">
        <is>
          <t>數值</t>
        </is>
      </c>
      <c r="E168" s="1" t="n">
        <v>2</v>
      </c>
      <c r="G168" s="1" t="inlineStr">
        <is>
          <t>range</t>
        </is>
      </c>
      <c r="H168" s="1" t="inlineStr">
        <is>
          <t>0,1</t>
        </is>
      </c>
      <c r="I168" s="1" t="inlineStr">
        <is>
          <t>96</t>
        </is>
      </c>
      <c r="L168" s="1">
        <f>CONCAT(IF(D168="數值",CONCATENATE(G168&amp;"("&amp;C168&amp;","&amp;IF(ISERROR(SEARCH(",",H168,1)),(H168&amp;","&amp;H168),H168)&amp;IF(ISBLANK(I168),"",IF(ISERROR(SEARCH(",",I168,1)),CONCATENATE(","&amp;I168&amp;","&amp;I168),CONCATENATE(","&amp;I168))&amp;IF(ISBLANK(J168),"",IF(ISERROR(SEARCH(",",J168,1)),CONCATENATE(","&amp;J168&amp;","&amp;J168),CONCATENATE(","&amp;J168))&amp;IF(ISBLANK(K168),"",IF(ISERROR(SEARCH(",",K168,1)),CONCATENATE(","&amp;K168&amp;","&amp;K168),CONCATENATE(","&amp;K168))))))&amp;")","")&amp;" "&amp;F168)</f>
        <v/>
      </c>
    </row>
    <row r="169">
      <c r="A169" s="1" t="n">
        <v>268</v>
      </c>
      <c r="B169" s="1">
        <f>A169</f>
        <v/>
      </c>
      <c r="C169" s="1" t="inlineStr">
        <is>
          <t>vKTT5m01</t>
        </is>
      </c>
      <c r="D169" s="1" t="inlineStr">
        <is>
          <t>數值</t>
        </is>
      </c>
      <c r="E169" s="1" t="n">
        <v>2</v>
      </c>
      <c r="G169" s="1" t="inlineStr">
        <is>
          <t>range</t>
        </is>
      </c>
      <c r="H169" s="1" t="inlineStr">
        <is>
          <t>0,1</t>
        </is>
      </c>
      <c r="L169" s="1">
        <f>CONCAT(IF(D169="數值",CONCATENATE(G169&amp;"("&amp;C169&amp;","&amp;IF(ISERROR(SEARCH(",",H169,1)),(H169&amp;","&amp;H169),H169)&amp;IF(ISBLANK(I169),"",IF(ISERROR(SEARCH(",",I169,1)),CONCATENATE(","&amp;I169&amp;","&amp;I169),CONCATENATE(","&amp;I169))&amp;IF(ISBLANK(J169),"",IF(ISERROR(SEARCH(",",J169,1)),CONCATENATE(","&amp;J169&amp;","&amp;J169),CONCATENATE(","&amp;J169))&amp;IF(ISBLANK(K169),"",IF(ISERROR(SEARCH(",",K169,1)),CONCATENATE(","&amp;K169&amp;","&amp;K169),CONCATENATE(","&amp;K169))))))&amp;")","")&amp;" "&amp;F169)</f>
        <v/>
      </c>
    </row>
    <row r="170">
      <c r="A170" s="1" t="n">
        <v>269</v>
      </c>
      <c r="B170" s="1">
        <f>A170</f>
        <v/>
      </c>
      <c r="C170" s="1" t="inlineStr">
        <is>
          <t>vKTT5m02</t>
        </is>
      </c>
      <c r="D170" s="1" t="inlineStr">
        <is>
          <t>數值</t>
        </is>
      </c>
      <c r="E170" s="1" t="n">
        <v>2</v>
      </c>
      <c r="G170" s="1" t="inlineStr">
        <is>
          <t>range</t>
        </is>
      </c>
      <c r="H170" s="1" t="inlineStr">
        <is>
          <t>0,1</t>
        </is>
      </c>
      <c r="L170" s="1">
        <f>CONCAT(IF(D170="數值",CONCATENATE(G170&amp;"("&amp;C170&amp;","&amp;IF(ISERROR(SEARCH(",",H170,1)),(H170&amp;","&amp;H170),H170)&amp;IF(ISBLANK(I170),"",IF(ISERROR(SEARCH(",",I170,1)),CONCATENATE(","&amp;I170&amp;","&amp;I170),CONCATENATE(","&amp;I170))&amp;IF(ISBLANK(J170),"",IF(ISERROR(SEARCH(",",J170,1)),CONCATENATE(","&amp;J170&amp;","&amp;J170),CONCATENATE(","&amp;J170))&amp;IF(ISBLANK(K170),"",IF(ISERROR(SEARCH(",",K170,1)),CONCATENATE(","&amp;K170&amp;","&amp;K170),CONCATENATE(","&amp;K170))))))&amp;")","")&amp;" "&amp;F170)</f>
        <v/>
      </c>
    </row>
    <row r="171">
      <c r="A171" s="1" t="n">
        <v>270</v>
      </c>
      <c r="B171" s="1">
        <f>A171</f>
        <v/>
      </c>
      <c r="C171" s="1" t="inlineStr">
        <is>
          <t>vKTT5m03</t>
        </is>
      </c>
      <c r="D171" s="1" t="inlineStr">
        <is>
          <t>數值</t>
        </is>
      </c>
      <c r="E171" s="1" t="n">
        <v>2</v>
      </c>
      <c r="G171" s="1" t="inlineStr">
        <is>
          <t>range</t>
        </is>
      </c>
      <c r="H171" s="1" t="inlineStr">
        <is>
          <t>0,1</t>
        </is>
      </c>
      <c r="L171" s="1">
        <f>CONCAT(IF(D171="數值",CONCATENATE(G171&amp;"("&amp;C171&amp;","&amp;IF(ISERROR(SEARCH(",",H171,1)),(H171&amp;","&amp;H171),H171)&amp;IF(ISBLANK(I171),"",IF(ISERROR(SEARCH(",",I171,1)),CONCATENATE(","&amp;I171&amp;","&amp;I171),CONCATENATE(","&amp;I171))&amp;IF(ISBLANK(J171),"",IF(ISERROR(SEARCH(",",J171,1)),CONCATENATE(","&amp;J171&amp;","&amp;J171),CONCATENATE(","&amp;J171))&amp;IF(ISBLANK(K171),"",IF(ISERROR(SEARCH(",",K171,1)),CONCATENATE(","&amp;K171&amp;","&amp;K171),CONCATENATE(","&amp;K171))))))&amp;")","")&amp;" "&amp;F171)</f>
        <v/>
      </c>
    </row>
    <row r="172">
      <c r="A172" s="1" t="n">
        <v>271</v>
      </c>
      <c r="B172" s="1">
        <f>A172</f>
        <v/>
      </c>
      <c r="C172" s="1" t="inlineStr">
        <is>
          <t>vKTT5m04</t>
        </is>
      </c>
      <c r="D172" s="1" t="inlineStr">
        <is>
          <t>數值</t>
        </is>
      </c>
      <c r="E172" s="1" t="n">
        <v>2</v>
      </c>
      <c r="G172" s="1" t="inlineStr">
        <is>
          <t>range</t>
        </is>
      </c>
      <c r="H172" s="1" t="inlineStr">
        <is>
          <t>0,1</t>
        </is>
      </c>
      <c r="L172" s="1">
        <f>CONCAT(IF(D172="數值",CONCATENATE(G172&amp;"("&amp;C172&amp;","&amp;IF(ISERROR(SEARCH(",",H172,1)),(H172&amp;","&amp;H172),H172)&amp;IF(ISBLANK(I172),"",IF(ISERROR(SEARCH(",",I172,1)),CONCATENATE(","&amp;I172&amp;","&amp;I172),CONCATENATE(","&amp;I172))&amp;IF(ISBLANK(J172),"",IF(ISERROR(SEARCH(",",J172,1)),CONCATENATE(","&amp;J172&amp;","&amp;J172),CONCATENATE(","&amp;J172))&amp;IF(ISBLANK(K172),"",IF(ISERROR(SEARCH(",",K172,1)),CONCATENATE(","&amp;K172&amp;","&amp;K172),CONCATENATE(","&amp;K172))))))&amp;")","")&amp;" "&amp;F172)</f>
        <v/>
      </c>
    </row>
    <row r="173">
      <c r="A173" s="1" t="n">
        <v>272</v>
      </c>
      <c r="B173" s="1">
        <f>A173</f>
        <v/>
      </c>
      <c r="C173" s="1" t="inlineStr">
        <is>
          <t>vKTT5m05</t>
        </is>
      </c>
      <c r="D173" s="1" t="inlineStr">
        <is>
          <t>數值</t>
        </is>
      </c>
      <c r="E173" s="1" t="n">
        <v>2</v>
      </c>
      <c r="G173" s="1" t="inlineStr">
        <is>
          <t>range</t>
        </is>
      </c>
      <c r="H173" s="1" t="inlineStr">
        <is>
          <t>0,1</t>
        </is>
      </c>
      <c r="L173" s="1">
        <f>CONCAT(IF(D173="數值",CONCATENATE(G173&amp;"("&amp;C173&amp;","&amp;IF(ISERROR(SEARCH(",",H173,1)),(H173&amp;","&amp;H173),H173)&amp;IF(ISBLANK(I173),"",IF(ISERROR(SEARCH(",",I173,1)),CONCATENATE(","&amp;I173&amp;","&amp;I173),CONCATENATE(","&amp;I173))&amp;IF(ISBLANK(J173),"",IF(ISERROR(SEARCH(",",J173,1)),CONCATENATE(","&amp;J173&amp;","&amp;J173),CONCATENATE(","&amp;J173))&amp;IF(ISBLANK(K173),"",IF(ISERROR(SEARCH(",",K173,1)),CONCATENATE(","&amp;K173&amp;","&amp;K173),CONCATENATE(","&amp;K173))))))&amp;")","")&amp;" "&amp;F173)</f>
        <v/>
      </c>
    </row>
    <row r="174">
      <c r="A174" s="1" t="n">
        <v>273</v>
      </c>
      <c r="B174" s="1">
        <f>A174</f>
        <v/>
      </c>
      <c r="C174" s="1" t="inlineStr">
        <is>
          <t>vKTT5m06</t>
        </is>
      </c>
      <c r="D174" s="1" t="inlineStr">
        <is>
          <t>數值</t>
        </is>
      </c>
      <c r="E174" s="1" t="n">
        <v>2</v>
      </c>
      <c r="G174" s="1" t="inlineStr">
        <is>
          <t>range</t>
        </is>
      </c>
      <c r="H174" s="1" t="inlineStr">
        <is>
          <t>0,1</t>
        </is>
      </c>
      <c r="L174" s="1">
        <f>CONCAT(IF(D174="數值",CONCATENATE(G174&amp;"("&amp;C174&amp;","&amp;IF(ISERROR(SEARCH(",",H174,1)),(H174&amp;","&amp;H174),H174)&amp;IF(ISBLANK(I174),"",IF(ISERROR(SEARCH(",",I174,1)),CONCATENATE(","&amp;I174&amp;","&amp;I174),CONCATENATE(","&amp;I174))&amp;IF(ISBLANK(J174),"",IF(ISERROR(SEARCH(",",J174,1)),CONCATENATE(","&amp;J174&amp;","&amp;J174),CONCATENATE(","&amp;J174))&amp;IF(ISBLANK(K174),"",IF(ISERROR(SEARCH(",",K174,1)),CONCATENATE(","&amp;K174&amp;","&amp;K174),CONCATENATE(","&amp;K174))))))&amp;")","")&amp;" "&amp;F174)</f>
        <v/>
      </c>
    </row>
    <row r="175">
      <c r="A175" s="1" t="n">
        <v>274</v>
      </c>
      <c r="B175" s="1">
        <f>A175</f>
        <v/>
      </c>
      <c r="C175" s="1" t="inlineStr">
        <is>
          <t>vKTT5m07</t>
        </is>
      </c>
      <c r="D175" s="1" t="inlineStr">
        <is>
          <t>數值</t>
        </is>
      </c>
      <c r="E175" s="1" t="n">
        <v>2</v>
      </c>
      <c r="G175" s="1" t="inlineStr">
        <is>
          <t>range</t>
        </is>
      </c>
      <c r="H175" s="1" t="inlineStr">
        <is>
          <t>0,1</t>
        </is>
      </c>
      <c r="L175" s="1">
        <f>CONCAT(IF(D175="數值",CONCATENATE(G175&amp;"("&amp;C175&amp;","&amp;IF(ISERROR(SEARCH(",",H175,1)),(H175&amp;","&amp;H175),H175)&amp;IF(ISBLANK(I175),"",IF(ISERROR(SEARCH(",",I175,1)),CONCATENATE(","&amp;I175&amp;","&amp;I175),CONCATENATE(","&amp;I175))&amp;IF(ISBLANK(J175),"",IF(ISERROR(SEARCH(",",J175,1)),CONCATENATE(","&amp;J175&amp;","&amp;J175),CONCATENATE(","&amp;J175))&amp;IF(ISBLANK(K175),"",IF(ISERROR(SEARCH(",",K175,1)),CONCATENATE(","&amp;K175&amp;","&amp;K175),CONCATENATE(","&amp;K175))))))&amp;")","")&amp;" "&amp;F175)</f>
        <v/>
      </c>
    </row>
    <row r="176">
      <c r="A176" s="1" t="n">
        <v>275</v>
      </c>
      <c r="B176" s="1">
        <f>A176</f>
        <v/>
      </c>
      <c r="C176" s="1" t="inlineStr">
        <is>
          <t>vKTT5m08</t>
        </is>
      </c>
      <c r="D176" s="1" t="inlineStr">
        <is>
          <t>數值</t>
        </is>
      </c>
      <c r="E176" s="1" t="n">
        <v>2</v>
      </c>
      <c r="G176" s="1" t="inlineStr">
        <is>
          <t>range</t>
        </is>
      </c>
      <c r="H176" s="1" t="inlineStr">
        <is>
          <t>0,1</t>
        </is>
      </c>
      <c r="L176" s="1">
        <f>CONCAT(IF(D176="數值",CONCATENATE(G176&amp;"("&amp;C176&amp;","&amp;IF(ISERROR(SEARCH(",",H176,1)),(H176&amp;","&amp;H176),H176)&amp;IF(ISBLANK(I176),"",IF(ISERROR(SEARCH(",",I176,1)),CONCATENATE(","&amp;I176&amp;","&amp;I176),CONCATENATE(","&amp;I176))&amp;IF(ISBLANK(J176),"",IF(ISERROR(SEARCH(",",J176,1)),CONCATENATE(","&amp;J176&amp;","&amp;J176),CONCATENATE(","&amp;J176))&amp;IF(ISBLANK(K176),"",IF(ISERROR(SEARCH(",",K176,1)),CONCATENATE(","&amp;K176&amp;","&amp;K176),CONCATENATE(","&amp;K176))))))&amp;")","")&amp;" "&amp;F176)</f>
        <v/>
      </c>
    </row>
    <row r="177">
      <c r="A177" s="1" t="n">
        <v>276</v>
      </c>
      <c r="B177" s="1">
        <f>A177</f>
        <v/>
      </c>
      <c r="C177" s="1" t="inlineStr">
        <is>
          <t>vKTT5m09</t>
        </is>
      </c>
      <c r="D177" s="1" t="inlineStr">
        <is>
          <t>數值</t>
        </is>
      </c>
      <c r="E177" s="1" t="n">
        <v>2</v>
      </c>
      <c r="G177" s="1" t="inlineStr">
        <is>
          <t>range</t>
        </is>
      </c>
      <c r="H177" s="1" t="inlineStr">
        <is>
          <t>0,1</t>
        </is>
      </c>
      <c r="L177" s="1">
        <f>CONCAT(IF(D177="數值",CONCATENATE(G177&amp;"("&amp;C177&amp;","&amp;IF(ISERROR(SEARCH(",",H177,1)),(H177&amp;","&amp;H177),H177)&amp;IF(ISBLANK(I177),"",IF(ISERROR(SEARCH(",",I177,1)),CONCATENATE(","&amp;I177&amp;","&amp;I177),CONCATENATE(","&amp;I177))&amp;IF(ISBLANK(J177),"",IF(ISERROR(SEARCH(",",J177,1)),CONCATENATE(","&amp;J177&amp;","&amp;J177),CONCATENATE(","&amp;J177))&amp;IF(ISBLANK(K177),"",IF(ISERROR(SEARCH(",",K177,1)),CONCATENATE(","&amp;K177&amp;","&amp;K177),CONCATENATE(","&amp;K177))))))&amp;")","")&amp;" "&amp;F177)</f>
        <v/>
      </c>
    </row>
    <row r="178">
      <c r="A178" s="1" t="n">
        <v>277</v>
      </c>
      <c r="B178" s="1">
        <f>A178</f>
        <v/>
      </c>
      <c r="C178" s="1" t="inlineStr">
        <is>
          <t>vKTT5m10</t>
        </is>
      </c>
      <c r="D178" s="1" t="inlineStr">
        <is>
          <t>數值</t>
        </is>
      </c>
      <c r="E178" s="1" t="n">
        <v>2</v>
      </c>
      <c r="G178" s="1" t="inlineStr">
        <is>
          <t>range</t>
        </is>
      </c>
      <c r="H178" s="1" t="inlineStr">
        <is>
          <t>0,1</t>
        </is>
      </c>
      <c r="I178" s="1" t="inlineStr">
        <is>
          <t>96</t>
        </is>
      </c>
      <c r="L178" s="1">
        <f>CONCAT(IF(D178="數值",CONCATENATE(G178&amp;"("&amp;C178&amp;","&amp;IF(ISERROR(SEARCH(",",H178,1)),(H178&amp;","&amp;H178),H178)&amp;IF(ISBLANK(I178),"",IF(ISERROR(SEARCH(",",I178,1)),CONCATENATE(","&amp;I178&amp;","&amp;I178),CONCATENATE(","&amp;I178))&amp;IF(ISBLANK(J178),"",IF(ISERROR(SEARCH(",",J178,1)),CONCATENATE(","&amp;J178&amp;","&amp;J178),CONCATENATE(","&amp;J178))&amp;IF(ISBLANK(K178),"",IF(ISERROR(SEARCH(",",K178,1)),CONCATENATE(","&amp;K178&amp;","&amp;K178),CONCATENATE(","&amp;K178))))))&amp;")","")&amp;" "&amp;F178)</f>
        <v/>
      </c>
    </row>
    <row r="179">
      <c r="A179" s="1" t="n">
        <v>278</v>
      </c>
      <c r="B179" s="1">
        <f>A179</f>
        <v/>
      </c>
      <c r="C179" s="1" t="inlineStr">
        <is>
          <t>vKTT5m11</t>
        </is>
      </c>
      <c r="D179" s="1" t="inlineStr">
        <is>
          <t>數值</t>
        </is>
      </c>
      <c r="E179" s="1" t="n">
        <v>2</v>
      </c>
      <c r="G179" s="1" t="inlineStr">
        <is>
          <t>range</t>
        </is>
      </c>
      <c r="H179" s="1" t="inlineStr">
        <is>
          <t>0,1</t>
        </is>
      </c>
      <c r="I179" s="1" t="inlineStr">
        <is>
          <t>96</t>
        </is>
      </c>
      <c r="L179" s="1">
        <f>CONCAT(IF(D179="數值",CONCATENATE(G179&amp;"("&amp;C179&amp;","&amp;IF(ISERROR(SEARCH(",",H179,1)),(H179&amp;","&amp;H179),H179)&amp;IF(ISBLANK(I179),"",IF(ISERROR(SEARCH(",",I179,1)),CONCATENATE(","&amp;I179&amp;","&amp;I179),CONCATENATE(","&amp;I179))&amp;IF(ISBLANK(J179),"",IF(ISERROR(SEARCH(",",J179,1)),CONCATENATE(","&amp;J179&amp;","&amp;J179),CONCATENATE(","&amp;J179))&amp;IF(ISBLANK(K179),"",IF(ISERROR(SEARCH(",",K179,1)),CONCATENATE(","&amp;K179&amp;","&amp;K179),CONCATENATE(","&amp;K179))))))&amp;")","")&amp;" "&amp;F179)</f>
        <v/>
      </c>
    </row>
    <row r="180">
      <c r="A180" s="1" t="n">
        <v>279</v>
      </c>
      <c r="B180" s="1">
        <f>A180</f>
        <v/>
      </c>
      <c r="C180" s="1" t="inlineStr">
        <is>
          <t>vKTT5m12</t>
        </is>
      </c>
      <c r="D180" s="1" t="inlineStr">
        <is>
          <t>數值</t>
        </is>
      </c>
      <c r="E180" s="1" t="n">
        <v>2</v>
      </c>
      <c r="G180" s="1" t="inlineStr">
        <is>
          <t>range</t>
        </is>
      </c>
      <c r="H180" s="1" t="inlineStr">
        <is>
          <t>0,1</t>
        </is>
      </c>
      <c r="I180" s="1" t="inlineStr">
        <is>
          <t>96</t>
        </is>
      </c>
      <c r="L180" s="1">
        <f>CONCAT(IF(D180="數值",CONCATENATE(G180&amp;"("&amp;C180&amp;","&amp;IF(ISERROR(SEARCH(",",H180,1)),(H180&amp;","&amp;H180),H180)&amp;IF(ISBLANK(I180),"",IF(ISERROR(SEARCH(",",I180,1)),CONCATENATE(","&amp;I180&amp;","&amp;I180),CONCATENATE(","&amp;I180))&amp;IF(ISBLANK(J180),"",IF(ISERROR(SEARCH(",",J180,1)),CONCATENATE(","&amp;J180&amp;","&amp;J180),CONCATENATE(","&amp;J180))&amp;IF(ISBLANK(K180),"",IF(ISERROR(SEARCH(",",K180,1)),CONCATENATE(","&amp;K180&amp;","&amp;K180),CONCATENATE(","&amp;K180))))))&amp;")","")&amp;" "&amp;F180)</f>
        <v/>
      </c>
    </row>
    <row r="181">
      <c r="A181" s="1" t="n">
        <v>280</v>
      </c>
      <c r="B181" s="1">
        <f>A181</f>
        <v/>
      </c>
      <c r="C181" s="1" t="inlineStr">
        <is>
          <t>vKTT5m88</t>
        </is>
      </c>
      <c r="D181" s="1" t="inlineStr">
        <is>
          <t>數值</t>
        </is>
      </c>
      <c r="E181" s="1" t="n">
        <v>2</v>
      </c>
      <c r="G181" s="1" t="inlineStr">
        <is>
          <t>range</t>
        </is>
      </c>
      <c r="H181" s="1" t="inlineStr">
        <is>
          <t>0,1</t>
        </is>
      </c>
      <c r="I181" s="1" t="inlineStr">
        <is>
          <t>96</t>
        </is>
      </c>
      <c r="L181" s="1">
        <f>CONCAT(IF(D181="數值",CONCATENATE(G181&amp;"("&amp;C181&amp;","&amp;IF(ISERROR(SEARCH(",",H181,1)),(H181&amp;","&amp;H181),H181)&amp;IF(ISBLANK(I181),"",IF(ISERROR(SEARCH(",",I181,1)),CONCATENATE(","&amp;I181&amp;","&amp;I181),CONCATENATE(","&amp;I181))&amp;IF(ISBLANK(J181),"",IF(ISERROR(SEARCH(",",J181,1)),CONCATENATE(","&amp;J181&amp;","&amp;J181),CONCATENATE(","&amp;J181))&amp;IF(ISBLANK(K181),"",IF(ISERROR(SEARCH(",",K181,1)),CONCATENATE(","&amp;K181&amp;","&amp;K181),CONCATENATE(","&amp;K181))))))&amp;")","")&amp;" "&amp;F181)</f>
        <v/>
      </c>
    </row>
    <row r="182">
      <c r="A182" s="1" t="n">
        <v>281</v>
      </c>
      <c r="B182" s="1">
        <f>A182</f>
        <v/>
      </c>
      <c r="C182" s="1" t="inlineStr">
        <is>
          <t>vP5_1</t>
        </is>
      </c>
      <c r="D182" s="1" t="inlineStr">
        <is>
          <t>數值</t>
        </is>
      </c>
      <c r="E182" s="1" t="n">
        <v>4</v>
      </c>
      <c r="G182" s="1" t="inlineStr">
        <is>
          <t>range</t>
        </is>
      </c>
    </row>
    <row r="183">
      <c r="A183" s="1" t="n">
        <v>282</v>
      </c>
      <c r="B183" s="1">
        <f>A183</f>
        <v/>
      </c>
      <c r="C183" s="1" t="inlineStr">
        <is>
          <t>vP5_2</t>
        </is>
      </c>
      <c r="D183" s="1" t="inlineStr">
        <is>
          <t>數值</t>
        </is>
      </c>
      <c r="E183" s="1" t="n">
        <v>5</v>
      </c>
      <c r="G183" s="1" t="inlineStr">
        <is>
          <t>range</t>
        </is>
      </c>
    </row>
    <row r="184">
      <c r="A184" s="1" t="n">
        <v>283</v>
      </c>
      <c r="B184" s="1">
        <f>A184</f>
        <v/>
      </c>
      <c r="C184" s="1" t="inlineStr">
        <is>
          <t>vK3m01</t>
        </is>
      </c>
      <c r="D184" s="1" t="inlineStr">
        <is>
          <t>數值</t>
        </is>
      </c>
      <c r="E184" s="1" t="n">
        <v>2</v>
      </c>
      <c r="G184" s="1" t="inlineStr">
        <is>
          <t>range</t>
        </is>
      </c>
      <c r="H184" s="1" t="inlineStr">
        <is>
          <t>0,1</t>
        </is>
      </c>
      <c r="L184" s="1">
        <f>CONCAT(IF(D184="數值",CONCATENATE(G184&amp;"("&amp;C184&amp;","&amp;IF(ISERROR(SEARCH(",",H184,1)),(H184&amp;","&amp;H184),H184)&amp;IF(ISBLANK(I184),"",IF(ISERROR(SEARCH(",",I184,1)),CONCATENATE(","&amp;I184&amp;","&amp;I184),CONCATENATE(","&amp;I184))&amp;IF(ISBLANK(J184),"",IF(ISERROR(SEARCH(",",J184,1)),CONCATENATE(","&amp;J184&amp;","&amp;J184),CONCATENATE(","&amp;J184))&amp;IF(ISBLANK(K184),"",IF(ISERROR(SEARCH(",",K184,1)),CONCATENATE(","&amp;K184&amp;","&amp;K184),CONCATENATE(","&amp;K184))))))&amp;")","")&amp;" "&amp;F184)</f>
        <v/>
      </c>
    </row>
    <row r="185">
      <c r="A185" s="1" t="n">
        <v>284</v>
      </c>
      <c r="B185" s="1">
        <f>A185</f>
        <v/>
      </c>
      <c r="C185" s="1" t="inlineStr">
        <is>
          <t>vK3m02</t>
        </is>
      </c>
      <c r="D185" s="1" t="inlineStr">
        <is>
          <t>數值</t>
        </is>
      </c>
      <c r="E185" s="1" t="n">
        <v>2</v>
      </c>
      <c r="G185" s="1" t="inlineStr">
        <is>
          <t>range</t>
        </is>
      </c>
      <c r="H185" s="1" t="inlineStr">
        <is>
          <t>0,1</t>
        </is>
      </c>
      <c r="L185" s="1">
        <f>CONCAT(IF(D185="數值",CONCATENATE(G185&amp;"("&amp;C185&amp;","&amp;IF(ISERROR(SEARCH(",",H185,1)),(H185&amp;","&amp;H185),H185)&amp;IF(ISBLANK(I185),"",IF(ISERROR(SEARCH(",",I185,1)),CONCATENATE(","&amp;I185&amp;","&amp;I185),CONCATENATE(","&amp;I185))&amp;IF(ISBLANK(J185),"",IF(ISERROR(SEARCH(",",J185,1)),CONCATENATE(","&amp;J185&amp;","&amp;J185),CONCATENATE(","&amp;J185))&amp;IF(ISBLANK(K185),"",IF(ISERROR(SEARCH(",",K185,1)),CONCATENATE(","&amp;K185&amp;","&amp;K185),CONCATENATE(","&amp;K185))))))&amp;")","")&amp;" "&amp;F185)</f>
        <v/>
      </c>
    </row>
    <row r="186">
      <c r="A186" s="1" t="n">
        <v>285</v>
      </c>
      <c r="B186" s="1">
        <f>A186</f>
        <v/>
      </c>
      <c r="C186" s="1" t="inlineStr">
        <is>
          <t>vK3m03</t>
        </is>
      </c>
      <c r="D186" s="1" t="inlineStr">
        <is>
          <t>數值</t>
        </is>
      </c>
      <c r="E186" s="1" t="n">
        <v>2</v>
      </c>
      <c r="G186" s="1" t="inlineStr">
        <is>
          <t>range</t>
        </is>
      </c>
      <c r="H186" s="1" t="inlineStr">
        <is>
          <t>0,1</t>
        </is>
      </c>
      <c r="L186" s="1">
        <f>CONCAT(IF(D186="數值",CONCATENATE(G186&amp;"("&amp;C186&amp;","&amp;IF(ISERROR(SEARCH(",",H186,1)),(H186&amp;","&amp;H186),H186)&amp;IF(ISBLANK(I186),"",IF(ISERROR(SEARCH(",",I186,1)),CONCATENATE(","&amp;I186&amp;","&amp;I186),CONCATENATE(","&amp;I186))&amp;IF(ISBLANK(J186),"",IF(ISERROR(SEARCH(",",J186,1)),CONCATENATE(","&amp;J186&amp;","&amp;J186),CONCATENATE(","&amp;J186))&amp;IF(ISBLANK(K186),"",IF(ISERROR(SEARCH(",",K186,1)),CONCATENATE(","&amp;K186&amp;","&amp;K186),CONCATENATE(","&amp;K186))))))&amp;")","")&amp;" "&amp;F186)</f>
        <v/>
      </c>
    </row>
    <row r="187">
      <c r="A187" s="1" t="n">
        <v>286</v>
      </c>
      <c r="B187" s="1">
        <f>A187</f>
        <v/>
      </c>
      <c r="C187" s="1" t="inlineStr">
        <is>
          <t>vK3m04</t>
        </is>
      </c>
      <c r="D187" s="1" t="inlineStr">
        <is>
          <t>數值</t>
        </is>
      </c>
      <c r="E187" s="1" t="n">
        <v>2</v>
      </c>
      <c r="G187" s="1" t="inlineStr">
        <is>
          <t>range</t>
        </is>
      </c>
      <c r="H187" s="1" t="inlineStr">
        <is>
          <t>0,1</t>
        </is>
      </c>
      <c r="L187" s="1">
        <f>CONCAT(IF(D187="數值",CONCATENATE(G187&amp;"("&amp;C187&amp;","&amp;IF(ISERROR(SEARCH(",",H187,1)),(H187&amp;","&amp;H187),H187)&amp;IF(ISBLANK(I187),"",IF(ISERROR(SEARCH(",",I187,1)),CONCATENATE(","&amp;I187&amp;","&amp;I187),CONCATENATE(","&amp;I187))&amp;IF(ISBLANK(J187),"",IF(ISERROR(SEARCH(",",J187,1)),CONCATENATE(","&amp;J187&amp;","&amp;J187),CONCATENATE(","&amp;J187))&amp;IF(ISBLANK(K187),"",IF(ISERROR(SEARCH(",",K187,1)),CONCATENATE(","&amp;K187&amp;","&amp;K187),CONCATENATE(","&amp;K187))))))&amp;")","")&amp;" "&amp;F187)</f>
        <v/>
      </c>
    </row>
    <row r="188">
      <c r="A188" s="1" t="n">
        <v>287</v>
      </c>
      <c r="B188" s="1">
        <f>A188</f>
        <v/>
      </c>
      <c r="C188" s="1" t="inlineStr">
        <is>
          <t>vK3m05</t>
        </is>
      </c>
      <c r="D188" s="1" t="inlineStr">
        <is>
          <t>數值</t>
        </is>
      </c>
      <c r="E188" s="1" t="n">
        <v>2</v>
      </c>
      <c r="G188" s="1" t="inlineStr">
        <is>
          <t>range</t>
        </is>
      </c>
      <c r="H188" s="1" t="inlineStr">
        <is>
          <t>0,1</t>
        </is>
      </c>
      <c r="L188" s="1">
        <f>CONCAT(IF(D188="數值",CONCATENATE(G188&amp;"("&amp;C188&amp;","&amp;IF(ISERROR(SEARCH(",",H188,1)),(H188&amp;","&amp;H188),H188)&amp;IF(ISBLANK(I188),"",IF(ISERROR(SEARCH(",",I188,1)),CONCATENATE(","&amp;I188&amp;","&amp;I188),CONCATENATE(","&amp;I188))&amp;IF(ISBLANK(J188),"",IF(ISERROR(SEARCH(",",J188,1)),CONCATENATE(","&amp;J188&amp;","&amp;J188),CONCATENATE(","&amp;J188))&amp;IF(ISBLANK(K188),"",IF(ISERROR(SEARCH(",",K188,1)),CONCATENATE(","&amp;K188&amp;","&amp;K188),CONCATENATE(","&amp;K188))))))&amp;")","")&amp;" "&amp;F188)</f>
        <v/>
      </c>
    </row>
    <row r="189">
      <c r="A189" s="1" t="n">
        <v>288</v>
      </c>
      <c r="B189" s="1">
        <f>A189</f>
        <v/>
      </c>
      <c r="C189" s="1" t="inlineStr">
        <is>
          <t>vK3m06</t>
        </is>
      </c>
      <c r="D189" s="1" t="inlineStr">
        <is>
          <t>數值</t>
        </is>
      </c>
      <c r="E189" s="1" t="n">
        <v>2</v>
      </c>
      <c r="G189" s="1" t="inlineStr">
        <is>
          <t>range</t>
        </is>
      </c>
      <c r="H189" s="1" t="inlineStr">
        <is>
          <t>0,1</t>
        </is>
      </c>
      <c r="L189" s="1">
        <f>CONCAT(IF(D189="數值",CONCATENATE(G189&amp;"("&amp;C189&amp;","&amp;IF(ISERROR(SEARCH(",",H189,1)),(H189&amp;","&amp;H189),H189)&amp;IF(ISBLANK(I189),"",IF(ISERROR(SEARCH(",",I189,1)),CONCATENATE(","&amp;I189&amp;","&amp;I189),CONCATENATE(","&amp;I189))&amp;IF(ISBLANK(J189),"",IF(ISERROR(SEARCH(",",J189,1)),CONCATENATE(","&amp;J189&amp;","&amp;J189),CONCATENATE(","&amp;J189))&amp;IF(ISBLANK(K189),"",IF(ISERROR(SEARCH(",",K189,1)),CONCATENATE(","&amp;K189&amp;","&amp;K189),CONCATENATE(","&amp;K189))))))&amp;")","")&amp;" "&amp;F189)</f>
        <v/>
      </c>
    </row>
    <row r="190">
      <c r="A190" s="1" t="n">
        <v>289</v>
      </c>
      <c r="B190" s="1">
        <f>A190</f>
        <v/>
      </c>
      <c r="C190" s="1" t="inlineStr">
        <is>
          <t>vK3m07</t>
        </is>
      </c>
      <c r="D190" s="1" t="inlineStr">
        <is>
          <t>數值</t>
        </is>
      </c>
      <c r="E190" s="1" t="n">
        <v>2</v>
      </c>
      <c r="G190" s="1" t="inlineStr">
        <is>
          <t>range</t>
        </is>
      </c>
      <c r="H190" s="1" t="inlineStr">
        <is>
          <t>0,1</t>
        </is>
      </c>
      <c r="L190" s="1">
        <f>CONCAT(IF(D190="數值",CONCATENATE(G190&amp;"("&amp;C190&amp;","&amp;IF(ISERROR(SEARCH(",",H190,1)),(H190&amp;","&amp;H190),H190)&amp;IF(ISBLANK(I190),"",IF(ISERROR(SEARCH(",",I190,1)),CONCATENATE(","&amp;I190&amp;","&amp;I190),CONCATENATE(","&amp;I190))&amp;IF(ISBLANK(J190),"",IF(ISERROR(SEARCH(",",J190,1)),CONCATENATE(","&amp;J190&amp;","&amp;J190),CONCATENATE(","&amp;J190))&amp;IF(ISBLANK(K190),"",IF(ISERROR(SEARCH(",",K190,1)),CONCATENATE(","&amp;K190&amp;","&amp;K190),CONCATENATE(","&amp;K190))))))&amp;")","")&amp;" "&amp;F190)</f>
        <v/>
      </c>
    </row>
    <row r="191">
      <c r="A191" s="1" t="n">
        <v>290</v>
      </c>
      <c r="B191" s="1">
        <f>A191</f>
        <v/>
      </c>
      <c r="C191" s="1" t="inlineStr">
        <is>
          <t>vK3m08</t>
        </is>
      </c>
      <c r="D191" s="1" t="inlineStr">
        <is>
          <t>數值</t>
        </is>
      </c>
      <c r="E191" s="1" t="n">
        <v>2</v>
      </c>
      <c r="G191" s="1" t="inlineStr">
        <is>
          <t>range</t>
        </is>
      </c>
      <c r="H191" s="1" t="inlineStr">
        <is>
          <t>0,1</t>
        </is>
      </c>
      <c r="L191" s="1">
        <f>CONCAT(IF(D191="數值",CONCATENATE(G191&amp;"("&amp;C191&amp;","&amp;IF(ISERROR(SEARCH(",",H191,1)),(H191&amp;","&amp;H191),H191)&amp;IF(ISBLANK(I191),"",IF(ISERROR(SEARCH(",",I191,1)),CONCATENATE(","&amp;I191&amp;","&amp;I191),CONCATENATE(","&amp;I191))&amp;IF(ISBLANK(J191),"",IF(ISERROR(SEARCH(",",J191,1)),CONCATENATE(","&amp;J191&amp;","&amp;J191),CONCATENATE(","&amp;J191))&amp;IF(ISBLANK(K191),"",IF(ISERROR(SEARCH(",",K191,1)),CONCATENATE(","&amp;K191&amp;","&amp;K191),CONCATENATE(","&amp;K191))))))&amp;")","")&amp;" "&amp;F191)</f>
        <v/>
      </c>
    </row>
    <row r="192">
      <c r="A192" s="1" t="n">
        <v>291</v>
      </c>
      <c r="B192" s="1">
        <f>A192</f>
        <v/>
      </c>
      <c r="C192" s="1" t="inlineStr">
        <is>
          <t>vK3m09</t>
        </is>
      </c>
      <c r="D192" s="1" t="inlineStr">
        <is>
          <t>數值</t>
        </is>
      </c>
      <c r="E192" s="1" t="n">
        <v>2</v>
      </c>
      <c r="G192" s="1" t="inlineStr">
        <is>
          <t>range</t>
        </is>
      </c>
      <c r="H192" s="1" t="inlineStr">
        <is>
          <t>0,1</t>
        </is>
      </c>
      <c r="L192" s="1">
        <f>CONCAT(IF(D192="數值",CONCATENATE(G192&amp;"("&amp;C192&amp;","&amp;IF(ISERROR(SEARCH(",",H192,1)),(H192&amp;","&amp;H192),H192)&amp;IF(ISBLANK(I192),"",IF(ISERROR(SEARCH(",",I192,1)),CONCATENATE(","&amp;I192&amp;","&amp;I192),CONCATENATE(","&amp;I192))&amp;IF(ISBLANK(J192),"",IF(ISERROR(SEARCH(",",J192,1)),CONCATENATE(","&amp;J192&amp;","&amp;J192),CONCATENATE(","&amp;J192))&amp;IF(ISBLANK(K192),"",IF(ISERROR(SEARCH(",",K192,1)),CONCATENATE(","&amp;K192&amp;","&amp;K192),CONCATENATE(","&amp;K192))))))&amp;")","")&amp;" "&amp;F192)</f>
        <v/>
      </c>
    </row>
    <row r="193">
      <c r="A193" s="1" t="n">
        <v>292</v>
      </c>
      <c r="B193" s="1">
        <f>A193</f>
        <v/>
      </c>
      <c r="C193" s="1" t="inlineStr">
        <is>
          <t>vK3m88</t>
        </is>
      </c>
      <c r="D193" s="1" t="inlineStr">
        <is>
          <t>數值</t>
        </is>
      </c>
      <c r="E193" s="1" t="n">
        <v>2</v>
      </c>
      <c r="G193" s="1" t="inlineStr">
        <is>
          <t>range</t>
        </is>
      </c>
      <c r="H193" s="1" t="inlineStr">
        <is>
          <t>0,1</t>
        </is>
      </c>
      <c r="I193" s="1" t="inlineStr">
        <is>
          <t>96</t>
        </is>
      </c>
      <c r="L193" s="1">
        <f>CONCAT(IF(D193="數值",CONCATENATE(G193&amp;"("&amp;C193&amp;","&amp;IF(ISERROR(SEARCH(",",H193,1)),(H193&amp;","&amp;H193),H193)&amp;IF(ISBLANK(I193),"",IF(ISERROR(SEARCH(",",I193,1)),CONCATENATE(","&amp;I193&amp;","&amp;I193),CONCATENATE(","&amp;I193))&amp;IF(ISBLANK(J193),"",IF(ISERROR(SEARCH(",",J193,1)),CONCATENATE(","&amp;J193&amp;","&amp;J193),CONCATENATE(","&amp;J193))&amp;IF(ISBLANK(K193),"",IF(ISERROR(SEARCH(",",K193,1)),CONCATENATE(","&amp;K193&amp;","&amp;K193),CONCATENATE(","&amp;K193))))))&amp;")","")&amp;" "&amp;F193)</f>
        <v/>
      </c>
    </row>
    <row r="194">
      <c r="A194" s="1" t="n">
        <v>293</v>
      </c>
      <c r="B194" s="1">
        <f>A194</f>
        <v/>
      </c>
      <c r="C194" s="1" t="inlineStr">
        <is>
          <t>vK3m90</t>
        </is>
      </c>
      <c r="D194" s="1" t="inlineStr">
        <is>
          <t>數值</t>
        </is>
      </c>
      <c r="E194" s="1" t="n">
        <v>2</v>
      </c>
      <c r="G194" s="1" t="inlineStr">
        <is>
          <t>range</t>
        </is>
      </c>
      <c r="H194" s="1" t="inlineStr">
        <is>
          <t>0,1</t>
        </is>
      </c>
      <c r="I194" s="1" t="inlineStr">
        <is>
          <t>96</t>
        </is>
      </c>
      <c r="L194" s="1">
        <f>CONCAT(IF(D194="數值",CONCATENATE(G194&amp;"("&amp;C194&amp;","&amp;IF(ISERROR(SEARCH(",",H194,1)),(H194&amp;","&amp;H194),H194)&amp;IF(ISBLANK(I194),"",IF(ISERROR(SEARCH(",",I194,1)),CONCATENATE(","&amp;I194&amp;","&amp;I194),CONCATENATE(","&amp;I194))&amp;IF(ISBLANK(J194),"",IF(ISERROR(SEARCH(",",J194,1)),CONCATENATE(","&amp;J194&amp;","&amp;J194),CONCATENATE(","&amp;J194))&amp;IF(ISBLANK(K194),"",IF(ISERROR(SEARCH(",",K194,1)),CONCATENATE(","&amp;K194&amp;","&amp;K194),CONCATENATE(","&amp;K194))))))&amp;")","")&amp;" "&amp;F194)</f>
        <v/>
      </c>
    </row>
    <row r="195">
      <c r="A195" s="1" t="n">
        <v>294</v>
      </c>
      <c r="B195" s="1">
        <f>A195</f>
        <v/>
      </c>
      <c r="C195" s="1" t="inlineStr">
        <is>
          <t>vE18</t>
        </is>
      </c>
      <c r="D195" s="1" t="inlineStr">
        <is>
          <t>數值</t>
        </is>
      </c>
      <c r="E195" s="1" t="n">
        <v>2</v>
      </c>
      <c r="G195" s="1" t="inlineStr">
        <is>
          <t>range</t>
        </is>
      </c>
      <c r="H195" s="1" t="inlineStr">
        <is>
          <t>1,4</t>
        </is>
      </c>
      <c r="I195" s="1" t="inlineStr">
        <is>
          <t>88</t>
        </is>
      </c>
      <c r="J195" s="1" t="inlineStr">
        <is>
          <t>97,98</t>
        </is>
      </c>
      <c r="L195" s="1">
        <f>CONCAT(IF(D195="數值",CONCATENATE(G195&amp;"("&amp;C195&amp;","&amp;IF(ISERROR(SEARCH(",",H195,1)),(H195&amp;","&amp;H195),H195)&amp;IF(ISBLANK(I195),"",IF(ISERROR(SEARCH(",",I195,1)),CONCATENATE(","&amp;I195&amp;","&amp;I195),CONCATENATE(","&amp;I195))&amp;IF(ISBLANK(J195),"",IF(ISERROR(SEARCH(",",J195,1)),CONCATENATE(","&amp;J195&amp;","&amp;J195),CONCATENATE(","&amp;J195))&amp;IF(ISBLANK(K195),"",IF(ISERROR(SEARCH(",",K195,1)),CONCATENATE(","&amp;K195&amp;","&amp;K195),CONCATENATE(","&amp;K195))))))&amp;")","")&amp;" "&amp;F195)</f>
        <v/>
      </c>
    </row>
    <row r="196">
      <c r="A196" s="1" t="n">
        <v>295</v>
      </c>
      <c r="B196" s="1">
        <f>A196</f>
        <v/>
      </c>
      <c r="C196" s="1" t="inlineStr">
        <is>
          <t>vKYT1</t>
        </is>
      </c>
      <c r="D196" s="1" t="inlineStr">
        <is>
          <t>數值</t>
        </is>
      </c>
      <c r="E196" s="1" t="n">
        <v>4</v>
      </c>
      <c r="G196" s="1" t="inlineStr">
        <is>
          <t>range</t>
        </is>
      </c>
      <c r="H196" s="1" t="inlineStr">
        <is>
          <t>95</t>
        </is>
      </c>
      <c r="I196" s="1" t="inlineStr">
        <is>
          <t>97,98</t>
        </is>
      </c>
      <c r="J196" s="1" t="n"/>
      <c r="L196" s="1">
        <f>CONCAT(IF(D196="數值",CONCATENATE(G196&amp;"("&amp;C196&amp;","&amp;IF(ISERROR(SEARCH(",",H196,1)),(H196&amp;","&amp;H196),H196)&amp;IF(ISBLANK(I196),"",IF(ISERROR(SEARCH(",",I196,1)),CONCATENATE(","&amp;I196&amp;","&amp;I196),CONCATENATE(","&amp;I196))&amp;IF(ISBLANK(J196),"",IF(ISERROR(SEARCH(",",J196,1)),CONCATENATE(","&amp;J196&amp;","&amp;J196),CONCATENATE(","&amp;J196))&amp;IF(ISBLANK(K196),"",IF(ISERROR(SEARCH(",",K196,1)),CONCATENATE(","&amp;K196&amp;","&amp;K196),CONCATENATE(","&amp;K196))))))&amp;")","")&amp;" "&amp;F196)</f>
        <v/>
      </c>
    </row>
    <row r="197">
      <c r="A197" s="1" t="n">
        <v>296</v>
      </c>
      <c r="B197" s="1">
        <f>A197</f>
        <v/>
      </c>
      <c r="C197" s="1" t="inlineStr">
        <is>
          <t>vKYT2</t>
        </is>
      </c>
      <c r="D197" s="1" t="inlineStr">
        <is>
          <t>數值</t>
        </is>
      </c>
      <c r="E197" s="1" t="n">
        <v>5</v>
      </c>
      <c r="G197" s="1" t="inlineStr">
        <is>
          <t>range</t>
        </is>
      </c>
      <c r="H197" s="1" t="inlineStr">
        <is>
          <t>1,2359</t>
        </is>
      </c>
      <c r="I197" s="1" t="inlineStr">
        <is>
          <t>9797</t>
        </is>
      </c>
      <c r="J197" s="1" t="inlineStr">
        <is>
          <t>9898</t>
        </is>
      </c>
      <c r="L197" s="1">
        <f>CONCAT(IF(D197="數值",CONCATENATE(G197&amp;"("&amp;C197&amp;","&amp;IF(ISERROR(SEARCH(",",H197,1)),(H197&amp;","&amp;H197),H197)&amp;IF(ISBLANK(I197),"",IF(ISERROR(SEARCH(",",I197,1)),CONCATENATE(","&amp;I197&amp;","&amp;I197),CONCATENATE(","&amp;I197))&amp;IF(ISBLANK(J197),"",IF(ISERROR(SEARCH(",",J197,1)),CONCATENATE(","&amp;J197&amp;","&amp;J197),CONCATENATE(","&amp;J197))&amp;IF(ISBLANK(K197),"",IF(ISERROR(SEARCH(",",K197,1)),CONCATENATE(","&amp;K197&amp;","&amp;K197),CONCATENATE(","&amp;K197))))))&amp;")","")&amp;" "&amp;F197)</f>
        <v/>
      </c>
    </row>
    <row r="198">
      <c r="A198" s="1" t="n">
        <v>297</v>
      </c>
      <c r="B198" s="1">
        <f>A198</f>
        <v/>
      </c>
      <c r="C198" s="1" t="inlineStr">
        <is>
          <t>vE1</t>
        </is>
      </c>
      <c r="D198" s="1" t="inlineStr">
        <is>
          <t>數值</t>
        </is>
      </c>
      <c r="E198" s="1" t="n">
        <v>2</v>
      </c>
      <c r="G198" s="1" t="inlineStr">
        <is>
          <t>range</t>
        </is>
      </c>
      <c r="H198" s="1" t="inlineStr">
        <is>
          <t>1,2</t>
        </is>
      </c>
      <c r="I198" s="1" t="inlineStr">
        <is>
          <t>97,98</t>
        </is>
      </c>
      <c r="J198" s="1" t="n"/>
      <c r="L198" s="1">
        <f>CONCAT(IF(D198="數值",CONCATENATE(G198&amp;"("&amp;C198&amp;","&amp;IF(ISERROR(SEARCH(",",H198,1)),(H198&amp;","&amp;H198),H198)&amp;IF(ISBLANK(I198),"",IF(ISERROR(SEARCH(",",I198,1)),CONCATENATE(","&amp;I198&amp;","&amp;I198),CONCATENATE(","&amp;I198))&amp;IF(ISBLANK(J198),"",IF(ISERROR(SEARCH(",",J198,1)),CONCATENATE(","&amp;J198&amp;","&amp;J198),CONCATENATE(","&amp;J198))&amp;IF(ISBLANK(K198),"",IF(ISERROR(SEARCH(",",K198,1)),CONCATENATE(","&amp;K198&amp;","&amp;K198),CONCATENATE(","&amp;K198))))))&amp;")","")&amp;" "&amp;F198)</f>
        <v/>
      </c>
    </row>
    <row r="199">
      <c r="A199" s="1" t="n">
        <v>298</v>
      </c>
      <c r="B199" s="1">
        <f>A199</f>
        <v/>
      </c>
      <c r="C199" s="1" t="inlineStr">
        <is>
          <t>vE2m01</t>
        </is>
      </c>
      <c r="D199" s="1" t="inlineStr">
        <is>
          <t>數值</t>
        </is>
      </c>
      <c r="E199" s="1" t="n">
        <v>2</v>
      </c>
      <c r="G199" s="1" t="inlineStr">
        <is>
          <t>range</t>
        </is>
      </c>
      <c r="H199" s="1" t="inlineStr">
        <is>
          <t>0,1</t>
        </is>
      </c>
      <c r="L199" s="1">
        <f>CONCAT(IF(D199="數值",CONCATENATE(G199&amp;"("&amp;C199&amp;","&amp;IF(ISERROR(SEARCH(",",H199,1)),(H199&amp;","&amp;H199),H199)&amp;IF(ISBLANK(I199),"",IF(ISERROR(SEARCH(",",I199,1)),CONCATENATE(","&amp;I199&amp;","&amp;I199),CONCATENATE(","&amp;I199))&amp;IF(ISBLANK(J199),"",IF(ISERROR(SEARCH(",",J199,1)),CONCATENATE(","&amp;J199&amp;","&amp;J199),CONCATENATE(","&amp;J199))&amp;IF(ISBLANK(K199),"",IF(ISERROR(SEARCH(",",K199,1)),CONCATENATE(","&amp;K199&amp;","&amp;K199),CONCATENATE(","&amp;K199))))))&amp;")","")&amp;" "&amp;F199)</f>
        <v/>
      </c>
    </row>
    <row r="200">
      <c r="A200" s="1" t="n">
        <v>299</v>
      </c>
      <c r="B200" s="1">
        <f>A200</f>
        <v/>
      </c>
      <c r="C200" s="1" t="inlineStr">
        <is>
          <t>vE2m02</t>
        </is>
      </c>
      <c r="D200" s="1" t="inlineStr">
        <is>
          <t>數值</t>
        </is>
      </c>
      <c r="E200" s="1" t="n">
        <v>2</v>
      </c>
      <c r="G200" s="1" t="inlineStr">
        <is>
          <t>range</t>
        </is>
      </c>
      <c r="H200" s="1" t="inlineStr">
        <is>
          <t>0,1</t>
        </is>
      </c>
      <c r="L200" s="1">
        <f>CONCAT(IF(D200="數值",CONCATENATE(G200&amp;"("&amp;C200&amp;","&amp;IF(ISERROR(SEARCH(",",H200,1)),(H200&amp;","&amp;H200),H200)&amp;IF(ISBLANK(I200),"",IF(ISERROR(SEARCH(",",I200,1)),CONCATENATE(","&amp;I200&amp;","&amp;I200),CONCATENATE(","&amp;I200))&amp;IF(ISBLANK(J200),"",IF(ISERROR(SEARCH(",",J200,1)),CONCATENATE(","&amp;J200&amp;","&amp;J200),CONCATENATE(","&amp;J200))&amp;IF(ISBLANK(K200),"",IF(ISERROR(SEARCH(",",K200,1)),CONCATENATE(","&amp;K200&amp;","&amp;K200),CONCATENATE(","&amp;K200))))))&amp;")","")&amp;" "&amp;F200)</f>
        <v/>
      </c>
    </row>
    <row r="201">
      <c r="A201" s="1" t="n">
        <v>300</v>
      </c>
      <c r="B201" s="1">
        <f>A201</f>
        <v/>
      </c>
      <c r="C201" s="1" t="inlineStr">
        <is>
          <t>vE2m03</t>
        </is>
      </c>
      <c r="D201" s="1" t="inlineStr">
        <is>
          <t>數值</t>
        </is>
      </c>
      <c r="E201" s="1" t="n">
        <v>2</v>
      </c>
      <c r="G201" s="1" t="inlineStr">
        <is>
          <t>range</t>
        </is>
      </c>
      <c r="H201" s="1" t="inlineStr">
        <is>
          <t>0,1</t>
        </is>
      </c>
      <c r="L201" s="1">
        <f>CONCAT(IF(D201="數值",CONCATENATE(G201&amp;"("&amp;C201&amp;","&amp;IF(ISERROR(SEARCH(",",H201,1)),(H201&amp;","&amp;H201),H201)&amp;IF(ISBLANK(I201),"",IF(ISERROR(SEARCH(",",I201,1)),CONCATENATE(","&amp;I201&amp;","&amp;I201),CONCATENATE(","&amp;I201))&amp;IF(ISBLANK(J201),"",IF(ISERROR(SEARCH(",",J201,1)),CONCATENATE(","&amp;J201&amp;","&amp;J201),CONCATENATE(","&amp;J201))&amp;IF(ISBLANK(K201),"",IF(ISERROR(SEARCH(",",K201,1)),CONCATENATE(","&amp;K201&amp;","&amp;K201),CONCATENATE(","&amp;K201))))))&amp;")","")&amp;" "&amp;F201)</f>
        <v/>
      </c>
    </row>
    <row r="202">
      <c r="A202" s="1" t="n">
        <v>301</v>
      </c>
      <c r="B202" s="1">
        <f>A202</f>
        <v/>
      </c>
      <c r="C202" s="1" t="inlineStr">
        <is>
          <t>vE2m04</t>
        </is>
      </c>
      <c r="D202" s="1" t="inlineStr">
        <is>
          <t>數值</t>
        </is>
      </c>
      <c r="E202" s="1" t="n">
        <v>2</v>
      </c>
      <c r="G202" s="1" t="inlineStr">
        <is>
          <t>range</t>
        </is>
      </c>
      <c r="H202" s="1" t="inlineStr">
        <is>
          <t>0,1</t>
        </is>
      </c>
      <c r="L202" s="1">
        <f>CONCAT(IF(D202="數值",CONCATENATE(G202&amp;"("&amp;C202&amp;","&amp;IF(ISERROR(SEARCH(",",H202,1)),(H202&amp;","&amp;H202),H202)&amp;IF(ISBLANK(I202),"",IF(ISERROR(SEARCH(",",I202,1)),CONCATENATE(","&amp;I202&amp;","&amp;I202),CONCATENATE(","&amp;I202))&amp;IF(ISBLANK(J202),"",IF(ISERROR(SEARCH(",",J202,1)),CONCATENATE(","&amp;J202&amp;","&amp;J202),CONCATENATE(","&amp;J202))&amp;IF(ISBLANK(K202),"",IF(ISERROR(SEARCH(",",K202,1)),CONCATENATE(","&amp;K202&amp;","&amp;K202),CONCATENATE(","&amp;K202))))))&amp;")","")&amp;" "&amp;F202)</f>
        <v/>
      </c>
    </row>
    <row r="203">
      <c r="A203" s="1" t="n">
        <v>302</v>
      </c>
      <c r="B203" s="1">
        <f>A203</f>
        <v/>
      </c>
      <c r="C203" s="1" t="inlineStr">
        <is>
          <t>vE2m88</t>
        </is>
      </c>
      <c r="D203" s="1" t="inlineStr">
        <is>
          <t>數值</t>
        </is>
      </c>
      <c r="E203" s="1" t="n">
        <v>2</v>
      </c>
      <c r="G203" s="1" t="inlineStr">
        <is>
          <t>range</t>
        </is>
      </c>
      <c r="H203" s="1" t="inlineStr">
        <is>
          <t>0,1</t>
        </is>
      </c>
      <c r="I203" s="1" t="inlineStr">
        <is>
          <t>96</t>
        </is>
      </c>
      <c r="L203" s="1">
        <f>CONCAT(IF(D203="數值",CONCATENATE(G203&amp;"("&amp;C203&amp;","&amp;IF(ISERROR(SEARCH(",",H203,1)),(H203&amp;","&amp;H203),H203)&amp;IF(ISBLANK(I203),"",IF(ISERROR(SEARCH(",",I203,1)),CONCATENATE(","&amp;I203&amp;","&amp;I203),CONCATENATE(","&amp;I203))&amp;IF(ISBLANK(J203),"",IF(ISERROR(SEARCH(",",J203,1)),CONCATENATE(","&amp;J203&amp;","&amp;J203),CONCATENATE(","&amp;J203))&amp;IF(ISBLANK(K203),"",IF(ISERROR(SEARCH(",",K203,1)),CONCATENATE(","&amp;K203&amp;","&amp;K203),CONCATENATE(","&amp;K203))))))&amp;")","")&amp;" "&amp;F203)</f>
        <v/>
      </c>
    </row>
    <row r="204">
      <c r="A204" s="1" t="n">
        <v>303</v>
      </c>
      <c r="B204" s="1">
        <f>A204</f>
        <v/>
      </c>
      <c r="C204" s="1" t="inlineStr">
        <is>
          <t>vE4</t>
        </is>
      </c>
      <c r="D204" s="1" t="inlineStr">
        <is>
          <t>數值</t>
        </is>
      </c>
      <c r="E204" s="1" t="n">
        <v>4</v>
      </c>
      <c r="G204" s="1" t="inlineStr">
        <is>
          <t>range</t>
        </is>
      </c>
      <c r="H204" s="1" t="inlineStr">
        <is>
          <t>95</t>
        </is>
      </c>
      <c r="I204" s="1" t="inlineStr">
        <is>
          <t>97,98</t>
        </is>
      </c>
      <c r="J204" s="1" t="n"/>
      <c r="L204" s="1">
        <f>CONCAT(IF(D204="數值",CONCATENATE(G204&amp;"("&amp;C204&amp;","&amp;IF(ISERROR(SEARCH(",",H204,1)),(H204&amp;","&amp;H204),H204)&amp;IF(ISBLANK(I204),"",IF(ISERROR(SEARCH(",",I204,1)),CONCATENATE(","&amp;I204&amp;","&amp;I204),CONCATENATE(","&amp;I204))&amp;IF(ISBLANK(J204),"",IF(ISERROR(SEARCH(",",J204,1)),CONCATENATE(","&amp;J204&amp;","&amp;J204),CONCATENATE(","&amp;J204))&amp;IF(ISBLANK(K204),"",IF(ISERROR(SEARCH(",",K204,1)),CONCATENATE(","&amp;K204&amp;","&amp;K204),CONCATENATE(","&amp;K204))))))&amp;")","")&amp;" "&amp;F204)</f>
        <v/>
      </c>
    </row>
    <row r="205">
      <c r="A205" s="1" t="n">
        <v>304</v>
      </c>
      <c r="B205" s="1">
        <f>A205</f>
        <v/>
      </c>
      <c r="C205" s="1" t="inlineStr">
        <is>
          <t>vCKE4</t>
        </is>
      </c>
      <c r="D205" s="1" t="inlineStr">
        <is>
          <t>數值</t>
        </is>
      </c>
      <c r="E205" s="1" t="n">
        <v>2</v>
      </c>
      <c r="G205" s="1" t="inlineStr">
        <is>
          <t>range</t>
        </is>
      </c>
    </row>
    <row r="206">
      <c r="A206" s="1" t="n">
        <v>305</v>
      </c>
      <c r="B206" s="1">
        <f>A206</f>
        <v/>
      </c>
      <c r="C206" s="1" t="inlineStr">
        <is>
          <t>vE5</t>
        </is>
      </c>
      <c r="D206" s="1" t="inlineStr">
        <is>
          <t>數值</t>
        </is>
      </c>
      <c r="E206" s="1" t="n">
        <v>5</v>
      </c>
      <c r="G206" s="1" t="inlineStr">
        <is>
          <t>range</t>
        </is>
      </c>
      <c r="H206" s="1" t="inlineStr">
        <is>
          <t>9797</t>
        </is>
      </c>
      <c r="I206" s="1" t="inlineStr">
        <is>
          <t>9898</t>
        </is>
      </c>
      <c r="L206" s="1">
        <f>CONCAT(IF(D206="數值",CONCATENATE(G206&amp;"("&amp;C206&amp;","&amp;IF(ISERROR(SEARCH(",",H206,1)),(H206&amp;","&amp;H206),H206)&amp;IF(ISBLANK(I206),"",IF(ISERROR(SEARCH(",",I206,1)),CONCATENATE(","&amp;I206&amp;","&amp;I206),CONCATENATE(","&amp;I206))&amp;IF(ISBLANK(J206),"",IF(ISERROR(SEARCH(",",J206,1)),CONCATENATE(","&amp;J206&amp;","&amp;J206),CONCATENATE(","&amp;J206))&amp;IF(ISBLANK(K206),"",IF(ISERROR(SEARCH(",",K206,1)),CONCATENATE(","&amp;K206&amp;","&amp;K206),CONCATENATE(","&amp;K206))))))&amp;")","")&amp;" "&amp;F206)</f>
        <v/>
      </c>
    </row>
    <row r="207">
      <c r="A207" s="1" t="n">
        <v>306</v>
      </c>
      <c r="B207" s="1">
        <f>A207</f>
        <v/>
      </c>
      <c r="C207" s="1" t="inlineStr">
        <is>
          <t>vE6</t>
        </is>
      </c>
      <c r="D207" s="1" t="inlineStr">
        <is>
          <t>數值</t>
        </is>
      </c>
      <c r="E207" s="1" t="n">
        <v>5</v>
      </c>
      <c r="G207" s="1" t="inlineStr">
        <is>
          <t>range</t>
        </is>
      </c>
      <c r="H207" s="1" t="inlineStr">
        <is>
          <t>9797</t>
        </is>
      </c>
      <c r="I207" s="1" t="inlineStr">
        <is>
          <t>9898</t>
        </is>
      </c>
      <c r="L207" s="1">
        <f>CONCAT(IF(D207="數值",CONCATENATE(G207&amp;"("&amp;C207&amp;","&amp;IF(ISERROR(SEARCH(",",H207,1)),(H207&amp;","&amp;H207),H207)&amp;IF(ISBLANK(I207),"",IF(ISERROR(SEARCH(",",I207,1)),CONCATENATE(","&amp;I207&amp;","&amp;I207),CONCATENATE(","&amp;I207))&amp;IF(ISBLANK(J207),"",IF(ISERROR(SEARCH(",",J207,1)),CONCATENATE(","&amp;J207&amp;","&amp;J207),CONCATENATE(","&amp;J207))&amp;IF(ISBLANK(K207),"",IF(ISERROR(SEARCH(",",K207,1)),CONCATENATE(","&amp;K207&amp;","&amp;K207),CONCATENATE(","&amp;K207))))))&amp;")","")&amp;" "&amp;F207)</f>
        <v/>
      </c>
    </row>
    <row r="208">
      <c r="A208" s="1" t="n">
        <v>307</v>
      </c>
      <c r="B208" s="1">
        <f>A208</f>
        <v/>
      </c>
      <c r="C208" s="1" t="inlineStr">
        <is>
          <t>vCKE5</t>
        </is>
      </c>
      <c r="D208" s="1" t="inlineStr">
        <is>
          <t>數值</t>
        </is>
      </c>
      <c r="E208" s="1" t="n">
        <v>2</v>
      </c>
      <c r="G208" s="1" t="inlineStr">
        <is>
          <t>range</t>
        </is>
      </c>
      <c r="H208" s="1" t="inlineStr">
        <is>
          <t>97,98</t>
        </is>
      </c>
      <c r="I208" s="1" t="n"/>
      <c r="L208" s="1">
        <f>CONCAT(IF(D208="數值",CONCATENATE(G208&amp;"("&amp;C208&amp;","&amp;IF(ISERROR(SEARCH(",",H208,1)),(H208&amp;","&amp;H208),H208)&amp;IF(ISBLANK(I208),"",IF(ISERROR(SEARCH(",",I208,1)),CONCATENATE(","&amp;I208&amp;","&amp;I208),CONCATENATE(","&amp;I208))&amp;IF(ISBLANK(J208),"",IF(ISERROR(SEARCH(",",J208,1)),CONCATENATE(","&amp;J208&amp;","&amp;J208),CONCATENATE(","&amp;J208))&amp;IF(ISBLANK(K208),"",IF(ISERROR(SEARCH(",",K208,1)),CONCATENATE(","&amp;K208&amp;","&amp;K208),CONCATENATE(","&amp;K208))))))&amp;")","")&amp;" "&amp;F208)</f>
        <v/>
      </c>
    </row>
    <row r="209">
      <c r="A209" s="1" t="n">
        <v>308</v>
      </c>
      <c r="B209" s="1">
        <f>A209</f>
        <v/>
      </c>
      <c r="C209" s="1" t="inlineStr">
        <is>
          <t>vE7</t>
        </is>
      </c>
      <c r="D209" s="1" t="inlineStr">
        <is>
          <t>數值</t>
        </is>
      </c>
      <c r="E209" s="1" t="n">
        <v>4</v>
      </c>
      <c r="G209" s="1" t="inlineStr">
        <is>
          <t>range</t>
        </is>
      </c>
      <c r="H209" s="1" t="inlineStr">
        <is>
          <t>95</t>
        </is>
      </c>
      <c r="I209" s="1" t="inlineStr">
        <is>
          <t>97,98</t>
        </is>
      </c>
      <c r="J209" s="1" t="n"/>
      <c r="L209" s="1">
        <f>CONCAT(IF(D209="數值",CONCATENATE(G209&amp;"("&amp;C209&amp;","&amp;IF(ISERROR(SEARCH(",",H209,1)),(H209&amp;","&amp;H209),H209)&amp;IF(ISBLANK(I209),"",IF(ISERROR(SEARCH(",",I209,1)),CONCATENATE(","&amp;I209&amp;","&amp;I209),CONCATENATE(","&amp;I209))&amp;IF(ISBLANK(J209),"",IF(ISERROR(SEARCH(",",J209,1)),CONCATENATE(","&amp;J209&amp;","&amp;J209),CONCATENATE(","&amp;J209))&amp;IF(ISBLANK(K209),"",IF(ISERROR(SEARCH(",",K209,1)),CONCATENATE(","&amp;K209&amp;","&amp;K209),CONCATENATE(","&amp;K209))))))&amp;")","")&amp;" "&amp;F209)</f>
        <v/>
      </c>
    </row>
    <row r="210">
      <c r="A210" s="1" t="n">
        <v>309</v>
      </c>
      <c r="B210" s="1">
        <f>A210</f>
        <v/>
      </c>
      <c r="C210" s="1" t="inlineStr">
        <is>
          <t>vE8</t>
        </is>
      </c>
      <c r="D210" s="1" t="inlineStr">
        <is>
          <t>數值</t>
        </is>
      </c>
      <c r="E210" s="1" t="n">
        <v>5</v>
      </c>
      <c r="G210" s="1" t="inlineStr">
        <is>
          <t>range</t>
        </is>
      </c>
      <c r="H210" s="1" t="inlineStr">
        <is>
          <t>9797</t>
        </is>
      </c>
      <c r="I210" s="1" t="inlineStr">
        <is>
          <t>9898</t>
        </is>
      </c>
      <c r="L210" s="1">
        <f>CONCAT(IF(D210="數值",CONCATENATE(G210&amp;"("&amp;C210&amp;","&amp;IF(ISERROR(SEARCH(",",H210,1)),(H210&amp;","&amp;H210),H210)&amp;IF(ISBLANK(I210),"",IF(ISERROR(SEARCH(",",I210,1)),CONCATENATE(","&amp;I210&amp;","&amp;I210),CONCATENATE(","&amp;I210))&amp;IF(ISBLANK(J210),"",IF(ISERROR(SEARCH(",",J210,1)),CONCATENATE(","&amp;J210&amp;","&amp;J210),CONCATENATE(","&amp;J210))&amp;IF(ISBLANK(K210),"",IF(ISERROR(SEARCH(",",K210,1)),CONCATENATE(","&amp;K210&amp;","&amp;K210),CONCATENATE(","&amp;K210))))))&amp;")","")&amp;" "&amp;F210)</f>
        <v/>
      </c>
    </row>
    <row r="211">
      <c r="A211" s="1" t="n">
        <v>310</v>
      </c>
      <c r="B211" s="1">
        <f>A211</f>
        <v/>
      </c>
      <c r="C211" s="1" t="inlineStr">
        <is>
          <t>vE9</t>
        </is>
      </c>
      <c r="D211" s="1" t="inlineStr">
        <is>
          <t>數值</t>
        </is>
      </c>
      <c r="E211" s="1" t="n">
        <v>5</v>
      </c>
      <c r="G211" s="1" t="inlineStr">
        <is>
          <t>range</t>
        </is>
      </c>
      <c r="H211" s="1" t="inlineStr">
        <is>
          <t>9797</t>
        </is>
      </c>
      <c r="I211" s="1" t="inlineStr">
        <is>
          <t>9898</t>
        </is>
      </c>
      <c r="L211" s="1">
        <f>CONCAT(IF(D211="數值",CONCATENATE(G211&amp;"("&amp;C211&amp;","&amp;IF(ISERROR(SEARCH(",",H211,1)),(H211&amp;","&amp;H211),H211)&amp;IF(ISBLANK(I211),"",IF(ISERROR(SEARCH(",",I211,1)),CONCATENATE(","&amp;I211&amp;","&amp;I211),CONCATENATE(","&amp;I211))&amp;IF(ISBLANK(J211),"",IF(ISERROR(SEARCH(",",J211,1)),CONCATENATE(","&amp;J211&amp;","&amp;J211),CONCATENATE(","&amp;J211))&amp;IF(ISBLANK(K211),"",IF(ISERROR(SEARCH(",",K211,1)),CONCATENATE(","&amp;K211&amp;","&amp;K211),CONCATENATE(","&amp;K211))))))&amp;")","")&amp;" "&amp;F211)</f>
        <v/>
      </c>
    </row>
    <row r="212">
      <c r="A212" s="1" t="n">
        <v>311</v>
      </c>
      <c r="B212" s="1">
        <f>A212</f>
        <v/>
      </c>
      <c r="C212" s="1" t="inlineStr">
        <is>
          <t>vCKE8</t>
        </is>
      </c>
      <c r="D212" s="1" t="inlineStr">
        <is>
          <t>數值</t>
        </is>
      </c>
      <c r="E212" s="1" t="n">
        <v>2</v>
      </c>
      <c r="G212" s="1" t="inlineStr">
        <is>
          <t>range</t>
        </is>
      </c>
      <c r="H212" s="1" t="inlineStr">
        <is>
          <t>97,98</t>
        </is>
      </c>
      <c r="I212" s="1" t="n"/>
      <c r="L212" s="1">
        <f>CONCAT(IF(D212="數值",CONCATENATE(G212&amp;"("&amp;C212&amp;","&amp;IF(ISERROR(SEARCH(",",H212,1)),(H212&amp;","&amp;H212),H212)&amp;IF(ISBLANK(I212),"",IF(ISERROR(SEARCH(",",I212,1)),CONCATENATE(","&amp;I212&amp;","&amp;I212),CONCATENATE(","&amp;I212))&amp;IF(ISBLANK(J212),"",IF(ISERROR(SEARCH(",",J212,1)),CONCATENATE(","&amp;J212&amp;","&amp;J212),CONCATENATE(","&amp;J212))&amp;IF(ISBLANK(K212),"",IF(ISERROR(SEARCH(",",K212,1)),CONCATENATE(","&amp;K212&amp;","&amp;K212),CONCATENATE(","&amp;K212))))))&amp;")","")&amp;" "&amp;F212)</f>
        <v/>
      </c>
    </row>
    <row r="213">
      <c r="A213" s="1" t="n">
        <v>312</v>
      </c>
      <c r="B213" s="1">
        <f>A213</f>
        <v/>
      </c>
      <c r="C213" s="1" t="inlineStr">
        <is>
          <t>vE10</t>
        </is>
      </c>
      <c r="D213" s="1" t="inlineStr">
        <is>
          <t>數值</t>
        </is>
      </c>
      <c r="E213" s="1" t="n">
        <v>4</v>
      </c>
      <c r="G213" s="1" t="inlineStr">
        <is>
          <t>range</t>
        </is>
      </c>
      <c r="H213" s="1" t="inlineStr">
        <is>
          <t>95</t>
        </is>
      </c>
      <c r="I213" s="1" t="inlineStr">
        <is>
          <t>97,98</t>
        </is>
      </c>
      <c r="J213" s="1" t="n"/>
      <c r="L213" s="1">
        <f>CONCAT(IF(D213="數值",CONCATENATE(G213&amp;"("&amp;C213&amp;","&amp;IF(ISERROR(SEARCH(",",H213,1)),(H213&amp;","&amp;H213),H213)&amp;IF(ISBLANK(I213),"",IF(ISERROR(SEARCH(",",I213,1)),CONCATENATE(","&amp;I213&amp;","&amp;I213),CONCATENATE(","&amp;I213))&amp;IF(ISBLANK(J213),"",IF(ISERROR(SEARCH(",",J213,1)),CONCATENATE(","&amp;J213&amp;","&amp;J213),CONCATENATE(","&amp;J213))&amp;IF(ISBLANK(K213),"",IF(ISERROR(SEARCH(",",K213,1)),CONCATENATE(","&amp;K213&amp;","&amp;K213),CONCATENATE(","&amp;K213))))))&amp;")","")&amp;" "&amp;F213)</f>
        <v/>
      </c>
    </row>
    <row r="214">
      <c r="A214" s="1" t="n">
        <v>313</v>
      </c>
      <c r="B214" s="1">
        <f>A214</f>
        <v/>
      </c>
      <c r="C214" s="1" t="inlineStr">
        <is>
          <t>vE11</t>
        </is>
      </c>
      <c r="D214" s="1" t="inlineStr">
        <is>
          <t>數值</t>
        </is>
      </c>
      <c r="E214" s="1" t="n">
        <v>5</v>
      </c>
      <c r="G214" s="1" t="inlineStr">
        <is>
          <t>range</t>
        </is>
      </c>
      <c r="H214" s="1" t="inlineStr">
        <is>
          <t>9797</t>
        </is>
      </c>
      <c r="I214" s="1" t="inlineStr">
        <is>
          <t>9898</t>
        </is>
      </c>
      <c r="L214" s="1">
        <f>CONCAT(IF(D214="數值",CONCATENATE(G214&amp;"("&amp;C214&amp;","&amp;IF(ISERROR(SEARCH(",",H214,1)),(H214&amp;","&amp;H214),H214)&amp;IF(ISBLANK(I214),"",IF(ISERROR(SEARCH(",",I214,1)),CONCATENATE(","&amp;I214&amp;","&amp;I214),CONCATENATE(","&amp;I214))&amp;IF(ISBLANK(J214),"",IF(ISERROR(SEARCH(",",J214,1)),CONCATENATE(","&amp;J214&amp;","&amp;J214),CONCATENATE(","&amp;J214))&amp;IF(ISBLANK(K214),"",IF(ISERROR(SEARCH(",",K214,1)),CONCATENATE(","&amp;K214&amp;","&amp;K214),CONCATENATE(","&amp;K214))))))&amp;")","")&amp;" "&amp;F214)</f>
        <v/>
      </c>
    </row>
    <row r="215">
      <c r="A215" s="1" t="n">
        <v>314</v>
      </c>
      <c r="B215" s="1">
        <f>A215</f>
        <v/>
      </c>
      <c r="C215" s="1" t="inlineStr">
        <is>
          <t>vE12</t>
        </is>
      </c>
      <c r="D215" s="1" t="inlineStr">
        <is>
          <t>數值</t>
        </is>
      </c>
      <c r="E215" s="1" t="n">
        <v>5</v>
      </c>
      <c r="G215" s="1" t="inlineStr">
        <is>
          <t>range</t>
        </is>
      </c>
      <c r="H215" s="1" t="inlineStr">
        <is>
          <t>9797</t>
        </is>
      </c>
      <c r="I215" s="1" t="inlineStr">
        <is>
          <t>9898</t>
        </is>
      </c>
      <c r="L215" s="1">
        <f>CONCAT(IF(D215="數值",CONCATENATE(G215&amp;"("&amp;C215&amp;","&amp;IF(ISERROR(SEARCH(",",H215,1)),(H215&amp;","&amp;H215),H215)&amp;IF(ISBLANK(I215),"",IF(ISERROR(SEARCH(",",I215,1)),CONCATENATE(","&amp;I215&amp;","&amp;I215),CONCATENATE(","&amp;I215))&amp;IF(ISBLANK(J215),"",IF(ISERROR(SEARCH(",",J215,1)),CONCATENATE(","&amp;J215&amp;","&amp;J215),CONCATENATE(","&amp;J215))&amp;IF(ISBLANK(K215),"",IF(ISERROR(SEARCH(",",K215,1)),CONCATENATE(","&amp;K215&amp;","&amp;K215),CONCATENATE(","&amp;K215))))))&amp;")","")&amp;" "&amp;F215)</f>
        <v/>
      </c>
    </row>
    <row r="216">
      <c r="A216" s="1" t="n">
        <v>315</v>
      </c>
      <c r="B216" s="1">
        <f>A216</f>
        <v/>
      </c>
      <c r="C216" s="1" t="inlineStr">
        <is>
          <t>vCKE11</t>
        </is>
      </c>
      <c r="D216" s="1" t="inlineStr">
        <is>
          <t>數值</t>
        </is>
      </c>
      <c r="E216" s="1" t="n">
        <v>2</v>
      </c>
      <c r="G216" s="1" t="inlineStr">
        <is>
          <t>range</t>
        </is>
      </c>
      <c r="H216" s="1" t="inlineStr">
        <is>
          <t>97,98</t>
        </is>
      </c>
      <c r="I216" s="1" t="n"/>
      <c r="L216" s="1">
        <f>CONCAT(IF(D216="數值",CONCATENATE(G216&amp;"("&amp;C216&amp;","&amp;IF(ISERROR(SEARCH(",",H216,1)),(H216&amp;","&amp;H216),H216)&amp;IF(ISBLANK(I216),"",IF(ISERROR(SEARCH(",",I216,1)),CONCATENATE(","&amp;I216&amp;","&amp;I216),CONCATENATE(","&amp;I216))&amp;IF(ISBLANK(J216),"",IF(ISERROR(SEARCH(",",J216,1)),CONCATENATE(","&amp;J216&amp;","&amp;J216),CONCATENATE(","&amp;J216))&amp;IF(ISBLANK(K216),"",IF(ISERROR(SEARCH(",",K216,1)),CONCATENATE(","&amp;K216&amp;","&amp;K216),CONCATENATE(","&amp;K216))))))&amp;")","")&amp;" "&amp;F216)</f>
        <v/>
      </c>
    </row>
    <row r="217">
      <c r="A217" s="1" t="n">
        <v>316</v>
      </c>
      <c r="B217" s="1">
        <f>A217</f>
        <v/>
      </c>
      <c r="C217" s="1" t="inlineStr">
        <is>
          <t>vE3</t>
        </is>
      </c>
      <c r="D217" s="1" t="inlineStr">
        <is>
          <t>數值</t>
        </is>
      </c>
      <c r="E217" s="1" t="n">
        <v>5</v>
      </c>
      <c r="G217" s="1" t="inlineStr">
        <is>
          <t>range</t>
        </is>
      </c>
      <c r="H217" s="1" t="inlineStr">
        <is>
          <t>1,2359</t>
        </is>
      </c>
      <c r="I217" s="1" t="inlineStr">
        <is>
          <t>9797</t>
        </is>
      </c>
      <c r="J217" s="1" t="inlineStr">
        <is>
          <t>9898</t>
        </is>
      </c>
      <c r="L217" s="1">
        <f>CONCAT(IF(D217="數值",CONCATENATE(G217&amp;"("&amp;C217&amp;","&amp;IF(ISERROR(SEARCH(",",H217,1)),(H217&amp;","&amp;H217),H217)&amp;IF(ISBLANK(I217),"",IF(ISERROR(SEARCH(",",I217,1)),CONCATENATE(","&amp;I217&amp;","&amp;I217),CONCATENATE(","&amp;I217))&amp;IF(ISBLANK(J217),"",IF(ISERROR(SEARCH(",",J217,1)),CONCATENATE(","&amp;J217&amp;","&amp;J217),CONCATENATE(","&amp;J217))&amp;IF(ISBLANK(K217),"",IF(ISERROR(SEARCH(",",K217,1)),CONCATENATE(","&amp;K217&amp;","&amp;K217),CONCATENATE(","&amp;K217))))))&amp;")","")&amp;" "&amp;F217)</f>
        <v/>
      </c>
    </row>
    <row r="218">
      <c r="A218" s="1" t="n">
        <v>317</v>
      </c>
      <c r="B218" s="1">
        <f>A218</f>
        <v/>
      </c>
      <c r="C218" s="1" t="inlineStr">
        <is>
          <t>vE13m01</t>
        </is>
      </c>
      <c r="D218" s="1" t="inlineStr">
        <is>
          <t>數值</t>
        </is>
      </c>
      <c r="E218" s="1" t="n">
        <v>2</v>
      </c>
      <c r="G218" s="1" t="inlineStr">
        <is>
          <t>range</t>
        </is>
      </c>
      <c r="H218" s="1" t="inlineStr">
        <is>
          <t>0,1</t>
        </is>
      </c>
      <c r="L218" s="1">
        <f>CONCAT(IF(D218="數值",CONCATENATE(G218&amp;"("&amp;C218&amp;","&amp;IF(ISERROR(SEARCH(",",H218,1)),(H218&amp;","&amp;H218),H218)&amp;IF(ISBLANK(I218),"",IF(ISERROR(SEARCH(",",I218,1)),CONCATENATE(","&amp;I218&amp;","&amp;I218),CONCATENATE(","&amp;I218))&amp;IF(ISBLANK(J218),"",IF(ISERROR(SEARCH(",",J218,1)),CONCATENATE(","&amp;J218&amp;","&amp;J218),CONCATENATE(","&amp;J218))&amp;IF(ISBLANK(K218),"",IF(ISERROR(SEARCH(",",K218,1)),CONCATENATE(","&amp;K218&amp;","&amp;K218),CONCATENATE(","&amp;K218))))))&amp;")","")&amp;" "&amp;F218)</f>
        <v/>
      </c>
    </row>
    <row r="219">
      <c r="A219" s="1" t="n">
        <v>318</v>
      </c>
      <c r="B219" s="1">
        <f>A219</f>
        <v/>
      </c>
      <c r="C219" s="1" t="inlineStr">
        <is>
          <t>vE13m02</t>
        </is>
      </c>
      <c r="D219" s="1" t="inlineStr">
        <is>
          <t>數值</t>
        </is>
      </c>
      <c r="E219" s="1" t="n">
        <v>2</v>
      </c>
      <c r="G219" s="1" t="inlineStr">
        <is>
          <t>range</t>
        </is>
      </c>
      <c r="H219" s="1" t="inlineStr">
        <is>
          <t>0,1</t>
        </is>
      </c>
      <c r="L219" s="1">
        <f>CONCAT(IF(D219="數值",CONCATENATE(G219&amp;"("&amp;C219&amp;","&amp;IF(ISERROR(SEARCH(",",H219,1)),(H219&amp;","&amp;H219),H219)&amp;IF(ISBLANK(I219),"",IF(ISERROR(SEARCH(",",I219,1)),CONCATENATE(","&amp;I219&amp;","&amp;I219),CONCATENATE(","&amp;I219))&amp;IF(ISBLANK(J219),"",IF(ISERROR(SEARCH(",",J219,1)),CONCATENATE(","&amp;J219&amp;","&amp;J219),CONCATENATE(","&amp;J219))&amp;IF(ISBLANK(K219),"",IF(ISERROR(SEARCH(",",K219,1)),CONCATENATE(","&amp;K219&amp;","&amp;K219),CONCATENATE(","&amp;K219))))))&amp;")","")&amp;" "&amp;F219)</f>
        <v/>
      </c>
    </row>
    <row r="220">
      <c r="A220" s="1" t="n">
        <v>319</v>
      </c>
      <c r="B220" s="1">
        <f>A220</f>
        <v/>
      </c>
      <c r="C220" s="1" t="inlineStr">
        <is>
          <t>vE13m03</t>
        </is>
      </c>
      <c r="D220" s="1" t="inlineStr">
        <is>
          <t>數值</t>
        </is>
      </c>
      <c r="E220" s="1" t="n">
        <v>2</v>
      </c>
      <c r="G220" s="1" t="inlineStr">
        <is>
          <t>range</t>
        </is>
      </c>
      <c r="H220" s="1" t="inlineStr">
        <is>
          <t>0,1</t>
        </is>
      </c>
      <c r="L220" s="1">
        <f>CONCAT(IF(D220="數值",CONCATENATE(G220&amp;"("&amp;C220&amp;","&amp;IF(ISERROR(SEARCH(",",H220,1)),(H220&amp;","&amp;H220),H220)&amp;IF(ISBLANK(I220),"",IF(ISERROR(SEARCH(",",I220,1)),CONCATENATE(","&amp;I220&amp;","&amp;I220),CONCATENATE(","&amp;I220))&amp;IF(ISBLANK(J220),"",IF(ISERROR(SEARCH(",",J220,1)),CONCATENATE(","&amp;J220&amp;","&amp;J220),CONCATENATE(","&amp;J220))&amp;IF(ISBLANK(K220),"",IF(ISERROR(SEARCH(",",K220,1)),CONCATENATE(","&amp;K220&amp;","&amp;K220),CONCATENATE(","&amp;K220))))))&amp;")","")&amp;" "&amp;F220)</f>
        <v/>
      </c>
    </row>
    <row r="221">
      <c r="A221" s="1" t="n">
        <v>320</v>
      </c>
      <c r="B221" s="1">
        <f>A221</f>
        <v/>
      </c>
      <c r="C221" s="1" t="inlineStr">
        <is>
          <t>vE13m04</t>
        </is>
      </c>
      <c r="D221" s="1" t="inlineStr">
        <is>
          <t>數值</t>
        </is>
      </c>
      <c r="E221" s="1" t="n">
        <v>2</v>
      </c>
      <c r="G221" s="1" t="inlineStr">
        <is>
          <t>range</t>
        </is>
      </c>
      <c r="H221" s="1" t="inlineStr">
        <is>
          <t>0,1</t>
        </is>
      </c>
      <c r="L221" s="1">
        <f>CONCAT(IF(D221="數值",CONCATENATE(G221&amp;"("&amp;C221&amp;","&amp;IF(ISERROR(SEARCH(",",H221,1)),(H221&amp;","&amp;H221),H221)&amp;IF(ISBLANK(I221),"",IF(ISERROR(SEARCH(",",I221,1)),CONCATENATE(","&amp;I221&amp;","&amp;I221),CONCATENATE(","&amp;I221))&amp;IF(ISBLANK(J221),"",IF(ISERROR(SEARCH(",",J221,1)),CONCATENATE(","&amp;J221&amp;","&amp;J221),CONCATENATE(","&amp;J221))&amp;IF(ISBLANK(K221),"",IF(ISERROR(SEARCH(",",K221,1)),CONCATENATE(","&amp;K221&amp;","&amp;K221),CONCATENATE(","&amp;K221))))))&amp;")","")&amp;" "&amp;F221)</f>
        <v/>
      </c>
    </row>
    <row r="222">
      <c r="A222" s="1" t="n">
        <v>321</v>
      </c>
      <c r="B222" s="1">
        <f>A222</f>
        <v/>
      </c>
      <c r="C222" s="1" t="inlineStr">
        <is>
          <t>vE13m05</t>
        </is>
      </c>
      <c r="D222" s="1" t="inlineStr">
        <is>
          <t>數值</t>
        </is>
      </c>
      <c r="E222" s="1" t="n">
        <v>2</v>
      </c>
      <c r="G222" s="1" t="inlineStr">
        <is>
          <t>range</t>
        </is>
      </c>
      <c r="H222" s="1" t="inlineStr">
        <is>
          <t>0,1</t>
        </is>
      </c>
      <c r="L222" s="1">
        <f>CONCAT(IF(D222="數值",CONCATENATE(G222&amp;"("&amp;C222&amp;","&amp;IF(ISERROR(SEARCH(",",H222,1)),(H222&amp;","&amp;H222),H222)&amp;IF(ISBLANK(I222),"",IF(ISERROR(SEARCH(",",I222,1)),CONCATENATE(","&amp;I222&amp;","&amp;I222),CONCATENATE(","&amp;I222))&amp;IF(ISBLANK(J222),"",IF(ISERROR(SEARCH(",",J222,1)),CONCATENATE(","&amp;J222&amp;","&amp;J222),CONCATENATE(","&amp;J222))&amp;IF(ISBLANK(K222),"",IF(ISERROR(SEARCH(",",K222,1)),CONCATENATE(","&amp;K222&amp;","&amp;K222),CONCATENATE(","&amp;K222))))))&amp;")","")&amp;" "&amp;F222)</f>
        <v/>
      </c>
    </row>
    <row r="223">
      <c r="A223" s="1" t="n">
        <v>322</v>
      </c>
      <c r="B223" s="1">
        <f>A223</f>
        <v/>
      </c>
      <c r="C223" s="1" t="inlineStr">
        <is>
          <t>vE13m06</t>
        </is>
      </c>
      <c r="D223" s="1" t="inlineStr">
        <is>
          <t>數值</t>
        </is>
      </c>
      <c r="E223" s="1" t="n">
        <v>2</v>
      </c>
      <c r="G223" s="1" t="inlineStr">
        <is>
          <t>range</t>
        </is>
      </c>
      <c r="H223" s="1" t="inlineStr">
        <is>
          <t>0,1</t>
        </is>
      </c>
      <c r="L223" s="1">
        <f>CONCAT(IF(D223="數值",CONCATENATE(G223&amp;"("&amp;C223&amp;","&amp;IF(ISERROR(SEARCH(",",H223,1)),(H223&amp;","&amp;H223),H223)&amp;IF(ISBLANK(I223),"",IF(ISERROR(SEARCH(",",I223,1)),CONCATENATE(","&amp;I223&amp;","&amp;I223),CONCATENATE(","&amp;I223))&amp;IF(ISBLANK(J223),"",IF(ISERROR(SEARCH(",",J223,1)),CONCATENATE(","&amp;J223&amp;","&amp;J223),CONCATENATE(","&amp;J223))&amp;IF(ISBLANK(K223),"",IF(ISERROR(SEARCH(",",K223,1)),CONCATENATE(","&amp;K223&amp;","&amp;K223),CONCATENATE(","&amp;K223))))))&amp;")","")&amp;" "&amp;F223)</f>
        <v/>
      </c>
    </row>
    <row r="224">
      <c r="A224" s="1" t="n">
        <v>323</v>
      </c>
      <c r="B224" s="1">
        <f>A224</f>
        <v/>
      </c>
      <c r="C224" s="1" t="inlineStr">
        <is>
          <t>vE13m88</t>
        </is>
      </c>
      <c r="D224" s="1" t="inlineStr">
        <is>
          <t>數值</t>
        </is>
      </c>
      <c r="E224" s="1" t="n">
        <v>2</v>
      </c>
      <c r="G224" s="1" t="inlineStr">
        <is>
          <t>range</t>
        </is>
      </c>
      <c r="H224" s="1" t="inlineStr">
        <is>
          <t>0,1</t>
        </is>
      </c>
      <c r="I224" s="1" t="inlineStr">
        <is>
          <t>96</t>
        </is>
      </c>
      <c r="L224" s="1">
        <f>CONCAT(IF(D224="數值",CONCATENATE(G224&amp;"("&amp;C224&amp;","&amp;IF(ISERROR(SEARCH(",",H224,1)),(H224&amp;","&amp;H224),H224)&amp;IF(ISBLANK(I224),"",IF(ISERROR(SEARCH(",",I224,1)),CONCATENATE(","&amp;I224&amp;","&amp;I224),CONCATENATE(","&amp;I224))&amp;IF(ISBLANK(J224),"",IF(ISERROR(SEARCH(",",J224,1)),CONCATENATE(","&amp;J224&amp;","&amp;J224),CONCATENATE(","&amp;J224))&amp;IF(ISBLANK(K224),"",IF(ISERROR(SEARCH(",",K224,1)),CONCATENATE(","&amp;K224&amp;","&amp;K224),CONCATENATE(","&amp;K224))))))&amp;")","")&amp;" "&amp;F224)</f>
        <v/>
      </c>
    </row>
    <row r="225">
      <c r="A225" s="1" t="n">
        <v>324</v>
      </c>
      <c r="B225" s="1">
        <f>A225</f>
        <v/>
      </c>
      <c r="C225" s="1" t="inlineStr">
        <is>
          <t>vE14</t>
        </is>
      </c>
      <c r="D225" s="1" t="inlineStr">
        <is>
          <t>數值</t>
        </is>
      </c>
      <c r="E225" s="1" t="n">
        <v>7</v>
      </c>
      <c r="G225" s="1" t="inlineStr">
        <is>
          <t>range</t>
        </is>
      </c>
      <c r="H225" s="1" t="inlineStr">
        <is>
          <t>999991</t>
        </is>
      </c>
      <c r="I225" s="1" t="inlineStr">
        <is>
          <t>999997,999998</t>
        </is>
      </c>
      <c r="J225" s="1" t="n"/>
      <c r="L225" s="1">
        <f>CONCAT(IF(D225="數值",CONCATENATE(G225&amp;"("&amp;C225&amp;","&amp;IF(ISERROR(SEARCH(",",H225,1)),(H225&amp;","&amp;H225),H225)&amp;IF(ISBLANK(I225),"",IF(ISERROR(SEARCH(",",I225,1)),CONCATENATE(","&amp;I225&amp;","&amp;I225),CONCATENATE(","&amp;I225))&amp;IF(ISBLANK(J225),"",IF(ISERROR(SEARCH(",",J225,1)),CONCATENATE(","&amp;J225&amp;","&amp;J225),CONCATENATE(","&amp;J225))&amp;IF(ISBLANK(K225),"",IF(ISERROR(SEARCH(",",K225,1)),CONCATENATE(","&amp;K225&amp;","&amp;K225),CONCATENATE(","&amp;K225))))))&amp;")","")&amp;" "&amp;F225)</f>
        <v/>
      </c>
    </row>
    <row r="226">
      <c r="A226" s="1" t="n">
        <v>325</v>
      </c>
      <c r="B226" s="1">
        <f>A226</f>
        <v/>
      </c>
      <c r="C226" s="1" t="inlineStr">
        <is>
          <t>vG7m01</t>
        </is>
      </c>
      <c r="D226" s="1" t="inlineStr">
        <is>
          <t>數值</t>
        </is>
      </c>
      <c r="E226" s="1" t="n">
        <v>2</v>
      </c>
      <c r="G226" s="1" t="inlineStr">
        <is>
          <t>range</t>
        </is>
      </c>
      <c r="H226" s="1" t="inlineStr">
        <is>
          <t>0,1</t>
        </is>
      </c>
      <c r="L226" s="1">
        <f>CONCAT(IF(D226="數值",CONCATENATE(G226&amp;"("&amp;C226&amp;","&amp;IF(ISERROR(SEARCH(",",H226,1)),(H226&amp;","&amp;H226),H226)&amp;IF(ISBLANK(I226),"",IF(ISERROR(SEARCH(",",I226,1)),CONCATENATE(","&amp;I226&amp;","&amp;I226),CONCATENATE(","&amp;I226))&amp;IF(ISBLANK(J226),"",IF(ISERROR(SEARCH(",",J226,1)),CONCATENATE(","&amp;J226&amp;","&amp;J226),CONCATENATE(","&amp;J226))&amp;IF(ISBLANK(K226),"",IF(ISERROR(SEARCH(",",K226,1)),CONCATENATE(","&amp;K226&amp;","&amp;K226),CONCATENATE(","&amp;K226))))))&amp;")","")&amp;" "&amp;F226)</f>
        <v/>
      </c>
    </row>
    <row r="227">
      <c r="A227" s="1" t="n">
        <v>326</v>
      </c>
      <c r="B227" s="1">
        <f>A227</f>
        <v/>
      </c>
      <c r="C227" s="1" t="inlineStr">
        <is>
          <t>vG7m02</t>
        </is>
      </c>
      <c r="D227" s="1" t="inlineStr">
        <is>
          <t>數值</t>
        </is>
      </c>
      <c r="E227" s="1" t="n">
        <v>2</v>
      </c>
      <c r="G227" s="1" t="inlineStr">
        <is>
          <t>range</t>
        </is>
      </c>
      <c r="H227" s="1" t="inlineStr">
        <is>
          <t>0,1</t>
        </is>
      </c>
      <c r="L227" s="1">
        <f>CONCAT(IF(D227="數值",CONCATENATE(G227&amp;"("&amp;C227&amp;","&amp;IF(ISERROR(SEARCH(",",H227,1)),(H227&amp;","&amp;H227),H227)&amp;IF(ISBLANK(I227),"",IF(ISERROR(SEARCH(",",I227,1)),CONCATENATE(","&amp;I227&amp;","&amp;I227),CONCATENATE(","&amp;I227))&amp;IF(ISBLANK(J227),"",IF(ISERROR(SEARCH(",",J227,1)),CONCATENATE(","&amp;J227&amp;","&amp;J227),CONCATENATE(","&amp;J227))&amp;IF(ISBLANK(K227),"",IF(ISERROR(SEARCH(",",K227,1)),CONCATENATE(","&amp;K227&amp;","&amp;K227),CONCATENATE(","&amp;K227))))))&amp;")","")&amp;" "&amp;F227)</f>
        <v/>
      </c>
    </row>
    <row r="228">
      <c r="A228" s="1" t="n">
        <v>327</v>
      </c>
      <c r="B228" s="1">
        <f>A228</f>
        <v/>
      </c>
      <c r="C228" s="1" t="inlineStr">
        <is>
          <t>vG7m03</t>
        </is>
      </c>
      <c r="D228" s="1" t="inlineStr">
        <is>
          <t>數值</t>
        </is>
      </c>
      <c r="E228" s="1" t="n">
        <v>2</v>
      </c>
      <c r="G228" s="1" t="inlineStr">
        <is>
          <t>range</t>
        </is>
      </c>
      <c r="H228" s="1" t="inlineStr">
        <is>
          <t>0,1</t>
        </is>
      </c>
      <c r="L228" s="1">
        <f>CONCAT(IF(D228="數值",CONCATENATE(G228&amp;"("&amp;C228&amp;","&amp;IF(ISERROR(SEARCH(",",H228,1)),(H228&amp;","&amp;H228),H228)&amp;IF(ISBLANK(I228),"",IF(ISERROR(SEARCH(",",I228,1)),CONCATENATE(","&amp;I228&amp;","&amp;I228),CONCATENATE(","&amp;I228))&amp;IF(ISBLANK(J228),"",IF(ISERROR(SEARCH(",",J228,1)),CONCATENATE(","&amp;J228&amp;","&amp;J228),CONCATENATE(","&amp;J228))&amp;IF(ISBLANK(K228),"",IF(ISERROR(SEARCH(",",K228,1)),CONCATENATE(","&amp;K228&amp;","&amp;K228),CONCATENATE(","&amp;K228))))))&amp;")","")&amp;" "&amp;F228)</f>
        <v/>
      </c>
    </row>
    <row r="229">
      <c r="A229" s="1" t="n">
        <v>328</v>
      </c>
      <c r="B229" s="1">
        <f>A229</f>
        <v/>
      </c>
      <c r="C229" s="1" t="inlineStr">
        <is>
          <t>vG7m04</t>
        </is>
      </c>
      <c r="D229" s="1" t="inlineStr">
        <is>
          <t>數值</t>
        </is>
      </c>
      <c r="E229" s="1" t="n">
        <v>2</v>
      </c>
      <c r="G229" s="1" t="inlineStr">
        <is>
          <t>range</t>
        </is>
      </c>
      <c r="H229" s="1" t="inlineStr">
        <is>
          <t>0,1</t>
        </is>
      </c>
      <c r="L229" s="1">
        <f>CONCAT(IF(D229="數值",CONCATENATE(G229&amp;"("&amp;C229&amp;","&amp;IF(ISERROR(SEARCH(",",H229,1)),(H229&amp;","&amp;H229),H229)&amp;IF(ISBLANK(I229),"",IF(ISERROR(SEARCH(",",I229,1)),CONCATENATE(","&amp;I229&amp;","&amp;I229),CONCATENATE(","&amp;I229))&amp;IF(ISBLANK(J229),"",IF(ISERROR(SEARCH(",",J229,1)),CONCATENATE(","&amp;J229&amp;","&amp;J229),CONCATENATE(","&amp;J229))&amp;IF(ISBLANK(K229),"",IF(ISERROR(SEARCH(",",K229,1)),CONCATENATE(","&amp;K229&amp;","&amp;K229),CONCATENATE(","&amp;K229))))))&amp;")","")&amp;" "&amp;F229)</f>
        <v/>
      </c>
    </row>
    <row r="230">
      <c r="A230" s="1" t="n">
        <v>329</v>
      </c>
      <c r="B230" s="1">
        <f>A230</f>
        <v/>
      </c>
      <c r="C230" s="1" t="inlineStr">
        <is>
          <t>vG7m05</t>
        </is>
      </c>
      <c r="D230" s="1" t="inlineStr">
        <is>
          <t>數值</t>
        </is>
      </c>
      <c r="E230" s="1" t="n">
        <v>2</v>
      </c>
      <c r="G230" s="1" t="inlineStr">
        <is>
          <t>range</t>
        </is>
      </c>
      <c r="H230" s="1" t="inlineStr">
        <is>
          <t>0,1</t>
        </is>
      </c>
      <c r="L230" s="1">
        <f>CONCAT(IF(D230="數值",CONCATENATE(G230&amp;"("&amp;C230&amp;","&amp;IF(ISERROR(SEARCH(",",H230,1)),(H230&amp;","&amp;H230),H230)&amp;IF(ISBLANK(I230),"",IF(ISERROR(SEARCH(",",I230,1)),CONCATENATE(","&amp;I230&amp;","&amp;I230),CONCATENATE(","&amp;I230))&amp;IF(ISBLANK(J230),"",IF(ISERROR(SEARCH(",",J230,1)),CONCATENATE(","&amp;J230&amp;","&amp;J230),CONCATENATE(","&amp;J230))&amp;IF(ISBLANK(K230),"",IF(ISERROR(SEARCH(",",K230,1)),CONCATENATE(","&amp;K230&amp;","&amp;K230),CONCATENATE(","&amp;K230))))))&amp;")","")&amp;" "&amp;F230)</f>
        <v/>
      </c>
    </row>
    <row r="231">
      <c r="A231" s="1" t="n">
        <v>330</v>
      </c>
      <c r="B231" s="1">
        <f>A231</f>
        <v/>
      </c>
      <c r="C231" s="1" t="inlineStr">
        <is>
          <t>vG7m06</t>
        </is>
      </c>
      <c r="D231" s="1" t="inlineStr">
        <is>
          <t>數值</t>
        </is>
      </c>
      <c r="E231" s="1" t="n">
        <v>2</v>
      </c>
      <c r="G231" s="1" t="inlineStr">
        <is>
          <t>range</t>
        </is>
      </c>
      <c r="H231" s="1" t="inlineStr">
        <is>
          <t>0,1</t>
        </is>
      </c>
      <c r="L231" s="1">
        <f>CONCAT(IF(D231="數值",CONCATENATE(G231&amp;"("&amp;C231&amp;","&amp;IF(ISERROR(SEARCH(",",H231,1)),(H231&amp;","&amp;H231),H231)&amp;IF(ISBLANK(I231),"",IF(ISERROR(SEARCH(",",I231,1)),CONCATENATE(","&amp;I231&amp;","&amp;I231),CONCATENATE(","&amp;I231))&amp;IF(ISBLANK(J231),"",IF(ISERROR(SEARCH(",",J231,1)),CONCATENATE(","&amp;J231&amp;","&amp;J231),CONCATENATE(","&amp;J231))&amp;IF(ISBLANK(K231),"",IF(ISERROR(SEARCH(",",K231,1)),CONCATENATE(","&amp;K231&amp;","&amp;K231),CONCATENATE(","&amp;K231))))))&amp;")","")&amp;" "&amp;F231)</f>
        <v/>
      </c>
    </row>
    <row r="232">
      <c r="A232" s="1" t="n">
        <v>331</v>
      </c>
      <c r="B232" s="1">
        <f>A232</f>
        <v/>
      </c>
      <c r="C232" s="1" t="inlineStr">
        <is>
          <t>vG7m07</t>
        </is>
      </c>
      <c r="D232" s="1" t="inlineStr">
        <is>
          <t>數值</t>
        </is>
      </c>
      <c r="E232" s="1" t="n">
        <v>2</v>
      </c>
      <c r="G232" s="1" t="inlineStr">
        <is>
          <t>range</t>
        </is>
      </c>
      <c r="H232" s="1" t="inlineStr">
        <is>
          <t>0,1</t>
        </is>
      </c>
      <c r="L232" s="1">
        <f>CONCAT(IF(D232="數值",CONCATENATE(G232&amp;"("&amp;C232&amp;","&amp;IF(ISERROR(SEARCH(",",H232,1)),(H232&amp;","&amp;H232),H232)&amp;IF(ISBLANK(I232),"",IF(ISERROR(SEARCH(",",I232,1)),CONCATENATE(","&amp;I232&amp;","&amp;I232),CONCATENATE(","&amp;I232))&amp;IF(ISBLANK(J232),"",IF(ISERROR(SEARCH(",",J232,1)),CONCATENATE(","&amp;J232&amp;","&amp;J232),CONCATENATE(","&amp;J232))&amp;IF(ISBLANK(K232),"",IF(ISERROR(SEARCH(",",K232,1)),CONCATENATE(","&amp;K232&amp;","&amp;K232),CONCATENATE(","&amp;K232))))))&amp;")","")&amp;" "&amp;F232)</f>
        <v/>
      </c>
    </row>
    <row r="233">
      <c r="A233" s="1" t="n">
        <v>332</v>
      </c>
      <c r="B233" s="1">
        <f>A233</f>
        <v/>
      </c>
      <c r="C233" s="1" t="inlineStr">
        <is>
          <t>vG7m08</t>
        </is>
      </c>
      <c r="D233" s="1" t="inlineStr">
        <is>
          <t>數值</t>
        </is>
      </c>
      <c r="E233" s="1" t="n">
        <v>2</v>
      </c>
      <c r="G233" s="1" t="inlineStr">
        <is>
          <t>range</t>
        </is>
      </c>
      <c r="H233" s="1" t="inlineStr">
        <is>
          <t>0,1</t>
        </is>
      </c>
      <c r="L233" s="1">
        <f>CONCAT(IF(D233="數值",CONCATENATE(G233&amp;"("&amp;C233&amp;","&amp;IF(ISERROR(SEARCH(",",H233,1)),(H233&amp;","&amp;H233),H233)&amp;IF(ISBLANK(I233),"",IF(ISERROR(SEARCH(",",I233,1)),CONCATENATE(","&amp;I233&amp;","&amp;I233),CONCATENATE(","&amp;I233))&amp;IF(ISBLANK(J233),"",IF(ISERROR(SEARCH(",",J233,1)),CONCATENATE(","&amp;J233&amp;","&amp;J233),CONCATENATE(","&amp;J233))&amp;IF(ISBLANK(K233),"",IF(ISERROR(SEARCH(",",K233,1)),CONCATENATE(","&amp;K233&amp;","&amp;K233),CONCATENATE(","&amp;K233))))))&amp;")","")&amp;" "&amp;F233)</f>
        <v/>
      </c>
    </row>
    <row r="234">
      <c r="A234" s="1" t="n">
        <v>333</v>
      </c>
      <c r="B234" s="1">
        <f>A234</f>
        <v/>
      </c>
      <c r="C234" s="1" t="inlineStr">
        <is>
          <t>vG7m09</t>
        </is>
      </c>
      <c r="D234" s="1" t="inlineStr">
        <is>
          <t>數值</t>
        </is>
      </c>
      <c r="E234" s="1" t="n">
        <v>2</v>
      </c>
      <c r="G234" s="1" t="inlineStr">
        <is>
          <t>range</t>
        </is>
      </c>
      <c r="H234" s="1" t="inlineStr">
        <is>
          <t>0,1</t>
        </is>
      </c>
      <c r="L234" s="1">
        <f>CONCAT(IF(D234="數值",CONCATENATE(G234&amp;"("&amp;C234&amp;","&amp;IF(ISERROR(SEARCH(",",H234,1)),(H234&amp;","&amp;H234),H234)&amp;IF(ISBLANK(I234),"",IF(ISERROR(SEARCH(",",I234,1)),CONCATENATE(","&amp;I234&amp;","&amp;I234),CONCATENATE(","&amp;I234))&amp;IF(ISBLANK(J234),"",IF(ISERROR(SEARCH(",",J234,1)),CONCATENATE(","&amp;J234&amp;","&amp;J234),CONCATENATE(","&amp;J234))&amp;IF(ISBLANK(K234),"",IF(ISERROR(SEARCH(",",K234,1)),CONCATENATE(","&amp;K234&amp;","&amp;K234),CONCATENATE(","&amp;K234))))))&amp;")","")&amp;" "&amp;F234)</f>
        <v/>
      </c>
    </row>
    <row r="235">
      <c r="A235" s="1" t="n">
        <v>334</v>
      </c>
      <c r="B235" s="1">
        <f>A235</f>
        <v/>
      </c>
      <c r="C235" s="1" t="inlineStr">
        <is>
          <t>vG7m10</t>
        </is>
      </c>
      <c r="D235" s="1" t="inlineStr">
        <is>
          <t>數值</t>
        </is>
      </c>
      <c r="E235" s="1" t="n">
        <v>2</v>
      </c>
      <c r="G235" s="1" t="inlineStr">
        <is>
          <t>range</t>
        </is>
      </c>
      <c r="H235" s="1" t="inlineStr">
        <is>
          <t>0,1</t>
        </is>
      </c>
      <c r="I235" s="1" t="inlineStr">
        <is>
          <t>96</t>
        </is>
      </c>
      <c r="L235" s="1">
        <f>CONCAT(IF(D235="數值",CONCATENATE(G235&amp;"("&amp;C235&amp;","&amp;IF(ISERROR(SEARCH(",",H235,1)),(H235&amp;","&amp;H235),H235)&amp;IF(ISBLANK(I235),"",IF(ISERROR(SEARCH(",",I235,1)),CONCATENATE(","&amp;I235&amp;","&amp;I235),CONCATENATE(","&amp;I235))&amp;IF(ISBLANK(J235),"",IF(ISERROR(SEARCH(",",J235,1)),CONCATENATE(","&amp;J235&amp;","&amp;J235),CONCATENATE(","&amp;J235))&amp;IF(ISBLANK(K235),"",IF(ISERROR(SEARCH(",",K235,1)),CONCATENATE(","&amp;K235&amp;","&amp;K235),CONCATENATE(","&amp;K235))))))&amp;")","")&amp;" "&amp;F235)</f>
        <v/>
      </c>
    </row>
    <row r="236">
      <c r="A236" s="1" t="n">
        <v>335</v>
      </c>
      <c r="B236" s="1">
        <f>A236</f>
        <v/>
      </c>
      <c r="C236" s="1" t="inlineStr">
        <is>
          <t>vG7m11</t>
        </is>
      </c>
      <c r="D236" s="1" t="inlineStr">
        <is>
          <t>數值</t>
        </is>
      </c>
      <c r="E236" s="1" t="n">
        <v>2</v>
      </c>
      <c r="G236" s="1" t="inlineStr">
        <is>
          <t>range</t>
        </is>
      </c>
      <c r="H236" s="1" t="inlineStr">
        <is>
          <t>0,1</t>
        </is>
      </c>
      <c r="I236" s="1" t="inlineStr">
        <is>
          <t>96</t>
        </is>
      </c>
      <c r="L236" s="1">
        <f>CONCAT(IF(D236="數值",CONCATENATE(G236&amp;"("&amp;C236&amp;","&amp;IF(ISERROR(SEARCH(",",H236,1)),(H236&amp;","&amp;H236),H236)&amp;IF(ISBLANK(I236),"",IF(ISERROR(SEARCH(",",I236,1)),CONCATENATE(","&amp;I236&amp;","&amp;I236),CONCATENATE(","&amp;I236))&amp;IF(ISBLANK(J236),"",IF(ISERROR(SEARCH(",",J236,1)),CONCATENATE(","&amp;J236&amp;","&amp;J236),CONCATENATE(","&amp;J236))&amp;IF(ISBLANK(K236),"",IF(ISERROR(SEARCH(",",K236,1)),CONCATENATE(","&amp;K236&amp;","&amp;K236),CONCATENATE(","&amp;K236))))))&amp;")","")&amp;" "&amp;F236)</f>
        <v/>
      </c>
    </row>
    <row r="237">
      <c r="A237" s="1" t="n">
        <v>336</v>
      </c>
      <c r="B237" s="1">
        <f>A237</f>
        <v/>
      </c>
      <c r="C237" s="1" t="inlineStr">
        <is>
          <t>vG7m12</t>
        </is>
      </c>
      <c r="D237" s="1" t="inlineStr">
        <is>
          <t>數值</t>
        </is>
      </c>
      <c r="E237" s="1" t="n">
        <v>2</v>
      </c>
      <c r="G237" s="1" t="inlineStr">
        <is>
          <t>range</t>
        </is>
      </c>
      <c r="H237" s="1" t="inlineStr">
        <is>
          <t>0,1</t>
        </is>
      </c>
      <c r="I237" s="1" t="inlineStr">
        <is>
          <t>96</t>
        </is>
      </c>
      <c r="L237" s="1">
        <f>CONCAT(IF(D237="數值",CONCATENATE(G237&amp;"("&amp;C237&amp;","&amp;IF(ISERROR(SEARCH(",",H237,1)),(H237&amp;","&amp;H237),H237)&amp;IF(ISBLANK(I237),"",IF(ISERROR(SEARCH(",",I237,1)),CONCATENATE(","&amp;I237&amp;","&amp;I237),CONCATENATE(","&amp;I237))&amp;IF(ISBLANK(J237),"",IF(ISERROR(SEARCH(",",J237,1)),CONCATENATE(","&amp;J237&amp;","&amp;J237),CONCATENATE(","&amp;J237))&amp;IF(ISBLANK(K237),"",IF(ISERROR(SEARCH(",",K237,1)),CONCATENATE(","&amp;K237&amp;","&amp;K237),CONCATENATE(","&amp;K237))))))&amp;")","")&amp;" "&amp;F237)</f>
        <v/>
      </c>
    </row>
    <row r="238">
      <c r="A238" s="1" t="n">
        <v>337</v>
      </c>
      <c r="B238" s="1">
        <f>A238</f>
        <v/>
      </c>
      <c r="C238" s="1" t="inlineStr">
        <is>
          <t>vG7m88</t>
        </is>
      </c>
      <c r="D238" s="1" t="inlineStr">
        <is>
          <t>數值</t>
        </is>
      </c>
      <c r="E238" s="1" t="n">
        <v>2</v>
      </c>
      <c r="G238" s="1" t="inlineStr">
        <is>
          <t>range</t>
        </is>
      </c>
      <c r="H238" s="1" t="inlineStr">
        <is>
          <t>0,1</t>
        </is>
      </c>
      <c r="I238" s="1" t="inlineStr">
        <is>
          <t>96</t>
        </is>
      </c>
      <c r="L238" s="1">
        <f>CONCAT(IF(D238="數值",CONCATENATE(G238&amp;"("&amp;C238&amp;","&amp;IF(ISERROR(SEARCH(",",H238,1)),(H238&amp;","&amp;H238),H238)&amp;IF(ISBLANK(I238),"",IF(ISERROR(SEARCH(",",I238,1)),CONCATENATE(","&amp;I238&amp;","&amp;I238),CONCATENATE(","&amp;I238))&amp;IF(ISBLANK(J238),"",IF(ISERROR(SEARCH(",",J238,1)),CONCATENATE(","&amp;J238&amp;","&amp;J238),CONCATENATE(","&amp;J238))&amp;IF(ISBLANK(K238),"",IF(ISERROR(SEARCH(",",K238,1)),CONCATENATE(","&amp;K238&amp;","&amp;K238),CONCATENATE(","&amp;K238))))))&amp;")","")&amp;" "&amp;F238)</f>
        <v/>
      </c>
    </row>
    <row r="239">
      <c r="A239" s="1" t="n">
        <v>338</v>
      </c>
      <c r="B239" s="1">
        <f>A239</f>
        <v/>
      </c>
      <c r="C239" s="1" t="inlineStr">
        <is>
          <t>vG7m90</t>
        </is>
      </c>
      <c r="D239" s="1" t="inlineStr">
        <is>
          <t>數值</t>
        </is>
      </c>
      <c r="E239" s="1" t="n">
        <v>2</v>
      </c>
      <c r="G239" s="1" t="inlineStr">
        <is>
          <t>range</t>
        </is>
      </c>
      <c r="H239" s="1" t="inlineStr">
        <is>
          <t>0,1</t>
        </is>
      </c>
      <c r="I239" s="1" t="inlineStr">
        <is>
          <t>96</t>
        </is>
      </c>
      <c r="L239" s="1">
        <f>CONCAT(IF(D239="數值",CONCATENATE(G239&amp;"("&amp;C239&amp;","&amp;IF(ISERROR(SEARCH(",",H239,1)),(H239&amp;","&amp;H239),H239)&amp;IF(ISBLANK(I239),"",IF(ISERROR(SEARCH(",",I239,1)),CONCATENATE(","&amp;I239&amp;","&amp;I239),CONCATENATE(","&amp;I239))&amp;IF(ISBLANK(J239),"",IF(ISERROR(SEARCH(",",J239,1)),CONCATENATE(","&amp;J239&amp;","&amp;J239),CONCATENATE(","&amp;J239))&amp;IF(ISBLANK(K239),"",IF(ISERROR(SEARCH(",",K239,1)),CONCATENATE(","&amp;K239&amp;","&amp;K239),CONCATENATE(","&amp;K239))))))&amp;")","")&amp;" "&amp;F239)</f>
        <v/>
      </c>
    </row>
    <row r="240">
      <c r="A240" s="1" t="n">
        <v>339</v>
      </c>
      <c r="B240" s="1">
        <f>A240</f>
        <v/>
      </c>
      <c r="C240" s="1" t="inlineStr">
        <is>
          <t>vG8m01</t>
        </is>
      </c>
      <c r="D240" s="1" t="inlineStr">
        <is>
          <t>數值</t>
        </is>
      </c>
      <c r="E240" s="1" t="n">
        <v>2</v>
      </c>
      <c r="G240" s="1" t="inlineStr">
        <is>
          <t>range</t>
        </is>
      </c>
      <c r="H240" s="1" t="inlineStr">
        <is>
          <t>0,1</t>
        </is>
      </c>
      <c r="L240" s="1">
        <f>CONCAT(IF(D240="數值",CONCATENATE(G240&amp;"("&amp;C240&amp;","&amp;IF(ISERROR(SEARCH(",",H240,1)),(H240&amp;","&amp;H240),H240)&amp;IF(ISBLANK(I240),"",IF(ISERROR(SEARCH(",",I240,1)),CONCATENATE(","&amp;I240&amp;","&amp;I240),CONCATENATE(","&amp;I240))&amp;IF(ISBLANK(J240),"",IF(ISERROR(SEARCH(",",J240,1)),CONCATENATE(","&amp;J240&amp;","&amp;J240),CONCATENATE(","&amp;J240))&amp;IF(ISBLANK(K240),"",IF(ISERROR(SEARCH(",",K240,1)),CONCATENATE(","&amp;K240&amp;","&amp;K240),CONCATENATE(","&amp;K240))))))&amp;")","")&amp;" "&amp;F240)</f>
        <v/>
      </c>
    </row>
    <row r="241">
      <c r="A241" s="1" t="n">
        <v>340</v>
      </c>
      <c r="B241" s="1">
        <f>A241</f>
        <v/>
      </c>
      <c r="C241" s="1" t="inlineStr">
        <is>
          <t>vG8m02</t>
        </is>
      </c>
      <c r="D241" s="1" t="inlineStr">
        <is>
          <t>數值</t>
        </is>
      </c>
      <c r="E241" s="1" t="n">
        <v>2</v>
      </c>
      <c r="G241" s="1" t="inlineStr">
        <is>
          <t>range</t>
        </is>
      </c>
      <c r="H241" s="1" t="inlineStr">
        <is>
          <t>0,1</t>
        </is>
      </c>
      <c r="L241" s="1">
        <f>CONCAT(IF(D241="數值",CONCATENATE(G241&amp;"("&amp;C241&amp;","&amp;IF(ISERROR(SEARCH(",",H241,1)),(H241&amp;","&amp;H241),H241)&amp;IF(ISBLANK(I241),"",IF(ISERROR(SEARCH(",",I241,1)),CONCATENATE(","&amp;I241&amp;","&amp;I241),CONCATENATE(","&amp;I241))&amp;IF(ISBLANK(J241),"",IF(ISERROR(SEARCH(",",J241,1)),CONCATENATE(","&amp;J241&amp;","&amp;J241),CONCATENATE(","&amp;J241))&amp;IF(ISBLANK(K241),"",IF(ISERROR(SEARCH(",",K241,1)),CONCATENATE(","&amp;K241&amp;","&amp;K241),CONCATENATE(","&amp;K241))))))&amp;")","")&amp;" "&amp;F241)</f>
        <v/>
      </c>
    </row>
    <row r="242">
      <c r="A242" s="1" t="n">
        <v>341</v>
      </c>
      <c r="B242" s="1">
        <f>A242</f>
        <v/>
      </c>
      <c r="C242" s="1" t="inlineStr">
        <is>
          <t>vG8m03</t>
        </is>
      </c>
      <c r="D242" s="1" t="inlineStr">
        <is>
          <t>數值</t>
        </is>
      </c>
      <c r="E242" s="1" t="n">
        <v>2</v>
      </c>
      <c r="G242" s="1" t="inlineStr">
        <is>
          <t>range</t>
        </is>
      </c>
      <c r="H242" s="1" t="inlineStr">
        <is>
          <t>0,1</t>
        </is>
      </c>
      <c r="L242" s="1">
        <f>CONCAT(IF(D242="數值",CONCATENATE(G242&amp;"("&amp;C242&amp;","&amp;IF(ISERROR(SEARCH(",",H242,1)),(H242&amp;","&amp;H242),H242)&amp;IF(ISBLANK(I242),"",IF(ISERROR(SEARCH(",",I242,1)),CONCATENATE(","&amp;I242&amp;","&amp;I242),CONCATENATE(","&amp;I242))&amp;IF(ISBLANK(J242),"",IF(ISERROR(SEARCH(",",J242,1)),CONCATENATE(","&amp;J242&amp;","&amp;J242),CONCATENATE(","&amp;J242))&amp;IF(ISBLANK(K242),"",IF(ISERROR(SEARCH(",",K242,1)),CONCATENATE(","&amp;K242&amp;","&amp;K242),CONCATENATE(","&amp;K242))))))&amp;")","")&amp;" "&amp;F242)</f>
        <v/>
      </c>
    </row>
    <row r="243">
      <c r="A243" s="1" t="n">
        <v>342</v>
      </c>
      <c r="B243" s="1">
        <f>A243</f>
        <v/>
      </c>
      <c r="C243" s="1" t="inlineStr">
        <is>
          <t>vG8m04</t>
        </is>
      </c>
      <c r="D243" s="1" t="inlineStr">
        <is>
          <t>數值</t>
        </is>
      </c>
      <c r="E243" s="1" t="n">
        <v>2</v>
      </c>
      <c r="G243" s="1" t="inlineStr">
        <is>
          <t>range</t>
        </is>
      </c>
      <c r="H243" s="1" t="inlineStr">
        <is>
          <t>0,1</t>
        </is>
      </c>
      <c r="L243" s="1">
        <f>CONCAT(IF(D243="數值",CONCATENATE(G243&amp;"("&amp;C243&amp;","&amp;IF(ISERROR(SEARCH(",",H243,1)),(H243&amp;","&amp;H243),H243)&amp;IF(ISBLANK(I243),"",IF(ISERROR(SEARCH(",",I243,1)),CONCATENATE(","&amp;I243&amp;","&amp;I243),CONCATENATE(","&amp;I243))&amp;IF(ISBLANK(J243),"",IF(ISERROR(SEARCH(",",J243,1)),CONCATENATE(","&amp;J243&amp;","&amp;J243),CONCATENATE(","&amp;J243))&amp;IF(ISBLANK(K243),"",IF(ISERROR(SEARCH(",",K243,1)),CONCATENATE(","&amp;K243&amp;","&amp;K243),CONCATENATE(","&amp;K243))))))&amp;")","")&amp;" "&amp;F243)</f>
        <v/>
      </c>
    </row>
    <row r="244">
      <c r="A244" s="1" t="n">
        <v>343</v>
      </c>
      <c r="B244" s="1">
        <f>A244</f>
        <v/>
      </c>
      <c r="C244" s="1" t="inlineStr">
        <is>
          <t>vG8m05</t>
        </is>
      </c>
      <c r="D244" s="1" t="inlineStr">
        <is>
          <t>數值</t>
        </is>
      </c>
      <c r="E244" s="1" t="n">
        <v>2</v>
      </c>
      <c r="G244" s="1" t="inlineStr">
        <is>
          <t>range</t>
        </is>
      </c>
      <c r="H244" s="1" t="inlineStr">
        <is>
          <t>0,1</t>
        </is>
      </c>
      <c r="L244" s="1">
        <f>CONCAT(IF(D244="數值",CONCATENATE(G244&amp;"("&amp;C244&amp;","&amp;IF(ISERROR(SEARCH(",",H244,1)),(H244&amp;","&amp;H244),H244)&amp;IF(ISBLANK(I244),"",IF(ISERROR(SEARCH(",",I244,1)),CONCATENATE(","&amp;I244&amp;","&amp;I244),CONCATENATE(","&amp;I244))&amp;IF(ISBLANK(J244),"",IF(ISERROR(SEARCH(",",J244,1)),CONCATENATE(","&amp;J244&amp;","&amp;J244),CONCATENATE(","&amp;J244))&amp;IF(ISBLANK(K244),"",IF(ISERROR(SEARCH(",",K244,1)),CONCATENATE(","&amp;K244&amp;","&amp;K244),CONCATENATE(","&amp;K244))))))&amp;")","")&amp;" "&amp;F244)</f>
        <v/>
      </c>
    </row>
    <row r="245">
      <c r="A245" s="1" t="n">
        <v>344</v>
      </c>
      <c r="B245" s="1">
        <f>A245</f>
        <v/>
      </c>
      <c r="C245" s="1" t="inlineStr">
        <is>
          <t>vG8m06</t>
        </is>
      </c>
      <c r="D245" s="1" t="inlineStr">
        <is>
          <t>數值</t>
        </is>
      </c>
      <c r="E245" s="1" t="n">
        <v>2</v>
      </c>
      <c r="G245" s="1" t="inlineStr">
        <is>
          <t>range</t>
        </is>
      </c>
      <c r="H245" s="1" t="inlineStr">
        <is>
          <t>0,1</t>
        </is>
      </c>
      <c r="L245" s="1">
        <f>CONCAT(IF(D245="數值",CONCATENATE(G245&amp;"("&amp;C245&amp;","&amp;IF(ISERROR(SEARCH(",",H245,1)),(H245&amp;","&amp;H245),H245)&amp;IF(ISBLANK(I245),"",IF(ISERROR(SEARCH(",",I245,1)),CONCATENATE(","&amp;I245&amp;","&amp;I245),CONCATENATE(","&amp;I245))&amp;IF(ISBLANK(J245),"",IF(ISERROR(SEARCH(",",J245,1)),CONCATENATE(","&amp;J245&amp;","&amp;J245),CONCATENATE(","&amp;J245))&amp;IF(ISBLANK(K245),"",IF(ISERROR(SEARCH(",",K245,1)),CONCATENATE(","&amp;K245&amp;","&amp;K245),CONCATENATE(","&amp;K245))))))&amp;")","")&amp;" "&amp;F245)</f>
        <v/>
      </c>
    </row>
    <row r="246">
      <c r="A246" s="1" t="n">
        <v>345</v>
      </c>
      <c r="B246" s="1">
        <f>A246</f>
        <v/>
      </c>
      <c r="C246" s="1" t="inlineStr">
        <is>
          <t>vG8m07</t>
        </is>
      </c>
      <c r="D246" s="1" t="inlineStr">
        <is>
          <t>數值</t>
        </is>
      </c>
      <c r="E246" s="1" t="n">
        <v>2</v>
      </c>
      <c r="G246" s="1" t="inlineStr">
        <is>
          <t>range</t>
        </is>
      </c>
      <c r="H246" s="1" t="inlineStr">
        <is>
          <t>0,1</t>
        </is>
      </c>
      <c r="L246" s="1">
        <f>CONCAT(IF(D246="數值",CONCATENATE(G246&amp;"("&amp;C246&amp;","&amp;IF(ISERROR(SEARCH(",",H246,1)),(H246&amp;","&amp;H246),H246)&amp;IF(ISBLANK(I246),"",IF(ISERROR(SEARCH(",",I246,1)),CONCATENATE(","&amp;I246&amp;","&amp;I246),CONCATENATE(","&amp;I246))&amp;IF(ISBLANK(J246),"",IF(ISERROR(SEARCH(",",J246,1)),CONCATENATE(","&amp;J246&amp;","&amp;J246),CONCATENATE(","&amp;J246))&amp;IF(ISBLANK(K246),"",IF(ISERROR(SEARCH(",",K246,1)),CONCATENATE(","&amp;K246&amp;","&amp;K246),CONCATENATE(","&amp;K246))))))&amp;")","")&amp;" "&amp;F246)</f>
        <v/>
      </c>
    </row>
    <row r="247">
      <c r="A247" s="1" t="n">
        <v>346</v>
      </c>
      <c r="B247" s="1">
        <f>A247</f>
        <v/>
      </c>
      <c r="C247" s="1" t="inlineStr">
        <is>
          <t>vG8m08</t>
        </is>
      </c>
      <c r="D247" s="1" t="inlineStr">
        <is>
          <t>數值</t>
        </is>
      </c>
      <c r="E247" s="1" t="n">
        <v>2</v>
      </c>
      <c r="G247" s="1" t="inlineStr">
        <is>
          <t>range</t>
        </is>
      </c>
      <c r="H247" s="1" t="inlineStr">
        <is>
          <t>0,1</t>
        </is>
      </c>
      <c r="L247" s="1">
        <f>CONCAT(IF(D247="數值",CONCATENATE(G247&amp;"("&amp;C247&amp;","&amp;IF(ISERROR(SEARCH(",",H247,1)),(H247&amp;","&amp;H247),H247)&amp;IF(ISBLANK(I247),"",IF(ISERROR(SEARCH(",",I247,1)),CONCATENATE(","&amp;I247&amp;","&amp;I247),CONCATENATE(","&amp;I247))&amp;IF(ISBLANK(J247),"",IF(ISERROR(SEARCH(",",J247,1)),CONCATENATE(","&amp;J247&amp;","&amp;J247),CONCATENATE(","&amp;J247))&amp;IF(ISBLANK(K247),"",IF(ISERROR(SEARCH(",",K247,1)),CONCATENATE(","&amp;K247&amp;","&amp;K247),CONCATENATE(","&amp;K247))))))&amp;")","")&amp;" "&amp;F247)</f>
        <v/>
      </c>
    </row>
    <row r="248">
      <c r="A248" s="1" t="n">
        <v>347</v>
      </c>
      <c r="B248" s="1">
        <f>A248</f>
        <v/>
      </c>
      <c r="C248" s="1" t="inlineStr">
        <is>
          <t>vG8m09</t>
        </is>
      </c>
      <c r="D248" s="1" t="inlineStr">
        <is>
          <t>數值</t>
        </is>
      </c>
      <c r="E248" s="1" t="n">
        <v>2</v>
      </c>
      <c r="G248" s="1" t="inlineStr">
        <is>
          <t>range</t>
        </is>
      </c>
      <c r="H248" s="1" t="inlineStr">
        <is>
          <t>0,1</t>
        </is>
      </c>
      <c r="L248" s="1">
        <f>CONCAT(IF(D248="數值",CONCATENATE(G248&amp;"("&amp;C248&amp;","&amp;IF(ISERROR(SEARCH(",",H248,1)),(H248&amp;","&amp;H248),H248)&amp;IF(ISBLANK(I248),"",IF(ISERROR(SEARCH(",",I248,1)),CONCATENATE(","&amp;I248&amp;","&amp;I248),CONCATENATE(","&amp;I248))&amp;IF(ISBLANK(J248),"",IF(ISERROR(SEARCH(",",J248,1)),CONCATENATE(","&amp;J248&amp;","&amp;J248),CONCATENATE(","&amp;J248))&amp;IF(ISBLANK(K248),"",IF(ISERROR(SEARCH(",",K248,1)),CONCATENATE(","&amp;K248&amp;","&amp;K248),CONCATENATE(","&amp;K248))))))&amp;")","")&amp;" "&amp;F248)</f>
        <v/>
      </c>
    </row>
    <row r="249">
      <c r="A249" s="1" t="n">
        <v>348</v>
      </c>
      <c r="B249" s="1">
        <f>A249</f>
        <v/>
      </c>
      <c r="C249" s="1" t="inlineStr">
        <is>
          <t>vG8m10</t>
        </is>
      </c>
      <c r="D249" s="1" t="inlineStr">
        <is>
          <t>數值</t>
        </is>
      </c>
      <c r="E249" s="1" t="n">
        <v>2</v>
      </c>
      <c r="G249" s="1" t="inlineStr">
        <is>
          <t>range</t>
        </is>
      </c>
      <c r="H249" s="1" t="inlineStr">
        <is>
          <t>0,1</t>
        </is>
      </c>
      <c r="I249" s="1" t="inlineStr">
        <is>
          <t>96</t>
        </is>
      </c>
      <c r="L249" s="1">
        <f>CONCAT(IF(D249="數值",CONCATENATE(G249&amp;"("&amp;C249&amp;","&amp;IF(ISERROR(SEARCH(",",H249,1)),(H249&amp;","&amp;H249),H249)&amp;IF(ISBLANK(I249),"",IF(ISERROR(SEARCH(",",I249,1)),CONCATENATE(","&amp;I249&amp;","&amp;I249),CONCATENATE(","&amp;I249))&amp;IF(ISBLANK(J249),"",IF(ISERROR(SEARCH(",",J249,1)),CONCATENATE(","&amp;J249&amp;","&amp;J249),CONCATENATE(","&amp;J249))&amp;IF(ISBLANK(K249),"",IF(ISERROR(SEARCH(",",K249,1)),CONCATENATE(","&amp;K249&amp;","&amp;K249),CONCATENATE(","&amp;K249))))))&amp;")","")&amp;" "&amp;F249)</f>
        <v/>
      </c>
    </row>
    <row r="250">
      <c r="A250" s="1" t="n">
        <v>349</v>
      </c>
      <c r="B250" s="1">
        <f>A250</f>
        <v/>
      </c>
      <c r="C250" s="1" t="inlineStr">
        <is>
          <t>vG8m11</t>
        </is>
      </c>
      <c r="D250" s="1" t="inlineStr">
        <is>
          <t>數值</t>
        </is>
      </c>
      <c r="E250" s="1" t="n">
        <v>2</v>
      </c>
      <c r="G250" s="1" t="inlineStr">
        <is>
          <t>range</t>
        </is>
      </c>
      <c r="H250" s="1" t="inlineStr">
        <is>
          <t>0,1</t>
        </is>
      </c>
      <c r="I250" s="1" t="inlineStr">
        <is>
          <t>96</t>
        </is>
      </c>
      <c r="L250" s="1">
        <f>CONCAT(IF(D250="數值",CONCATENATE(G250&amp;"("&amp;C250&amp;","&amp;IF(ISERROR(SEARCH(",",H250,1)),(H250&amp;","&amp;H250),H250)&amp;IF(ISBLANK(I250),"",IF(ISERROR(SEARCH(",",I250,1)),CONCATENATE(","&amp;I250&amp;","&amp;I250),CONCATENATE(","&amp;I250))&amp;IF(ISBLANK(J250),"",IF(ISERROR(SEARCH(",",J250,1)),CONCATENATE(","&amp;J250&amp;","&amp;J250),CONCATENATE(","&amp;J250))&amp;IF(ISBLANK(K250),"",IF(ISERROR(SEARCH(",",K250,1)),CONCATENATE(","&amp;K250&amp;","&amp;K250),CONCATENATE(","&amp;K250))))))&amp;")","")&amp;" "&amp;F250)</f>
        <v/>
      </c>
    </row>
    <row r="251">
      <c r="A251" s="1" t="n">
        <v>350</v>
      </c>
      <c r="B251" s="1">
        <f>A251</f>
        <v/>
      </c>
      <c r="C251" s="1" t="inlineStr">
        <is>
          <t>vG8m12</t>
        </is>
      </c>
      <c r="D251" s="1" t="inlineStr">
        <is>
          <t>數值</t>
        </is>
      </c>
      <c r="E251" s="1" t="n">
        <v>2</v>
      </c>
      <c r="G251" s="1" t="inlineStr">
        <is>
          <t>range</t>
        </is>
      </c>
      <c r="H251" s="1" t="inlineStr">
        <is>
          <t>0,1</t>
        </is>
      </c>
      <c r="I251" s="1" t="inlineStr">
        <is>
          <t>96</t>
        </is>
      </c>
      <c r="L251" s="1">
        <f>CONCAT(IF(D251="數值",CONCATENATE(G251&amp;"("&amp;C251&amp;","&amp;IF(ISERROR(SEARCH(",",H251,1)),(H251&amp;","&amp;H251),H251)&amp;IF(ISBLANK(I251),"",IF(ISERROR(SEARCH(",",I251,1)),CONCATENATE(","&amp;I251&amp;","&amp;I251),CONCATENATE(","&amp;I251))&amp;IF(ISBLANK(J251),"",IF(ISERROR(SEARCH(",",J251,1)),CONCATENATE(","&amp;J251&amp;","&amp;J251),CONCATENATE(","&amp;J251))&amp;IF(ISBLANK(K251),"",IF(ISERROR(SEARCH(",",K251,1)),CONCATENATE(","&amp;K251&amp;","&amp;K251),CONCATENATE(","&amp;K251))))))&amp;")","")&amp;" "&amp;F251)</f>
        <v/>
      </c>
    </row>
    <row r="252">
      <c r="A252" s="1" t="n">
        <v>351</v>
      </c>
      <c r="B252" s="1">
        <f>A252</f>
        <v/>
      </c>
      <c r="C252" s="1" t="inlineStr">
        <is>
          <t>vG8m13</t>
        </is>
      </c>
      <c r="D252" s="1" t="inlineStr">
        <is>
          <t>數值</t>
        </is>
      </c>
      <c r="E252" s="1" t="n">
        <v>2</v>
      </c>
      <c r="G252" s="1" t="inlineStr">
        <is>
          <t>range</t>
        </is>
      </c>
      <c r="H252" s="1" t="inlineStr">
        <is>
          <t>0,1</t>
        </is>
      </c>
      <c r="I252" s="1" t="inlineStr">
        <is>
          <t>96</t>
        </is>
      </c>
      <c r="L252" s="1">
        <f>CONCAT(IF(D252="數值",CONCATENATE(G252&amp;"("&amp;C252&amp;","&amp;IF(ISERROR(SEARCH(",",H252,1)),(H252&amp;","&amp;H252),H252)&amp;IF(ISBLANK(I252),"",IF(ISERROR(SEARCH(",",I252,1)),CONCATENATE(","&amp;I252&amp;","&amp;I252),CONCATENATE(","&amp;I252))&amp;IF(ISBLANK(J252),"",IF(ISERROR(SEARCH(",",J252,1)),CONCATENATE(","&amp;J252&amp;","&amp;J252),CONCATENATE(","&amp;J252))&amp;IF(ISBLANK(K252),"",IF(ISERROR(SEARCH(",",K252,1)),CONCATENATE(","&amp;K252&amp;","&amp;K252),CONCATENATE(","&amp;K252))))))&amp;")","")&amp;" "&amp;F252)</f>
        <v/>
      </c>
    </row>
    <row r="253">
      <c r="A253" s="1" t="n">
        <v>352</v>
      </c>
      <c r="B253" s="1">
        <f>A253</f>
        <v/>
      </c>
      <c r="C253" s="1" t="inlineStr">
        <is>
          <t>vG8m14</t>
        </is>
      </c>
      <c r="D253" s="1" t="inlineStr">
        <is>
          <t>數值</t>
        </is>
      </c>
      <c r="E253" s="1" t="n">
        <v>2</v>
      </c>
      <c r="G253" s="1" t="inlineStr">
        <is>
          <t>range</t>
        </is>
      </c>
      <c r="H253" s="1" t="inlineStr">
        <is>
          <t>0,1</t>
        </is>
      </c>
      <c r="I253" s="1" t="inlineStr">
        <is>
          <t>96</t>
        </is>
      </c>
      <c r="L253" s="1">
        <f>CONCAT(IF(D253="數值",CONCATENATE(G253&amp;"("&amp;C253&amp;","&amp;IF(ISERROR(SEARCH(",",H253,1)),(H253&amp;","&amp;H253),H253)&amp;IF(ISBLANK(I253),"",IF(ISERROR(SEARCH(",",I253,1)),CONCATENATE(","&amp;I253&amp;","&amp;I253),CONCATENATE(","&amp;I253))&amp;IF(ISBLANK(J253),"",IF(ISERROR(SEARCH(",",J253,1)),CONCATENATE(","&amp;J253&amp;","&amp;J253),CONCATENATE(","&amp;J253))&amp;IF(ISBLANK(K253),"",IF(ISERROR(SEARCH(",",K253,1)),CONCATENATE(","&amp;K253&amp;","&amp;K253),CONCATENATE(","&amp;K253))))))&amp;")","")&amp;" "&amp;F253)</f>
        <v/>
      </c>
    </row>
    <row r="254">
      <c r="A254" s="1" t="n">
        <v>353</v>
      </c>
      <c r="B254" s="1">
        <f>A254</f>
        <v/>
      </c>
      <c r="C254" s="1" t="inlineStr">
        <is>
          <t>vG8m15</t>
        </is>
      </c>
      <c r="D254" s="1" t="inlineStr">
        <is>
          <t>數值</t>
        </is>
      </c>
      <c r="E254" s="1" t="n">
        <v>2</v>
      </c>
      <c r="G254" s="1" t="inlineStr">
        <is>
          <t>range</t>
        </is>
      </c>
      <c r="H254" s="1" t="inlineStr">
        <is>
          <t>0,1</t>
        </is>
      </c>
      <c r="I254" s="1" t="inlineStr">
        <is>
          <t>96</t>
        </is>
      </c>
      <c r="L254" s="1">
        <f>CONCAT(IF(D254="數值",CONCATENATE(G254&amp;"("&amp;C254&amp;","&amp;IF(ISERROR(SEARCH(",",H254,1)),(H254&amp;","&amp;H254),H254)&amp;IF(ISBLANK(I254),"",IF(ISERROR(SEARCH(",",I254,1)),CONCATENATE(","&amp;I254&amp;","&amp;I254),CONCATENATE(","&amp;I254))&amp;IF(ISBLANK(J254),"",IF(ISERROR(SEARCH(",",J254,1)),CONCATENATE(","&amp;J254&amp;","&amp;J254),CONCATENATE(","&amp;J254))&amp;IF(ISBLANK(K254),"",IF(ISERROR(SEARCH(",",K254,1)),CONCATENATE(","&amp;K254&amp;","&amp;K254),CONCATENATE(","&amp;K254))))))&amp;")","")&amp;" "&amp;F254)</f>
        <v/>
      </c>
    </row>
    <row r="255">
      <c r="A255" s="1" t="n">
        <v>354</v>
      </c>
      <c r="B255" s="1">
        <f>A255</f>
        <v/>
      </c>
      <c r="C255" s="1" t="inlineStr">
        <is>
          <t>vG8m16</t>
        </is>
      </c>
      <c r="D255" s="1" t="inlineStr">
        <is>
          <t>數值</t>
        </is>
      </c>
      <c r="E255" s="1" t="n">
        <v>2</v>
      </c>
      <c r="G255" s="1" t="inlineStr">
        <is>
          <t>range</t>
        </is>
      </c>
      <c r="H255" s="1" t="inlineStr">
        <is>
          <t>0,1</t>
        </is>
      </c>
      <c r="I255" s="1" t="inlineStr">
        <is>
          <t>96</t>
        </is>
      </c>
      <c r="L255" s="1">
        <f>CONCAT(IF(D255="數值",CONCATENATE(G255&amp;"("&amp;C255&amp;","&amp;IF(ISERROR(SEARCH(",",H255,1)),(H255&amp;","&amp;H255),H255)&amp;IF(ISBLANK(I255),"",IF(ISERROR(SEARCH(",",I255,1)),CONCATENATE(","&amp;I255&amp;","&amp;I255),CONCATENATE(","&amp;I255))&amp;IF(ISBLANK(J255),"",IF(ISERROR(SEARCH(",",J255,1)),CONCATENATE(","&amp;J255&amp;","&amp;J255),CONCATENATE(","&amp;J255))&amp;IF(ISBLANK(K255),"",IF(ISERROR(SEARCH(",",K255,1)),CONCATENATE(","&amp;K255&amp;","&amp;K255),CONCATENATE(","&amp;K255))))))&amp;")","")&amp;" "&amp;F255)</f>
        <v/>
      </c>
    </row>
    <row r="256">
      <c r="A256" s="1" t="n">
        <v>355</v>
      </c>
      <c r="B256" s="1">
        <f>A256</f>
        <v/>
      </c>
      <c r="C256" s="1" t="inlineStr">
        <is>
          <t>vG8m88</t>
        </is>
      </c>
      <c r="D256" s="1" t="inlineStr">
        <is>
          <t>數值</t>
        </is>
      </c>
      <c r="E256" s="1" t="n">
        <v>2</v>
      </c>
      <c r="G256" s="1" t="inlineStr">
        <is>
          <t>range</t>
        </is>
      </c>
      <c r="H256" s="1" t="inlineStr">
        <is>
          <t>0,1</t>
        </is>
      </c>
      <c r="I256" s="1" t="inlineStr">
        <is>
          <t>96</t>
        </is>
      </c>
      <c r="L256" s="1">
        <f>CONCAT(IF(D256="數值",CONCATENATE(G256&amp;"("&amp;C256&amp;","&amp;IF(ISERROR(SEARCH(",",H256,1)),(H256&amp;","&amp;H256),H256)&amp;IF(ISBLANK(I256),"",IF(ISERROR(SEARCH(",",I256,1)),CONCATENATE(","&amp;I256&amp;","&amp;I256),CONCATENATE(","&amp;I256))&amp;IF(ISBLANK(J256),"",IF(ISERROR(SEARCH(",",J256,1)),CONCATENATE(","&amp;J256&amp;","&amp;J256),CONCATENATE(","&amp;J256))&amp;IF(ISBLANK(K256),"",IF(ISERROR(SEARCH(",",K256,1)),CONCATENATE(","&amp;K256&amp;","&amp;K256),CONCATENATE(","&amp;K256))))))&amp;")","")&amp;" "&amp;F256)</f>
        <v/>
      </c>
    </row>
    <row r="257">
      <c r="A257" s="1" t="n">
        <v>356</v>
      </c>
      <c r="B257" s="1">
        <f>A257</f>
        <v/>
      </c>
      <c r="C257" s="1" t="inlineStr">
        <is>
          <t>vG8m90</t>
        </is>
      </c>
      <c r="D257" s="1" t="inlineStr">
        <is>
          <t>數值</t>
        </is>
      </c>
      <c r="E257" s="1" t="n">
        <v>2</v>
      </c>
      <c r="G257" s="1" t="inlineStr">
        <is>
          <t>range</t>
        </is>
      </c>
      <c r="H257" s="1" t="inlineStr">
        <is>
          <t>0,1</t>
        </is>
      </c>
      <c r="I257" s="1" t="inlineStr">
        <is>
          <t>96</t>
        </is>
      </c>
      <c r="L257" s="1">
        <f>CONCAT(IF(D257="數值",CONCATENATE(G257&amp;"("&amp;C257&amp;","&amp;IF(ISERROR(SEARCH(",",H257,1)),(H257&amp;","&amp;H257),H257)&amp;IF(ISBLANK(I257),"",IF(ISERROR(SEARCH(",",I257,1)),CONCATENATE(","&amp;I257&amp;","&amp;I257),CONCATENATE(","&amp;I257))&amp;IF(ISBLANK(J257),"",IF(ISERROR(SEARCH(",",J257,1)),CONCATENATE(","&amp;J257&amp;","&amp;J257),CONCATENATE(","&amp;J257))&amp;IF(ISBLANK(K257),"",IF(ISERROR(SEARCH(",",K257,1)),CONCATENATE(","&amp;K257&amp;","&amp;K257),CONCATENATE(","&amp;K257))))))&amp;")","")&amp;" "&amp;F257)</f>
        <v/>
      </c>
    </row>
    <row r="258">
      <c r="A258" s="1" t="n">
        <v>357</v>
      </c>
      <c r="B258" s="1">
        <f>A258</f>
        <v/>
      </c>
      <c r="C258" s="1" t="inlineStr">
        <is>
          <t>vG9m01</t>
        </is>
      </c>
      <c r="D258" s="1" t="inlineStr">
        <is>
          <t>數值</t>
        </is>
      </c>
      <c r="E258" s="1" t="n">
        <v>2</v>
      </c>
      <c r="G258" s="1" t="inlineStr">
        <is>
          <t>range</t>
        </is>
      </c>
      <c r="H258" s="1" t="inlineStr">
        <is>
          <t>0,1</t>
        </is>
      </c>
      <c r="L258" s="1">
        <f>CONCAT(IF(D258="數值",CONCATENATE(G258&amp;"("&amp;C258&amp;","&amp;IF(ISERROR(SEARCH(",",H258,1)),(H258&amp;","&amp;H258),H258)&amp;IF(ISBLANK(I258),"",IF(ISERROR(SEARCH(",",I258,1)),CONCATENATE(","&amp;I258&amp;","&amp;I258),CONCATENATE(","&amp;I258))&amp;IF(ISBLANK(J258),"",IF(ISERROR(SEARCH(",",J258,1)),CONCATENATE(","&amp;J258&amp;","&amp;J258),CONCATENATE(","&amp;J258))&amp;IF(ISBLANK(K258),"",IF(ISERROR(SEARCH(",",K258,1)),CONCATENATE(","&amp;K258&amp;","&amp;K258),CONCATENATE(","&amp;K258))))))&amp;")","")&amp;" "&amp;F258)</f>
        <v/>
      </c>
    </row>
    <row r="259">
      <c r="A259" s="1" t="n">
        <v>358</v>
      </c>
      <c r="B259" s="1">
        <f>A259</f>
        <v/>
      </c>
      <c r="C259" s="1" t="inlineStr">
        <is>
          <t>vG9m02</t>
        </is>
      </c>
      <c r="D259" s="1" t="inlineStr">
        <is>
          <t>數值</t>
        </is>
      </c>
      <c r="E259" s="1" t="n">
        <v>2</v>
      </c>
      <c r="G259" s="1" t="inlineStr">
        <is>
          <t>range</t>
        </is>
      </c>
      <c r="H259" s="1" t="inlineStr">
        <is>
          <t>0,1</t>
        </is>
      </c>
      <c r="L259" s="1">
        <f>CONCAT(IF(D259="數值",CONCATENATE(G259&amp;"("&amp;C259&amp;","&amp;IF(ISERROR(SEARCH(",",H259,1)),(H259&amp;","&amp;H259),H259)&amp;IF(ISBLANK(I259),"",IF(ISERROR(SEARCH(",",I259,1)),CONCATENATE(","&amp;I259&amp;","&amp;I259),CONCATENATE(","&amp;I259))&amp;IF(ISBLANK(J259),"",IF(ISERROR(SEARCH(",",J259,1)),CONCATENATE(","&amp;J259&amp;","&amp;J259),CONCATENATE(","&amp;J259))&amp;IF(ISBLANK(K259),"",IF(ISERROR(SEARCH(",",K259,1)),CONCATENATE(","&amp;K259&amp;","&amp;K259),CONCATENATE(","&amp;K259))))))&amp;")","")&amp;" "&amp;F259)</f>
        <v/>
      </c>
    </row>
    <row r="260">
      <c r="A260" s="1" t="n">
        <v>359</v>
      </c>
      <c r="B260" s="1">
        <f>A260</f>
        <v/>
      </c>
      <c r="C260" s="1" t="inlineStr">
        <is>
          <t>vG9m03</t>
        </is>
      </c>
      <c r="D260" s="1" t="inlineStr">
        <is>
          <t>數值</t>
        </is>
      </c>
      <c r="E260" s="1" t="n">
        <v>2</v>
      </c>
      <c r="G260" s="1" t="inlineStr">
        <is>
          <t>range</t>
        </is>
      </c>
      <c r="H260" s="1" t="inlineStr">
        <is>
          <t>0,1</t>
        </is>
      </c>
      <c r="L260" s="1">
        <f>CONCAT(IF(D260="數值",CONCATENATE(G260&amp;"("&amp;C260&amp;","&amp;IF(ISERROR(SEARCH(",",H260,1)),(H260&amp;","&amp;H260),H260)&amp;IF(ISBLANK(I260),"",IF(ISERROR(SEARCH(",",I260,1)),CONCATENATE(","&amp;I260&amp;","&amp;I260),CONCATENATE(","&amp;I260))&amp;IF(ISBLANK(J260),"",IF(ISERROR(SEARCH(",",J260,1)),CONCATENATE(","&amp;J260&amp;","&amp;J260),CONCATENATE(","&amp;J260))&amp;IF(ISBLANK(K260),"",IF(ISERROR(SEARCH(",",K260,1)),CONCATENATE(","&amp;K260&amp;","&amp;K260),CONCATENATE(","&amp;K260))))))&amp;")","")&amp;" "&amp;F260)</f>
        <v/>
      </c>
    </row>
    <row r="261">
      <c r="A261" s="1" t="n">
        <v>360</v>
      </c>
      <c r="B261" s="1">
        <f>A261</f>
        <v/>
      </c>
      <c r="C261" s="1" t="inlineStr">
        <is>
          <t>vG9m04</t>
        </is>
      </c>
      <c r="D261" s="1" t="inlineStr">
        <is>
          <t>數值</t>
        </is>
      </c>
      <c r="E261" s="1" t="n">
        <v>2</v>
      </c>
      <c r="G261" s="1" t="inlineStr">
        <is>
          <t>range</t>
        </is>
      </c>
      <c r="H261" s="1" t="inlineStr">
        <is>
          <t>0,1</t>
        </is>
      </c>
      <c r="L261" s="1">
        <f>CONCAT(IF(D261="數值",CONCATENATE(G261&amp;"("&amp;C261&amp;","&amp;IF(ISERROR(SEARCH(",",H261,1)),(H261&amp;","&amp;H261),H261)&amp;IF(ISBLANK(I261),"",IF(ISERROR(SEARCH(",",I261,1)),CONCATENATE(","&amp;I261&amp;","&amp;I261),CONCATENATE(","&amp;I261))&amp;IF(ISBLANK(J261),"",IF(ISERROR(SEARCH(",",J261,1)),CONCATENATE(","&amp;J261&amp;","&amp;J261),CONCATENATE(","&amp;J261))&amp;IF(ISBLANK(K261),"",IF(ISERROR(SEARCH(",",K261,1)),CONCATENATE(","&amp;K261&amp;","&amp;K261),CONCATENATE(","&amp;K261))))))&amp;")","")&amp;" "&amp;F261)</f>
        <v/>
      </c>
    </row>
    <row r="262">
      <c r="A262" s="1" t="n">
        <v>361</v>
      </c>
      <c r="B262" s="1">
        <f>A262</f>
        <v/>
      </c>
      <c r="C262" s="1" t="inlineStr">
        <is>
          <t>vG9m05</t>
        </is>
      </c>
      <c r="D262" s="1" t="inlineStr">
        <is>
          <t>數值</t>
        </is>
      </c>
      <c r="E262" s="1" t="n">
        <v>2</v>
      </c>
      <c r="G262" s="1" t="inlineStr">
        <is>
          <t>range</t>
        </is>
      </c>
      <c r="H262" s="1" t="inlineStr">
        <is>
          <t>0,1</t>
        </is>
      </c>
      <c r="L262" s="1">
        <f>CONCAT(IF(D262="數值",CONCATENATE(G262&amp;"("&amp;C262&amp;","&amp;IF(ISERROR(SEARCH(",",H262,1)),(H262&amp;","&amp;H262),H262)&amp;IF(ISBLANK(I262),"",IF(ISERROR(SEARCH(",",I262,1)),CONCATENATE(","&amp;I262&amp;","&amp;I262),CONCATENATE(","&amp;I262))&amp;IF(ISBLANK(J262),"",IF(ISERROR(SEARCH(",",J262,1)),CONCATENATE(","&amp;J262&amp;","&amp;J262),CONCATENATE(","&amp;J262))&amp;IF(ISBLANK(K262),"",IF(ISERROR(SEARCH(",",K262,1)),CONCATENATE(","&amp;K262&amp;","&amp;K262),CONCATENATE(","&amp;K262))))))&amp;")","")&amp;" "&amp;F262)</f>
        <v/>
      </c>
    </row>
    <row r="263">
      <c r="A263" s="1" t="n">
        <v>362</v>
      </c>
      <c r="B263" s="1">
        <f>A263</f>
        <v/>
      </c>
      <c r="C263" s="1" t="inlineStr">
        <is>
          <t>vG9m06</t>
        </is>
      </c>
      <c r="D263" s="1" t="inlineStr">
        <is>
          <t>數值</t>
        </is>
      </c>
      <c r="E263" s="1" t="n">
        <v>2</v>
      </c>
      <c r="G263" s="1" t="inlineStr">
        <is>
          <t>range</t>
        </is>
      </c>
      <c r="H263" s="1" t="inlineStr">
        <is>
          <t>0,1</t>
        </is>
      </c>
      <c r="L263" s="1">
        <f>CONCAT(IF(D263="數值",CONCATENATE(G263&amp;"("&amp;C263&amp;","&amp;IF(ISERROR(SEARCH(",",H263,1)),(H263&amp;","&amp;H263),H263)&amp;IF(ISBLANK(I263),"",IF(ISERROR(SEARCH(",",I263,1)),CONCATENATE(","&amp;I263&amp;","&amp;I263),CONCATENATE(","&amp;I263))&amp;IF(ISBLANK(J263),"",IF(ISERROR(SEARCH(",",J263,1)),CONCATENATE(","&amp;J263&amp;","&amp;J263),CONCATENATE(","&amp;J263))&amp;IF(ISBLANK(K263),"",IF(ISERROR(SEARCH(",",K263,1)),CONCATENATE(","&amp;K263&amp;","&amp;K263),CONCATENATE(","&amp;K263))))))&amp;")","")&amp;" "&amp;F263)</f>
        <v/>
      </c>
    </row>
    <row r="264">
      <c r="A264" s="1" t="n">
        <v>363</v>
      </c>
      <c r="B264" s="1">
        <f>A264</f>
        <v/>
      </c>
      <c r="C264" s="1" t="inlineStr">
        <is>
          <t>vG9m07</t>
        </is>
      </c>
      <c r="D264" s="1" t="inlineStr">
        <is>
          <t>數值</t>
        </is>
      </c>
      <c r="E264" s="1" t="n">
        <v>2</v>
      </c>
      <c r="G264" s="1" t="inlineStr">
        <is>
          <t>range</t>
        </is>
      </c>
      <c r="H264" s="1" t="inlineStr">
        <is>
          <t>0,1</t>
        </is>
      </c>
      <c r="L264" s="1">
        <f>CONCAT(IF(D264="數值",CONCATENATE(G264&amp;"("&amp;C264&amp;","&amp;IF(ISERROR(SEARCH(",",H264,1)),(H264&amp;","&amp;H264),H264)&amp;IF(ISBLANK(I264),"",IF(ISERROR(SEARCH(",",I264,1)),CONCATENATE(","&amp;I264&amp;","&amp;I264),CONCATENATE(","&amp;I264))&amp;IF(ISBLANK(J264),"",IF(ISERROR(SEARCH(",",J264,1)),CONCATENATE(","&amp;J264&amp;","&amp;J264),CONCATENATE(","&amp;J264))&amp;IF(ISBLANK(K264),"",IF(ISERROR(SEARCH(",",K264,1)),CONCATENATE(","&amp;K264&amp;","&amp;K264),CONCATENATE(","&amp;K264))))))&amp;")","")&amp;" "&amp;F264)</f>
        <v/>
      </c>
    </row>
    <row r="265">
      <c r="A265" s="1" t="n">
        <v>364</v>
      </c>
      <c r="B265" s="1">
        <f>A265</f>
        <v/>
      </c>
      <c r="C265" s="1" t="inlineStr">
        <is>
          <t>vG9m08</t>
        </is>
      </c>
      <c r="D265" s="1" t="inlineStr">
        <is>
          <t>數值</t>
        </is>
      </c>
      <c r="E265" s="1" t="n">
        <v>2</v>
      </c>
      <c r="G265" s="1" t="inlineStr">
        <is>
          <t>range</t>
        </is>
      </c>
      <c r="H265" s="1" t="inlineStr">
        <is>
          <t>0,1</t>
        </is>
      </c>
      <c r="L265" s="1">
        <f>CONCAT(IF(D265="數值",CONCATENATE(G265&amp;"("&amp;C265&amp;","&amp;IF(ISERROR(SEARCH(",",H265,1)),(H265&amp;","&amp;H265),H265)&amp;IF(ISBLANK(I265),"",IF(ISERROR(SEARCH(",",I265,1)),CONCATENATE(","&amp;I265&amp;","&amp;I265),CONCATENATE(","&amp;I265))&amp;IF(ISBLANK(J265),"",IF(ISERROR(SEARCH(",",J265,1)),CONCATENATE(","&amp;J265&amp;","&amp;J265),CONCATENATE(","&amp;J265))&amp;IF(ISBLANK(K265),"",IF(ISERROR(SEARCH(",",K265,1)),CONCATENATE(","&amp;K265&amp;","&amp;K265),CONCATENATE(","&amp;K265))))))&amp;")","")&amp;" "&amp;F265)</f>
        <v/>
      </c>
    </row>
    <row r="266">
      <c r="A266" s="1" t="n">
        <v>365</v>
      </c>
      <c r="B266" s="1">
        <f>A266</f>
        <v/>
      </c>
      <c r="C266" s="1" t="inlineStr">
        <is>
          <t>vG9m09</t>
        </is>
      </c>
      <c r="D266" s="1" t="inlineStr">
        <is>
          <t>數值</t>
        </is>
      </c>
      <c r="E266" s="1" t="n">
        <v>2</v>
      </c>
      <c r="G266" s="1" t="inlineStr">
        <is>
          <t>range</t>
        </is>
      </c>
      <c r="H266" s="1" t="inlineStr">
        <is>
          <t>0,1</t>
        </is>
      </c>
      <c r="L266" s="1">
        <f>CONCAT(IF(D266="數值",CONCATENATE(G266&amp;"("&amp;C266&amp;","&amp;IF(ISERROR(SEARCH(",",H266,1)),(H266&amp;","&amp;H266),H266)&amp;IF(ISBLANK(I266),"",IF(ISERROR(SEARCH(",",I266,1)),CONCATENATE(","&amp;I266&amp;","&amp;I266),CONCATENATE(","&amp;I266))&amp;IF(ISBLANK(J266),"",IF(ISERROR(SEARCH(",",J266,1)),CONCATENATE(","&amp;J266&amp;","&amp;J266),CONCATENATE(","&amp;J266))&amp;IF(ISBLANK(K266),"",IF(ISERROR(SEARCH(",",K266,1)),CONCATENATE(","&amp;K266&amp;","&amp;K266),CONCATENATE(","&amp;K266))))))&amp;")","")&amp;" "&amp;F266)</f>
        <v/>
      </c>
    </row>
    <row r="267">
      <c r="A267" s="1" t="n">
        <v>366</v>
      </c>
      <c r="B267" s="1">
        <f>A267</f>
        <v/>
      </c>
      <c r="C267" s="1" t="inlineStr">
        <is>
          <t>vG9m10</t>
        </is>
      </c>
      <c r="D267" s="1" t="inlineStr">
        <is>
          <t>數值</t>
        </is>
      </c>
      <c r="E267" s="1" t="n">
        <v>2</v>
      </c>
      <c r="G267" s="1" t="inlineStr">
        <is>
          <t>range</t>
        </is>
      </c>
      <c r="H267" s="1" t="inlineStr">
        <is>
          <t>0,1</t>
        </is>
      </c>
      <c r="I267" s="1" t="inlineStr">
        <is>
          <t>96</t>
        </is>
      </c>
      <c r="L267" s="1">
        <f>CONCAT(IF(D267="數值",CONCATENATE(G267&amp;"("&amp;C267&amp;","&amp;IF(ISERROR(SEARCH(",",H267,1)),(H267&amp;","&amp;H267),H267)&amp;IF(ISBLANK(I267),"",IF(ISERROR(SEARCH(",",I267,1)),CONCATENATE(","&amp;I267&amp;","&amp;I267),CONCATENATE(","&amp;I267))&amp;IF(ISBLANK(J267),"",IF(ISERROR(SEARCH(",",J267,1)),CONCATENATE(","&amp;J267&amp;","&amp;J267),CONCATENATE(","&amp;J267))&amp;IF(ISBLANK(K267),"",IF(ISERROR(SEARCH(",",K267,1)),CONCATENATE(","&amp;K267&amp;","&amp;K267),CONCATENATE(","&amp;K267))))))&amp;")","")&amp;" "&amp;F267)</f>
        <v/>
      </c>
    </row>
    <row r="268">
      <c r="A268" s="1" t="n">
        <v>367</v>
      </c>
      <c r="B268" s="1">
        <f>A268</f>
        <v/>
      </c>
      <c r="C268" s="1" t="inlineStr">
        <is>
          <t>vG9m11</t>
        </is>
      </c>
      <c r="D268" s="1" t="inlineStr">
        <is>
          <t>數值</t>
        </is>
      </c>
      <c r="E268" s="1" t="n">
        <v>2</v>
      </c>
      <c r="G268" s="1" t="inlineStr">
        <is>
          <t>range</t>
        </is>
      </c>
      <c r="H268" s="1" t="inlineStr">
        <is>
          <t>0,1</t>
        </is>
      </c>
      <c r="I268" s="1" t="inlineStr">
        <is>
          <t>96</t>
        </is>
      </c>
      <c r="L268" s="1">
        <f>CONCAT(IF(D268="數值",CONCATENATE(G268&amp;"("&amp;C268&amp;","&amp;IF(ISERROR(SEARCH(",",H268,1)),(H268&amp;","&amp;H268),H268)&amp;IF(ISBLANK(I268),"",IF(ISERROR(SEARCH(",",I268,1)),CONCATENATE(","&amp;I268&amp;","&amp;I268),CONCATENATE(","&amp;I268))&amp;IF(ISBLANK(J268),"",IF(ISERROR(SEARCH(",",J268,1)),CONCATENATE(","&amp;J268&amp;","&amp;J268),CONCATENATE(","&amp;J268))&amp;IF(ISBLANK(K268),"",IF(ISERROR(SEARCH(",",K268,1)),CONCATENATE(","&amp;K268&amp;","&amp;K268),CONCATENATE(","&amp;K268))))))&amp;")","")&amp;" "&amp;F268)</f>
        <v/>
      </c>
    </row>
    <row r="269">
      <c r="A269" s="1" t="n">
        <v>368</v>
      </c>
      <c r="B269" s="1">
        <f>A269</f>
        <v/>
      </c>
      <c r="C269" s="1" t="inlineStr">
        <is>
          <t>vG9m12</t>
        </is>
      </c>
      <c r="D269" s="1" t="inlineStr">
        <is>
          <t>數值</t>
        </is>
      </c>
      <c r="E269" s="1" t="n">
        <v>2</v>
      </c>
      <c r="G269" s="1" t="inlineStr">
        <is>
          <t>range</t>
        </is>
      </c>
      <c r="H269" s="1" t="inlineStr">
        <is>
          <t>0,1</t>
        </is>
      </c>
      <c r="I269" s="1" t="inlineStr">
        <is>
          <t>96</t>
        </is>
      </c>
      <c r="L269" s="1">
        <f>CONCAT(IF(D269="數值",CONCATENATE(G269&amp;"("&amp;C269&amp;","&amp;IF(ISERROR(SEARCH(",",H269,1)),(H269&amp;","&amp;H269),H269)&amp;IF(ISBLANK(I269),"",IF(ISERROR(SEARCH(",",I269,1)),CONCATENATE(","&amp;I269&amp;","&amp;I269),CONCATENATE(","&amp;I269))&amp;IF(ISBLANK(J269),"",IF(ISERROR(SEARCH(",",J269,1)),CONCATENATE(","&amp;J269&amp;","&amp;J269),CONCATENATE(","&amp;J269))&amp;IF(ISBLANK(K269),"",IF(ISERROR(SEARCH(",",K269,1)),CONCATENATE(","&amp;K269&amp;","&amp;K269),CONCATENATE(","&amp;K269))))))&amp;")","")&amp;" "&amp;F269)</f>
        <v/>
      </c>
    </row>
    <row r="270">
      <c r="A270" s="1" t="n">
        <v>369</v>
      </c>
      <c r="B270" s="1">
        <f>A270</f>
        <v/>
      </c>
      <c r="C270" s="1" t="inlineStr">
        <is>
          <t>vG9m13</t>
        </is>
      </c>
      <c r="D270" s="1" t="inlineStr">
        <is>
          <t>數值</t>
        </is>
      </c>
      <c r="E270" s="1" t="n">
        <v>2</v>
      </c>
      <c r="G270" s="1" t="inlineStr">
        <is>
          <t>range</t>
        </is>
      </c>
      <c r="H270" s="1" t="inlineStr">
        <is>
          <t>0,1</t>
        </is>
      </c>
      <c r="I270" s="1" t="inlineStr">
        <is>
          <t>96</t>
        </is>
      </c>
      <c r="L270" s="1">
        <f>CONCAT(IF(D270="數值",CONCATENATE(G270&amp;"("&amp;C270&amp;","&amp;IF(ISERROR(SEARCH(",",H270,1)),(H270&amp;","&amp;H270),H270)&amp;IF(ISBLANK(I270),"",IF(ISERROR(SEARCH(",",I270,1)),CONCATENATE(","&amp;I270&amp;","&amp;I270),CONCATENATE(","&amp;I270))&amp;IF(ISBLANK(J270),"",IF(ISERROR(SEARCH(",",J270,1)),CONCATENATE(","&amp;J270&amp;","&amp;J270),CONCATENATE(","&amp;J270))&amp;IF(ISBLANK(K270),"",IF(ISERROR(SEARCH(",",K270,1)),CONCATENATE(","&amp;K270&amp;","&amp;K270),CONCATENATE(","&amp;K270))))))&amp;")","")&amp;" "&amp;F270)</f>
        <v/>
      </c>
    </row>
    <row r="271">
      <c r="A271" s="1" t="n">
        <v>370</v>
      </c>
      <c r="B271" s="1">
        <f>A271</f>
        <v/>
      </c>
      <c r="C271" s="1" t="inlineStr">
        <is>
          <t>vG9m88</t>
        </is>
      </c>
      <c r="D271" s="1" t="inlineStr">
        <is>
          <t>數值</t>
        </is>
      </c>
      <c r="E271" s="1" t="n">
        <v>2</v>
      </c>
      <c r="G271" s="1" t="inlineStr">
        <is>
          <t>range</t>
        </is>
      </c>
      <c r="H271" s="1" t="inlineStr">
        <is>
          <t>0,1</t>
        </is>
      </c>
      <c r="I271" s="1" t="inlineStr">
        <is>
          <t>96</t>
        </is>
      </c>
      <c r="L271" s="1">
        <f>CONCAT(IF(D271="數值",CONCATENATE(G271&amp;"("&amp;C271&amp;","&amp;IF(ISERROR(SEARCH(",",H271,1)),(H271&amp;","&amp;H271),H271)&amp;IF(ISBLANK(I271),"",IF(ISERROR(SEARCH(",",I271,1)),CONCATENATE(","&amp;I271&amp;","&amp;I271),CONCATENATE(","&amp;I271))&amp;IF(ISBLANK(J271),"",IF(ISERROR(SEARCH(",",J271,1)),CONCATENATE(","&amp;J271&amp;","&amp;J271),CONCATENATE(","&amp;J271))&amp;IF(ISBLANK(K271),"",IF(ISERROR(SEARCH(",",K271,1)),CONCATENATE(","&amp;K271&amp;","&amp;K271),CONCATENATE(","&amp;K271))))))&amp;")","")&amp;" "&amp;F271)</f>
        <v/>
      </c>
    </row>
    <row r="272">
      <c r="A272" s="1" t="n">
        <v>371</v>
      </c>
      <c r="B272" s="1">
        <f>A272</f>
        <v/>
      </c>
      <c r="C272" s="1" t="inlineStr">
        <is>
          <t>vG9m90</t>
        </is>
      </c>
      <c r="D272" s="1" t="inlineStr">
        <is>
          <t>數值</t>
        </is>
      </c>
      <c r="E272" s="1" t="n">
        <v>2</v>
      </c>
      <c r="G272" s="1" t="inlineStr">
        <is>
          <t>range</t>
        </is>
      </c>
      <c r="H272" s="1" t="inlineStr">
        <is>
          <t>0,1</t>
        </is>
      </c>
      <c r="I272" s="1" t="inlineStr">
        <is>
          <t>96</t>
        </is>
      </c>
      <c r="L272" s="1">
        <f>CONCAT(IF(D272="數值",CONCATENATE(G272&amp;"("&amp;C272&amp;","&amp;IF(ISERROR(SEARCH(",",H272,1)),(H272&amp;","&amp;H272),H272)&amp;IF(ISBLANK(I272),"",IF(ISERROR(SEARCH(",",I272,1)),CONCATENATE(","&amp;I272&amp;","&amp;I272),CONCATENATE(","&amp;I272))&amp;IF(ISBLANK(J272),"",IF(ISERROR(SEARCH(",",J272,1)),CONCATENATE(","&amp;J272&amp;","&amp;J272),CONCATENATE(","&amp;J272))&amp;IF(ISBLANK(K272),"",IF(ISERROR(SEARCH(",",K272,1)),CONCATENATE(","&amp;K272&amp;","&amp;K272),CONCATENATE(","&amp;K272))))))&amp;")","")&amp;" "&amp;F272)</f>
        <v/>
      </c>
    </row>
    <row r="273">
      <c r="A273" s="1" t="n">
        <v>372</v>
      </c>
      <c r="B273" s="1">
        <f>A273</f>
        <v/>
      </c>
      <c r="C273" s="1" t="inlineStr">
        <is>
          <t>vG10m01</t>
        </is>
      </c>
      <c r="D273" s="1" t="inlineStr">
        <is>
          <t>數值</t>
        </is>
      </c>
      <c r="E273" s="1" t="n">
        <v>2</v>
      </c>
      <c r="G273" s="1" t="inlineStr">
        <is>
          <t>range</t>
        </is>
      </c>
      <c r="H273" s="1" t="inlineStr">
        <is>
          <t>0,1</t>
        </is>
      </c>
      <c r="L273" s="1">
        <f>CONCAT(IF(D273="數值",CONCATENATE(G273&amp;"("&amp;C273&amp;","&amp;IF(ISERROR(SEARCH(",",H273,1)),(H273&amp;","&amp;H273),H273)&amp;IF(ISBLANK(I273),"",IF(ISERROR(SEARCH(",",I273,1)),CONCATENATE(","&amp;I273&amp;","&amp;I273),CONCATENATE(","&amp;I273))&amp;IF(ISBLANK(J273),"",IF(ISERROR(SEARCH(",",J273,1)),CONCATENATE(","&amp;J273&amp;","&amp;J273),CONCATENATE(","&amp;J273))&amp;IF(ISBLANK(K273),"",IF(ISERROR(SEARCH(",",K273,1)),CONCATENATE(","&amp;K273&amp;","&amp;K273),CONCATENATE(","&amp;K273))))))&amp;")","")&amp;" "&amp;F273)</f>
        <v/>
      </c>
    </row>
    <row r="274">
      <c r="A274" s="1" t="n">
        <v>373</v>
      </c>
      <c r="B274" s="1">
        <f>A274</f>
        <v/>
      </c>
      <c r="C274" s="1" t="inlineStr">
        <is>
          <t>vG10m02</t>
        </is>
      </c>
      <c r="D274" s="1" t="inlineStr">
        <is>
          <t>數值</t>
        </is>
      </c>
      <c r="E274" s="1" t="n">
        <v>2</v>
      </c>
      <c r="G274" s="1" t="inlineStr">
        <is>
          <t>range</t>
        </is>
      </c>
      <c r="H274" s="1" t="inlineStr">
        <is>
          <t>0,1</t>
        </is>
      </c>
      <c r="L274" s="1">
        <f>CONCAT(IF(D274="數值",CONCATENATE(G274&amp;"("&amp;C274&amp;","&amp;IF(ISERROR(SEARCH(",",H274,1)),(H274&amp;","&amp;H274),H274)&amp;IF(ISBLANK(I274),"",IF(ISERROR(SEARCH(",",I274,1)),CONCATENATE(","&amp;I274&amp;","&amp;I274),CONCATENATE(","&amp;I274))&amp;IF(ISBLANK(J274),"",IF(ISERROR(SEARCH(",",J274,1)),CONCATENATE(","&amp;J274&amp;","&amp;J274),CONCATENATE(","&amp;J274))&amp;IF(ISBLANK(K274),"",IF(ISERROR(SEARCH(",",K274,1)),CONCATENATE(","&amp;K274&amp;","&amp;K274),CONCATENATE(","&amp;K274))))))&amp;")","")&amp;" "&amp;F274)</f>
        <v/>
      </c>
    </row>
    <row r="275">
      <c r="A275" s="1" t="n">
        <v>374</v>
      </c>
      <c r="B275" s="1">
        <f>A275</f>
        <v/>
      </c>
      <c r="C275" s="1" t="inlineStr">
        <is>
          <t>vG10m03</t>
        </is>
      </c>
      <c r="D275" s="1" t="inlineStr">
        <is>
          <t>數值</t>
        </is>
      </c>
      <c r="E275" s="1" t="n">
        <v>2</v>
      </c>
      <c r="G275" s="1" t="inlineStr">
        <is>
          <t>range</t>
        </is>
      </c>
      <c r="H275" s="1" t="inlineStr">
        <is>
          <t>0,1</t>
        </is>
      </c>
      <c r="L275" s="1">
        <f>CONCAT(IF(D275="數值",CONCATENATE(G275&amp;"("&amp;C275&amp;","&amp;IF(ISERROR(SEARCH(",",H275,1)),(H275&amp;","&amp;H275),H275)&amp;IF(ISBLANK(I275),"",IF(ISERROR(SEARCH(",",I275,1)),CONCATENATE(","&amp;I275&amp;","&amp;I275),CONCATENATE(","&amp;I275))&amp;IF(ISBLANK(J275),"",IF(ISERROR(SEARCH(",",J275,1)),CONCATENATE(","&amp;J275&amp;","&amp;J275),CONCATENATE(","&amp;J275))&amp;IF(ISBLANK(K275),"",IF(ISERROR(SEARCH(",",K275,1)),CONCATENATE(","&amp;K275&amp;","&amp;K275),CONCATENATE(","&amp;K275))))))&amp;")","")&amp;" "&amp;F275)</f>
        <v/>
      </c>
    </row>
    <row r="276">
      <c r="A276" s="1" t="n">
        <v>375</v>
      </c>
      <c r="B276" s="1">
        <f>A276</f>
        <v/>
      </c>
      <c r="C276" s="1" t="inlineStr">
        <is>
          <t>vG10m04</t>
        </is>
      </c>
      <c r="D276" s="1" t="inlineStr">
        <is>
          <t>數值</t>
        </is>
      </c>
      <c r="E276" s="1" t="n">
        <v>2</v>
      </c>
      <c r="G276" s="1" t="inlineStr">
        <is>
          <t>range</t>
        </is>
      </c>
      <c r="H276" s="1" t="inlineStr">
        <is>
          <t>0,1</t>
        </is>
      </c>
      <c r="L276" s="1">
        <f>CONCAT(IF(D276="數值",CONCATENATE(G276&amp;"("&amp;C276&amp;","&amp;IF(ISERROR(SEARCH(",",H276,1)),(H276&amp;","&amp;H276),H276)&amp;IF(ISBLANK(I276),"",IF(ISERROR(SEARCH(",",I276,1)),CONCATENATE(","&amp;I276&amp;","&amp;I276),CONCATENATE(","&amp;I276))&amp;IF(ISBLANK(J276),"",IF(ISERROR(SEARCH(",",J276,1)),CONCATENATE(","&amp;J276&amp;","&amp;J276),CONCATENATE(","&amp;J276))&amp;IF(ISBLANK(K276),"",IF(ISERROR(SEARCH(",",K276,1)),CONCATENATE(","&amp;K276&amp;","&amp;K276),CONCATENATE(","&amp;K276))))))&amp;")","")&amp;" "&amp;F276)</f>
        <v/>
      </c>
    </row>
    <row r="277">
      <c r="A277" s="1" t="n">
        <v>376</v>
      </c>
      <c r="B277" s="1">
        <f>A277</f>
        <v/>
      </c>
      <c r="C277" s="1" t="inlineStr">
        <is>
          <t>vG10m05</t>
        </is>
      </c>
      <c r="D277" s="1" t="inlineStr">
        <is>
          <t>數值</t>
        </is>
      </c>
      <c r="E277" s="1" t="n">
        <v>2</v>
      </c>
      <c r="G277" s="1" t="inlineStr">
        <is>
          <t>range</t>
        </is>
      </c>
      <c r="H277" s="1" t="inlineStr">
        <is>
          <t>0,1</t>
        </is>
      </c>
      <c r="L277" s="1">
        <f>CONCAT(IF(D277="數值",CONCATENATE(G277&amp;"("&amp;C277&amp;","&amp;IF(ISERROR(SEARCH(",",H277,1)),(H277&amp;","&amp;H277),H277)&amp;IF(ISBLANK(I277),"",IF(ISERROR(SEARCH(",",I277,1)),CONCATENATE(","&amp;I277&amp;","&amp;I277),CONCATENATE(","&amp;I277))&amp;IF(ISBLANK(J277),"",IF(ISERROR(SEARCH(",",J277,1)),CONCATENATE(","&amp;J277&amp;","&amp;J277),CONCATENATE(","&amp;J277))&amp;IF(ISBLANK(K277),"",IF(ISERROR(SEARCH(",",K277,1)),CONCATENATE(","&amp;K277&amp;","&amp;K277),CONCATENATE(","&amp;K277))))))&amp;")","")&amp;" "&amp;F277)</f>
        <v/>
      </c>
    </row>
    <row r="278">
      <c r="A278" s="1" t="n">
        <v>377</v>
      </c>
      <c r="B278" s="1">
        <f>A278</f>
        <v/>
      </c>
      <c r="C278" s="1" t="inlineStr">
        <is>
          <t>vG10m06</t>
        </is>
      </c>
      <c r="D278" s="1" t="inlineStr">
        <is>
          <t>數值</t>
        </is>
      </c>
      <c r="E278" s="1" t="n">
        <v>2</v>
      </c>
      <c r="G278" s="1" t="inlineStr">
        <is>
          <t>range</t>
        </is>
      </c>
      <c r="H278" s="1" t="inlineStr">
        <is>
          <t>0,1</t>
        </is>
      </c>
      <c r="L278" s="1">
        <f>CONCAT(IF(D278="數值",CONCATENATE(G278&amp;"("&amp;C278&amp;","&amp;IF(ISERROR(SEARCH(",",H278,1)),(H278&amp;","&amp;H278),H278)&amp;IF(ISBLANK(I278),"",IF(ISERROR(SEARCH(",",I278,1)),CONCATENATE(","&amp;I278&amp;","&amp;I278),CONCATENATE(","&amp;I278))&amp;IF(ISBLANK(J278),"",IF(ISERROR(SEARCH(",",J278,1)),CONCATENATE(","&amp;J278&amp;","&amp;J278),CONCATENATE(","&amp;J278))&amp;IF(ISBLANK(K278),"",IF(ISERROR(SEARCH(",",K278,1)),CONCATENATE(","&amp;K278&amp;","&amp;K278),CONCATENATE(","&amp;K278))))))&amp;")","")&amp;" "&amp;F278)</f>
        <v/>
      </c>
    </row>
    <row r="279">
      <c r="A279" s="1" t="n">
        <v>378</v>
      </c>
      <c r="B279" s="1">
        <f>A279</f>
        <v/>
      </c>
      <c r="C279" s="1" t="inlineStr">
        <is>
          <t>vG10m07</t>
        </is>
      </c>
      <c r="D279" s="1" t="inlineStr">
        <is>
          <t>數值</t>
        </is>
      </c>
      <c r="E279" s="1" t="n">
        <v>2</v>
      </c>
      <c r="G279" s="1" t="inlineStr">
        <is>
          <t>range</t>
        </is>
      </c>
      <c r="H279" s="1" t="inlineStr">
        <is>
          <t>0,1</t>
        </is>
      </c>
      <c r="L279" s="1">
        <f>CONCAT(IF(D279="數值",CONCATENATE(G279&amp;"("&amp;C279&amp;","&amp;IF(ISERROR(SEARCH(",",H279,1)),(H279&amp;","&amp;H279),H279)&amp;IF(ISBLANK(I279),"",IF(ISERROR(SEARCH(",",I279,1)),CONCATENATE(","&amp;I279&amp;","&amp;I279),CONCATENATE(","&amp;I279))&amp;IF(ISBLANK(J279),"",IF(ISERROR(SEARCH(",",J279,1)),CONCATENATE(","&amp;J279&amp;","&amp;J279),CONCATENATE(","&amp;J279))&amp;IF(ISBLANK(K279),"",IF(ISERROR(SEARCH(",",K279,1)),CONCATENATE(","&amp;K279&amp;","&amp;K279),CONCATENATE(","&amp;K279))))))&amp;")","")&amp;" "&amp;F279)</f>
        <v/>
      </c>
    </row>
    <row r="280">
      <c r="A280" s="1" t="n">
        <v>379</v>
      </c>
      <c r="B280" s="1">
        <f>A280</f>
        <v/>
      </c>
      <c r="C280" s="1" t="inlineStr">
        <is>
          <t>vG10m08</t>
        </is>
      </c>
      <c r="D280" s="1" t="inlineStr">
        <is>
          <t>數值</t>
        </is>
      </c>
      <c r="E280" s="1" t="n">
        <v>2</v>
      </c>
      <c r="G280" s="1" t="inlineStr">
        <is>
          <t>range</t>
        </is>
      </c>
      <c r="H280" s="1" t="inlineStr">
        <is>
          <t>0,1</t>
        </is>
      </c>
      <c r="L280" s="1">
        <f>CONCAT(IF(D280="數值",CONCATENATE(G280&amp;"("&amp;C280&amp;","&amp;IF(ISERROR(SEARCH(",",H280,1)),(H280&amp;","&amp;H280),H280)&amp;IF(ISBLANK(I280),"",IF(ISERROR(SEARCH(",",I280,1)),CONCATENATE(","&amp;I280&amp;","&amp;I280),CONCATENATE(","&amp;I280))&amp;IF(ISBLANK(J280),"",IF(ISERROR(SEARCH(",",J280,1)),CONCATENATE(","&amp;J280&amp;","&amp;J280),CONCATENATE(","&amp;J280))&amp;IF(ISBLANK(K280),"",IF(ISERROR(SEARCH(",",K280,1)),CONCATENATE(","&amp;K280&amp;","&amp;K280),CONCATENATE(","&amp;K280))))))&amp;")","")&amp;" "&amp;F280)</f>
        <v/>
      </c>
    </row>
    <row r="281">
      <c r="A281" s="1" t="n">
        <v>380</v>
      </c>
      <c r="B281" s="1">
        <f>A281</f>
        <v/>
      </c>
      <c r="C281" s="1" t="inlineStr">
        <is>
          <t>vG10m09</t>
        </is>
      </c>
      <c r="D281" s="1" t="inlineStr">
        <is>
          <t>數值</t>
        </is>
      </c>
      <c r="E281" s="1" t="n">
        <v>2</v>
      </c>
      <c r="G281" s="1" t="inlineStr">
        <is>
          <t>range</t>
        </is>
      </c>
      <c r="H281" s="1" t="inlineStr">
        <is>
          <t>0,1</t>
        </is>
      </c>
      <c r="L281" s="1">
        <f>CONCAT(IF(D281="數值",CONCATENATE(G281&amp;"("&amp;C281&amp;","&amp;IF(ISERROR(SEARCH(",",H281,1)),(H281&amp;","&amp;H281),H281)&amp;IF(ISBLANK(I281),"",IF(ISERROR(SEARCH(",",I281,1)),CONCATENATE(","&amp;I281&amp;","&amp;I281),CONCATENATE(","&amp;I281))&amp;IF(ISBLANK(J281),"",IF(ISERROR(SEARCH(",",J281,1)),CONCATENATE(","&amp;J281&amp;","&amp;J281),CONCATENATE(","&amp;J281))&amp;IF(ISBLANK(K281),"",IF(ISERROR(SEARCH(",",K281,1)),CONCATENATE(","&amp;K281&amp;","&amp;K281),CONCATENATE(","&amp;K281))))))&amp;")","")&amp;" "&amp;F281)</f>
        <v/>
      </c>
    </row>
    <row r="282">
      <c r="A282" s="1" t="n">
        <v>381</v>
      </c>
      <c r="B282" s="1">
        <f>A282</f>
        <v/>
      </c>
      <c r="C282" s="1" t="inlineStr">
        <is>
          <t>vG10m10</t>
        </is>
      </c>
      <c r="D282" s="1" t="inlineStr">
        <is>
          <t>數值</t>
        </is>
      </c>
      <c r="E282" s="1" t="n">
        <v>2</v>
      </c>
      <c r="G282" s="1" t="inlineStr">
        <is>
          <t>range</t>
        </is>
      </c>
      <c r="H282" s="1" t="inlineStr">
        <is>
          <t>0,1</t>
        </is>
      </c>
      <c r="I282" s="1" t="inlineStr">
        <is>
          <t>96</t>
        </is>
      </c>
      <c r="L282" s="1">
        <f>CONCAT(IF(D282="數值",CONCATENATE(G282&amp;"("&amp;C282&amp;","&amp;IF(ISERROR(SEARCH(",",H282,1)),(H282&amp;","&amp;H282),H282)&amp;IF(ISBLANK(I282),"",IF(ISERROR(SEARCH(",",I282,1)),CONCATENATE(","&amp;I282&amp;","&amp;I282),CONCATENATE(","&amp;I282))&amp;IF(ISBLANK(J282),"",IF(ISERROR(SEARCH(",",J282,1)),CONCATENATE(","&amp;J282&amp;","&amp;J282),CONCATENATE(","&amp;J282))&amp;IF(ISBLANK(K282),"",IF(ISERROR(SEARCH(",",K282,1)),CONCATENATE(","&amp;K282&amp;","&amp;K282),CONCATENATE(","&amp;K282))))))&amp;")","")&amp;" "&amp;F282)</f>
        <v/>
      </c>
    </row>
    <row r="283">
      <c r="A283" s="1" t="n">
        <v>382</v>
      </c>
      <c r="B283" s="1">
        <f>A283</f>
        <v/>
      </c>
      <c r="C283" s="1" t="inlineStr">
        <is>
          <t>vG10m11</t>
        </is>
      </c>
      <c r="D283" s="1" t="inlineStr">
        <is>
          <t>數值</t>
        </is>
      </c>
      <c r="E283" s="1" t="n">
        <v>2</v>
      </c>
      <c r="G283" s="1" t="inlineStr">
        <is>
          <t>range</t>
        </is>
      </c>
      <c r="H283" s="1" t="inlineStr">
        <is>
          <t>0,1</t>
        </is>
      </c>
      <c r="I283" s="1" t="inlineStr">
        <is>
          <t>96</t>
        </is>
      </c>
      <c r="L283" s="1">
        <f>CONCAT(IF(D283="數值",CONCATENATE(G283&amp;"("&amp;C283&amp;","&amp;IF(ISERROR(SEARCH(",",H283,1)),(H283&amp;","&amp;H283),H283)&amp;IF(ISBLANK(I283),"",IF(ISERROR(SEARCH(",",I283,1)),CONCATENATE(","&amp;I283&amp;","&amp;I283),CONCATENATE(","&amp;I283))&amp;IF(ISBLANK(J283),"",IF(ISERROR(SEARCH(",",J283,1)),CONCATENATE(","&amp;J283&amp;","&amp;J283),CONCATENATE(","&amp;J283))&amp;IF(ISBLANK(K283),"",IF(ISERROR(SEARCH(",",K283,1)),CONCATENATE(","&amp;K283&amp;","&amp;K283),CONCATENATE(","&amp;K283))))))&amp;")","")&amp;" "&amp;F283)</f>
        <v/>
      </c>
    </row>
    <row r="284">
      <c r="A284" s="1" t="n">
        <v>383</v>
      </c>
      <c r="B284" s="1">
        <f>A284</f>
        <v/>
      </c>
      <c r="C284" s="1" t="inlineStr">
        <is>
          <t>vG10m12</t>
        </is>
      </c>
      <c r="D284" s="1" t="inlineStr">
        <is>
          <t>數值</t>
        </is>
      </c>
      <c r="E284" s="1" t="n">
        <v>2</v>
      </c>
      <c r="G284" s="1" t="inlineStr">
        <is>
          <t>range</t>
        </is>
      </c>
      <c r="H284" s="1" t="inlineStr">
        <is>
          <t>0,1</t>
        </is>
      </c>
      <c r="I284" s="1" t="inlineStr">
        <is>
          <t>96</t>
        </is>
      </c>
      <c r="L284" s="1">
        <f>CONCAT(IF(D284="數值",CONCATENATE(G284&amp;"("&amp;C284&amp;","&amp;IF(ISERROR(SEARCH(",",H284,1)),(H284&amp;","&amp;H284),H284)&amp;IF(ISBLANK(I284),"",IF(ISERROR(SEARCH(",",I284,1)),CONCATENATE(","&amp;I284&amp;","&amp;I284),CONCATENATE(","&amp;I284))&amp;IF(ISBLANK(J284),"",IF(ISERROR(SEARCH(",",J284,1)),CONCATENATE(","&amp;J284&amp;","&amp;J284),CONCATENATE(","&amp;J284))&amp;IF(ISBLANK(K284),"",IF(ISERROR(SEARCH(",",K284,1)),CONCATENATE(","&amp;K284&amp;","&amp;K284),CONCATENATE(","&amp;K284))))))&amp;")","")&amp;" "&amp;F284)</f>
        <v/>
      </c>
    </row>
    <row r="285">
      <c r="A285" s="1" t="n">
        <v>384</v>
      </c>
      <c r="B285" s="1">
        <f>A285</f>
        <v/>
      </c>
      <c r="C285" s="1" t="inlineStr">
        <is>
          <t>vG10m13</t>
        </is>
      </c>
      <c r="D285" s="1" t="inlineStr">
        <is>
          <t>數值</t>
        </is>
      </c>
      <c r="E285" s="1" t="n">
        <v>2</v>
      </c>
      <c r="G285" s="1" t="inlineStr">
        <is>
          <t>range</t>
        </is>
      </c>
      <c r="H285" s="1" t="inlineStr">
        <is>
          <t>0,1</t>
        </is>
      </c>
      <c r="I285" s="1" t="inlineStr">
        <is>
          <t>96</t>
        </is>
      </c>
      <c r="L285" s="1">
        <f>CONCAT(IF(D285="數值",CONCATENATE(G285&amp;"("&amp;C285&amp;","&amp;IF(ISERROR(SEARCH(",",H285,1)),(H285&amp;","&amp;H285),H285)&amp;IF(ISBLANK(I285),"",IF(ISERROR(SEARCH(",",I285,1)),CONCATENATE(","&amp;I285&amp;","&amp;I285),CONCATENATE(","&amp;I285))&amp;IF(ISBLANK(J285),"",IF(ISERROR(SEARCH(",",J285,1)),CONCATENATE(","&amp;J285&amp;","&amp;J285),CONCATENATE(","&amp;J285))&amp;IF(ISBLANK(K285),"",IF(ISERROR(SEARCH(",",K285,1)),CONCATENATE(","&amp;K285&amp;","&amp;K285),CONCATENATE(","&amp;K285))))))&amp;")","")&amp;" "&amp;F285)</f>
        <v/>
      </c>
    </row>
    <row r="286">
      <c r="A286" s="1" t="n">
        <v>385</v>
      </c>
      <c r="B286" s="1">
        <f>A286</f>
        <v/>
      </c>
      <c r="C286" s="1" t="inlineStr">
        <is>
          <t>vG10m14</t>
        </is>
      </c>
      <c r="D286" s="1" t="inlineStr">
        <is>
          <t>數值</t>
        </is>
      </c>
      <c r="E286" s="1" t="n">
        <v>2</v>
      </c>
      <c r="G286" s="1" t="inlineStr">
        <is>
          <t>range</t>
        </is>
      </c>
      <c r="H286" s="1" t="inlineStr">
        <is>
          <t>0,1</t>
        </is>
      </c>
      <c r="I286" s="1" t="inlineStr">
        <is>
          <t>96</t>
        </is>
      </c>
      <c r="L286" s="1">
        <f>CONCAT(IF(D286="數值",CONCATENATE(G286&amp;"("&amp;C286&amp;","&amp;IF(ISERROR(SEARCH(",",H286,1)),(H286&amp;","&amp;H286),H286)&amp;IF(ISBLANK(I286),"",IF(ISERROR(SEARCH(",",I286,1)),CONCATENATE(","&amp;I286&amp;","&amp;I286),CONCATENATE(","&amp;I286))&amp;IF(ISBLANK(J286),"",IF(ISERROR(SEARCH(",",J286,1)),CONCATENATE(","&amp;J286&amp;","&amp;J286),CONCATENATE(","&amp;J286))&amp;IF(ISBLANK(K286),"",IF(ISERROR(SEARCH(",",K286,1)),CONCATENATE(","&amp;K286&amp;","&amp;K286),CONCATENATE(","&amp;K286))))))&amp;")","")&amp;" "&amp;F286)</f>
        <v/>
      </c>
    </row>
    <row r="287">
      <c r="A287" s="1" t="n">
        <v>386</v>
      </c>
      <c r="B287" s="1">
        <f>A287</f>
        <v/>
      </c>
      <c r="C287" s="1" t="inlineStr">
        <is>
          <t>vG10m15</t>
        </is>
      </c>
      <c r="D287" s="1" t="inlineStr">
        <is>
          <t>數值</t>
        </is>
      </c>
      <c r="E287" s="1" t="n">
        <v>2</v>
      </c>
      <c r="G287" s="1" t="inlineStr">
        <is>
          <t>range</t>
        </is>
      </c>
      <c r="H287" s="1" t="inlineStr">
        <is>
          <t>0,1</t>
        </is>
      </c>
      <c r="I287" s="1" t="inlineStr">
        <is>
          <t>96</t>
        </is>
      </c>
      <c r="L287" s="1">
        <f>CONCAT(IF(D287="數值",CONCATENATE(G287&amp;"("&amp;C287&amp;","&amp;IF(ISERROR(SEARCH(",",H287,1)),(H287&amp;","&amp;H287),H287)&amp;IF(ISBLANK(I287),"",IF(ISERROR(SEARCH(",",I287,1)),CONCATENATE(","&amp;I287&amp;","&amp;I287),CONCATENATE(","&amp;I287))&amp;IF(ISBLANK(J287),"",IF(ISERROR(SEARCH(",",J287,1)),CONCATENATE(","&amp;J287&amp;","&amp;J287),CONCATENATE(","&amp;J287))&amp;IF(ISBLANK(K287),"",IF(ISERROR(SEARCH(",",K287,1)),CONCATENATE(","&amp;K287&amp;","&amp;K287),CONCATENATE(","&amp;K287))))))&amp;")","")&amp;" "&amp;F287)</f>
        <v/>
      </c>
    </row>
    <row r="288">
      <c r="A288" s="1" t="n">
        <v>387</v>
      </c>
      <c r="B288" s="1">
        <f>A288</f>
        <v/>
      </c>
      <c r="C288" s="1" t="inlineStr">
        <is>
          <t>vG10m16</t>
        </is>
      </c>
      <c r="D288" s="1" t="inlineStr">
        <is>
          <t>數值</t>
        </is>
      </c>
      <c r="E288" s="1" t="n">
        <v>2</v>
      </c>
      <c r="G288" s="1" t="inlineStr">
        <is>
          <t>range</t>
        </is>
      </c>
      <c r="H288" s="1" t="inlineStr">
        <is>
          <t>0,1</t>
        </is>
      </c>
      <c r="I288" s="1" t="inlineStr">
        <is>
          <t>96</t>
        </is>
      </c>
      <c r="L288" s="1">
        <f>CONCAT(IF(D288="數值",CONCATENATE(G288&amp;"("&amp;C288&amp;","&amp;IF(ISERROR(SEARCH(",",H288,1)),(H288&amp;","&amp;H288),H288)&amp;IF(ISBLANK(I288),"",IF(ISERROR(SEARCH(",",I288,1)),CONCATENATE(","&amp;I288&amp;","&amp;I288),CONCATENATE(","&amp;I288))&amp;IF(ISBLANK(J288),"",IF(ISERROR(SEARCH(",",J288,1)),CONCATENATE(","&amp;J288&amp;","&amp;J288),CONCATENATE(","&amp;J288))&amp;IF(ISBLANK(K288),"",IF(ISERROR(SEARCH(",",K288,1)),CONCATENATE(","&amp;K288&amp;","&amp;K288),CONCATENATE(","&amp;K288))))))&amp;")","")&amp;" "&amp;F288)</f>
        <v/>
      </c>
    </row>
    <row r="289">
      <c r="A289" s="1" t="n">
        <v>388</v>
      </c>
      <c r="B289" s="1">
        <f>A289</f>
        <v/>
      </c>
      <c r="C289" s="1" t="inlineStr">
        <is>
          <t>vG10m17</t>
        </is>
      </c>
      <c r="D289" s="1" t="inlineStr">
        <is>
          <t>數值</t>
        </is>
      </c>
      <c r="E289" s="1" t="n">
        <v>2</v>
      </c>
      <c r="G289" s="1" t="inlineStr">
        <is>
          <t>range</t>
        </is>
      </c>
      <c r="H289" s="1" t="inlineStr">
        <is>
          <t>0,1</t>
        </is>
      </c>
      <c r="I289" s="1" t="inlineStr">
        <is>
          <t>96</t>
        </is>
      </c>
      <c r="L289" s="1">
        <f>CONCAT(IF(D289="數值",CONCATENATE(G289&amp;"("&amp;C289&amp;","&amp;IF(ISERROR(SEARCH(",",H289,1)),(H289&amp;","&amp;H289),H289)&amp;IF(ISBLANK(I289),"",IF(ISERROR(SEARCH(",",I289,1)),CONCATENATE(","&amp;I289&amp;","&amp;I289),CONCATENATE(","&amp;I289))&amp;IF(ISBLANK(J289),"",IF(ISERROR(SEARCH(",",J289,1)),CONCATENATE(","&amp;J289&amp;","&amp;J289),CONCATENATE(","&amp;J289))&amp;IF(ISBLANK(K289),"",IF(ISERROR(SEARCH(",",K289,1)),CONCATENATE(","&amp;K289&amp;","&amp;K289),CONCATENATE(","&amp;K289))))))&amp;")","")&amp;" "&amp;F289)</f>
        <v/>
      </c>
    </row>
    <row r="290">
      <c r="A290" s="1" t="n">
        <v>389</v>
      </c>
      <c r="B290" s="1">
        <f>A290</f>
        <v/>
      </c>
      <c r="C290" s="1" t="inlineStr">
        <is>
          <t>vG10m18</t>
        </is>
      </c>
      <c r="D290" s="1" t="inlineStr">
        <is>
          <t>數值</t>
        </is>
      </c>
      <c r="E290" s="1" t="n">
        <v>2</v>
      </c>
      <c r="G290" s="1" t="inlineStr">
        <is>
          <t>range</t>
        </is>
      </c>
      <c r="H290" s="1" t="inlineStr">
        <is>
          <t>0,1</t>
        </is>
      </c>
      <c r="I290" s="1" t="inlineStr">
        <is>
          <t>96</t>
        </is>
      </c>
      <c r="L290" s="1">
        <f>CONCAT(IF(D290="數值",CONCATENATE(G290&amp;"("&amp;C290&amp;","&amp;IF(ISERROR(SEARCH(",",H290,1)),(H290&amp;","&amp;H290),H290)&amp;IF(ISBLANK(I290),"",IF(ISERROR(SEARCH(",",I290,1)),CONCATENATE(","&amp;I290&amp;","&amp;I290),CONCATENATE(","&amp;I290))&amp;IF(ISBLANK(J290),"",IF(ISERROR(SEARCH(",",J290,1)),CONCATENATE(","&amp;J290&amp;","&amp;J290),CONCATENATE(","&amp;J290))&amp;IF(ISBLANK(K290),"",IF(ISERROR(SEARCH(",",K290,1)),CONCATENATE(","&amp;K290&amp;","&amp;K290),CONCATENATE(","&amp;K290))))))&amp;")","")&amp;" "&amp;F290)</f>
        <v/>
      </c>
    </row>
    <row r="291">
      <c r="A291" s="1" t="n">
        <v>390</v>
      </c>
      <c r="B291" s="1">
        <f>A291</f>
        <v/>
      </c>
      <c r="C291" s="1" t="inlineStr">
        <is>
          <t>vG10m19</t>
        </is>
      </c>
      <c r="D291" s="1" t="inlineStr">
        <is>
          <t>數值</t>
        </is>
      </c>
      <c r="E291" s="1" t="n">
        <v>2</v>
      </c>
      <c r="G291" s="1" t="inlineStr">
        <is>
          <t>range</t>
        </is>
      </c>
      <c r="H291" s="1" t="inlineStr">
        <is>
          <t>0,1</t>
        </is>
      </c>
      <c r="I291" s="1" t="inlineStr">
        <is>
          <t>96</t>
        </is>
      </c>
      <c r="L291" s="1">
        <f>CONCAT(IF(D291="數值",CONCATENATE(G291&amp;"("&amp;C291&amp;","&amp;IF(ISERROR(SEARCH(",",H291,1)),(H291&amp;","&amp;H291),H291)&amp;IF(ISBLANK(I291),"",IF(ISERROR(SEARCH(",",I291,1)),CONCATENATE(","&amp;I291&amp;","&amp;I291),CONCATENATE(","&amp;I291))&amp;IF(ISBLANK(J291),"",IF(ISERROR(SEARCH(",",J291,1)),CONCATENATE(","&amp;J291&amp;","&amp;J291),CONCATENATE(","&amp;J291))&amp;IF(ISBLANK(K291),"",IF(ISERROR(SEARCH(",",K291,1)),CONCATENATE(","&amp;K291&amp;","&amp;K291),CONCATENATE(","&amp;K291))))))&amp;")","")&amp;" "&amp;F291)</f>
        <v/>
      </c>
    </row>
    <row r="292">
      <c r="A292" s="1" t="n">
        <v>391</v>
      </c>
      <c r="B292" s="1">
        <f>A292</f>
        <v/>
      </c>
      <c r="C292" s="1" t="inlineStr">
        <is>
          <t>vG10m88</t>
        </is>
      </c>
      <c r="D292" s="1" t="inlineStr">
        <is>
          <t>數值</t>
        </is>
      </c>
      <c r="E292" s="1" t="n">
        <v>2</v>
      </c>
      <c r="G292" s="1" t="inlineStr">
        <is>
          <t>range</t>
        </is>
      </c>
      <c r="H292" s="1" t="inlineStr">
        <is>
          <t>0,1</t>
        </is>
      </c>
      <c r="I292" s="1" t="inlineStr">
        <is>
          <t>96</t>
        </is>
      </c>
      <c r="L292" s="1">
        <f>CONCAT(IF(D292="數值",CONCATENATE(G292&amp;"("&amp;C292&amp;","&amp;IF(ISERROR(SEARCH(",",H292,1)),(H292&amp;","&amp;H292),H292)&amp;IF(ISBLANK(I292),"",IF(ISERROR(SEARCH(",",I292,1)),CONCATENATE(","&amp;I292&amp;","&amp;I292),CONCATENATE(","&amp;I292))&amp;IF(ISBLANK(J292),"",IF(ISERROR(SEARCH(",",J292,1)),CONCATENATE(","&amp;J292&amp;","&amp;J292),CONCATENATE(","&amp;J292))&amp;IF(ISBLANK(K292),"",IF(ISERROR(SEARCH(",",K292,1)),CONCATENATE(","&amp;K292&amp;","&amp;K292),CONCATENATE(","&amp;K292))))))&amp;")","")&amp;" "&amp;F292)</f>
        <v/>
      </c>
    </row>
    <row r="293">
      <c r="A293" s="1" t="n">
        <v>392</v>
      </c>
      <c r="B293" s="1">
        <f>A293</f>
        <v/>
      </c>
      <c r="C293" s="1" t="inlineStr">
        <is>
          <t>vG10m90</t>
        </is>
      </c>
      <c r="D293" s="1" t="inlineStr">
        <is>
          <t>數值</t>
        </is>
      </c>
      <c r="E293" s="1" t="n">
        <v>2</v>
      </c>
      <c r="G293" s="1" t="inlineStr">
        <is>
          <t>range</t>
        </is>
      </c>
      <c r="H293" s="1" t="inlineStr">
        <is>
          <t>0,1</t>
        </is>
      </c>
      <c r="I293" s="1" t="inlineStr">
        <is>
          <t>96</t>
        </is>
      </c>
      <c r="L293" s="1">
        <f>CONCAT(IF(D293="數值",CONCATENATE(G293&amp;"("&amp;C293&amp;","&amp;IF(ISERROR(SEARCH(",",H293,1)),(H293&amp;","&amp;H293),H293)&amp;IF(ISBLANK(I293),"",IF(ISERROR(SEARCH(",",I293,1)),CONCATENATE(","&amp;I293&amp;","&amp;I293),CONCATENATE(","&amp;I293))&amp;IF(ISBLANK(J293),"",IF(ISERROR(SEARCH(",",J293,1)),CONCATENATE(","&amp;J293&amp;","&amp;J293),CONCATENATE(","&amp;J293))&amp;IF(ISBLANK(K293),"",IF(ISERROR(SEARCH(",",K293,1)),CONCATENATE(","&amp;K293&amp;","&amp;K293),CONCATENATE(","&amp;K293))))))&amp;")","")&amp;" "&amp;F293)</f>
        <v/>
      </c>
    </row>
    <row r="294">
      <c r="A294" s="1" t="n">
        <v>393</v>
      </c>
      <c r="B294" s="1">
        <f>A294</f>
        <v/>
      </c>
      <c r="C294" s="1" t="inlineStr">
        <is>
          <t>vG11m01</t>
        </is>
      </c>
      <c r="D294" s="1" t="inlineStr">
        <is>
          <t>數值</t>
        </is>
      </c>
      <c r="E294" s="1" t="n">
        <v>2</v>
      </c>
      <c r="G294" s="1" t="inlineStr">
        <is>
          <t>range</t>
        </is>
      </c>
      <c r="H294" s="1" t="inlineStr">
        <is>
          <t>0,1</t>
        </is>
      </c>
      <c r="L294" s="1">
        <f>CONCAT(IF(D294="數值",CONCATENATE(G294&amp;"("&amp;C294&amp;","&amp;IF(ISERROR(SEARCH(",",H294,1)),(H294&amp;","&amp;H294),H294)&amp;IF(ISBLANK(I294),"",IF(ISERROR(SEARCH(",",I294,1)),CONCATENATE(","&amp;I294&amp;","&amp;I294),CONCATENATE(","&amp;I294))&amp;IF(ISBLANK(J294),"",IF(ISERROR(SEARCH(",",J294,1)),CONCATENATE(","&amp;J294&amp;","&amp;J294),CONCATENATE(","&amp;J294))&amp;IF(ISBLANK(K294),"",IF(ISERROR(SEARCH(",",K294,1)),CONCATENATE(","&amp;K294&amp;","&amp;K294),CONCATENATE(","&amp;K294))))))&amp;")","")&amp;" "&amp;F294)</f>
        <v/>
      </c>
    </row>
    <row r="295">
      <c r="A295" s="1" t="n">
        <v>394</v>
      </c>
      <c r="B295" s="1">
        <f>A295</f>
        <v/>
      </c>
      <c r="C295" s="1" t="inlineStr">
        <is>
          <t>vG11m02</t>
        </is>
      </c>
      <c r="D295" s="1" t="inlineStr">
        <is>
          <t>數值</t>
        </is>
      </c>
      <c r="E295" s="1" t="n">
        <v>2</v>
      </c>
      <c r="G295" s="1" t="inlineStr">
        <is>
          <t>range</t>
        </is>
      </c>
      <c r="H295" s="1" t="inlineStr">
        <is>
          <t>0,1</t>
        </is>
      </c>
      <c r="L295" s="1">
        <f>CONCAT(IF(D295="數值",CONCATENATE(G295&amp;"("&amp;C295&amp;","&amp;IF(ISERROR(SEARCH(",",H295,1)),(H295&amp;","&amp;H295),H295)&amp;IF(ISBLANK(I295),"",IF(ISERROR(SEARCH(",",I295,1)),CONCATENATE(","&amp;I295&amp;","&amp;I295),CONCATENATE(","&amp;I295))&amp;IF(ISBLANK(J295),"",IF(ISERROR(SEARCH(",",J295,1)),CONCATENATE(","&amp;J295&amp;","&amp;J295),CONCATENATE(","&amp;J295))&amp;IF(ISBLANK(K295),"",IF(ISERROR(SEARCH(",",K295,1)),CONCATENATE(","&amp;K295&amp;","&amp;K295),CONCATENATE(","&amp;K295))))))&amp;")","")&amp;" "&amp;F295)</f>
        <v/>
      </c>
    </row>
    <row r="296">
      <c r="A296" s="1" t="n">
        <v>395</v>
      </c>
      <c r="B296" s="1">
        <f>A296</f>
        <v/>
      </c>
      <c r="C296" s="1" t="inlineStr">
        <is>
          <t>vG11m03</t>
        </is>
      </c>
      <c r="D296" s="1" t="inlineStr">
        <is>
          <t>數值</t>
        </is>
      </c>
      <c r="E296" s="1" t="n">
        <v>2</v>
      </c>
      <c r="G296" s="1" t="inlineStr">
        <is>
          <t>range</t>
        </is>
      </c>
      <c r="H296" s="1" t="inlineStr">
        <is>
          <t>0,1</t>
        </is>
      </c>
      <c r="L296" s="1">
        <f>CONCAT(IF(D296="數值",CONCATENATE(G296&amp;"("&amp;C296&amp;","&amp;IF(ISERROR(SEARCH(",",H296,1)),(H296&amp;","&amp;H296),H296)&amp;IF(ISBLANK(I296),"",IF(ISERROR(SEARCH(",",I296,1)),CONCATENATE(","&amp;I296&amp;","&amp;I296),CONCATENATE(","&amp;I296))&amp;IF(ISBLANK(J296),"",IF(ISERROR(SEARCH(",",J296,1)),CONCATENATE(","&amp;J296&amp;","&amp;J296),CONCATENATE(","&amp;J296))&amp;IF(ISBLANK(K296),"",IF(ISERROR(SEARCH(",",K296,1)),CONCATENATE(","&amp;K296&amp;","&amp;K296),CONCATENATE(","&amp;K296))))))&amp;")","")&amp;" "&amp;F296)</f>
        <v/>
      </c>
    </row>
    <row r="297">
      <c r="A297" s="1" t="n">
        <v>396</v>
      </c>
      <c r="B297" s="1">
        <f>A297</f>
        <v/>
      </c>
      <c r="C297" s="1" t="inlineStr">
        <is>
          <t>vG11m04</t>
        </is>
      </c>
      <c r="D297" s="1" t="inlineStr">
        <is>
          <t>數值</t>
        </is>
      </c>
      <c r="E297" s="1" t="n">
        <v>2</v>
      </c>
      <c r="G297" s="1" t="inlineStr">
        <is>
          <t>range</t>
        </is>
      </c>
      <c r="H297" s="1" t="inlineStr">
        <is>
          <t>0,1</t>
        </is>
      </c>
      <c r="L297" s="1">
        <f>CONCAT(IF(D297="數值",CONCATENATE(G297&amp;"("&amp;C297&amp;","&amp;IF(ISERROR(SEARCH(",",H297,1)),(H297&amp;","&amp;H297),H297)&amp;IF(ISBLANK(I297),"",IF(ISERROR(SEARCH(",",I297,1)),CONCATENATE(","&amp;I297&amp;","&amp;I297),CONCATENATE(","&amp;I297))&amp;IF(ISBLANK(J297),"",IF(ISERROR(SEARCH(",",J297,1)),CONCATENATE(","&amp;J297&amp;","&amp;J297),CONCATENATE(","&amp;J297))&amp;IF(ISBLANK(K297),"",IF(ISERROR(SEARCH(",",K297,1)),CONCATENATE(","&amp;K297&amp;","&amp;K297),CONCATENATE(","&amp;K297))))))&amp;")","")&amp;" "&amp;F297)</f>
        <v/>
      </c>
    </row>
    <row r="298">
      <c r="A298" s="1" t="n">
        <v>397</v>
      </c>
      <c r="B298" s="1">
        <f>A298</f>
        <v/>
      </c>
      <c r="C298" s="1" t="inlineStr">
        <is>
          <t>vG11m05</t>
        </is>
      </c>
      <c r="D298" s="1" t="inlineStr">
        <is>
          <t>數值</t>
        </is>
      </c>
      <c r="E298" s="1" t="n">
        <v>2</v>
      </c>
      <c r="G298" s="1" t="inlineStr">
        <is>
          <t>range</t>
        </is>
      </c>
      <c r="H298" s="1" t="inlineStr">
        <is>
          <t>0,1</t>
        </is>
      </c>
      <c r="L298" s="1">
        <f>CONCAT(IF(D298="數值",CONCATENATE(G298&amp;"("&amp;C298&amp;","&amp;IF(ISERROR(SEARCH(",",H298,1)),(H298&amp;","&amp;H298),H298)&amp;IF(ISBLANK(I298),"",IF(ISERROR(SEARCH(",",I298,1)),CONCATENATE(","&amp;I298&amp;","&amp;I298),CONCATENATE(","&amp;I298))&amp;IF(ISBLANK(J298),"",IF(ISERROR(SEARCH(",",J298,1)),CONCATENATE(","&amp;J298&amp;","&amp;J298),CONCATENATE(","&amp;J298))&amp;IF(ISBLANK(K298),"",IF(ISERROR(SEARCH(",",K298,1)),CONCATENATE(","&amp;K298&amp;","&amp;K298),CONCATENATE(","&amp;K298))))))&amp;")","")&amp;" "&amp;F298)</f>
        <v/>
      </c>
    </row>
    <row r="299">
      <c r="A299" s="1" t="n">
        <v>398</v>
      </c>
      <c r="B299" s="1">
        <f>A299</f>
        <v/>
      </c>
      <c r="C299" s="1" t="inlineStr">
        <is>
          <t>vG11m88</t>
        </is>
      </c>
      <c r="D299" s="1" t="inlineStr">
        <is>
          <t>數值</t>
        </is>
      </c>
      <c r="E299" s="1" t="n">
        <v>2</v>
      </c>
      <c r="G299" s="1" t="inlineStr">
        <is>
          <t>range</t>
        </is>
      </c>
      <c r="H299" s="1" t="inlineStr">
        <is>
          <t>0,1</t>
        </is>
      </c>
      <c r="I299" s="1" t="inlineStr">
        <is>
          <t>96</t>
        </is>
      </c>
      <c r="L299" s="1">
        <f>CONCAT(IF(D299="數值",CONCATENATE(G299&amp;"("&amp;C299&amp;","&amp;IF(ISERROR(SEARCH(",",H299,1)),(H299&amp;","&amp;H299),H299)&amp;IF(ISBLANK(I299),"",IF(ISERROR(SEARCH(",",I299,1)),CONCATENATE(","&amp;I299&amp;","&amp;I299),CONCATENATE(","&amp;I299))&amp;IF(ISBLANK(J299),"",IF(ISERROR(SEARCH(",",J299,1)),CONCATENATE(","&amp;J299&amp;","&amp;J299),CONCATENATE(","&amp;J299))&amp;IF(ISBLANK(K299),"",IF(ISERROR(SEARCH(",",K299,1)),CONCATENATE(","&amp;K299&amp;","&amp;K299),CONCATENATE(","&amp;K299))))))&amp;")","")&amp;" "&amp;F299)</f>
        <v/>
      </c>
    </row>
    <row r="300">
      <c r="A300" s="1" t="n">
        <v>399</v>
      </c>
      <c r="B300" s="1">
        <f>A300</f>
        <v/>
      </c>
      <c r="C300" s="1" t="inlineStr">
        <is>
          <t>vG11m90</t>
        </is>
      </c>
      <c r="D300" s="1" t="inlineStr">
        <is>
          <t>數值</t>
        </is>
      </c>
      <c r="E300" s="1" t="n">
        <v>2</v>
      </c>
      <c r="G300" s="1" t="inlineStr">
        <is>
          <t>range</t>
        </is>
      </c>
      <c r="H300" s="1" t="inlineStr">
        <is>
          <t>0,1</t>
        </is>
      </c>
      <c r="I300" s="1" t="inlineStr">
        <is>
          <t>96</t>
        </is>
      </c>
      <c r="L300" s="1">
        <f>CONCAT(IF(D300="數值",CONCATENATE(G300&amp;"("&amp;C300&amp;","&amp;IF(ISERROR(SEARCH(",",H300,1)),(H300&amp;","&amp;H300),H300)&amp;IF(ISBLANK(I300),"",IF(ISERROR(SEARCH(",",I300,1)),CONCATENATE(","&amp;I300&amp;","&amp;I300),CONCATENATE(","&amp;I300))&amp;IF(ISBLANK(J300),"",IF(ISERROR(SEARCH(",",J300,1)),CONCATENATE(","&amp;J300&amp;","&amp;J300),CONCATENATE(","&amp;J300))&amp;IF(ISBLANK(K300),"",IF(ISERROR(SEARCH(",",K300,1)),CONCATENATE(","&amp;K300&amp;","&amp;K300),CONCATENATE(","&amp;K300))))))&amp;")","")&amp;" "&amp;F300)</f>
        <v/>
      </c>
    </row>
    <row r="301">
      <c r="A301" s="1" t="n">
        <v>400</v>
      </c>
      <c r="B301" s="1">
        <f>A301</f>
        <v/>
      </c>
      <c r="C301" s="1" t="inlineStr">
        <is>
          <t>vG4</t>
        </is>
      </c>
      <c r="D301" s="1" t="inlineStr">
        <is>
          <t>數值</t>
        </is>
      </c>
      <c r="E301" s="1" t="n">
        <v>4</v>
      </c>
      <c r="G301" s="1" t="inlineStr">
        <is>
          <t>range</t>
        </is>
      </c>
      <c r="H301" s="1" t="inlineStr">
        <is>
          <t>95</t>
        </is>
      </c>
      <c r="I301" s="1" t="inlineStr">
        <is>
          <t>97,98</t>
        </is>
      </c>
      <c r="J301" s="1" t="n"/>
      <c r="L301" s="1">
        <f>CONCAT(IF(D301="數值",CONCATENATE(G301&amp;"("&amp;C301&amp;","&amp;IF(ISERROR(SEARCH(",",H301,1)),(H301&amp;","&amp;H301),H301)&amp;IF(ISBLANK(I301),"",IF(ISERROR(SEARCH(",",I301,1)),CONCATENATE(","&amp;I301&amp;","&amp;I301),CONCATENATE(","&amp;I301))&amp;IF(ISBLANK(J301),"",IF(ISERROR(SEARCH(",",J301,1)),CONCATENATE(","&amp;J301&amp;","&amp;J301),CONCATENATE(","&amp;J301))&amp;IF(ISBLANK(K301),"",IF(ISERROR(SEARCH(",",K301,1)),CONCATENATE(","&amp;K301&amp;","&amp;K301),CONCATENATE(","&amp;K301))))))&amp;")","")&amp;" "&amp;F301)</f>
        <v/>
      </c>
    </row>
    <row r="302">
      <c r="A302" s="1" t="n">
        <v>401</v>
      </c>
      <c r="B302" s="1">
        <f>A302</f>
        <v/>
      </c>
      <c r="C302" s="1" t="inlineStr">
        <is>
          <t>vG5</t>
        </is>
      </c>
      <c r="D302" s="1" t="inlineStr">
        <is>
          <t>數值</t>
        </is>
      </c>
      <c r="E302" s="1" t="n">
        <v>5</v>
      </c>
      <c r="G302" s="1" t="inlineStr">
        <is>
          <t>range</t>
        </is>
      </c>
      <c r="H302" s="1" t="inlineStr">
        <is>
          <t>1,2359</t>
        </is>
      </c>
      <c r="I302" s="1" t="inlineStr">
        <is>
          <t>9797</t>
        </is>
      </c>
      <c r="J302" s="1" t="inlineStr">
        <is>
          <t>9898</t>
        </is>
      </c>
      <c r="L302" s="1">
        <f>CONCAT(IF(D302="數值",CONCATENATE(G302&amp;"("&amp;C302&amp;","&amp;IF(ISERROR(SEARCH(",",H302,1)),(H302&amp;","&amp;H302),H302)&amp;IF(ISBLANK(I302),"",IF(ISERROR(SEARCH(",",I302,1)),CONCATENATE(","&amp;I302&amp;","&amp;I302),CONCATENATE(","&amp;I302))&amp;IF(ISBLANK(J302),"",IF(ISERROR(SEARCH(",",J302,1)),CONCATENATE(","&amp;J302&amp;","&amp;J302),CONCATENATE(","&amp;J302))&amp;IF(ISBLANK(K302),"",IF(ISERROR(SEARCH(",",K302,1)),CONCATENATE(","&amp;K302&amp;","&amp;K302),CONCATENATE(","&amp;K302))))))&amp;")","")&amp;" "&amp;F302)</f>
        <v/>
      </c>
    </row>
    <row r="303">
      <c r="A303" s="1" t="n">
        <v>402</v>
      </c>
      <c r="B303" s="1">
        <f>A303</f>
        <v/>
      </c>
      <c r="C303" s="1" t="inlineStr">
        <is>
          <t>vB1</t>
        </is>
      </c>
      <c r="D303" s="1" t="inlineStr">
        <is>
          <t>數值</t>
        </is>
      </c>
      <c r="E303" s="1" t="n">
        <v>4</v>
      </c>
      <c r="G303" s="1" t="inlineStr">
        <is>
          <t>range</t>
        </is>
      </c>
      <c r="H303" s="1" t="inlineStr">
        <is>
          <t>95</t>
        </is>
      </c>
      <c r="I303" s="1" t="inlineStr">
        <is>
          <t>97,98</t>
        </is>
      </c>
      <c r="J303" s="1" t="n"/>
      <c r="L303" s="1">
        <f>CONCAT(IF(D303="數值",CONCATENATE(G303&amp;"("&amp;C303&amp;","&amp;IF(ISERROR(SEARCH(",",H303,1)),(H303&amp;","&amp;H303),H303)&amp;IF(ISBLANK(I303),"",IF(ISERROR(SEARCH(",",I303,1)),CONCATENATE(","&amp;I303&amp;","&amp;I303),CONCATENATE(","&amp;I303))&amp;IF(ISBLANK(J303),"",IF(ISERROR(SEARCH(",",J303,1)),CONCATENATE(","&amp;J303&amp;","&amp;J303),CONCATENATE(","&amp;J303))&amp;IF(ISBLANK(K303),"",IF(ISERROR(SEARCH(",",K303,1)),CONCATENATE(","&amp;K303&amp;","&amp;K303),CONCATENATE(","&amp;K303))))))&amp;")","")&amp;" "&amp;F303)</f>
        <v/>
      </c>
    </row>
    <row r="304">
      <c r="A304" s="1" t="n">
        <v>403</v>
      </c>
      <c r="B304" s="1">
        <f>A304</f>
        <v/>
      </c>
      <c r="C304" s="1" t="inlineStr">
        <is>
          <t>vB2</t>
        </is>
      </c>
      <c r="D304" s="1" t="inlineStr">
        <is>
          <t>數值</t>
        </is>
      </c>
      <c r="E304" s="1" t="n">
        <v>5</v>
      </c>
      <c r="G304" s="1" t="inlineStr">
        <is>
          <t>range</t>
        </is>
      </c>
      <c r="H304" s="1" t="inlineStr">
        <is>
          <t>1,2359</t>
        </is>
      </c>
      <c r="I304" s="1" t="inlineStr">
        <is>
          <t>9797</t>
        </is>
      </c>
      <c r="J304" s="1" t="inlineStr">
        <is>
          <t>9898</t>
        </is>
      </c>
      <c r="L304" s="1">
        <f>CONCAT(IF(D304="數值",CONCATENATE(G304&amp;"("&amp;C304&amp;","&amp;IF(ISERROR(SEARCH(",",H304,1)),(H304&amp;","&amp;H304),H304)&amp;IF(ISBLANK(I304),"",IF(ISERROR(SEARCH(",",I304,1)),CONCATENATE(","&amp;I304&amp;","&amp;I304),CONCATENATE(","&amp;I304))&amp;IF(ISBLANK(J304),"",IF(ISERROR(SEARCH(",",J304,1)),CONCATENATE(","&amp;J304&amp;","&amp;J304),CONCATENATE(","&amp;J304))&amp;IF(ISBLANK(K304),"",IF(ISERROR(SEARCH(",",K304,1)),CONCATENATE(","&amp;K304&amp;","&amp;K304),CONCATENATE(","&amp;K304))))))&amp;")","")&amp;" "&amp;F304)</f>
        <v/>
      </c>
    </row>
    <row r="305">
      <c r="A305" s="1" t="n">
        <v>404</v>
      </c>
      <c r="B305" s="1">
        <f>A305</f>
        <v/>
      </c>
      <c r="C305" s="1" t="inlineStr">
        <is>
          <t>vB3</t>
        </is>
      </c>
      <c r="D305" s="1" t="inlineStr">
        <is>
          <t>數值</t>
        </is>
      </c>
      <c r="E305" s="1" t="n">
        <v>4</v>
      </c>
      <c r="G305" s="1" t="inlineStr">
        <is>
          <t>range</t>
        </is>
      </c>
      <c r="H305" s="1" t="inlineStr">
        <is>
          <t>95</t>
        </is>
      </c>
      <c r="I305" s="1" t="inlineStr">
        <is>
          <t>97,98</t>
        </is>
      </c>
      <c r="J305" s="1" t="n"/>
      <c r="L305" s="1">
        <f>CONCAT(IF(D305="數值",CONCATENATE(G305&amp;"("&amp;C305&amp;","&amp;IF(ISERROR(SEARCH(",",H305,1)),(H305&amp;","&amp;H305),H305)&amp;IF(ISBLANK(I305),"",IF(ISERROR(SEARCH(",",I305,1)),CONCATENATE(","&amp;I305&amp;","&amp;I305),CONCATENATE(","&amp;I305))&amp;IF(ISBLANK(J305),"",IF(ISERROR(SEARCH(",",J305,1)),CONCATENATE(","&amp;J305&amp;","&amp;J305),CONCATENATE(","&amp;J305))&amp;IF(ISBLANK(K305),"",IF(ISERROR(SEARCH(",",K305,1)),CONCATENATE(","&amp;K305&amp;","&amp;K305),CONCATENATE(","&amp;K305))))))&amp;")","")&amp;" "&amp;F305)</f>
        <v/>
      </c>
    </row>
    <row r="306">
      <c r="A306" s="1" t="n">
        <v>405</v>
      </c>
      <c r="B306" s="1">
        <f>A306</f>
        <v/>
      </c>
      <c r="C306" s="1" t="inlineStr">
        <is>
          <t>vB4</t>
        </is>
      </c>
      <c r="D306" s="1" t="inlineStr">
        <is>
          <t>數值</t>
        </is>
      </c>
      <c r="E306" s="1" t="n">
        <v>5</v>
      </c>
      <c r="G306" s="1" t="inlineStr">
        <is>
          <t>range</t>
        </is>
      </c>
      <c r="H306" s="1" t="inlineStr">
        <is>
          <t>1,2359</t>
        </is>
      </c>
      <c r="I306" s="1" t="inlineStr">
        <is>
          <t>9797</t>
        </is>
      </c>
      <c r="J306" s="1" t="inlineStr">
        <is>
          <t>9898</t>
        </is>
      </c>
      <c r="L306" s="1">
        <f>CONCAT(IF(D306="數值",CONCATENATE(G306&amp;"("&amp;C306&amp;","&amp;IF(ISERROR(SEARCH(",",H306,1)),(H306&amp;","&amp;H306),H306)&amp;IF(ISBLANK(I306),"",IF(ISERROR(SEARCH(",",I306,1)),CONCATENATE(","&amp;I306&amp;","&amp;I306),CONCATENATE(","&amp;I306))&amp;IF(ISBLANK(J306),"",IF(ISERROR(SEARCH(",",J306,1)),CONCATENATE(","&amp;J306&amp;","&amp;J306),CONCATENATE(","&amp;J306))&amp;IF(ISBLANK(K306),"",IF(ISERROR(SEARCH(",",K306,1)),CONCATENATE(","&amp;K306&amp;","&amp;K306),CONCATENATE(","&amp;K306))))))&amp;")","")&amp;" "&amp;F306)</f>
        <v/>
      </c>
    </row>
    <row r="307">
      <c r="A307" s="1" t="n">
        <v>406</v>
      </c>
      <c r="B307" s="1">
        <f>A307</f>
        <v/>
      </c>
      <c r="C307" s="1" t="inlineStr">
        <is>
          <t>vB5</t>
        </is>
      </c>
      <c r="D307" s="1" t="inlineStr">
        <is>
          <t>數值</t>
        </is>
      </c>
      <c r="E307" s="1" t="n">
        <v>4</v>
      </c>
      <c r="G307" s="1" t="inlineStr">
        <is>
          <t>range</t>
        </is>
      </c>
      <c r="H307" s="1" t="inlineStr">
        <is>
          <t>95</t>
        </is>
      </c>
      <c r="I307" s="1" t="inlineStr">
        <is>
          <t>97,98</t>
        </is>
      </c>
      <c r="J307" s="1" t="n"/>
      <c r="L307" s="1">
        <f>CONCAT(IF(D307="數值",CONCATENATE(G307&amp;"("&amp;C307&amp;","&amp;IF(ISERROR(SEARCH(",",H307,1)),(H307&amp;","&amp;H307),H307)&amp;IF(ISBLANK(I307),"",IF(ISERROR(SEARCH(",",I307,1)),CONCATENATE(","&amp;I307&amp;","&amp;I307),CONCATENATE(","&amp;I307))&amp;IF(ISBLANK(J307),"",IF(ISERROR(SEARCH(",",J307,1)),CONCATENATE(","&amp;J307&amp;","&amp;J307),CONCATENATE(","&amp;J307))&amp;IF(ISBLANK(K307),"",IF(ISERROR(SEARCH(",",K307,1)),CONCATENATE(","&amp;K307&amp;","&amp;K307),CONCATENATE(","&amp;K307))))))&amp;")","")&amp;" "&amp;F307)</f>
        <v/>
      </c>
    </row>
    <row r="308">
      <c r="A308" s="1" t="n">
        <v>407</v>
      </c>
      <c r="B308" s="1">
        <f>A308</f>
        <v/>
      </c>
      <c r="C308" s="1" t="inlineStr">
        <is>
          <t>vCKB5</t>
        </is>
      </c>
      <c r="D308" s="1" t="inlineStr">
        <is>
          <t>數值</t>
        </is>
      </c>
      <c r="E308" s="1" t="n">
        <v>2</v>
      </c>
      <c r="G308" s="1" t="inlineStr">
        <is>
          <t>range</t>
        </is>
      </c>
    </row>
    <row r="309">
      <c r="A309" s="1" t="n">
        <v>408</v>
      </c>
      <c r="B309" s="1">
        <f>A309</f>
        <v/>
      </c>
      <c r="C309" s="1" t="inlineStr">
        <is>
          <t>vB6</t>
        </is>
      </c>
      <c r="D309" s="1" t="inlineStr">
        <is>
          <t>數值</t>
        </is>
      </c>
      <c r="E309" s="1" t="n">
        <v>5</v>
      </c>
      <c r="G309" s="1" t="inlineStr">
        <is>
          <t>range</t>
        </is>
      </c>
      <c r="H309" s="1" t="inlineStr">
        <is>
          <t>1,2359</t>
        </is>
      </c>
      <c r="I309" s="1" t="inlineStr">
        <is>
          <t>9797</t>
        </is>
      </c>
      <c r="J309" s="1" t="inlineStr">
        <is>
          <t>9898</t>
        </is>
      </c>
      <c r="L309" s="1">
        <f>CONCAT(IF(D309="數值",CONCATENATE(G309&amp;"("&amp;C309&amp;","&amp;IF(ISERROR(SEARCH(",",H309,1)),(H309&amp;","&amp;H309),H309)&amp;IF(ISBLANK(I309),"",IF(ISERROR(SEARCH(",",I309,1)),CONCATENATE(","&amp;I309&amp;","&amp;I309),CONCATENATE(","&amp;I309))&amp;IF(ISBLANK(J309),"",IF(ISERROR(SEARCH(",",J309,1)),CONCATENATE(","&amp;J309&amp;","&amp;J309),CONCATENATE(","&amp;J309))&amp;IF(ISBLANK(K309),"",IF(ISERROR(SEARCH(",",K309,1)),CONCATENATE(","&amp;K309&amp;","&amp;K309),CONCATENATE(","&amp;K309))))))&amp;")","")&amp;" "&amp;F309)</f>
        <v/>
      </c>
    </row>
    <row r="310">
      <c r="A310" s="1" t="n">
        <v>409</v>
      </c>
      <c r="B310" s="1">
        <f>A310</f>
        <v/>
      </c>
      <c r="C310" s="1" t="inlineStr">
        <is>
          <t>vB7am01</t>
        </is>
      </c>
      <c r="D310" s="1" t="inlineStr">
        <is>
          <t>數值</t>
        </is>
      </c>
      <c r="E310" s="1" t="n">
        <v>2</v>
      </c>
      <c r="G310" s="1" t="inlineStr">
        <is>
          <t>range</t>
        </is>
      </c>
      <c r="H310" s="1" t="inlineStr">
        <is>
          <t>0,1</t>
        </is>
      </c>
      <c r="L310" s="1">
        <f>CONCAT(IF(D310="數值",CONCATENATE(G310&amp;"("&amp;C310&amp;","&amp;IF(ISERROR(SEARCH(",",H310,1)),(H310&amp;","&amp;H310),H310)&amp;IF(ISBLANK(I310),"",IF(ISERROR(SEARCH(",",I310,1)),CONCATENATE(","&amp;I310&amp;","&amp;I310),CONCATENATE(","&amp;I310))&amp;IF(ISBLANK(J310),"",IF(ISERROR(SEARCH(",",J310,1)),CONCATENATE(","&amp;J310&amp;","&amp;J310),CONCATENATE(","&amp;J310))&amp;IF(ISBLANK(K310),"",IF(ISERROR(SEARCH(",",K310,1)),CONCATENATE(","&amp;K310&amp;","&amp;K310),CONCATENATE(","&amp;K310))))))&amp;")","")&amp;" "&amp;F310)</f>
        <v/>
      </c>
    </row>
    <row r="311">
      <c r="A311" s="1" t="n">
        <v>410</v>
      </c>
      <c r="B311" s="1">
        <f>A311</f>
        <v/>
      </c>
      <c r="C311" s="1" t="inlineStr">
        <is>
          <t>vB7am02</t>
        </is>
      </c>
      <c r="D311" s="1" t="inlineStr">
        <is>
          <t>數值</t>
        </is>
      </c>
      <c r="E311" s="1" t="n">
        <v>2</v>
      </c>
      <c r="G311" s="1" t="inlineStr">
        <is>
          <t>range</t>
        </is>
      </c>
      <c r="H311" s="1" t="inlineStr">
        <is>
          <t>0,1</t>
        </is>
      </c>
      <c r="L311" s="1">
        <f>CONCAT(IF(D311="數值",CONCATENATE(G311&amp;"("&amp;C311&amp;","&amp;IF(ISERROR(SEARCH(",",H311,1)),(H311&amp;","&amp;H311),H311)&amp;IF(ISBLANK(I311),"",IF(ISERROR(SEARCH(",",I311,1)),CONCATENATE(","&amp;I311&amp;","&amp;I311),CONCATENATE(","&amp;I311))&amp;IF(ISBLANK(J311),"",IF(ISERROR(SEARCH(",",J311,1)),CONCATENATE(","&amp;J311&amp;","&amp;J311),CONCATENATE(","&amp;J311))&amp;IF(ISBLANK(K311),"",IF(ISERROR(SEARCH(",",K311,1)),CONCATENATE(","&amp;K311&amp;","&amp;K311),CONCATENATE(","&amp;K311))))))&amp;")","")&amp;" "&amp;F311)</f>
        <v/>
      </c>
    </row>
    <row r="312">
      <c r="A312" s="1" t="n">
        <v>411</v>
      </c>
      <c r="B312" s="1">
        <f>A312</f>
        <v/>
      </c>
      <c r="C312" s="1" t="inlineStr">
        <is>
          <t>vB7am03</t>
        </is>
      </c>
      <c r="D312" s="1" t="inlineStr">
        <is>
          <t>數值</t>
        </is>
      </c>
      <c r="E312" s="1" t="n">
        <v>2</v>
      </c>
      <c r="G312" s="1" t="inlineStr">
        <is>
          <t>range</t>
        </is>
      </c>
      <c r="H312" s="1" t="inlineStr">
        <is>
          <t>0,1</t>
        </is>
      </c>
      <c r="L312" s="1">
        <f>CONCAT(IF(D312="數值",CONCATENATE(G312&amp;"("&amp;C312&amp;","&amp;IF(ISERROR(SEARCH(",",H312,1)),(H312&amp;","&amp;H312),H312)&amp;IF(ISBLANK(I312),"",IF(ISERROR(SEARCH(",",I312,1)),CONCATENATE(","&amp;I312&amp;","&amp;I312),CONCATENATE(","&amp;I312))&amp;IF(ISBLANK(J312),"",IF(ISERROR(SEARCH(",",J312,1)),CONCATENATE(","&amp;J312&amp;","&amp;J312),CONCATENATE(","&amp;J312))&amp;IF(ISBLANK(K312),"",IF(ISERROR(SEARCH(",",K312,1)),CONCATENATE(","&amp;K312&amp;","&amp;K312),CONCATENATE(","&amp;K312))))))&amp;")","")&amp;" "&amp;F312)</f>
        <v/>
      </c>
    </row>
    <row r="313">
      <c r="A313" s="1" t="n">
        <v>412</v>
      </c>
      <c r="B313" s="1">
        <f>A313</f>
        <v/>
      </c>
      <c r="C313" s="1" t="inlineStr">
        <is>
          <t>vB7am04</t>
        </is>
      </c>
      <c r="D313" s="1" t="inlineStr">
        <is>
          <t>數值</t>
        </is>
      </c>
      <c r="E313" s="1" t="n">
        <v>2</v>
      </c>
      <c r="G313" s="1" t="inlineStr">
        <is>
          <t>range</t>
        </is>
      </c>
      <c r="H313" s="1" t="inlineStr">
        <is>
          <t>0,1</t>
        </is>
      </c>
      <c r="L313" s="1">
        <f>CONCAT(IF(D313="數值",CONCATENATE(G313&amp;"("&amp;C313&amp;","&amp;IF(ISERROR(SEARCH(",",H313,1)),(H313&amp;","&amp;H313),H313)&amp;IF(ISBLANK(I313),"",IF(ISERROR(SEARCH(",",I313,1)),CONCATENATE(","&amp;I313&amp;","&amp;I313),CONCATENATE(","&amp;I313))&amp;IF(ISBLANK(J313),"",IF(ISERROR(SEARCH(",",J313,1)),CONCATENATE(","&amp;J313&amp;","&amp;J313),CONCATENATE(","&amp;J313))&amp;IF(ISBLANK(K313),"",IF(ISERROR(SEARCH(",",K313,1)),CONCATENATE(","&amp;K313&amp;","&amp;K313),CONCATENATE(","&amp;K313))))))&amp;")","")&amp;" "&amp;F313)</f>
        <v/>
      </c>
    </row>
    <row r="314">
      <c r="A314" s="1" t="n">
        <v>413</v>
      </c>
      <c r="B314" s="1">
        <f>A314</f>
        <v/>
      </c>
      <c r="C314" s="1" t="inlineStr">
        <is>
          <t>vB7am05</t>
        </is>
      </c>
      <c r="D314" s="1" t="inlineStr">
        <is>
          <t>數值</t>
        </is>
      </c>
      <c r="E314" s="1" t="n">
        <v>2</v>
      </c>
      <c r="G314" s="1" t="inlineStr">
        <is>
          <t>range</t>
        </is>
      </c>
      <c r="H314" s="1" t="inlineStr">
        <is>
          <t>0,1</t>
        </is>
      </c>
      <c r="L314" s="1">
        <f>CONCAT(IF(D314="數值",CONCATENATE(G314&amp;"("&amp;C314&amp;","&amp;IF(ISERROR(SEARCH(",",H314,1)),(H314&amp;","&amp;H314),H314)&amp;IF(ISBLANK(I314),"",IF(ISERROR(SEARCH(",",I314,1)),CONCATENATE(","&amp;I314&amp;","&amp;I314),CONCATENATE(","&amp;I314))&amp;IF(ISBLANK(J314),"",IF(ISERROR(SEARCH(",",J314,1)),CONCATENATE(","&amp;J314&amp;","&amp;J314),CONCATENATE(","&amp;J314))&amp;IF(ISBLANK(K314),"",IF(ISERROR(SEARCH(",",K314,1)),CONCATENATE(","&amp;K314&amp;","&amp;K314),CONCATENATE(","&amp;K314))))))&amp;")","")&amp;" "&amp;F314)</f>
        <v/>
      </c>
    </row>
    <row r="315">
      <c r="A315" s="1" t="n">
        <v>414</v>
      </c>
      <c r="B315" s="1">
        <f>A315</f>
        <v/>
      </c>
      <c r="C315" s="1" t="inlineStr">
        <is>
          <t>vB7am06</t>
        </is>
      </c>
      <c r="D315" s="1" t="inlineStr">
        <is>
          <t>數值</t>
        </is>
      </c>
      <c r="E315" s="1" t="n">
        <v>2</v>
      </c>
      <c r="G315" s="1" t="inlineStr">
        <is>
          <t>range</t>
        </is>
      </c>
      <c r="H315" s="1" t="inlineStr">
        <is>
          <t>0,1</t>
        </is>
      </c>
      <c r="L315" s="1">
        <f>CONCAT(IF(D315="數值",CONCATENATE(G315&amp;"("&amp;C315&amp;","&amp;IF(ISERROR(SEARCH(",",H315,1)),(H315&amp;","&amp;H315),H315)&amp;IF(ISBLANK(I315),"",IF(ISERROR(SEARCH(",",I315,1)),CONCATENATE(","&amp;I315&amp;","&amp;I315),CONCATENATE(","&amp;I315))&amp;IF(ISBLANK(J315),"",IF(ISERROR(SEARCH(",",J315,1)),CONCATENATE(","&amp;J315&amp;","&amp;J315),CONCATENATE(","&amp;J315))&amp;IF(ISBLANK(K315),"",IF(ISERROR(SEARCH(",",K315,1)),CONCATENATE(","&amp;K315&amp;","&amp;K315),CONCATENATE(","&amp;K315))))))&amp;")","")&amp;" "&amp;F315)</f>
        <v/>
      </c>
    </row>
    <row r="316">
      <c r="A316" s="1" t="n">
        <v>415</v>
      </c>
      <c r="B316" s="1">
        <f>A316</f>
        <v/>
      </c>
      <c r="C316" s="1" t="inlineStr">
        <is>
          <t>vB7am07</t>
        </is>
      </c>
      <c r="D316" s="1" t="inlineStr">
        <is>
          <t>數值</t>
        </is>
      </c>
      <c r="E316" s="1" t="n">
        <v>2</v>
      </c>
      <c r="G316" s="1" t="inlineStr">
        <is>
          <t>range</t>
        </is>
      </c>
      <c r="H316" s="1" t="inlineStr">
        <is>
          <t>0,1</t>
        </is>
      </c>
      <c r="L316" s="1">
        <f>CONCAT(IF(D316="數值",CONCATENATE(G316&amp;"("&amp;C316&amp;","&amp;IF(ISERROR(SEARCH(",",H316,1)),(H316&amp;","&amp;H316),H316)&amp;IF(ISBLANK(I316),"",IF(ISERROR(SEARCH(",",I316,1)),CONCATENATE(","&amp;I316&amp;","&amp;I316),CONCATENATE(","&amp;I316))&amp;IF(ISBLANK(J316),"",IF(ISERROR(SEARCH(",",J316,1)),CONCATENATE(","&amp;J316&amp;","&amp;J316),CONCATENATE(","&amp;J316))&amp;IF(ISBLANK(K316),"",IF(ISERROR(SEARCH(",",K316,1)),CONCATENATE(","&amp;K316&amp;","&amp;K316),CONCATENATE(","&amp;K316))))))&amp;")","")&amp;" "&amp;F316)</f>
        <v/>
      </c>
    </row>
    <row r="317">
      <c r="A317" s="1" t="n">
        <v>416</v>
      </c>
      <c r="B317" s="1">
        <f>A317</f>
        <v/>
      </c>
      <c r="C317" s="1" t="inlineStr">
        <is>
          <t>vB7am08</t>
        </is>
      </c>
      <c r="D317" s="1" t="inlineStr">
        <is>
          <t>數值</t>
        </is>
      </c>
      <c r="E317" s="1" t="n">
        <v>2</v>
      </c>
      <c r="G317" s="1" t="inlineStr">
        <is>
          <t>range</t>
        </is>
      </c>
      <c r="H317" s="1" t="inlineStr">
        <is>
          <t>0,1</t>
        </is>
      </c>
      <c r="L317" s="1">
        <f>CONCAT(IF(D317="數值",CONCATENATE(G317&amp;"("&amp;C317&amp;","&amp;IF(ISERROR(SEARCH(",",H317,1)),(H317&amp;","&amp;H317),H317)&amp;IF(ISBLANK(I317),"",IF(ISERROR(SEARCH(",",I317,1)),CONCATENATE(","&amp;I317&amp;","&amp;I317),CONCATENATE(","&amp;I317))&amp;IF(ISBLANK(J317),"",IF(ISERROR(SEARCH(",",J317,1)),CONCATENATE(","&amp;J317&amp;","&amp;J317),CONCATENATE(","&amp;J317))&amp;IF(ISBLANK(K317),"",IF(ISERROR(SEARCH(",",K317,1)),CONCATENATE(","&amp;K317&amp;","&amp;K317),CONCATENATE(","&amp;K317))))))&amp;")","")&amp;" "&amp;F317)</f>
        <v/>
      </c>
    </row>
    <row r="318">
      <c r="A318" s="1" t="n">
        <v>417</v>
      </c>
      <c r="B318" s="1">
        <f>A318</f>
        <v/>
      </c>
      <c r="C318" s="1" t="inlineStr">
        <is>
          <t>vB7am09</t>
        </is>
      </c>
      <c r="D318" s="1" t="inlineStr">
        <is>
          <t>數值</t>
        </is>
      </c>
      <c r="E318" s="1" t="n">
        <v>2</v>
      </c>
      <c r="G318" s="1" t="inlineStr">
        <is>
          <t>range</t>
        </is>
      </c>
      <c r="H318" s="1" t="inlineStr">
        <is>
          <t>0,1</t>
        </is>
      </c>
      <c r="L318" s="1">
        <f>CONCAT(IF(D318="數值",CONCATENATE(G318&amp;"("&amp;C318&amp;","&amp;IF(ISERROR(SEARCH(",",H318,1)),(H318&amp;","&amp;H318),H318)&amp;IF(ISBLANK(I318),"",IF(ISERROR(SEARCH(",",I318,1)),CONCATENATE(","&amp;I318&amp;","&amp;I318),CONCATENATE(","&amp;I318))&amp;IF(ISBLANK(J318),"",IF(ISERROR(SEARCH(",",J318,1)),CONCATENATE(","&amp;J318&amp;","&amp;J318),CONCATENATE(","&amp;J318))&amp;IF(ISBLANK(K318),"",IF(ISERROR(SEARCH(",",K318,1)),CONCATENATE(","&amp;K318&amp;","&amp;K318),CONCATENATE(","&amp;K318))))))&amp;")","")&amp;" "&amp;F318)</f>
        <v/>
      </c>
    </row>
    <row r="319">
      <c r="A319" s="1" t="n">
        <v>418</v>
      </c>
      <c r="B319" s="1">
        <f>A319</f>
        <v/>
      </c>
      <c r="C319" s="1" t="inlineStr">
        <is>
          <t>vB7am10</t>
        </is>
      </c>
      <c r="D319" s="1" t="inlineStr">
        <is>
          <t>數值</t>
        </is>
      </c>
      <c r="E319" s="1" t="n">
        <v>2</v>
      </c>
      <c r="G319" s="1" t="inlineStr">
        <is>
          <t>range</t>
        </is>
      </c>
      <c r="H319" s="1" t="inlineStr">
        <is>
          <t>0,1</t>
        </is>
      </c>
      <c r="I319" s="1" t="inlineStr">
        <is>
          <t>96</t>
        </is>
      </c>
      <c r="L319" s="1">
        <f>CONCAT(IF(D319="數值",CONCATENATE(G319&amp;"("&amp;C319&amp;","&amp;IF(ISERROR(SEARCH(",",H319,1)),(H319&amp;","&amp;H319),H319)&amp;IF(ISBLANK(I319),"",IF(ISERROR(SEARCH(",",I319,1)),CONCATENATE(","&amp;I319&amp;","&amp;I319),CONCATENATE(","&amp;I319))&amp;IF(ISBLANK(J319),"",IF(ISERROR(SEARCH(",",J319,1)),CONCATENATE(","&amp;J319&amp;","&amp;J319),CONCATENATE(","&amp;J319))&amp;IF(ISBLANK(K319),"",IF(ISERROR(SEARCH(",",K319,1)),CONCATENATE(","&amp;K319&amp;","&amp;K319),CONCATENATE(","&amp;K319))))))&amp;")","")&amp;" "&amp;F319)</f>
        <v/>
      </c>
    </row>
    <row r="320">
      <c r="A320" s="1" t="n">
        <v>419</v>
      </c>
      <c r="B320" s="1">
        <f>A320</f>
        <v/>
      </c>
      <c r="C320" s="1" t="inlineStr">
        <is>
          <t>vB7am11</t>
        </is>
      </c>
      <c r="D320" s="1" t="inlineStr">
        <is>
          <t>數值</t>
        </is>
      </c>
      <c r="E320" s="1" t="n">
        <v>2</v>
      </c>
      <c r="G320" s="1" t="inlineStr">
        <is>
          <t>range</t>
        </is>
      </c>
      <c r="H320" s="1" t="inlineStr">
        <is>
          <t>0,1</t>
        </is>
      </c>
      <c r="I320" s="1" t="inlineStr">
        <is>
          <t>96</t>
        </is>
      </c>
      <c r="L320" s="1">
        <f>CONCAT(IF(D320="數值",CONCATENATE(G320&amp;"("&amp;C320&amp;","&amp;IF(ISERROR(SEARCH(",",H320,1)),(H320&amp;","&amp;H320),H320)&amp;IF(ISBLANK(I320),"",IF(ISERROR(SEARCH(",",I320,1)),CONCATENATE(","&amp;I320&amp;","&amp;I320),CONCATENATE(","&amp;I320))&amp;IF(ISBLANK(J320),"",IF(ISERROR(SEARCH(",",J320,1)),CONCATENATE(","&amp;J320&amp;","&amp;J320),CONCATENATE(","&amp;J320))&amp;IF(ISBLANK(K320),"",IF(ISERROR(SEARCH(",",K320,1)),CONCATENATE(","&amp;K320&amp;","&amp;K320),CONCATENATE(","&amp;K320))))))&amp;")","")&amp;" "&amp;F320)</f>
        <v/>
      </c>
    </row>
    <row r="321">
      <c r="A321" s="1" t="n">
        <v>420</v>
      </c>
      <c r="B321" s="1">
        <f>A321</f>
        <v/>
      </c>
      <c r="C321" s="1" t="inlineStr">
        <is>
          <t>vB7am12</t>
        </is>
      </c>
      <c r="D321" s="1" t="inlineStr">
        <is>
          <t>數值</t>
        </is>
      </c>
      <c r="E321" s="1" t="n">
        <v>2</v>
      </c>
      <c r="G321" s="1" t="inlineStr">
        <is>
          <t>range</t>
        </is>
      </c>
      <c r="H321" s="1" t="inlineStr">
        <is>
          <t>0,1</t>
        </is>
      </c>
      <c r="I321" s="1" t="inlineStr">
        <is>
          <t>96</t>
        </is>
      </c>
      <c r="L321" s="1">
        <f>CONCAT(IF(D321="數值",CONCATENATE(G321&amp;"("&amp;C321&amp;","&amp;IF(ISERROR(SEARCH(",",H321,1)),(H321&amp;","&amp;H321),H321)&amp;IF(ISBLANK(I321),"",IF(ISERROR(SEARCH(",",I321,1)),CONCATENATE(","&amp;I321&amp;","&amp;I321),CONCATENATE(","&amp;I321))&amp;IF(ISBLANK(J321),"",IF(ISERROR(SEARCH(",",J321,1)),CONCATENATE(","&amp;J321&amp;","&amp;J321),CONCATENATE(","&amp;J321))&amp;IF(ISBLANK(K321),"",IF(ISERROR(SEARCH(",",K321,1)),CONCATENATE(","&amp;K321&amp;","&amp;K321),CONCATENATE(","&amp;K321))))))&amp;")","")&amp;" "&amp;F321)</f>
        <v/>
      </c>
    </row>
    <row r="322">
      <c r="A322" s="1" t="n">
        <v>421</v>
      </c>
      <c r="B322" s="1">
        <f>A322</f>
        <v/>
      </c>
      <c r="C322" s="1" t="inlineStr">
        <is>
          <t>vB7am13</t>
        </is>
      </c>
      <c r="D322" s="1" t="inlineStr">
        <is>
          <t>數值</t>
        </is>
      </c>
      <c r="E322" s="1" t="n">
        <v>2</v>
      </c>
      <c r="G322" s="1" t="inlineStr">
        <is>
          <t>range</t>
        </is>
      </c>
      <c r="H322" s="1" t="inlineStr">
        <is>
          <t>0,1</t>
        </is>
      </c>
      <c r="I322" s="1" t="inlineStr">
        <is>
          <t>96</t>
        </is>
      </c>
      <c r="L322" s="1">
        <f>CONCAT(IF(D322="數值",CONCATENATE(G322&amp;"("&amp;C322&amp;","&amp;IF(ISERROR(SEARCH(",",H322,1)),(H322&amp;","&amp;H322),H322)&amp;IF(ISBLANK(I322),"",IF(ISERROR(SEARCH(",",I322,1)),CONCATENATE(","&amp;I322&amp;","&amp;I322),CONCATENATE(","&amp;I322))&amp;IF(ISBLANK(J322),"",IF(ISERROR(SEARCH(",",J322,1)),CONCATENATE(","&amp;J322&amp;","&amp;J322),CONCATENATE(","&amp;J322))&amp;IF(ISBLANK(K322),"",IF(ISERROR(SEARCH(",",K322,1)),CONCATENATE(","&amp;K322&amp;","&amp;K322),CONCATENATE(","&amp;K322))))))&amp;")","")&amp;" "&amp;F322)</f>
        <v/>
      </c>
    </row>
    <row r="323">
      <c r="A323" s="1" t="n">
        <v>422</v>
      </c>
      <c r="B323" s="1">
        <f>A323</f>
        <v/>
      </c>
      <c r="C323" s="1" t="inlineStr">
        <is>
          <t>vB7am14</t>
        </is>
      </c>
      <c r="D323" s="1" t="inlineStr">
        <is>
          <t>數值</t>
        </is>
      </c>
      <c r="E323" s="1" t="n">
        <v>2</v>
      </c>
      <c r="G323" s="1" t="inlineStr">
        <is>
          <t>range</t>
        </is>
      </c>
      <c r="H323" s="1" t="inlineStr">
        <is>
          <t>0,1</t>
        </is>
      </c>
      <c r="I323" s="1" t="inlineStr">
        <is>
          <t>96</t>
        </is>
      </c>
      <c r="L323" s="1">
        <f>CONCAT(IF(D323="數值",CONCATENATE(G323&amp;"("&amp;C323&amp;","&amp;IF(ISERROR(SEARCH(",",H323,1)),(H323&amp;","&amp;H323),H323)&amp;IF(ISBLANK(I323),"",IF(ISERROR(SEARCH(",",I323,1)),CONCATENATE(","&amp;I323&amp;","&amp;I323),CONCATENATE(","&amp;I323))&amp;IF(ISBLANK(J323),"",IF(ISERROR(SEARCH(",",J323,1)),CONCATENATE(","&amp;J323&amp;","&amp;J323),CONCATENATE(","&amp;J323))&amp;IF(ISBLANK(K323),"",IF(ISERROR(SEARCH(",",K323,1)),CONCATENATE(","&amp;K323&amp;","&amp;K323),CONCATENATE(","&amp;K323))))))&amp;")","")&amp;" "&amp;F323)</f>
        <v/>
      </c>
    </row>
    <row r="324">
      <c r="A324" s="1" t="n">
        <v>423</v>
      </c>
      <c r="B324" s="1">
        <f>A324</f>
        <v/>
      </c>
      <c r="C324" s="1" t="inlineStr">
        <is>
          <t>vB7am15</t>
        </is>
      </c>
      <c r="D324" s="1" t="inlineStr">
        <is>
          <t>數值</t>
        </is>
      </c>
      <c r="E324" s="1" t="n">
        <v>2</v>
      </c>
      <c r="G324" s="1" t="inlineStr">
        <is>
          <t>range</t>
        </is>
      </c>
      <c r="H324" s="1" t="inlineStr">
        <is>
          <t>0,1</t>
        </is>
      </c>
      <c r="I324" s="1" t="inlineStr">
        <is>
          <t>96</t>
        </is>
      </c>
      <c r="L324" s="1">
        <f>CONCAT(IF(D324="數值",CONCATENATE(G324&amp;"("&amp;C324&amp;","&amp;IF(ISERROR(SEARCH(",",H324,1)),(H324&amp;","&amp;H324),H324)&amp;IF(ISBLANK(I324),"",IF(ISERROR(SEARCH(",",I324,1)),CONCATENATE(","&amp;I324&amp;","&amp;I324),CONCATENATE(","&amp;I324))&amp;IF(ISBLANK(J324),"",IF(ISERROR(SEARCH(",",J324,1)),CONCATENATE(","&amp;J324&amp;","&amp;J324),CONCATENATE(","&amp;J324))&amp;IF(ISBLANK(K324),"",IF(ISERROR(SEARCH(",",K324,1)),CONCATENATE(","&amp;K324&amp;","&amp;K324),CONCATENATE(","&amp;K324))))))&amp;")","")&amp;" "&amp;F324)</f>
        <v/>
      </c>
    </row>
    <row r="325">
      <c r="A325" s="1" t="n">
        <v>424</v>
      </c>
      <c r="B325" s="1">
        <f>A325</f>
        <v/>
      </c>
      <c r="C325" s="1" t="inlineStr">
        <is>
          <t>vB7am16</t>
        </is>
      </c>
      <c r="D325" s="1" t="inlineStr">
        <is>
          <t>數值</t>
        </is>
      </c>
      <c r="E325" s="1" t="n">
        <v>2</v>
      </c>
      <c r="G325" s="1" t="inlineStr">
        <is>
          <t>range</t>
        </is>
      </c>
      <c r="H325" s="1" t="inlineStr">
        <is>
          <t>0,1</t>
        </is>
      </c>
      <c r="I325" s="1" t="inlineStr">
        <is>
          <t>96</t>
        </is>
      </c>
      <c r="L325" s="1">
        <f>CONCAT(IF(D325="數值",CONCATENATE(G325&amp;"("&amp;C325&amp;","&amp;IF(ISERROR(SEARCH(",",H325,1)),(H325&amp;","&amp;H325),H325)&amp;IF(ISBLANK(I325),"",IF(ISERROR(SEARCH(",",I325,1)),CONCATENATE(","&amp;I325&amp;","&amp;I325),CONCATENATE(","&amp;I325))&amp;IF(ISBLANK(J325),"",IF(ISERROR(SEARCH(",",J325,1)),CONCATENATE(","&amp;J325&amp;","&amp;J325),CONCATENATE(","&amp;J325))&amp;IF(ISBLANK(K325),"",IF(ISERROR(SEARCH(",",K325,1)),CONCATENATE(","&amp;K325&amp;","&amp;K325),CONCATENATE(","&amp;K325))))))&amp;")","")&amp;" "&amp;F325)</f>
        <v/>
      </c>
    </row>
    <row r="326">
      <c r="A326" s="1" t="n">
        <v>425</v>
      </c>
      <c r="B326" s="1">
        <f>A326</f>
        <v/>
      </c>
      <c r="C326" s="1" t="inlineStr">
        <is>
          <t>vB7am17</t>
        </is>
      </c>
      <c r="D326" s="1" t="inlineStr">
        <is>
          <t>數值</t>
        </is>
      </c>
      <c r="E326" s="1" t="n">
        <v>2</v>
      </c>
      <c r="G326" s="1" t="inlineStr">
        <is>
          <t>range</t>
        </is>
      </c>
      <c r="H326" s="1" t="inlineStr">
        <is>
          <t>0,1</t>
        </is>
      </c>
      <c r="I326" s="1" t="inlineStr">
        <is>
          <t>96</t>
        </is>
      </c>
      <c r="L326" s="1">
        <f>CONCAT(IF(D326="數值",CONCATENATE(G326&amp;"("&amp;C326&amp;","&amp;IF(ISERROR(SEARCH(",",H326,1)),(H326&amp;","&amp;H326),H326)&amp;IF(ISBLANK(I326),"",IF(ISERROR(SEARCH(",",I326,1)),CONCATENATE(","&amp;I326&amp;","&amp;I326),CONCATENATE(","&amp;I326))&amp;IF(ISBLANK(J326),"",IF(ISERROR(SEARCH(",",J326,1)),CONCATENATE(","&amp;J326&amp;","&amp;J326),CONCATENATE(","&amp;J326))&amp;IF(ISBLANK(K326),"",IF(ISERROR(SEARCH(",",K326,1)),CONCATENATE(","&amp;K326&amp;","&amp;K326),CONCATENATE(","&amp;K326))))))&amp;")","")&amp;" "&amp;F326)</f>
        <v/>
      </c>
    </row>
    <row r="327">
      <c r="A327" s="1" t="n">
        <v>426</v>
      </c>
      <c r="B327" s="1">
        <f>A327</f>
        <v/>
      </c>
      <c r="C327" s="1" t="inlineStr">
        <is>
          <t>vB7am18</t>
        </is>
      </c>
      <c r="D327" s="1" t="inlineStr">
        <is>
          <t>數值</t>
        </is>
      </c>
      <c r="E327" s="1" t="n">
        <v>2</v>
      </c>
      <c r="G327" s="1" t="inlineStr">
        <is>
          <t>range</t>
        </is>
      </c>
      <c r="H327" s="1" t="inlineStr">
        <is>
          <t>0,1</t>
        </is>
      </c>
      <c r="I327" s="1" t="inlineStr">
        <is>
          <t>96</t>
        </is>
      </c>
      <c r="L327" s="1">
        <f>CONCAT(IF(D327="數值",CONCATENATE(G327&amp;"("&amp;C327&amp;","&amp;IF(ISERROR(SEARCH(",",H327,1)),(H327&amp;","&amp;H327),H327)&amp;IF(ISBLANK(I327),"",IF(ISERROR(SEARCH(",",I327,1)),CONCATENATE(","&amp;I327&amp;","&amp;I327),CONCATENATE(","&amp;I327))&amp;IF(ISBLANK(J327),"",IF(ISERROR(SEARCH(",",J327,1)),CONCATENATE(","&amp;J327&amp;","&amp;J327),CONCATENATE(","&amp;J327))&amp;IF(ISBLANK(K327),"",IF(ISERROR(SEARCH(",",K327,1)),CONCATENATE(","&amp;K327&amp;","&amp;K327),CONCATENATE(","&amp;K327))))))&amp;")","")&amp;" "&amp;F327)</f>
        <v/>
      </c>
    </row>
    <row r="328">
      <c r="A328" s="1" t="n">
        <v>427</v>
      </c>
      <c r="B328" s="1">
        <f>A328</f>
        <v/>
      </c>
      <c r="C328" s="1" t="inlineStr">
        <is>
          <t>vB7am19</t>
        </is>
      </c>
      <c r="D328" s="1" t="inlineStr">
        <is>
          <t>數值</t>
        </is>
      </c>
      <c r="E328" s="1" t="n">
        <v>2</v>
      </c>
      <c r="G328" s="1" t="inlineStr">
        <is>
          <t>range</t>
        </is>
      </c>
      <c r="H328" s="1" t="inlineStr">
        <is>
          <t>0,1</t>
        </is>
      </c>
      <c r="I328" s="1" t="inlineStr">
        <is>
          <t>96</t>
        </is>
      </c>
      <c r="L328" s="1">
        <f>CONCAT(IF(D328="數值",CONCATENATE(G328&amp;"("&amp;C328&amp;","&amp;IF(ISERROR(SEARCH(",",H328,1)),(H328&amp;","&amp;H328),H328)&amp;IF(ISBLANK(I328),"",IF(ISERROR(SEARCH(",",I328,1)),CONCATENATE(","&amp;I328&amp;","&amp;I328),CONCATENATE(","&amp;I328))&amp;IF(ISBLANK(J328),"",IF(ISERROR(SEARCH(",",J328,1)),CONCATENATE(","&amp;J328&amp;","&amp;J328),CONCATENATE(","&amp;J328))&amp;IF(ISBLANK(K328),"",IF(ISERROR(SEARCH(",",K328,1)),CONCATENATE(","&amp;K328&amp;","&amp;K328),CONCATENATE(","&amp;K328))))))&amp;")","")&amp;" "&amp;F328)</f>
        <v/>
      </c>
    </row>
    <row r="329">
      <c r="A329" s="1" t="n">
        <v>428</v>
      </c>
      <c r="B329" s="1">
        <f>A329</f>
        <v/>
      </c>
      <c r="C329" s="1" t="inlineStr">
        <is>
          <t>vB7am20</t>
        </is>
      </c>
      <c r="D329" s="1" t="inlineStr">
        <is>
          <t>數值</t>
        </is>
      </c>
      <c r="E329" s="1" t="n">
        <v>2</v>
      </c>
      <c r="G329" s="1" t="inlineStr">
        <is>
          <t>range</t>
        </is>
      </c>
      <c r="H329" s="1" t="inlineStr">
        <is>
          <t>0,1</t>
        </is>
      </c>
      <c r="I329" s="1" t="inlineStr">
        <is>
          <t>96</t>
        </is>
      </c>
      <c r="L329" s="1">
        <f>CONCAT(IF(D329="數值",CONCATENATE(G329&amp;"("&amp;C329&amp;","&amp;IF(ISERROR(SEARCH(",",H329,1)),(H329&amp;","&amp;H329),H329)&amp;IF(ISBLANK(I329),"",IF(ISERROR(SEARCH(",",I329,1)),CONCATENATE(","&amp;I329&amp;","&amp;I329),CONCATENATE(","&amp;I329))&amp;IF(ISBLANK(J329),"",IF(ISERROR(SEARCH(",",J329,1)),CONCATENATE(","&amp;J329&amp;","&amp;J329),CONCATENATE(","&amp;J329))&amp;IF(ISBLANK(K329),"",IF(ISERROR(SEARCH(",",K329,1)),CONCATENATE(","&amp;K329&amp;","&amp;K329),CONCATENATE(","&amp;K329))))))&amp;")","")&amp;" "&amp;F329)</f>
        <v/>
      </c>
    </row>
    <row r="330">
      <c r="A330" s="1" t="n">
        <v>429</v>
      </c>
      <c r="B330" s="1">
        <f>A330</f>
        <v/>
      </c>
      <c r="C330" s="1" t="inlineStr">
        <is>
          <t>vB7am21</t>
        </is>
      </c>
      <c r="D330" s="1" t="inlineStr">
        <is>
          <t>數值</t>
        </is>
      </c>
      <c r="E330" s="1" t="n">
        <v>2</v>
      </c>
      <c r="G330" s="1" t="inlineStr">
        <is>
          <t>range</t>
        </is>
      </c>
      <c r="H330" s="1" t="inlineStr">
        <is>
          <t>0,1</t>
        </is>
      </c>
      <c r="I330" s="1" t="inlineStr">
        <is>
          <t>96</t>
        </is>
      </c>
      <c r="L330" s="1">
        <f>CONCAT(IF(D330="數值",CONCATENATE(G330&amp;"("&amp;C330&amp;","&amp;IF(ISERROR(SEARCH(",",H330,1)),(H330&amp;","&amp;H330),H330)&amp;IF(ISBLANK(I330),"",IF(ISERROR(SEARCH(",",I330,1)),CONCATENATE(","&amp;I330&amp;","&amp;I330),CONCATENATE(","&amp;I330))&amp;IF(ISBLANK(J330),"",IF(ISERROR(SEARCH(",",J330,1)),CONCATENATE(","&amp;J330&amp;","&amp;J330),CONCATENATE(","&amp;J330))&amp;IF(ISBLANK(K330),"",IF(ISERROR(SEARCH(",",K330,1)),CONCATENATE(","&amp;K330&amp;","&amp;K330),CONCATENATE(","&amp;K330))))))&amp;")","")&amp;" "&amp;F330)</f>
        <v/>
      </c>
    </row>
    <row r="331">
      <c r="A331" s="1" t="n">
        <v>430</v>
      </c>
      <c r="B331" s="1">
        <f>A331</f>
        <v/>
      </c>
      <c r="C331" s="1" t="inlineStr">
        <is>
          <t>vB7am22</t>
        </is>
      </c>
      <c r="D331" s="1" t="inlineStr">
        <is>
          <t>數值</t>
        </is>
      </c>
      <c r="E331" s="1" t="n">
        <v>2</v>
      </c>
      <c r="G331" s="1" t="inlineStr">
        <is>
          <t>range</t>
        </is>
      </c>
      <c r="H331" s="1" t="inlineStr">
        <is>
          <t>0,1</t>
        </is>
      </c>
      <c r="I331" s="1" t="inlineStr">
        <is>
          <t>96</t>
        </is>
      </c>
      <c r="L331" s="1">
        <f>CONCAT(IF(D331="數值",CONCATENATE(G331&amp;"("&amp;C331&amp;","&amp;IF(ISERROR(SEARCH(",",H331,1)),(H331&amp;","&amp;H331),H331)&amp;IF(ISBLANK(I331),"",IF(ISERROR(SEARCH(",",I331,1)),CONCATENATE(","&amp;I331&amp;","&amp;I331),CONCATENATE(","&amp;I331))&amp;IF(ISBLANK(J331),"",IF(ISERROR(SEARCH(",",J331,1)),CONCATENATE(","&amp;J331&amp;","&amp;J331),CONCATENATE(","&amp;J331))&amp;IF(ISBLANK(K331),"",IF(ISERROR(SEARCH(",",K331,1)),CONCATENATE(","&amp;K331&amp;","&amp;K331),CONCATENATE(","&amp;K331))))))&amp;")","")&amp;" "&amp;F331)</f>
        <v/>
      </c>
    </row>
    <row r="332">
      <c r="A332" s="1" t="n">
        <v>431</v>
      </c>
      <c r="B332" s="1">
        <f>A332</f>
        <v/>
      </c>
      <c r="C332" s="1" t="inlineStr">
        <is>
          <t>vB7am23</t>
        </is>
      </c>
      <c r="D332" s="1" t="inlineStr">
        <is>
          <t>數值</t>
        </is>
      </c>
      <c r="E332" s="1" t="n">
        <v>2</v>
      </c>
      <c r="G332" s="1" t="inlineStr">
        <is>
          <t>range</t>
        </is>
      </c>
      <c r="H332" s="1" t="inlineStr">
        <is>
          <t>0,1</t>
        </is>
      </c>
      <c r="I332" s="1" t="inlineStr">
        <is>
          <t>96</t>
        </is>
      </c>
      <c r="L332" s="1">
        <f>CONCAT(IF(D332="數值",CONCATENATE(G332&amp;"("&amp;C332&amp;","&amp;IF(ISERROR(SEARCH(",",H332,1)),(H332&amp;","&amp;H332),H332)&amp;IF(ISBLANK(I332),"",IF(ISERROR(SEARCH(",",I332,1)),CONCATENATE(","&amp;I332&amp;","&amp;I332),CONCATENATE(","&amp;I332))&amp;IF(ISBLANK(J332),"",IF(ISERROR(SEARCH(",",J332,1)),CONCATENATE(","&amp;J332&amp;","&amp;J332),CONCATENATE(","&amp;J332))&amp;IF(ISBLANK(K332),"",IF(ISERROR(SEARCH(",",K332,1)),CONCATENATE(","&amp;K332&amp;","&amp;K332),CONCATENATE(","&amp;K332))))))&amp;")","")&amp;" "&amp;F332)</f>
        <v/>
      </c>
    </row>
    <row r="333">
      <c r="A333" s="1" t="n">
        <v>432</v>
      </c>
      <c r="B333" s="1">
        <f>A333</f>
        <v/>
      </c>
      <c r="C333" s="1" t="inlineStr">
        <is>
          <t>vB7am24</t>
        </is>
      </c>
      <c r="D333" s="1" t="inlineStr">
        <is>
          <t>數值</t>
        </is>
      </c>
      <c r="E333" s="1" t="n">
        <v>2</v>
      </c>
      <c r="G333" s="1" t="inlineStr">
        <is>
          <t>range</t>
        </is>
      </c>
      <c r="H333" s="1" t="inlineStr">
        <is>
          <t>0,1</t>
        </is>
      </c>
      <c r="I333" s="1" t="inlineStr">
        <is>
          <t>96</t>
        </is>
      </c>
      <c r="L333" s="1">
        <f>CONCAT(IF(D333="數值",CONCATENATE(G333&amp;"("&amp;C333&amp;","&amp;IF(ISERROR(SEARCH(",",H333,1)),(H333&amp;","&amp;H333),H333)&amp;IF(ISBLANK(I333),"",IF(ISERROR(SEARCH(",",I333,1)),CONCATENATE(","&amp;I333&amp;","&amp;I333),CONCATENATE(","&amp;I333))&amp;IF(ISBLANK(J333),"",IF(ISERROR(SEARCH(",",J333,1)),CONCATENATE(","&amp;J333&amp;","&amp;J333),CONCATENATE(","&amp;J333))&amp;IF(ISBLANK(K333),"",IF(ISERROR(SEARCH(",",K333,1)),CONCATENATE(","&amp;K333&amp;","&amp;K333),CONCATENATE(","&amp;K333))))))&amp;")","")&amp;" "&amp;F333)</f>
        <v/>
      </c>
    </row>
    <row r="334">
      <c r="A334" s="1" t="n">
        <v>433</v>
      </c>
      <c r="B334" s="1">
        <f>A334</f>
        <v/>
      </c>
      <c r="C334" s="1" t="inlineStr">
        <is>
          <t>vB7am25</t>
        </is>
      </c>
      <c r="D334" s="1" t="inlineStr">
        <is>
          <t>數值</t>
        </is>
      </c>
      <c r="E334" s="1" t="n">
        <v>2</v>
      </c>
      <c r="G334" s="1" t="inlineStr">
        <is>
          <t>range</t>
        </is>
      </c>
      <c r="H334" s="1" t="inlineStr">
        <is>
          <t>0,1</t>
        </is>
      </c>
      <c r="I334" s="1" t="inlineStr">
        <is>
          <t>96</t>
        </is>
      </c>
      <c r="L334" s="1">
        <f>CONCAT(IF(D334="數值",CONCATENATE(G334&amp;"("&amp;C334&amp;","&amp;IF(ISERROR(SEARCH(",",H334,1)),(H334&amp;","&amp;H334),H334)&amp;IF(ISBLANK(I334),"",IF(ISERROR(SEARCH(",",I334,1)),CONCATENATE(","&amp;I334&amp;","&amp;I334),CONCATENATE(","&amp;I334))&amp;IF(ISBLANK(J334),"",IF(ISERROR(SEARCH(",",J334,1)),CONCATENATE(","&amp;J334&amp;","&amp;J334),CONCATENATE(","&amp;J334))&amp;IF(ISBLANK(K334),"",IF(ISERROR(SEARCH(",",K334,1)),CONCATENATE(","&amp;K334&amp;","&amp;K334),CONCATENATE(","&amp;K334))))))&amp;")","")&amp;" "&amp;F334)</f>
        <v/>
      </c>
    </row>
    <row r="335">
      <c r="A335" s="1" t="n">
        <v>434</v>
      </c>
      <c r="B335" s="1">
        <f>A335</f>
        <v/>
      </c>
      <c r="C335" s="1" t="inlineStr">
        <is>
          <t>vB7am26</t>
        </is>
      </c>
      <c r="D335" s="1" t="inlineStr">
        <is>
          <t>數值</t>
        </is>
      </c>
      <c r="E335" s="1" t="n">
        <v>2</v>
      </c>
      <c r="G335" s="1" t="inlineStr">
        <is>
          <t>range</t>
        </is>
      </c>
      <c r="H335" s="1" t="inlineStr">
        <is>
          <t>0,1</t>
        </is>
      </c>
      <c r="I335" s="1" t="inlineStr">
        <is>
          <t>96</t>
        </is>
      </c>
      <c r="L335" s="1">
        <f>CONCAT(IF(D335="數值",CONCATENATE(G335&amp;"("&amp;C335&amp;","&amp;IF(ISERROR(SEARCH(",",H335,1)),(H335&amp;","&amp;H335),H335)&amp;IF(ISBLANK(I335),"",IF(ISERROR(SEARCH(",",I335,1)),CONCATENATE(","&amp;I335&amp;","&amp;I335),CONCATENATE(","&amp;I335))&amp;IF(ISBLANK(J335),"",IF(ISERROR(SEARCH(",",J335,1)),CONCATENATE(","&amp;J335&amp;","&amp;J335),CONCATENATE(","&amp;J335))&amp;IF(ISBLANK(K335),"",IF(ISERROR(SEARCH(",",K335,1)),CONCATENATE(","&amp;K335&amp;","&amp;K335),CONCATENATE(","&amp;K335))))))&amp;")","")&amp;" "&amp;F335)</f>
        <v/>
      </c>
    </row>
    <row r="336">
      <c r="A336" s="1" t="n">
        <v>435</v>
      </c>
      <c r="B336" s="1">
        <f>A336</f>
        <v/>
      </c>
      <c r="C336" s="1" t="inlineStr">
        <is>
          <t>vB7am27</t>
        </is>
      </c>
      <c r="D336" s="1" t="inlineStr">
        <is>
          <t>數值</t>
        </is>
      </c>
      <c r="E336" s="1" t="n">
        <v>2</v>
      </c>
      <c r="G336" s="1" t="inlineStr">
        <is>
          <t>range</t>
        </is>
      </c>
      <c r="H336" s="1" t="inlineStr">
        <is>
          <t>0,1</t>
        </is>
      </c>
      <c r="I336" s="1" t="inlineStr">
        <is>
          <t>96</t>
        </is>
      </c>
      <c r="L336" s="1">
        <f>CONCAT(IF(D336="數值",CONCATENATE(G336&amp;"("&amp;C336&amp;","&amp;IF(ISERROR(SEARCH(",",H336,1)),(H336&amp;","&amp;H336),H336)&amp;IF(ISBLANK(I336),"",IF(ISERROR(SEARCH(",",I336,1)),CONCATENATE(","&amp;I336&amp;","&amp;I336),CONCATENATE(","&amp;I336))&amp;IF(ISBLANK(J336),"",IF(ISERROR(SEARCH(",",J336,1)),CONCATENATE(","&amp;J336&amp;","&amp;J336),CONCATENATE(","&amp;J336))&amp;IF(ISBLANK(K336),"",IF(ISERROR(SEARCH(",",K336,1)),CONCATENATE(","&amp;K336&amp;","&amp;K336),CONCATENATE(","&amp;K336))))))&amp;")","")&amp;" "&amp;F336)</f>
        <v/>
      </c>
    </row>
    <row r="337">
      <c r="A337" s="1" t="n">
        <v>436</v>
      </c>
      <c r="B337" s="1">
        <f>A337</f>
        <v/>
      </c>
      <c r="C337" s="1" t="inlineStr">
        <is>
          <t>vB7am28</t>
        </is>
      </c>
      <c r="D337" s="1" t="inlineStr">
        <is>
          <t>數值</t>
        </is>
      </c>
      <c r="E337" s="1" t="n">
        <v>2</v>
      </c>
      <c r="G337" s="1" t="inlineStr">
        <is>
          <t>range</t>
        </is>
      </c>
      <c r="H337" s="1" t="inlineStr">
        <is>
          <t>0,1</t>
        </is>
      </c>
      <c r="I337" s="1" t="inlineStr">
        <is>
          <t>96</t>
        </is>
      </c>
      <c r="L337" s="1">
        <f>CONCAT(IF(D337="數值",CONCATENATE(G337&amp;"("&amp;C337&amp;","&amp;IF(ISERROR(SEARCH(",",H337,1)),(H337&amp;","&amp;H337),H337)&amp;IF(ISBLANK(I337),"",IF(ISERROR(SEARCH(",",I337,1)),CONCATENATE(","&amp;I337&amp;","&amp;I337),CONCATENATE(","&amp;I337))&amp;IF(ISBLANK(J337),"",IF(ISERROR(SEARCH(",",J337,1)),CONCATENATE(","&amp;J337&amp;","&amp;J337),CONCATENATE(","&amp;J337))&amp;IF(ISBLANK(K337),"",IF(ISERROR(SEARCH(",",K337,1)),CONCATENATE(","&amp;K337&amp;","&amp;K337),CONCATENATE(","&amp;K337))))))&amp;")","")&amp;" "&amp;F337)</f>
        <v/>
      </c>
    </row>
    <row r="338">
      <c r="A338" s="1" t="n">
        <v>437</v>
      </c>
      <c r="B338" s="1">
        <f>A338</f>
        <v/>
      </c>
      <c r="C338" s="1" t="inlineStr">
        <is>
          <t>vB7am29</t>
        </is>
      </c>
      <c r="D338" s="1" t="inlineStr">
        <is>
          <t>數值</t>
        </is>
      </c>
      <c r="E338" s="1" t="n">
        <v>2</v>
      </c>
      <c r="G338" s="1" t="inlineStr">
        <is>
          <t>range</t>
        </is>
      </c>
      <c r="H338" s="1" t="inlineStr">
        <is>
          <t>0,1</t>
        </is>
      </c>
      <c r="I338" s="1" t="inlineStr">
        <is>
          <t>96</t>
        </is>
      </c>
      <c r="L338" s="1">
        <f>CONCAT(IF(D338="數值",CONCATENATE(G338&amp;"("&amp;C338&amp;","&amp;IF(ISERROR(SEARCH(",",H338,1)),(H338&amp;","&amp;H338),H338)&amp;IF(ISBLANK(I338),"",IF(ISERROR(SEARCH(",",I338,1)),CONCATENATE(","&amp;I338&amp;","&amp;I338),CONCATENATE(","&amp;I338))&amp;IF(ISBLANK(J338),"",IF(ISERROR(SEARCH(",",J338,1)),CONCATENATE(","&amp;J338&amp;","&amp;J338),CONCATENATE(","&amp;J338))&amp;IF(ISBLANK(K338),"",IF(ISERROR(SEARCH(",",K338,1)),CONCATENATE(","&amp;K338&amp;","&amp;K338),CONCATENATE(","&amp;K338))))))&amp;")","")&amp;" "&amp;F338)</f>
        <v/>
      </c>
    </row>
    <row r="339">
      <c r="A339" s="1" t="n">
        <v>438</v>
      </c>
      <c r="B339" s="1">
        <f>A339</f>
        <v/>
      </c>
      <c r="C339" s="1" t="inlineStr">
        <is>
          <t>vB7am30</t>
        </is>
      </c>
      <c r="D339" s="1" t="inlineStr">
        <is>
          <t>數值</t>
        </is>
      </c>
      <c r="E339" s="1" t="n">
        <v>2</v>
      </c>
      <c r="G339" s="1" t="inlineStr">
        <is>
          <t>range</t>
        </is>
      </c>
      <c r="H339" s="1" t="inlineStr">
        <is>
          <t>0,1</t>
        </is>
      </c>
      <c r="I339" s="1" t="inlineStr">
        <is>
          <t>96</t>
        </is>
      </c>
      <c r="L339" s="1">
        <f>CONCAT(IF(D339="數值",CONCATENATE(G339&amp;"("&amp;C339&amp;","&amp;IF(ISERROR(SEARCH(",",H339,1)),(H339&amp;","&amp;H339),H339)&amp;IF(ISBLANK(I339),"",IF(ISERROR(SEARCH(",",I339,1)),CONCATENATE(","&amp;I339&amp;","&amp;I339),CONCATENATE(","&amp;I339))&amp;IF(ISBLANK(J339),"",IF(ISERROR(SEARCH(",",J339,1)),CONCATENATE(","&amp;J339&amp;","&amp;J339),CONCATENATE(","&amp;J339))&amp;IF(ISBLANK(K339),"",IF(ISERROR(SEARCH(",",K339,1)),CONCATENATE(","&amp;K339&amp;","&amp;K339),CONCATENATE(","&amp;K339))))))&amp;")","")&amp;" "&amp;F339)</f>
        <v/>
      </c>
    </row>
    <row r="340">
      <c r="A340" s="1" t="n">
        <v>439</v>
      </c>
      <c r="B340" s="1">
        <f>A340</f>
        <v/>
      </c>
      <c r="C340" s="1" t="inlineStr">
        <is>
          <t>vB7am31</t>
        </is>
      </c>
      <c r="D340" s="1" t="inlineStr">
        <is>
          <t>數值</t>
        </is>
      </c>
      <c r="E340" s="1" t="n">
        <v>2</v>
      </c>
      <c r="G340" s="1" t="inlineStr">
        <is>
          <t>range</t>
        </is>
      </c>
      <c r="H340" s="1" t="inlineStr">
        <is>
          <t>0,1</t>
        </is>
      </c>
      <c r="I340" s="1" t="inlineStr">
        <is>
          <t>96</t>
        </is>
      </c>
      <c r="L340" s="1">
        <f>CONCAT(IF(D340="數值",CONCATENATE(G340&amp;"("&amp;C340&amp;","&amp;IF(ISERROR(SEARCH(",",H340,1)),(H340&amp;","&amp;H340),H340)&amp;IF(ISBLANK(I340),"",IF(ISERROR(SEARCH(",",I340,1)),CONCATENATE(","&amp;I340&amp;","&amp;I340),CONCATENATE(","&amp;I340))&amp;IF(ISBLANK(J340),"",IF(ISERROR(SEARCH(",",J340,1)),CONCATENATE(","&amp;J340&amp;","&amp;J340),CONCATENATE(","&amp;J340))&amp;IF(ISBLANK(K340),"",IF(ISERROR(SEARCH(",",K340,1)),CONCATENATE(","&amp;K340&amp;","&amp;K340),CONCATENATE(","&amp;K340))))))&amp;")","")&amp;" "&amp;F340)</f>
        <v/>
      </c>
    </row>
    <row r="341">
      <c r="A341" s="1" t="n">
        <v>440</v>
      </c>
      <c r="B341" s="1">
        <f>A341</f>
        <v/>
      </c>
      <c r="C341" s="1" t="inlineStr">
        <is>
          <t>vB7am32</t>
        </is>
      </c>
      <c r="D341" s="1" t="inlineStr">
        <is>
          <t>數值</t>
        </is>
      </c>
      <c r="E341" s="1" t="n">
        <v>2</v>
      </c>
      <c r="G341" s="1" t="inlineStr">
        <is>
          <t>range</t>
        </is>
      </c>
      <c r="H341" s="1" t="inlineStr">
        <is>
          <t>0,1</t>
        </is>
      </c>
      <c r="I341" s="1" t="inlineStr">
        <is>
          <t>96</t>
        </is>
      </c>
      <c r="L341" s="1">
        <f>CONCAT(IF(D341="數值",CONCATENATE(G341&amp;"("&amp;C341&amp;","&amp;IF(ISERROR(SEARCH(",",H341,1)),(H341&amp;","&amp;H341),H341)&amp;IF(ISBLANK(I341),"",IF(ISERROR(SEARCH(",",I341,1)),CONCATENATE(","&amp;I341&amp;","&amp;I341),CONCATENATE(","&amp;I341))&amp;IF(ISBLANK(J341),"",IF(ISERROR(SEARCH(",",J341,1)),CONCATENATE(","&amp;J341&amp;","&amp;J341),CONCATENATE(","&amp;J341))&amp;IF(ISBLANK(K341),"",IF(ISERROR(SEARCH(",",K341,1)),CONCATENATE(","&amp;K341&amp;","&amp;K341),CONCATENATE(","&amp;K341))))))&amp;")","")&amp;" "&amp;F341)</f>
        <v/>
      </c>
    </row>
    <row r="342">
      <c r="A342" s="1" t="n">
        <v>441</v>
      </c>
      <c r="B342" s="1">
        <f>A342</f>
        <v/>
      </c>
      <c r="C342" s="1" t="inlineStr">
        <is>
          <t>vB7am33</t>
        </is>
      </c>
      <c r="D342" s="1" t="inlineStr">
        <is>
          <t>數值</t>
        </is>
      </c>
      <c r="E342" s="1" t="n">
        <v>2</v>
      </c>
      <c r="G342" s="1" t="inlineStr">
        <is>
          <t>range</t>
        </is>
      </c>
      <c r="H342" s="1" t="inlineStr">
        <is>
          <t>0,1</t>
        </is>
      </c>
      <c r="I342" s="1" t="inlineStr">
        <is>
          <t>96</t>
        </is>
      </c>
      <c r="L342" s="1">
        <f>CONCAT(IF(D342="數值",CONCATENATE(G342&amp;"("&amp;C342&amp;","&amp;IF(ISERROR(SEARCH(",",H342,1)),(H342&amp;","&amp;H342),H342)&amp;IF(ISBLANK(I342),"",IF(ISERROR(SEARCH(",",I342,1)),CONCATENATE(","&amp;I342&amp;","&amp;I342),CONCATENATE(","&amp;I342))&amp;IF(ISBLANK(J342),"",IF(ISERROR(SEARCH(",",J342,1)),CONCATENATE(","&amp;J342&amp;","&amp;J342),CONCATENATE(","&amp;J342))&amp;IF(ISBLANK(K342),"",IF(ISERROR(SEARCH(",",K342,1)),CONCATENATE(","&amp;K342&amp;","&amp;K342),CONCATENATE(","&amp;K342))))))&amp;")","")&amp;" "&amp;F342)</f>
        <v/>
      </c>
    </row>
    <row r="343">
      <c r="A343" s="1" t="n">
        <v>442</v>
      </c>
      <c r="B343" s="1">
        <f>A343</f>
        <v/>
      </c>
      <c r="C343" s="1" t="inlineStr">
        <is>
          <t>vB7am34</t>
        </is>
      </c>
      <c r="D343" s="1" t="inlineStr">
        <is>
          <t>數值</t>
        </is>
      </c>
      <c r="E343" s="1" t="n">
        <v>2</v>
      </c>
      <c r="G343" s="1" t="inlineStr">
        <is>
          <t>range</t>
        </is>
      </c>
      <c r="H343" s="1" t="inlineStr">
        <is>
          <t>0,1</t>
        </is>
      </c>
      <c r="I343" s="1" t="inlineStr">
        <is>
          <t>96</t>
        </is>
      </c>
      <c r="L343" s="1">
        <f>CONCAT(IF(D343="數值",CONCATENATE(G343&amp;"("&amp;C343&amp;","&amp;IF(ISERROR(SEARCH(",",H343,1)),(H343&amp;","&amp;H343),H343)&amp;IF(ISBLANK(I343),"",IF(ISERROR(SEARCH(",",I343,1)),CONCATENATE(","&amp;I343&amp;","&amp;I343),CONCATENATE(","&amp;I343))&amp;IF(ISBLANK(J343),"",IF(ISERROR(SEARCH(",",J343,1)),CONCATENATE(","&amp;J343&amp;","&amp;J343),CONCATENATE(","&amp;J343))&amp;IF(ISBLANK(K343),"",IF(ISERROR(SEARCH(",",K343,1)),CONCATENATE(","&amp;K343&amp;","&amp;K343),CONCATENATE(","&amp;K343))))))&amp;")","")&amp;" "&amp;F343)</f>
        <v/>
      </c>
    </row>
    <row r="344">
      <c r="A344" s="1" t="n">
        <v>443</v>
      </c>
      <c r="B344" s="1">
        <f>A344</f>
        <v/>
      </c>
      <c r="C344" s="1" t="inlineStr">
        <is>
          <t>vB7am35</t>
        </is>
      </c>
      <c r="D344" s="1" t="inlineStr">
        <is>
          <t>數值</t>
        </is>
      </c>
      <c r="E344" s="1" t="n">
        <v>2</v>
      </c>
      <c r="G344" s="1" t="inlineStr">
        <is>
          <t>range</t>
        </is>
      </c>
      <c r="H344" s="1" t="inlineStr">
        <is>
          <t>0,1</t>
        </is>
      </c>
      <c r="I344" s="1" t="inlineStr">
        <is>
          <t>96</t>
        </is>
      </c>
      <c r="L344" s="1">
        <f>CONCAT(IF(D344="數值",CONCATENATE(G344&amp;"("&amp;C344&amp;","&amp;IF(ISERROR(SEARCH(",",H344,1)),(H344&amp;","&amp;H344),H344)&amp;IF(ISBLANK(I344),"",IF(ISERROR(SEARCH(",",I344,1)),CONCATENATE(","&amp;I344&amp;","&amp;I344),CONCATENATE(","&amp;I344))&amp;IF(ISBLANK(J344),"",IF(ISERROR(SEARCH(",",J344,1)),CONCATENATE(","&amp;J344&amp;","&amp;J344),CONCATENATE(","&amp;J344))&amp;IF(ISBLANK(K344),"",IF(ISERROR(SEARCH(",",K344,1)),CONCATENATE(","&amp;K344&amp;","&amp;K344),CONCATENATE(","&amp;K344))))))&amp;")","")&amp;" "&amp;F344)</f>
        <v/>
      </c>
    </row>
    <row r="345">
      <c r="A345" s="1" t="n">
        <v>444</v>
      </c>
      <c r="B345" s="1">
        <f>A345</f>
        <v/>
      </c>
      <c r="C345" s="1" t="inlineStr">
        <is>
          <t>vB7am36</t>
        </is>
      </c>
      <c r="D345" s="1" t="inlineStr">
        <is>
          <t>數值</t>
        </is>
      </c>
      <c r="E345" s="1" t="n">
        <v>2</v>
      </c>
      <c r="G345" s="1" t="inlineStr">
        <is>
          <t>range</t>
        </is>
      </c>
      <c r="H345" s="1" t="inlineStr">
        <is>
          <t>0,1</t>
        </is>
      </c>
      <c r="I345" s="1" t="inlineStr">
        <is>
          <t>96</t>
        </is>
      </c>
      <c r="L345" s="1">
        <f>CONCAT(IF(D345="數值",CONCATENATE(G345&amp;"("&amp;C345&amp;","&amp;IF(ISERROR(SEARCH(",",H345,1)),(H345&amp;","&amp;H345),H345)&amp;IF(ISBLANK(I345),"",IF(ISERROR(SEARCH(",",I345,1)),CONCATENATE(","&amp;I345&amp;","&amp;I345),CONCATENATE(","&amp;I345))&amp;IF(ISBLANK(J345),"",IF(ISERROR(SEARCH(",",J345,1)),CONCATENATE(","&amp;J345&amp;","&amp;J345),CONCATENATE(","&amp;J345))&amp;IF(ISBLANK(K345),"",IF(ISERROR(SEARCH(",",K345,1)),CONCATENATE(","&amp;K345&amp;","&amp;K345),CONCATENATE(","&amp;K345))))))&amp;")","")&amp;" "&amp;F345)</f>
        <v/>
      </c>
    </row>
    <row r="346">
      <c r="A346" s="1" t="n">
        <v>445</v>
      </c>
      <c r="B346" s="1">
        <f>A346</f>
        <v/>
      </c>
      <c r="C346" s="1" t="inlineStr">
        <is>
          <t>vB7am37</t>
        </is>
      </c>
      <c r="D346" s="1" t="inlineStr">
        <is>
          <t>數值</t>
        </is>
      </c>
      <c r="E346" s="1" t="n">
        <v>2</v>
      </c>
      <c r="G346" s="1" t="inlineStr">
        <is>
          <t>range</t>
        </is>
      </c>
      <c r="H346" s="1" t="inlineStr">
        <is>
          <t>0,1</t>
        </is>
      </c>
      <c r="I346" s="1" t="inlineStr">
        <is>
          <t>96</t>
        </is>
      </c>
      <c r="L346" s="1">
        <f>CONCAT(IF(D346="數值",CONCATENATE(G346&amp;"("&amp;C346&amp;","&amp;IF(ISERROR(SEARCH(",",H346,1)),(H346&amp;","&amp;H346),H346)&amp;IF(ISBLANK(I346),"",IF(ISERROR(SEARCH(",",I346,1)),CONCATENATE(","&amp;I346&amp;","&amp;I346),CONCATENATE(","&amp;I346))&amp;IF(ISBLANK(J346),"",IF(ISERROR(SEARCH(",",J346,1)),CONCATENATE(","&amp;J346&amp;","&amp;J346),CONCATENATE(","&amp;J346))&amp;IF(ISBLANK(K346),"",IF(ISERROR(SEARCH(",",K346,1)),CONCATENATE(","&amp;K346&amp;","&amp;K346),CONCATENATE(","&amp;K346))))))&amp;")","")&amp;" "&amp;F346)</f>
        <v/>
      </c>
    </row>
    <row r="347">
      <c r="A347" s="1" t="n">
        <v>446</v>
      </c>
      <c r="B347" s="1">
        <f>A347</f>
        <v/>
      </c>
      <c r="C347" s="1" t="inlineStr">
        <is>
          <t>vB7am38</t>
        </is>
      </c>
      <c r="D347" s="1" t="inlineStr">
        <is>
          <t>數值</t>
        </is>
      </c>
      <c r="E347" s="1" t="n">
        <v>2</v>
      </c>
      <c r="G347" s="1" t="inlineStr">
        <is>
          <t>range</t>
        </is>
      </c>
      <c r="H347" s="1" t="inlineStr">
        <is>
          <t>0,1</t>
        </is>
      </c>
      <c r="I347" s="1" t="inlineStr">
        <is>
          <t>96</t>
        </is>
      </c>
      <c r="L347" s="1">
        <f>CONCAT(IF(D347="數值",CONCATENATE(G347&amp;"("&amp;C347&amp;","&amp;IF(ISERROR(SEARCH(",",H347,1)),(H347&amp;","&amp;H347),H347)&amp;IF(ISBLANK(I347),"",IF(ISERROR(SEARCH(",",I347,1)),CONCATENATE(","&amp;I347&amp;","&amp;I347),CONCATENATE(","&amp;I347))&amp;IF(ISBLANK(J347),"",IF(ISERROR(SEARCH(",",J347,1)),CONCATENATE(","&amp;J347&amp;","&amp;J347),CONCATENATE(","&amp;J347))&amp;IF(ISBLANK(K347),"",IF(ISERROR(SEARCH(",",K347,1)),CONCATENATE(","&amp;K347&amp;","&amp;K347),CONCATENATE(","&amp;K347))))))&amp;")","")&amp;" "&amp;F347)</f>
        <v/>
      </c>
    </row>
    <row r="348">
      <c r="A348" s="1" t="n">
        <v>447</v>
      </c>
      <c r="B348" s="1">
        <f>A348</f>
        <v/>
      </c>
      <c r="C348" s="1" t="inlineStr">
        <is>
          <t>vB7am39</t>
        </is>
      </c>
      <c r="D348" s="1" t="inlineStr">
        <is>
          <t>數值</t>
        </is>
      </c>
      <c r="E348" s="1" t="n">
        <v>2</v>
      </c>
      <c r="G348" s="1" t="inlineStr">
        <is>
          <t>range</t>
        </is>
      </c>
      <c r="H348" s="1" t="inlineStr">
        <is>
          <t>0,1</t>
        </is>
      </c>
      <c r="I348" s="1" t="inlineStr">
        <is>
          <t>96</t>
        </is>
      </c>
      <c r="L348" s="1">
        <f>CONCAT(IF(D348="數值",CONCATENATE(G348&amp;"("&amp;C348&amp;","&amp;IF(ISERROR(SEARCH(",",H348,1)),(H348&amp;","&amp;H348),H348)&amp;IF(ISBLANK(I348),"",IF(ISERROR(SEARCH(",",I348,1)),CONCATENATE(","&amp;I348&amp;","&amp;I348),CONCATENATE(","&amp;I348))&amp;IF(ISBLANK(J348),"",IF(ISERROR(SEARCH(",",J348,1)),CONCATENATE(","&amp;J348&amp;","&amp;J348),CONCATENATE(","&amp;J348))&amp;IF(ISBLANK(K348),"",IF(ISERROR(SEARCH(",",K348,1)),CONCATENATE(","&amp;K348&amp;","&amp;K348),CONCATENATE(","&amp;K348))))))&amp;")","")&amp;" "&amp;F348)</f>
        <v/>
      </c>
    </row>
    <row r="349">
      <c r="A349" s="1" t="n">
        <v>448</v>
      </c>
      <c r="B349" s="1">
        <f>A349</f>
        <v/>
      </c>
      <c r="C349" s="1" t="inlineStr">
        <is>
          <t>vB7am40</t>
        </is>
      </c>
      <c r="D349" s="1" t="inlineStr">
        <is>
          <t>數值</t>
        </is>
      </c>
      <c r="E349" s="1" t="n">
        <v>2</v>
      </c>
      <c r="G349" s="1" t="inlineStr">
        <is>
          <t>range</t>
        </is>
      </c>
      <c r="H349" s="1" t="inlineStr">
        <is>
          <t>0,1</t>
        </is>
      </c>
      <c r="I349" s="1" t="inlineStr">
        <is>
          <t>96</t>
        </is>
      </c>
      <c r="L349" s="1">
        <f>CONCAT(IF(D349="數值",CONCATENATE(G349&amp;"("&amp;C349&amp;","&amp;IF(ISERROR(SEARCH(",",H349,1)),(H349&amp;","&amp;H349),H349)&amp;IF(ISBLANK(I349),"",IF(ISERROR(SEARCH(",",I349,1)),CONCATENATE(","&amp;I349&amp;","&amp;I349),CONCATENATE(","&amp;I349))&amp;IF(ISBLANK(J349),"",IF(ISERROR(SEARCH(",",J349,1)),CONCATENATE(","&amp;J349&amp;","&amp;J349),CONCATENATE(","&amp;J349))&amp;IF(ISBLANK(K349),"",IF(ISERROR(SEARCH(",",K349,1)),CONCATENATE(","&amp;K349&amp;","&amp;K349),CONCATENATE(","&amp;K349))))))&amp;")","")&amp;" "&amp;F349)</f>
        <v/>
      </c>
    </row>
    <row r="350">
      <c r="A350" s="1" t="n">
        <v>449</v>
      </c>
      <c r="B350" s="1">
        <f>A350</f>
        <v/>
      </c>
      <c r="C350" s="1" t="inlineStr">
        <is>
          <t>vB7am41</t>
        </is>
      </c>
      <c r="D350" s="1" t="inlineStr">
        <is>
          <t>數值</t>
        </is>
      </c>
      <c r="E350" s="1" t="n">
        <v>2</v>
      </c>
      <c r="G350" s="1" t="inlineStr">
        <is>
          <t>range</t>
        </is>
      </c>
      <c r="H350" s="1" t="inlineStr">
        <is>
          <t>0,1</t>
        </is>
      </c>
      <c r="I350" s="1" t="inlineStr">
        <is>
          <t>96</t>
        </is>
      </c>
      <c r="L350" s="1">
        <f>CONCAT(IF(D350="數值",CONCATENATE(G350&amp;"("&amp;C350&amp;","&amp;IF(ISERROR(SEARCH(",",H350,1)),(H350&amp;","&amp;H350),H350)&amp;IF(ISBLANK(I350),"",IF(ISERROR(SEARCH(",",I350,1)),CONCATENATE(","&amp;I350&amp;","&amp;I350),CONCATENATE(","&amp;I350))&amp;IF(ISBLANK(J350),"",IF(ISERROR(SEARCH(",",J350,1)),CONCATENATE(","&amp;J350&amp;","&amp;J350),CONCATENATE(","&amp;J350))&amp;IF(ISBLANK(K350),"",IF(ISERROR(SEARCH(",",K350,1)),CONCATENATE(","&amp;K350&amp;","&amp;K350),CONCATENATE(","&amp;K350))))))&amp;")","")&amp;" "&amp;F350)</f>
        <v/>
      </c>
    </row>
    <row r="351">
      <c r="A351" s="1" t="n">
        <v>450</v>
      </c>
      <c r="B351" s="1">
        <f>A351</f>
        <v/>
      </c>
      <c r="C351" s="1" t="inlineStr">
        <is>
          <t>vB7am42</t>
        </is>
      </c>
      <c r="D351" s="1" t="inlineStr">
        <is>
          <t>數值</t>
        </is>
      </c>
      <c r="E351" s="1" t="n">
        <v>2</v>
      </c>
      <c r="G351" s="1" t="inlineStr">
        <is>
          <t>range</t>
        </is>
      </c>
      <c r="H351" s="1" t="inlineStr">
        <is>
          <t>0,1</t>
        </is>
      </c>
      <c r="I351" s="1" t="inlineStr">
        <is>
          <t>96</t>
        </is>
      </c>
      <c r="L351" s="1">
        <f>CONCAT(IF(D351="數值",CONCATENATE(G351&amp;"("&amp;C351&amp;","&amp;IF(ISERROR(SEARCH(",",H351,1)),(H351&amp;","&amp;H351),H351)&amp;IF(ISBLANK(I351),"",IF(ISERROR(SEARCH(",",I351,1)),CONCATENATE(","&amp;I351&amp;","&amp;I351),CONCATENATE(","&amp;I351))&amp;IF(ISBLANK(J351),"",IF(ISERROR(SEARCH(",",J351,1)),CONCATENATE(","&amp;J351&amp;","&amp;J351),CONCATENATE(","&amp;J351))&amp;IF(ISBLANK(K351),"",IF(ISERROR(SEARCH(",",K351,1)),CONCATENATE(","&amp;K351&amp;","&amp;K351),CONCATENATE(","&amp;K351))))))&amp;")","")&amp;" "&amp;F351)</f>
        <v/>
      </c>
    </row>
    <row r="352">
      <c r="A352" s="1" t="n">
        <v>451</v>
      </c>
      <c r="B352" s="1">
        <f>A352</f>
        <v/>
      </c>
      <c r="C352" s="1" t="inlineStr">
        <is>
          <t>vB7am43</t>
        </is>
      </c>
      <c r="D352" s="1" t="inlineStr">
        <is>
          <t>數值</t>
        </is>
      </c>
      <c r="E352" s="1" t="n">
        <v>2</v>
      </c>
      <c r="G352" s="1" t="inlineStr">
        <is>
          <t>range</t>
        </is>
      </c>
      <c r="H352" s="1" t="inlineStr">
        <is>
          <t>0,1</t>
        </is>
      </c>
      <c r="I352" s="1" t="inlineStr">
        <is>
          <t>96</t>
        </is>
      </c>
      <c r="L352" s="1">
        <f>CONCAT(IF(D352="數值",CONCATENATE(G352&amp;"("&amp;C352&amp;","&amp;IF(ISERROR(SEARCH(",",H352,1)),(H352&amp;","&amp;H352),H352)&amp;IF(ISBLANK(I352),"",IF(ISERROR(SEARCH(",",I352,1)),CONCATENATE(","&amp;I352&amp;","&amp;I352),CONCATENATE(","&amp;I352))&amp;IF(ISBLANK(J352),"",IF(ISERROR(SEARCH(",",J352,1)),CONCATENATE(","&amp;J352&amp;","&amp;J352),CONCATENATE(","&amp;J352))&amp;IF(ISBLANK(K352),"",IF(ISERROR(SEARCH(",",K352,1)),CONCATENATE(","&amp;K352&amp;","&amp;K352),CONCATENATE(","&amp;K352))))))&amp;")","")&amp;" "&amp;F352)</f>
        <v/>
      </c>
    </row>
    <row r="353">
      <c r="A353" s="1" t="n">
        <v>452</v>
      </c>
      <c r="B353" s="1">
        <f>A353</f>
        <v/>
      </c>
      <c r="C353" s="1" t="inlineStr">
        <is>
          <t>vB7am44</t>
        </is>
      </c>
      <c r="D353" s="1" t="inlineStr">
        <is>
          <t>數值</t>
        </is>
      </c>
      <c r="E353" s="1" t="n">
        <v>2</v>
      </c>
      <c r="G353" s="1" t="inlineStr">
        <is>
          <t>range</t>
        </is>
      </c>
      <c r="H353" s="1" t="inlineStr">
        <is>
          <t>0,1</t>
        </is>
      </c>
      <c r="I353" s="1" t="inlineStr">
        <is>
          <t>96</t>
        </is>
      </c>
      <c r="L353" s="1">
        <f>CONCAT(IF(D353="數值",CONCATENATE(G353&amp;"("&amp;C353&amp;","&amp;IF(ISERROR(SEARCH(",",H353,1)),(H353&amp;","&amp;H353),H353)&amp;IF(ISBLANK(I353),"",IF(ISERROR(SEARCH(",",I353,1)),CONCATENATE(","&amp;I353&amp;","&amp;I353),CONCATENATE(","&amp;I353))&amp;IF(ISBLANK(J353),"",IF(ISERROR(SEARCH(",",J353,1)),CONCATENATE(","&amp;J353&amp;","&amp;J353),CONCATENATE(","&amp;J353))&amp;IF(ISBLANK(K353),"",IF(ISERROR(SEARCH(",",K353,1)),CONCATENATE(","&amp;K353&amp;","&amp;K353),CONCATENATE(","&amp;K353))))))&amp;")","")&amp;" "&amp;F353)</f>
        <v/>
      </c>
    </row>
    <row r="354">
      <c r="A354" s="1" t="n">
        <v>453</v>
      </c>
      <c r="B354" s="1">
        <f>A354</f>
        <v/>
      </c>
      <c r="C354" s="1" t="inlineStr">
        <is>
          <t>vB7am45</t>
        </is>
      </c>
      <c r="D354" s="1" t="inlineStr">
        <is>
          <t>數值</t>
        </is>
      </c>
      <c r="E354" s="1" t="n">
        <v>2</v>
      </c>
      <c r="G354" s="1" t="inlineStr">
        <is>
          <t>range</t>
        </is>
      </c>
      <c r="H354" s="1" t="inlineStr">
        <is>
          <t>0,1</t>
        </is>
      </c>
      <c r="I354" s="1" t="inlineStr">
        <is>
          <t>96</t>
        </is>
      </c>
      <c r="L354" s="1">
        <f>CONCAT(IF(D354="數值",CONCATENATE(G354&amp;"("&amp;C354&amp;","&amp;IF(ISERROR(SEARCH(",",H354,1)),(H354&amp;","&amp;H354),H354)&amp;IF(ISBLANK(I354),"",IF(ISERROR(SEARCH(",",I354,1)),CONCATENATE(","&amp;I354&amp;","&amp;I354),CONCATENATE(","&amp;I354))&amp;IF(ISBLANK(J354),"",IF(ISERROR(SEARCH(",",J354,1)),CONCATENATE(","&amp;J354&amp;","&amp;J354),CONCATENATE(","&amp;J354))&amp;IF(ISBLANK(K354),"",IF(ISERROR(SEARCH(",",K354,1)),CONCATENATE(","&amp;K354&amp;","&amp;K354),CONCATENATE(","&amp;K354))))))&amp;")","")&amp;" "&amp;F354)</f>
        <v/>
      </c>
    </row>
    <row r="355">
      <c r="A355" s="1" t="n">
        <v>454</v>
      </c>
      <c r="B355" s="1">
        <f>A355</f>
        <v/>
      </c>
      <c r="C355" s="1" t="inlineStr">
        <is>
          <t>vB7am46</t>
        </is>
      </c>
      <c r="D355" s="1" t="inlineStr">
        <is>
          <t>數值</t>
        </is>
      </c>
      <c r="E355" s="1" t="n">
        <v>2</v>
      </c>
      <c r="G355" s="1" t="inlineStr">
        <is>
          <t>range</t>
        </is>
      </c>
      <c r="H355" s="1" t="inlineStr">
        <is>
          <t>0,1</t>
        </is>
      </c>
      <c r="I355" s="1" t="inlineStr">
        <is>
          <t>96</t>
        </is>
      </c>
      <c r="L355" s="1">
        <f>CONCAT(IF(D355="數值",CONCATENATE(G355&amp;"("&amp;C355&amp;","&amp;IF(ISERROR(SEARCH(",",H355,1)),(H355&amp;","&amp;H355),H355)&amp;IF(ISBLANK(I355),"",IF(ISERROR(SEARCH(",",I355,1)),CONCATENATE(","&amp;I355&amp;","&amp;I355),CONCATENATE(","&amp;I355))&amp;IF(ISBLANK(J355),"",IF(ISERROR(SEARCH(",",J355,1)),CONCATENATE(","&amp;J355&amp;","&amp;J355),CONCATENATE(","&amp;J355))&amp;IF(ISBLANK(K355),"",IF(ISERROR(SEARCH(",",K355,1)),CONCATENATE(","&amp;K355&amp;","&amp;K355),CONCATENATE(","&amp;K355))))))&amp;")","")&amp;" "&amp;F355)</f>
        <v/>
      </c>
    </row>
    <row r="356">
      <c r="A356" s="1" t="n">
        <v>455</v>
      </c>
      <c r="B356" s="1">
        <f>A356</f>
        <v/>
      </c>
      <c r="C356" s="1" t="inlineStr">
        <is>
          <t>vB7am47</t>
        </is>
      </c>
      <c r="D356" s="1" t="inlineStr">
        <is>
          <t>數值</t>
        </is>
      </c>
      <c r="E356" s="1" t="n">
        <v>2</v>
      </c>
      <c r="G356" s="1" t="inlineStr">
        <is>
          <t>range</t>
        </is>
      </c>
      <c r="H356" s="1" t="inlineStr">
        <is>
          <t>0,1</t>
        </is>
      </c>
      <c r="I356" s="1" t="inlineStr">
        <is>
          <t>96</t>
        </is>
      </c>
      <c r="L356" s="1">
        <f>CONCAT(IF(D356="數值",CONCATENATE(G356&amp;"("&amp;C356&amp;","&amp;IF(ISERROR(SEARCH(",",H356,1)),(H356&amp;","&amp;H356),H356)&amp;IF(ISBLANK(I356),"",IF(ISERROR(SEARCH(",",I356,1)),CONCATENATE(","&amp;I356&amp;","&amp;I356),CONCATENATE(","&amp;I356))&amp;IF(ISBLANK(J356),"",IF(ISERROR(SEARCH(",",J356,1)),CONCATENATE(","&amp;J356&amp;","&amp;J356),CONCATENATE(","&amp;J356))&amp;IF(ISBLANK(K356),"",IF(ISERROR(SEARCH(",",K356,1)),CONCATENATE(","&amp;K356&amp;","&amp;K356),CONCATENATE(","&amp;K356))))))&amp;")","")&amp;" "&amp;F356)</f>
        <v/>
      </c>
    </row>
    <row r="357">
      <c r="A357" s="1" t="n">
        <v>456</v>
      </c>
      <c r="B357" s="1">
        <f>A357</f>
        <v/>
      </c>
      <c r="C357" s="1" t="inlineStr">
        <is>
          <t>vB7am48</t>
        </is>
      </c>
      <c r="D357" s="1" t="inlineStr">
        <is>
          <t>數值</t>
        </is>
      </c>
      <c r="E357" s="1" t="n">
        <v>2</v>
      </c>
      <c r="G357" s="1" t="inlineStr">
        <is>
          <t>range</t>
        </is>
      </c>
      <c r="H357" s="1" t="inlineStr">
        <is>
          <t>0,1</t>
        </is>
      </c>
      <c r="I357" s="1" t="inlineStr">
        <is>
          <t>96</t>
        </is>
      </c>
      <c r="L357" s="1">
        <f>CONCAT(IF(D357="數值",CONCATENATE(G357&amp;"("&amp;C357&amp;","&amp;IF(ISERROR(SEARCH(",",H357,1)),(H357&amp;","&amp;H357),H357)&amp;IF(ISBLANK(I357),"",IF(ISERROR(SEARCH(",",I357,1)),CONCATENATE(","&amp;I357&amp;","&amp;I357),CONCATENATE(","&amp;I357))&amp;IF(ISBLANK(J357),"",IF(ISERROR(SEARCH(",",J357,1)),CONCATENATE(","&amp;J357&amp;","&amp;J357),CONCATENATE(","&amp;J357))&amp;IF(ISBLANK(K357),"",IF(ISERROR(SEARCH(",",K357,1)),CONCATENATE(","&amp;K357&amp;","&amp;K357),CONCATENATE(","&amp;K357))))))&amp;")","")&amp;" "&amp;F357)</f>
        <v/>
      </c>
    </row>
    <row r="358">
      <c r="A358" s="1" t="n">
        <v>457</v>
      </c>
      <c r="B358" s="1">
        <f>A358</f>
        <v/>
      </c>
      <c r="C358" s="1" t="inlineStr">
        <is>
          <t>vB7am49</t>
        </is>
      </c>
      <c r="D358" s="1" t="inlineStr">
        <is>
          <t>數值</t>
        </is>
      </c>
      <c r="E358" s="1" t="n">
        <v>2</v>
      </c>
      <c r="G358" s="1" t="inlineStr">
        <is>
          <t>range</t>
        </is>
      </c>
      <c r="H358" s="1" t="inlineStr">
        <is>
          <t>0,1</t>
        </is>
      </c>
      <c r="I358" s="1" t="inlineStr">
        <is>
          <t>96</t>
        </is>
      </c>
      <c r="L358" s="1">
        <f>CONCAT(IF(D358="數值",CONCATENATE(G358&amp;"("&amp;C358&amp;","&amp;IF(ISERROR(SEARCH(",",H358,1)),(H358&amp;","&amp;H358),H358)&amp;IF(ISBLANK(I358),"",IF(ISERROR(SEARCH(",",I358,1)),CONCATENATE(","&amp;I358&amp;","&amp;I358),CONCATENATE(","&amp;I358))&amp;IF(ISBLANK(J358),"",IF(ISERROR(SEARCH(",",J358,1)),CONCATENATE(","&amp;J358&amp;","&amp;J358),CONCATENATE(","&amp;J358))&amp;IF(ISBLANK(K358),"",IF(ISERROR(SEARCH(",",K358,1)),CONCATENATE(","&amp;K358&amp;","&amp;K358),CONCATENATE(","&amp;K358))))))&amp;")","")&amp;" "&amp;F358)</f>
        <v/>
      </c>
    </row>
    <row r="359">
      <c r="A359" s="1" t="n">
        <v>458</v>
      </c>
      <c r="B359" s="1">
        <f>A359</f>
        <v/>
      </c>
      <c r="C359" s="1" t="inlineStr">
        <is>
          <t>vB7am50</t>
        </is>
      </c>
      <c r="D359" s="1" t="inlineStr">
        <is>
          <t>數值</t>
        </is>
      </c>
      <c r="E359" s="1" t="n">
        <v>2</v>
      </c>
      <c r="G359" s="1" t="inlineStr">
        <is>
          <t>range</t>
        </is>
      </c>
      <c r="H359" s="1" t="inlineStr">
        <is>
          <t>0,1</t>
        </is>
      </c>
      <c r="I359" s="1" t="inlineStr">
        <is>
          <t>96</t>
        </is>
      </c>
      <c r="L359" s="1">
        <f>CONCAT(IF(D359="數值",CONCATENATE(G359&amp;"("&amp;C359&amp;","&amp;IF(ISERROR(SEARCH(",",H359,1)),(H359&amp;","&amp;H359),H359)&amp;IF(ISBLANK(I359),"",IF(ISERROR(SEARCH(",",I359,1)),CONCATENATE(","&amp;I359&amp;","&amp;I359),CONCATENATE(","&amp;I359))&amp;IF(ISBLANK(J359),"",IF(ISERROR(SEARCH(",",J359,1)),CONCATENATE(","&amp;J359&amp;","&amp;J359),CONCATENATE(","&amp;J359))&amp;IF(ISBLANK(K359),"",IF(ISERROR(SEARCH(",",K359,1)),CONCATENATE(","&amp;K359&amp;","&amp;K359),CONCATENATE(","&amp;K359))))))&amp;")","")&amp;" "&amp;F359)</f>
        <v/>
      </c>
    </row>
    <row r="360">
      <c r="A360" s="1" t="n">
        <v>459</v>
      </c>
      <c r="B360" s="1">
        <f>A360</f>
        <v/>
      </c>
      <c r="C360" s="1" t="inlineStr">
        <is>
          <t>vB7am51</t>
        </is>
      </c>
      <c r="D360" s="1" t="inlineStr">
        <is>
          <t>數值</t>
        </is>
      </c>
      <c r="E360" s="1" t="n">
        <v>2</v>
      </c>
      <c r="G360" s="1" t="inlineStr">
        <is>
          <t>range</t>
        </is>
      </c>
      <c r="H360" s="1" t="inlineStr">
        <is>
          <t>0,1</t>
        </is>
      </c>
      <c r="I360" s="1" t="inlineStr">
        <is>
          <t>96</t>
        </is>
      </c>
      <c r="L360" s="1">
        <f>CONCAT(IF(D360="數值",CONCATENATE(G360&amp;"("&amp;C360&amp;","&amp;IF(ISERROR(SEARCH(",",H360,1)),(H360&amp;","&amp;H360),H360)&amp;IF(ISBLANK(I360),"",IF(ISERROR(SEARCH(",",I360,1)),CONCATENATE(","&amp;I360&amp;","&amp;I360),CONCATENATE(","&amp;I360))&amp;IF(ISBLANK(J360),"",IF(ISERROR(SEARCH(",",J360,1)),CONCATENATE(","&amp;J360&amp;","&amp;J360),CONCATENATE(","&amp;J360))&amp;IF(ISBLANK(K360),"",IF(ISERROR(SEARCH(",",K360,1)),CONCATENATE(","&amp;K360&amp;","&amp;K360),CONCATENATE(","&amp;K360))))))&amp;")","")&amp;" "&amp;F360)</f>
        <v/>
      </c>
    </row>
    <row r="361">
      <c r="A361" s="1" t="n">
        <v>460</v>
      </c>
      <c r="B361" s="1">
        <f>A361</f>
        <v/>
      </c>
      <c r="C361" s="1" t="inlineStr">
        <is>
          <t>vB7am52</t>
        </is>
      </c>
      <c r="D361" s="1" t="inlineStr">
        <is>
          <t>數值</t>
        </is>
      </c>
      <c r="E361" s="1" t="n">
        <v>2</v>
      </c>
      <c r="G361" s="1" t="inlineStr">
        <is>
          <t>range</t>
        </is>
      </c>
      <c r="H361" s="1" t="inlineStr">
        <is>
          <t>0,1</t>
        </is>
      </c>
      <c r="I361" s="1" t="inlineStr">
        <is>
          <t>96</t>
        </is>
      </c>
      <c r="L361" s="1">
        <f>CONCAT(IF(D361="數值",CONCATENATE(G361&amp;"("&amp;C361&amp;","&amp;IF(ISERROR(SEARCH(",",H361,1)),(H361&amp;","&amp;H361),H361)&amp;IF(ISBLANK(I361),"",IF(ISERROR(SEARCH(",",I361,1)),CONCATENATE(","&amp;I361&amp;","&amp;I361),CONCATENATE(","&amp;I361))&amp;IF(ISBLANK(J361),"",IF(ISERROR(SEARCH(",",J361,1)),CONCATENATE(","&amp;J361&amp;","&amp;J361),CONCATENATE(","&amp;J361))&amp;IF(ISBLANK(K361),"",IF(ISERROR(SEARCH(",",K361,1)),CONCATENATE(","&amp;K361&amp;","&amp;K361),CONCATENATE(","&amp;K361))))))&amp;")","")&amp;" "&amp;F361)</f>
        <v/>
      </c>
    </row>
    <row r="362">
      <c r="A362" s="1" t="n">
        <v>461</v>
      </c>
      <c r="B362" s="1">
        <f>A362</f>
        <v/>
      </c>
      <c r="C362" s="1" t="inlineStr">
        <is>
          <t>vB7am53</t>
        </is>
      </c>
      <c r="D362" s="1" t="inlineStr">
        <is>
          <t>數值</t>
        </is>
      </c>
      <c r="E362" s="1" t="n">
        <v>2</v>
      </c>
      <c r="G362" s="1" t="inlineStr">
        <is>
          <t>range</t>
        </is>
      </c>
      <c r="H362" s="1" t="inlineStr">
        <is>
          <t>0,1</t>
        </is>
      </c>
      <c r="I362" s="1" t="inlineStr">
        <is>
          <t>96</t>
        </is>
      </c>
      <c r="L362" s="1">
        <f>CONCAT(IF(D362="數值",CONCATENATE(G362&amp;"("&amp;C362&amp;","&amp;IF(ISERROR(SEARCH(",",H362,1)),(H362&amp;","&amp;H362),H362)&amp;IF(ISBLANK(I362),"",IF(ISERROR(SEARCH(",",I362,1)),CONCATENATE(","&amp;I362&amp;","&amp;I362),CONCATENATE(","&amp;I362))&amp;IF(ISBLANK(J362),"",IF(ISERROR(SEARCH(",",J362,1)),CONCATENATE(","&amp;J362&amp;","&amp;J362),CONCATENATE(","&amp;J362))&amp;IF(ISBLANK(K362),"",IF(ISERROR(SEARCH(",",K362,1)),CONCATENATE(","&amp;K362&amp;","&amp;K362),CONCATENATE(","&amp;K362))))))&amp;")","")&amp;" "&amp;F362)</f>
        <v/>
      </c>
    </row>
    <row r="363">
      <c r="A363" s="1" t="n">
        <v>462</v>
      </c>
      <c r="B363" s="1">
        <f>A363</f>
        <v/>
      </c>
      <c r="C363" s="1" t="inlineStr">
        <is>
          <t>vB7am54</t>
        </is>
      </c>
      <c r="D363" s="1" t="inlineStr">
        <is>
          <t>數值</t>
        </is>
      </c>
      <c r="E363" s="1" t="n">
        <v>2</v>
      </c>
      <c r="G363" s="1" t="inlineStr">
        <is>
          <t>range</t>
        </is>
      </c>
      <c r="H363" s="1" t="inlineStr">
        <is>
          <t>0,1</t>
        </is>
      </c>
      <c r="I363" s="1" t="inlineStr">
        <is>
          <t>96</t>
        </is>
      </c>
      <c r="L363" s="1">
        <f>CONCAT(IF(D363="數值",CONCATENATE(G363&amp;"("&amp;C363&amp;","&amp;IF(ISERROR(SEARCH(",",H363,1)),(H363&amp;","&amp;H363),H363)&amp;IF(ISBLANK(I363),"",IF(ISERROR(SEARCH(",",I363,1)),CONCATENATE(","&amp;I363&amp;","&amp;I363),CONCATENATE(","&amp;I363))&amp;IF(ISBLANK(J363),"",IF(ISERROR(SEARCH(",",J363,1)),CONCATENATE(","&amp;J363&amp;","&amp;J363),CONCATENATE(","&amp;J363))&amp;IF(ISBLANK(K363),"",IF(ISERROR(SEARCH(",",K363,1)),CONCATENATE(","&amp;K363&amp;","&amp;K363),CONCATENATE(","&amp;K363))))))&amp;")","")&amp;" "&amp;F363)</f>
        <v/>
      </c>
    </row>
    <row r="364">
      <c r="A364" s="1" t="n">
        <v>463</v>
      </c>
      <c r="B364" s="1">
        <f>A364</f>
        <v/>
      </c>
      <c r="C364" s="1" t="inlineStr">
        <is>
          <t>vB7am88</t>
        </is>
      </c>
      <c r="D364" s="1" t="inlineStr">
        <is>
          <t>數值</t>
        </is>
      </c>
      <c r="E364" s="1" t="n">
        <v>2</v>
      </c>
      <c r="G364" s="1" t="inlineStr">
        <is>
          <t>range</t>
        </is>
      </c>
      <c r="H364" s="1" t="inlineStr">
        <is>
          <t>0,1</t>
        </is>
      </c>
      <c r="I364" s="1" t="inlineStr">
        <is>
          <t>96</t>
        </is>
      </c>
      <c r="L364" s="1">
        <f>CONCAT(IF(D364="數值",CONCATENATE(G364&amp;"("&amp;C364&amp;","&amp;IF(ISERROR(SEARCH(",",H364,1)),(H364&amp;","&amp;H364),H364)&amp;IF(ISBLANK(I364),"",IF(ISERROR(SEARCH(",",I364,1)),CONCATENATE(","&amp;I364&amp;","&amp;I364),CONCATENATE(","&amp;I364))&amp;IF(ISBLANK(J364),"",IF(ISERROR(SEARCH(",",J364,1)),CONCATENATE(","&amp;J364&amp;","&amp;J364),CONCATENATE(","&amp;J364))&amp;IF(ISBLANK(K364),"",IF(ISERROR(SEARCH(",",K364,1)),CONCATENATE(","&amp;K364&amp;","&amp;K364),CONCATENATE(","&amp;K364))))))&amp;")","")&amp;" "&amp;F364)</f>
        <v/>
      </c>
    </row>
    <row r="365">
      <c r="A365" s="1" t="n">
        <v>464</v>
      </c>
      <c r="B365" s="1">
        <f>A365</f>
        <v/>
      </c>
      <c r="C365" s="1" t="inlineStr">
        <is>
          <t>vB7</t>
        </is>
      </c>
      <c r="D365" s="1" t="inlineStr">
        <is>
          <t>數值</t>
        </is>
      </c>
      <c r="E365" s="1" t="n">
        <v>2</v>
      </c>
      <c r="G365" s="1" t="inlineStr">
        <is>
          <t>range</t>
        </is>
      </c>
      <c r="H365" s="1" t="inlineStr">
        <is>
          <t>1,54</t>
        </is>
      </c>
      <c r="I365" s="1" t="inlineStr">
        <is>
          <t>88</t>
        </is>
      </c>
      <c r="J365" s="1" t="inlineStr">
        <is>
          <t>95</t>
        </is>
      </c>
      <c r="K365" s="1" t="inlineStr">
        <is>
          <t>97,98</t>
        </is>
      </c>
      <c r="L365" s="1">
        <f>CONCAT(IF(D365="數值",CONCATENATE(G365&amp;"("&amp;C365&amp;","&amp;IF(ISERROR(SEARCH(",",H365,1)),(H365&amp;","&amp;H365),H365)&amp;IF(ISBLANK(I365),"",IF(ISERROR(SEARCH(",",I365,1)),CONCATENATE(","&amp;I365&amp;","&amp;I365),CONCATENATE(","&amp;I365))&amp;IF(ISBLANK(J365),"",IF(ISERROR(SEARCH(",",J365,1)),CONCATENATE(","&amp;J365&amp;","&amp;J365),CONCATENATE(","&amp;J365))&amp;IF(ISBLANK(K365),"",IF(ISERROR(SEARCH(",",K365,1)),CONCATENATE(","&amp;K365&amp;","&amp;K365),CONCATENATE(","&amp;K365))))))&amp;")","")&amp;" "&amp;F365)</f>
        <v/>
      </c>
    </row>
    <row r="366">
      <c r="A366" s="1" t="n">
        <v>465</v>
      </c>
      <c r="B366" s="1">
        <f>A366</f>
        <v/>
      </c>
      <c r="C366" s="1" t="inlineStr">
        <is>
          <t>vB8m01</t>
        </is>
      </c>
      <c r="D366" s="1" t="inlineStr">
        <is>
          <t>數值</t>
        </is>
      </c>
      <c r="E366" s="1" t="n">
        <v>2</v>
      </c>
      <c r="G366" s="1" t="inlineStr">
        <is>
          <t>range</t>
        </is>
      </c>
      <c r="H366" s="1" t="inlineStr">
        <is>
          <t>0,1</t>
        </is>
      </c>
      <c r="L366" s="1">
        <f>CONCAT(IF(D366="數值",CONCATENATE(G366&amp;"("&amp;C366&amp;","&amp;IF(ISERROR(SEARCH(",",H366,1)),(H366&amp;","&amp;H366),H366)&amp;IF(ISBLANK(I366),"",IF(ISERROR(SEARCH(",",I366,1)),CONCATENATE(","&amp;I366&amp;","&amp;I366),CONCATENATE(","&amp;I366))&amp;IF(ISBLANK(J366),"",IF(ISERROR(SEARCH(",",J366,1)),CONCATENATE(","&amp;J366&amp;","&amp;J366),CONCATENATE(","&amp;J366))&amp;IF(ISBLANK(K366),"",IF(ISERROR(SEARCH(",",K366,1)),CONCATENATE(","&amp;K366&amp;","&amp;K366),CONCATENATE(","&amp;K366))))))&amp;")","")&amp;" "&amp;F366)</f>
        <v/>
      </c>
    </row>
    <row r="367">
      <c r="A367" s="1" t="n">
        <v>466</v>
      </c>
      <c r="B367" s="1">
        <f>A367</f>
        <v/>
      </c>
      <c r="C367" s="1" t="inlineStr">
        <is>
          <t>vB8m02</t>
        </is>
      </c>
      <c r="D367" s="1" t="inlineStr">
        <is>
          <t>數值</t>
        </is>
      </c>
      <c r="E367" s="1" t="n">
        <v>2</v>
      </c>
      <c r="G367" s="1" t="inlineStr">
        <is>
          <t>range</t>
        </is>
      </c>
      <c r="H367" s="1" t="inlineStr">
        <is>
          <t>0,1</t>
        </is>
      </c>
      <c r="L367" s="1">
        <f>CONCAT(IF(D367="數值",CONCATENATE(G367&amp;"("&amp;C367&amp;","&amp;IF(ISERROR(SEARCH(",",H367,1)),(H367&amp;","&amp;H367),H367)&amp;IF(ISBLANK(I367),"",IF(ISERROR(SEARCH(",",I367,1)),CONCATENATE(","&amp;I367&amp;","&amp;I367),CONCATENATE(","&amp;I367))&amp;IF(ISBLANK(J367),"",IF(ISERROR(SEARCH(",",J367,1)),CONCATENATE(","&amp;J367&amp;","&amp;J367),CONCATENATE(","&amp;J367))&amp;IF(ISBLANK(K367),"",IF(ISERROR(SEARCH(",",K367,1)),CONCATENATE(","&amp;K367&amp;","&amp;K367),CONCATENATE(","&amp;K367))))))&amp;")","")&amp;" "&amp;F367)</f>
        <v/>
      </c>
    </row>
    <row r="368">
      <c r="A368" s="1" t="n">
        <v>467</v>
      </c>
      <c r="B368" s="1">
        <f>A368</f>
        <v/>
      </c>
      <c r="C368" s="1" t="inlineStr">
        <is>
          <t>vB8m03</t>
        </is>
      </c>
      <c r="D368" s="1" t="inlineStr">
        <is>
          <t>數值</t>
        </is>
      </c>
      <c r="E368" s="1" t="n">
        <v>2</v>
      </c>
      <c r="G368" s="1" t="inlineStr">
        <is>
          <t>range</t>
        </is>
      </c>
      <c r="H368" s="1" t="inlineStr">
        <is>
          <t>0,1</t>
        </is>
      </c>
      <c r="L368" s="1">
        <f>CONCAT(IF(D368="數值",CONCATENATE(G368&amp;"("&amp;C368&amp;","&amp;IF(ISERROR(SEARCH(",",H368,1)),(H368&amp;","&amp;H368),H368)&amp;IF(ISBLANK(I368),"",IF(ISERROR(SEARCH(",",I368,1)),CONCATENATE(","&amp;I368&amp;","&amp;I368),CONCATENATE(","&amp;I368))&amp;IF(ISBLANK(J368),"",IF(ISERROR(SEARCH(",",J368,1)),CONCATENATE(","&amp;J368&amp;","&amp;J368),CONCATENATE(","&amp;J368))&amp;IF(ISBLANK(K368),"",IF(ISERROR(SEARCH(",",K368,1)),CONCATENATE(","&amp;K368&amp;","&amp;K368),CONCATENATE(","&amp;K368))))))&amp;")","")&amp;" "&amp;F368)</f>
        <v/>
      </c>
    </row>
    <row r="369">
      <c r="A369" s="1" t="n">
        <v>468</v>
      </c>
      <c r="B369" s="1">
        <f>A369</f>
        <v/>
      </c>
      <c r="C369" s="1" t="inlineStr">
        <is>
          <t>vB8m04</t>
        </is>
      </c>
      <c r="D369" s="1" t="inlineStr">
        <is>
          <t>數值</t>
        </is>
      </c>
      <c r="E369" s="1" t="n">
        <v>2</v>
      </c>
      <c r="G369" s="1" t="inlineStr">
        <is>
          <t>range</t>
        </is>
      </c>
      <c r="H369" s="1" t="inlineStr">
        <is>
          <t>0,1</t>
        </is>
      </c>
      <c r="L369" s="1">
        <f>CONCAT(IF(D369="數值",CONCATENATE(G369&amp;"("&amp;C369&amp;","&amp;IF(ISERROR(SEARCH(",",H369,1)),(H369&amp;","&amp;H369),H369)&amp;IF(ISBLANK(I369),"",IF(ISERROR(SEARCH(",",I369,1)),CONCATENATE(","&amp;I369&amp;","&amp;I369),CONCATENATE(","&amp;I369))&amp;IF(ISBLANK(J369),"",IF(ISERROR(SEARCH(",",J369,1)),CONCATENATE(","&amp;J369&amp;","&amp;J369),CONCATENATE(","&amp;J369))&amp;IF(ISBLANK(K369),"",IF(ISERROR(SEARCH(",",K369,1)),CONCATENATE(","&amp;K369&amp;","&amp;K369),CONCATENATE(","&amp;K369))))))&amp;")","")&amp;" "&amp;F369)</f>
        <v/>
      </c>
    </row>
    <row r="370">
      <c r="A370" s="1" t="n">
        <v>469</v>
      </c>
      <c r="B370" s="1">
        <f>A370</f>
        <v/>
      </c>
      <c r="C370" s="1" t="inlineStr">
        <is>
          <t>vB8m05</t>
        </is>
      </c>
      <c r="D370" s="1" t="inlineStr">
        <is>
          <t>數值</t>
        </is>
      </c>
      <c r="E370" s="1" t="n">
        <v>2</v>
      </c>
      <c r="G370" s="1" t="inlineStr">
        <is>
          <t>range</t>
        </is>
      </c>
      <c r="H370" s="1" t="inlineStr">
        <is>
          <t>0,1</t>
        </is>
      </c>
      <c r="L370" s="1">
        <f>CONCAT(IF(D370="數值",CONCATENATE(G370&amp;"("&amp;C370&amp;","&amp;IF(ISERROR(SEARCH(",",H370,1)),(H370&amp;","&amp;H370),H370)&amp;IF(ISBLANK(I370),"",IF(ISERROR(SEARCH(",",I370,1)),CONCATENATE(","&amp;I370&amp;","&amp;I370),CONCATENATE(","&amp;I370))&amp;IF(ISBLANK(J370),"",IF(ISERROR(SEARCH(",",J370,1)),CONCATENATE(","&amp;J370&amp;","&amp;J370),CONCATENATE(","&amp;J370))&amp;IF(ISBLANK(K370),"",IF(ISERROR(SEARCH(",",K370,1)),CONCATENATE(","&amp;K370&amp;","&amp;K370),CONCATENATE(","&amp;K370))))))&amp;")","")&amp;" "&amp;F370)</f>
        <v/>
      </c>
    </row>
    <row r="371">
      <c r="A371" s="1" t="n">
        <v>470</v>
      </c>
      <c r="B371" s="1">
        <f>A371</f>
        <v/>
      </c>
      <c r="C371" s="1" t="inlineStr">
        <is>
          <t>vB8m06</t>
        </is>
      </c>
      <c r="D371" s="1" t="inlineStr">
        <is>
          <t>數值</t>
        </is>
      </c>
      <c r="E371" s="1" t="n">
        <v>2</v>
      </c>
      <c r="G371" s="1" t="inlineStr">
        <is>
          <t>range</t>
        </is>
      </c>
      <c r="H371" s="1" t="inlineStr">
        <is>
          <t>0,1</t>
        </is>
      </c>
      <c r="L371" s="1">
        <f>CONCAT(IF(D371="數值",CONCATENATE(G371&amp;"("&amp;C371&amp;","&amp;IF(ISERROR(SEARCH(",",H371,1)),(H371&amp;","&amp;H371),H371)&amp;IF(ISBLANK(I371),"",IF(ISERROR(SEARCH(",",I371,1)),CONCATENATE(","&amp;I371&amp;","&amp;I371),CONCATENATE(","&amp;I371))&amp;IF(ISBLANK(J371),"",IF(ISERROR(SEARCH(",",J371,1)),CONCATENATE(","&amp;J371&amp;","&amp;J371),CONCATENATE(","&amp;J371))&amp;IF(ISBLANK(K371),"",IF(ISERROR(SEARCH(",",K371,1)),CONCATENATE(","&amp;K371&amp;","&amp;K371),CONCATENATE(","&amp;K371))))))&amp;")","")&amp;" "&amp;F371)</f>
        <v/>
      </c>
    </row>
    <row r="372">
      <c r="A372" s="1" t="n">
        <v>471</v>
      </c>
      <c r="B372" s="1">
        <f>A372</f>
        <v/>
      </c>
      <c r="C372" s="1" t="inlineStr">
        <is>
          <t>vB8m07</t>
        </is>
      </c>
      <c r="D372" s="1" t="inlineStr">
        <is>
          <t>數值</t>
        </is>
      </c>
      <c r="E372" s="1" t="n">
        <v>2</v>
      </c>
      <c r="G372" s="1" t="inlineStr">
        <is>
          <t>range</t>
        </is>
      </c>
      <c r="H372" s="1" t="inlineStr">
        <is>
          <t>0,1</t>
        </is>
      </c>
      <c r="L372" s="1">
        <f>CONCAT(IF(D372="數值",CONCATENATE(G372&amp;"("&amp;C372&amp;","&amp;IF(ISERROR(SEARCH(",",H372,1)),(H372&amp;","&amp;H372),H372)&amp;IF(ISBLANK(I372),"",IF(ISERROR(SEARCH(",",I372,1)),CONCATENATE(","&amp;I372&amp;","&amp;I372),CONCATENATE(","&amp;I372))&amp;IF(ISBLANK(J372),"",IF(ISERROR(SEARCH(",",J372,1)),CONCATENATE(","&amp;J372&amp;","&amp;J372),CONCATENATE(","&amp;J372))&amp;IF(ISBLANK(K372),"",IF(ISERROR(SEARCH(",",K372,1)),CONCATENATE(","&amp;K372&amp;","&amp;K372),CONCATENATE(","&amp;K372))))))&amp;")","")&amp;" "&amp;F372)</f>
        <v/>
      </c>
    </row>
    <row r="373">
      <c r="A373" s="1" t="n">
        <v>472</v>
      </c>
      <c r="B373" s="1">
        <f>A373</f>
        <v/>
      </c>
      <c r="C373" s="1" t="inlineStr">
        <is>
          <t>vB8m08</t>
        </is>
      </c>
      <c r="D373" s="1" t="inlineStr">
        <is>
          <t>數值</t>
        </is>
      </c>
      <c r="E373" s="1" t="n">
        <v>2</v>
      </c>
      <c r="G373" s="1" t="inlineStr">
        <is>
          <t>range</t>
        </is>
      </c>
      <c r="H373" s="1" t="inlineStr">
        <is>
          <t>0,1</t>
        </is>
      </c>
      <c r="L373" s="1">
        <f>CONCAT(IF(D373="數值",CONCATENATE(G373&amp;"("&amp;C373&amp;","&amp;IF(ISERROR(SEARCH(",",H373,1)),(H373&amp;","&amp;H373),H373)&amp;IF(ISBLANK(I373),"",IF(ISERROR(SEARCH(",",I373,1)),CONCATENATE(","&amp;I373&amp;","&amp;I373),CONCATENATE(","&amp;I373))&amp;IF(ISBLANK(J373),"",IF(ISERROR(SEARCH(",",J373,1)),CONCATENATE(","&amp;J373&amp;","&amp;J373),CONCATENATE(","&amp;J373))&amp;IF(ISBLANK(K373),"",IF(ISERROR(SEARCH(",",K373,1)),CONCATENATE(","&amp;K373&amp;","&amp;K373),CONCATENATE(","&amp;K373))))))&amp;")","")&amp;" "&amp;F373)</f>
        <v/>
      </c>
    </row>
    <row r="374">
      <c r="A374" s="1" t="n">
        <v>473</v>
      </c>
      <c r="B374" s="1">
        <f>A374</f>
        <v/>
      </c>
      <c r="C374" s="1" t="inlineStr">
        <is>
          <t>vB8m09</t>
        </is>
      </c>
      <c r="D374" s="1" t="inlineStr">
        <is>
          <t>數值</t>
        </is>
      </c>
      <c r="E374" s="1" t="n">
        <v>2</v>
      </c>
      <c r="G374" s="1" t="inlineStr">
        <is>
          <t>range</t>
        </is>
      </c>
      <c r="H374" s="1" t="inlineStr">
        <is>
          <t>0,1</t>
        </is>
      </c>
      <c r="L374" s="1">
        <f>CONCAT(IF(D374="數值",CONCATENATE(G374&amp;"("&amp;C374&amp;","&amp;IF(ISERROR(SEARCH(",",H374,1)),(H374&amp;","&amp;H374),H374)&amp;IF(ISBLANK(I374),"",IF(ISERROR(SEARCH(",",I374,1)),CONCATENATE(","&amp;I374&amp;","&amp;I374),CONCATENATE(","&amp;I374))&amp;IF(ISBLANK(J374),"",IF(ISERROR(SEARCH(",",J374,1)),CONCATENATE(","&amp;J374&amp;","&amp;J374),CONCATENATE(","&amp;J374))&amp;IF(ISBLANK(K374),"",IF(ISERROR(SEARCH(",",K374,1)),CONCATENATE(","&amp;K374&amp;","&amp;K374),CONCATENATE(","&amp;K374))))))&amp;")","")&amp;" "&amp;F374)</f>
        <v/>
      </c>
    </row>
    <row r="375">
      <c r="A375" s="1" t="n">
        <v>474</v>
      </c>
      <c r="B375" s="1">
        <f>A375</f>
        <v/>
      </c>
      <c r="C375" s="1" t="inlineStr">
        <is>
          <t>vB8m10</t>
        </is>
      </c>
      <c r="D375" s="1" t="inlineStr">
        <is>
          <t>數值</t>
        </is>
      </c>
      <c r="E375" s="1" t="n">
        <v>2</v>
      </c>
      <c r="G375" s="1" t="inlineStr">
        <is>
          <t>range</t>
        </is>
      </c>
      <c r="H375" s="1" t="inlineStr">
        <is>
          <t>0,1</t>
        </is>
      </c>
      <c r="I375" s="1" t="inlineStr">
        <is>
          <t>96</t>
        </is>
      </c>
      <c r="L375" s="1">
        <f>CONCAT(IF(D375="數值",CONCATENATE(G375&amp;"("&amp;C375&amp;","&amp;IF(ISERROR(SEARCH(",",H375,1)),(H375&amp;","&amp;H375),H375)&amp;IF(ISBLANK(I375),"",IF(ISERROR(SEARCH(",",I375,1)),CONCATENATE(","&amp;I375&amp;","&amp;I375),CONCATENATE(","&amp;I375))&amp;IF(ISBLANK(J375),"",IF(ISERROR(SEARCH(",",J375,1)),CONCATENATE(","&amp;J375&amp;","&amp;J375),CONCATENATE(","&amp;J375))&amp;IF(ISBLANK(K375),"",IF(ISERROR(SEARCH(",",K375,1)),CONCATENATE(","&amp;K375&amp;","&amp;K375),CONCATENATE(","&amp;K375))))))&amp;")","")&amp;" "&amp;F375)</f>
        <v/>
      </c>
    </row>
    <row r="376">
      <c r="A376" s="1" t="n">
        <v>475</v>
      </c>
      <c r="B376" s="1">
        <f>A376</f>
        <v/>
      </c>
      <c r="C376" s="1" t="inlineStr">
        <is>
          <t>vB8m88</t>
        </is>
      </c>
      <c r="D376" s="1" t="inlineStr">
        <is>
          <t>數值</t>
        </is>
      </c>
      <c r="E376" s="1" t="n">
        <v>2</v>
      </c>
      <c r="G376" s="1" t="inlineStr">
        <is>
          <t>range</t>
        </is>
      </c>
      <c r="H376" s="1" t="inlineStr">
        <is>
          <t>0,1</t>
        </is>
      </c>
      <c r="I376" s="1" t="inlineStr">
        <is>
          <t>96</t>
        </is>
      </c>
      <c r="L376" s="1">
        <f>CONCAT(IF(D376="數值",CONCATENATE(G376&amp;"("&amp;C376&amp;","&amp;IF(ISERROR(SEARCH(",",H376,1)),(H376&amp;","&amp;H376),H376)&amp;IF(ISBLANK(I376),"",IF(ISERROR(SEARCH(",",I376,1)),CONCATENATE(","&amp;I376&amp;","&amp;I376),CONCATENATE(","&amp;I376))&amp;IF(ISBLANK(J376),"",IF(ISERROR(SEARCH(",",J376,1)),CONCATENATE(","&amp;J376&amp;","&amp;J376),CONCATENATE(","&amp;J376))&amp;IF(ISBLANK(K376),"",IF(ISERROR(SEARCH(",",K376,1)),CONCATENATE(","&amp;K376&amp;","&amp;K376),CONCATENATE(","&amp;K376))))))&amp;")","")&amp;" "&amp;F376)</f>
        <v/>
      </c>
    </row>
    <row r="377">
      <c r="A377" s="1" t="n">
        <v>476</v>
      </c>
      <c r="B377" s="1">
        <f>A377</f>
        <v/>
      </c>
      <c r="C377" s="1" t="inlineStr">
        <is>
          <t>vI1</t>
        </is>
      </c>
      <c r="D377" s="1" t="inlineStr">
        <is>
          <t>數值</t>
        </is>
      </c>
      <c r="E377" s="1" t="n">
        <v>4</v>
      </c>
      <c r="G377" s="1" t="inlineStr">
        <is>
          <t>range</t>
        </is>
      </c>
      <c r="H377" s="1" t="inlineStr">
        <is>
          <t>95</t>
        </is>
      </c>
      <c r="I377" s="1" t="inlineStr">
        <is>
          <t>97,98</t>
        </is>
      </c>
      <c r="J377" s="1" t="n"/>
      <c r="L377" s="1">
        <f>CONCAT(IF(D377="數值",CONCATENATE(G377&amp;"("&amp;C377&amp;","&amp;IF(ISERROR(SEARCH(",",H377,1)),(H377&amp;","&amp;H377),H377)&amp;IF(ISBLANK(I377),"",IF(ISERROR(SEARCH(",",I377,1)),CONCATENATE(","&amp;I377&amp;","&amp;I377),CONCATENATE(","&amp;I377))&amp;IF(ISBLANK(J377),"",IF(ISERROR(SEARCH(",",J377,1)),CONCATENATE(","&amp;J377&amp;","&amp;J377),CONCATENATE(","&amp;J377))&amp;IF(ISBLANK(K377),"",IF(ISERROR(SEARCH(",",K377,1)),CONCATENATE(","&amp;K377&amp;","&amp;K377),CONCATENATE(","&amp;K377))))))&amp;")","")&amp;" "&amp;F377)</f>
        <v/>
      </c>
    </row>
    <row r="378">
      <c r="A378" s="1" t="n">
        <v>477</v>
      </c>
      <c r="B378" s="1">
        <f>A378</f>
        <v/>
      </c>
      <c r="C378" s="1" t="inlineStr">
        <is>
          <t>vI2</t>
        </is>
      </c>
      <c r="D378" s="1" t="inlineStr">
        <is>
          <t>數值</t>
        </is>
      </c>
      <c r="E378" s="1" t="n">
        <v>5</v>
      </c>
      <c r="G378" s="1" t="inlineStr">
        <is>
          <t>range</t>
        </is>
      </c>
      <c r="H378" s="1" t="inlineStr">
        <is>
          <t>1,2359</t>
        </is>
      </c>
      <c r="I378" s="1" t="inlineStr">
        <is>
          <t>9797</t>
        </is>
      </c>
      <c r="J378" s="1" t="inlineStr">
        <is>
          <t>9898</t>
        </is>
      </c>
      <c r="L378" s="1">
        <f>CONCAT(IF(D378="數值",CONCATENATE(G378&amp;"("&amp;C378&amp;","&amp;IF(ISERROR(SEARCH(",",H378,1)),(H378&amp;","&amp;H378),H378)&amp;IF(ISBLANK(I378),"",IF(ISERROR(SEARCH(",",I378,1)),CONCATENATE(","&amp;I378&amp;","&amp;I378),CONCATENATE(","&amp;I378))&amp;IF(ISBLANK(J378),"",IF(ISERROR(SEARCH(",",J378,1)),CONCATENATE(","&amp;J378&amp;","&amp;J378),CONCATENATE(","&amp;J378))&amp;IF(ISBLANK(K378),"",IF(ISERROR(SEARCH(",",K378,1)),CONCATENATE(","&amp;K378&amp;","&amp;K378),CONCATENATE(","&amp;K378))))))&amp;")","")&amp;" "&amp;F378)</f>
        <v/>
      </c>
    </row>
    <row r="379">
      <c r="A379" s="1" t="n">
        <v>478</v>
      </c>
      <c r="B379" s="1">
        <f>A379</f>
        <v/>
      </c>
      <c r="C379" s="1" t="inlineStr">
        <is>
          <t>vI3</t>
        </is>
      </c>
      <c r="D379" s="1" t="inlineStr">
        <is>
          <t>數值</t>
        </is>
      </c>
      <c r="E379" s="1" t="n">
        <v>4</v>
      </c>
      <c r="G379" s="1" t="inlineStr">
        <is>
          <t>range</t>
        </is>
      </c>
      <c r="H379" s="1" t="inlineStr">
        <is>
          <t>95</t>
        </is>
      </c>
      <c r="I379" s="1" t="inlineStr">
        <is>
          <t>97,98</t>
        </is>
      </c>
      <c r="J379" s="1" t="n"/>
      <c r="L379" s="1">
        <f>CONCAT(IF(D379="數值",CONCATENATE(G379&amp;"("&amp;C379&amp;","&amp;IF(ISERROR(SEARCH(",",H379,1)),(H379&amp;","&amp;H379),H379)&amp;IF(ISBLANK(I379),"",IF(ISERROR(SEARCH(",",I379,1)),CONCATENATE(","&amp;I379&amp;","&amp;I379),CONCATENATE(","&amp;I379))&amp;IF(ISBLANK(J379),"",IF(ISERROR(SEARCH(",",J379,1)),CONCATENATE(","&amp;J379&amp;","&amp;J379),CONCATENATE(","&amp;J379))&amp;IF(ISBLANK(K379),"",IF(ISERROR(SEARCH(",",K379,1)),CONCATENATE(","&amp;K379&amp;","&amp;K379),CONCATENATE(","&amp;K379))))))&amp;")","")&amp;" "&amp;F379)</f>
        <v/>
      </c>
    </row>
    <row r="380">
      <c r="A380" s="1" t="n">
        <v>479</v>
      </c>
      <c r="B380" s="1">
        <f>A380</f>
        <v/>
      </c>
      <c r="C380" s="1" t="inlineStr">
        <is>
          <t>vI4</t>
        </is>
      </c>
      <c r="D380" s="1" t="inlineStr">
        <is>
          <t>數值</t>
        </is>
      </c>
      <c r="E380" s="1" t="n">
        <v>5</v>
      </c>
      <c r="G380" s="1" t="inlineStr">
        <is>
          <t>range</t>
        </is>
      </c>
      <c r="H380" s="1" t="inlineStr">
        <is>
          <t>1,2359</t>
        </is>
      </c>
      <c r="I380" s="1" t="inlineStr">
        <is>
          <t>9797</t>
        </is>
      </c>
      <c r="J380" s="1" t="inlineStr">
        <is>
          <t>9898</t>
        </is>
      </c>
      <c r="L380" s="1">
        <f>CONCAT(IF(D380="數值",CONCATENATE(G380&amp;"("&amp;C380&amp;","&amp;IF(ISERROR(SEARCH(",",H380,1)),(H380&amp;","&amp;H380),H380)&amp;IF(ISBLANK(I380),"",IF(ISERROR(SEARCH(",",I380,1)),CONCATENATE(","&amp;I380&amp;","&amp;I380),CONCATENATE(","&amp;I380))&amp;IF(ISBLANK(J380),"",IF(ISERROR(SEARCH(",",J380,1)),CONCATENATE(","&amp;J380&amp;","&amp;J380),CONCATENATE(","&amp;J380))&amp;IF(ISBLANK(K380),"",IF(ISERROR(SEARCH(",",K380,1)),CONCATENATE(","&amp;K380&amp;","&amp;K380),CONCATENATE(","&amp;K380))))))&amp;")","")&amp;" "&amp;F380)</f>
        <v/>
      </c>
    </row>
    <row r="381">
      <c r="A381" s="1" t="n">
        <v>480</v>
      </c>
      <c r="B381" s="1">
        <f>A381</f>
        <v/>
      </c>
      <c r="C381" s="1" t="inlineStr">
        <is>
          <t>vCKI4</t>
        </is>
      </c>
      <c r="D381" s="1" t="inlineStr">
        <is>
          <t>數值</t>
        </is>
      </c>
      <c r="E381" s="1" t="n">
        <v>2</v>
      </c>
      <c r="G381" s="1" t="inlineStr">
        <is>
          <t>range</t>
        </is>
      </c>
      <c r="H381" s="1" t="inlineStr">
        <is>
          <t>1,2359</t>
        </is>
      </c>
      <c r="I381" s="1" t="inlineStr">
        <is>
          <t>9797</t>
        </is>
      </c>
      <c r="J381" s="1" t="inlineStr">
        <is>
          <t>9898</t>
        </is>
      </c>
      <c r="L381" s="1">
        <f>CONCAT(IF(D381="數值",CONCATENATE(G381&amp;"("&amp;C381&amp;","&amp;IF(ISERROR(SEARCH(",",H381,1)),(H381&amp;","&amp;H381),H381)&amp;IF(ISBLANK(I381),"",IF(ISERROR(SEARCH(",",I381,1)),CONCATENATE(","&amp;I381&amp;","&amp;I381),CONCATENATE(","&amp;I381))&amp;IF(ISBLANK(J381),"",IF(ISERROR(SEARCH(",",J381,1)),CONCATENATE(","&amp;J381&amp;","&amp;J381),CONCATENATE(","&amp;J381))&amp;IF(ISBLANK(K381),"",IF(ISERROR(SEARCH(",",K381,1)),CONCATENATE(","&amp;K381&amp;","&amp;K381),CONCATENATE(","&amp;K381))))))&amp;")","")&amp;" "&amp;F381)</f>
        <v/>
      </c>
    </row>
    <row r="382">
      <c r="A382" s="1" t="n">
        <v>481</v>
      </c>
      <c r="B382" s="1">
        <f>A382</f>
        <v/>
      </c>
      <c r="C382" s="1" t="inlineStr">
        <is>
          <t>vG1</t>
        </is>
      </c>
      <c r="D382" s="1" t="inlineStr">
        <is>
          <t>數值</t>
        </is>
      </c>
      <c r="E382" s="1" t="n">
        <v>4</v>
      </c>
      <c r="G382" s="1" t="inlineStr">
        <is>
          <t>range</t>
        </is>
      </c>
      <c r="H382" s="1" t="inlineStr">
        <is>
          <t>95</t>
        </is>
      </c>
      <c r="I382" s="1" t="inlineStr">
        <is>
          <t>97,98</t>
        </is>
      </c>
      <c r="J382" s="1" t="n"/>
      <c r="L382" s="1">
        <f>CONCAT(IF(D382="數值",CONCATENATE(G382&amp;"("&amp;C382&amp;","&amp;IF(ISERROR(SEARCH(",",H382,1)),(H382&amp;","&amp;H382),H382)&amp;IF(ISBLANK(I382),"",IF(ISERROR(SEARCH(",",I382,1)),CONCATENATE(","&amp;I382&amp;","&amp;I382),CONCATENATE(","&amp;I382))&amp;IF(ISBLANK(J382),"",IF(ISERROR(SEARCH(",",J382,1)),CONCATENATE(","&amp;J382&amp;","&amp;J382),CONCATENATE(","&amp;J382))&amp;IF(ISBLANK(K382),"",IF(ISERROR(SEARCH(",",K382,1)),CONCATENATE(","&amp;K382&amp;","&amp;K382),CONCATENATE(","&amp;K382))))))&amp;")","")&amp;" "&amp;F382)</f>
        <v/>
      </c>
    </row>
    <row r="383">
      <c r="A383" s="1" t="n">
        <v>482</v>
      </c>
      <c r="B383" s="1">
        <f>A383</f>
        <v/>
      </c>
      <c r="C383" s="1" t="inlineStr">
        <is>
          <t>vG2</t>
        </is>
      </c>
      <c r="D383" s="1" t="inlineStr">
        <is>
          <t>數值</t>
        </is>
      </c>
      <c r="E383" s="1" t="n">
        <v>5</v>
      </c>
      <c r="G383" s="1" t="inlineStr">
        <is>
          <t>range</t>
        </is>
      </c>
      <c r="H383" s="1" t="inlineStr">
        <is>
          <t>1,2359</t>
        </is>
      </c>
      <c r="I383" s="1" t="inlineStr">
        <is>
          <t>9797</t>
        </is>
      </c>
      <c r="J383" s="1" t="inlineStr">
        <is>
          <t>9898</t>
        </is>
      </c>
      <c r="L383" s="1">
        <f>CONCAT(IF(D383="數值",CONCATENATE(G383&amp;"("&amp;C383&amp;","&amp;IF(ISERROR(SEARCH(",",H383,1)),(H383&amp;","&amp;H383),H383)&amp;IF(ISBLANK(I383),"",IF(ISERROR(SEARCH(",",I383,1)),CONCATENATE(","&amp;I383&amp;","&amp;I383),CONCATENATE(","&amp;I383))&amp;IF(ISBLANK(J383),"",IF(ISERROR(SEARCH(",",J383,1)),CONCATENATE(","&amp;J383&amp;","&amp;J383),CONCATENATE(","&amp;J383))&amp;IF(ISBLANK(K383),"",IF(ISERROR(SEARCH(",",K383,1)),CONCATENATE(","&amp;K383&amp;","&amp;K383),CONCATENATE(","&amp;K383))))))&amp;")","")&amp;" "&amp;F383)</f>
        <v/>
      </c>
    </row>
    <row r="384">
      <c r="A384" s="1" t="n">
        <v>483</v>
      </c>
      <c r="B384" s="1">
        <f>A384</f>
        <v/>
      </c>
      <c r="C384" s="1" t="inlineStr">
        <is>
          <t>vG3m01</t>
        </is>
      </c>
      <c r="D384" s="1" t="inlineStr">
        <is>
          <t>數值</t>
        </is>
      </c>
      <c r="E384" s="1" t="n">
        <v>2</v>
      </c>
      <c r="G384" s="1" t="inlineStr">
        <is>
          <t>range</t>
        </is>
      </c>
      <c r="H384" s="1" t="inlineStr">
        <is>
          <t>0,1</t>
        </is>
      </c>
      <c r="L384" s="1">
        <f>CONCAT(IF(D384="數值",CONCATENATE(G384&amp;"("&amp;C384&amp;","&amp;IF(ISERROR(SEARCH(",",H384,1)),(H384&amp;","&amp;H384),H384)&amp;IF(ISBLANK(I384),"",IF(ISERROR(SEARCH(",",I384,1)),CONCATENATE(","&amp;I384&amp;","&amp;I384),CONCATENATE(","&amp;I384))&amp;IF(ISBLANK(J384),"",IF(ISERROR(SEARCH(",",J384,1)),CONCATENATE(","&amp;J384&amp;","&amp;J384),CONCATENATE(","&amp;J384))&amp;IF(ISBLANK(K384),"",IF(ISERROR(SEARCH(",",K384,1)),CONCATENATE(","&amp;K384&amp;","&amp;K384),CONCATENATE(","&amp;K384))))))&amp;")","")&amp;" "&amp;F384)</f>
        <v/>
      </c>
    </row>
    <row r="385">
      <c r="A385" s="1" t="n">
        <v>484</v>
      </c>
      <c r="B385" s="1">
        <f>A385</f>
        <v/>
      </c>
      <c r="C385" s="1" t="inlineStr">
        <is>
          <t>vG3m02</t>
        </is>
      </c>
      <c r="D385" s="1" t="inlineStr">
        <is>
          <t>數值</t>
        </is>
      </c>
      <c r="E385" s="1" t="n">
        <v>2</v>
      </c>
      <c r="G385" s="1" t="inlineStr">
        <is>
          <t>range</t>
        </is>
      </c>
      <c r="H385" s="1" t="inlineStr">
        <is>
          <t>0,1</t>
        </is>
      </c>
      <c r="L385" s="1">
        <f>CONCAT(IF(D385="數值",CONCATENATE(G385&amp;"("&amp;C385&amp;","&amp;IF(ISERROR(SEARCH(",",H385,1)),(H385&amp;","&amp;H385),H385)&amp;IF(ISBLANK(I385),"",IF(ISERROR(SEARCH(",",I385,1)),CONCATENATE(","&amp;I385&amp;","&amp;I385),CONCATENATE(","&amp;I385))&amp;IF(ISBLANK(J385),"",IF(ISERROR(SEARCH(",",J385,1)),CONCATENATE(","&amp;J385&amp;","&amp;J385),CONCATENATE(","&amp;J385))&amp;IF(ISBLANK(K385),"",IF(ISERROR(SEARCH(",",K385,1)),CONCATENATE(","&amp;K385&amp;","&amp;K385),CONCATENATE(","&amp;K385))))))&amp;")","")&amp;" "&amp;F385)</f>
        <v/>
      </c>
    </row>
    <row r="386">
      <c r="A386" s="1" t="n">
        <v>485</v>
      </c>
      <c r="B386" s="1">
        <f>A386</f>
        <v/>
      </c>
      <c r="C386" s="1" t="inlineStr">
        <is>
          <t>vG3m03</t>
        </is>
      </c>
      <c r="D386" s="1" t="inlineStr">
        <is>
          <t>數值</t>
        </is>
      </c>
      <c r="E386" s="1" t="n">
        <v>2</v>
      </c>
      <c r="G386" s="1" t="inlineStr">
        <is>
          <t>range</t>
        </is>
      </c>
      <c r="H386" s="1" t="inlineStr">
        <is>
          <t>0,1</t>
        </is>
      </c>
      <c r="L386" s="1">
        <f>CONCAT(IF(D386="數值",CONCATENATE(G386&amp;"("&amp;C386&amp;","&amp;IF(ISERROR(SEARCH(",",H386,1)),(H386&amp;","&amp;H386),H386)&amp;IF(ISBLANK(I386),"",IF(ISERROR(SEARCH(",",I386,1)),CONCATENATE(","&amp;I386&amp;","&amp;I386),CONCATENATE(","&amp;I386))&amp;IF(ISBLANK(J386),"",IF(ISERROR(SEARCH(",",J386,1)),CONCATENATE(","&amp;J386&amp;","&amp;J386),CONCATENATE(","&amp;J386))&amp;IF(ISBLANK(K386),"",IF(ISERROR(SEARCH(",",K386,1)),CONCATENATE(","&amp;K386&amp;","&amp;K386),CONCATENATE(","&amp;K386))))))&amp;")","")&amp;" "&amp;F386)</f>
        <v/>
      </c>
    </row>
    <row r="387">
      <c r="A387" s="1" t="n">
        <v>486</v>
      </c>
      <c r="B387" s="1">
        <f>A387</f>
        <v/>
      </c>
      <c r="C387" s="1" t="inlineStr">
        <is>
          <t>vG3m04</t>
        </is>
      </c>
      <c r="D387" s="1" t="inlineStr">
        <is>
          <t>數值</t>
        </is>
      </c>
      <c r="E387" s="1" t="n">
        <v>2</v>
      </c>
      <c r="G387" s="1" t="inlineStr">
        <is>
          <t>range</t>
        </is>
      </c>
      <c r="H387" s="1" t="inlineStr">
        <is>
          <t>0,1</t>
        </is>
      </c>
      <c r="L387" s="1">
        <f>CONCAT(IF(D387="數值",CONCATENATE(G387&amp;"("&amp;C387&amp;","&amp;IF(ISERROR(SEARCH(",",H387,1)),(H387&amp;","&amp;H387),H387)&amp;IF(ISBLANK(I387),"",IF(ISERROR(SEARCH(",",I387,1)),CONCATENATE(","&amp;I387&amp;","&amp;I387),CONCATENATE(","&amp;I387))&amp;IF(ISBLANK(J387),"",IF(ISERROR(SEARCH(",",J387,1)),CONCATENATE(","&amp;J387&amp;","&amp;J387),CONCATENATE(","&amp;J387))&amp;IF(ISBLANK(K387),"",IF(ISERROR(SEARCH(",",K387,1)),CONCATENATE(","&amp;K387&amp;","&amp;K387),CONCATENATE(","&amp;K387))))))&amp;")","")&amp;" "&amp;F387)</f>
        <v/>
      </c>
    </row>
    <row r="388">
      <c r="A388" s="1" t="n">
        <v>487</v>
      </c>
      <c r="B388" s="1">
        <f>A388</f>
        <v/>
      </c>
      <c r="C388" s="1" t="inlineStr">
        <is>
          <t>vG3m05</t>
        </is>
      </c>
      <c r="D388" s="1" t="inlineStr">
        <is>
          <t>數值</t>
        </is>
      </c>
      <c r="E388" s="1" t="n">
        <v>2</v>
      </c>
      <c r="G388" s="1" t="inlineStr">
        <is>
          <t>range</t>
        </is>
      </c>
      <c r="H388" s="1" t="inlineStr">
        <is>
          <t>0,1</t>
        </is>
      </c>
      <c r="L388" s="1">
        <f>CONCAT(IF(D388="數值",CONCATENATE(G388&amp;"("&amp;C388&amp;","&amp;IF(ISERROR(SEARCH(",",H388,1)),(H388&amp;","&amp;H388),H388)&amp;IF(ISBLANK(I388),"",IF(ISERROR(SEARCH(",",I388,1)),CONCATENATE(","&amp;I388&amp;","&amp;I388),CONCATENATE(","&amp;I388))&amp;IF(ISBLANK(J388),"",IF(ISERROR(SEARCH(",",J388,1)),CONCATENATE(","&amp;J388&amp;","&amp;J388),CONCATENATE(","&amp;J388))&amp;IF(ISBLANK(K388),"",IF(ISERROR(SEARCH(",",K388,1)),CONCATENATE(","&amp;K388&amp;","&amp;K388),CONCATENATE(","&amp;K388))))))&amp;")","")&amp;" "&amp;F388)</f>
        <v/>
      </c>
    </row>
    <row r="389">
      <c r="A389" s="1" t="n">
        <v>488</v>
      </c>
      <c r="B389" s="1">
        <f>A389</f>
        <v/>
      </c>
      <c r="C389" s="1" t="inlineStr">
        <is>
          <t>vG3m06</t>
        </is>
      </c>
      <c r="D389" s="1" t="inlineStr">
        <is>
          <t>數值</t>
        </is>
      </c>
      <c r="E389" s="1" t="n">
        <v>2</v>
      </c>
      <c r="G389" s="1" t="inlineStr">
        <is>
          <t>range</t>
        </is>
      </c>
      <c r="H389" s="1" t="inlineStr">
        <is>
          <t>0,1</t>
        </is>
      </c>
      <c r="L389" s="1">
        <f>CONCAT(IF(D389="數值",CONCATENATE(G389&amp;"("&amp;C389&amp;","&amp;IF(ISERROR(SEARCH(",",H389,1)),(H389&amp;","&amp;H389),H389)&amp;IF(ISBLANK(I389),"",IF(ISERROR(SEARCH(",",I389,1)),CONCATENATE(","&amp;I389&amp;","&amp;I389),CONCATENATE(","&amp;I389))&amp;IF(ISBLANK(J389),"",IF(ISERROR(SEARCH(",",J389,1)),CONCATENATE(","&amp;J389&amp;","&amp;J389),CONCATENATE(","&amp;J389))&amp;IF(ISBLANK(K389),"",IF(ISERROR(SEARCH(",",K389,1)),CONCATENATE(","&amp;K389&amp;","&amp;K389),CONCATENATE(","&amp;K389))))))&amp;")","")&amp;" "&amp;F389)</f>
        <v/>
      </c>
    </row>
    <row r="390">
      <c r="A390" s="1" t="n">
        <v>489</v>
      </c>
      <c r="B390" s="1">
        <f>A390</f>
        <v/>
      </c>
      <c r="C390" s="1" t="inlineStr">
        <is>
          <t>vG3m07</t>
        </is>
      </c>
      <c r="D390" s="1" t="inlineStr">
        <is>
          <t>數值</t>
        </is>
      </c>
      <c r="E390" s="1" t="n">
        <v>2</v>
      </c>
      <c r="G390" s="1" t="inlineStr">
        <is>
          <t>range</t>
        </is>
      </c>
      <c r="H390" s="1" t="inlineStr">
        <is>
          <t>0,1</t>
        </is>
      </c>
      <c r="L390" s="1">
        <f>CONCAT(IF(D390="數值",CONCATENATE(G390&amp;"("&amp;C390&amp;","&amp;IF(ISERROR(SEARCH(",",H390,1)),(H390&amp;","&amp;H390),H390)&amp;IF(ISBLANK(I390),"",IF(ISERROR(SEARCH(",",I390,1)),CONCATENATE(","&amp;I390&amp;","&amp;I390),CONCATENATE(","&amp;I390))&amp;IF(ISBLANK(J390),"",IF(ISERROR(SEARCH(",",J390,1)),CONCATENATE(","&amp;J390&amp;","&amp;J390),CONCATENATE(","&amp;J390))&amp;IF(ISBLANK(K390),"",IF(ISERROR(SEARCH(",",K390,1)),CONCATENATE(","&amp;K390&amp;","&amp;K390),CONCATENATE(","&amp;K390))))))&amp;")","")&amp;" "&amp;F390)</f>
        <v/>
      </c>
    </row>
    <row r="391">
      <c r="A391" s="1" t="n">
        <v>490</v>
      </c>
      <c r="B391" s="1">
        <f>A391</f>
        <v/>
      </c>
      <c r="C391" s="1" t="inlineStr">
        <is>
          <t>vG3m08</t>
        </is>
      </c>
      <c r="D391" s="1" t="inlineStr">
        <is>
          <t>數值</t>
        </is>
      </c>
      <c r="E391" s="1" t="n">
        <v>2</v>
      </c>
      <c r="G391" s="1" t="inlineStr">
        <is>
          <t>range</t>
        </is>
      </c>
      <c r="H391" s="1" t="inlineStr">
        <is>
          <t>0,1</t>
        </is>
      </c>
      <c r="L391" s="1">
        <f>CONCAT(IF(D391="數值",CONCATENATE(G391&amp;"("&amp;C391&amp;","&amp;IF(ISERROR(SEARCH(",",H391,1)),(H391&amp;","&amp;H391),H391)&amp;IF(ISBLANK(I391),"",IF(ISERROR(SEARCH(",",I391,1)),CONCATENATE(","&amp;I391&amp;","&amp;I391),CONCATENATE(","&amp;I391))&amp;IF(ISBLANK(J391),"",IF(ISERROR(SEARCH(",",J391,1)),CONCATENATE(","&amp;J391&amp;","&amp;J391),CONCATENATE(","&amp;J391))&amp;IF(ISBLANK(K391),"",IF(ISERROR(SEARCH(",",K391,1)),CONCATENATE(","&amp;K391&amp;","&amp;K391),CONCATENATE(","&amp;K391))))))&amp;")","")&amp;" "&amp;F391)</f>
        <v/>
      </c>
    </row>
    <row r="392">
      <c r="A392" s="1" t="n">
        <v>491</v>
      </c>
      <c r="B392" s="1">
        <f>A392</f>
        <v/>
      </c>
      <c r="C392" s="1" t="inlineStr">
        <is>
          <t>vG3m09</t>
        </is>
      </c>
      <c r="D392" s="1" t="inlineStr">
        <is>
          <t>數值</t>
        </is>
      </c>
      <c r="E392" s="1" t="n">
        <v>2</v>
      </c>
      <c r="G392" s="1" t="inlineStr">
        <is>
          <t>range</t>
        </is>
      </c>
      <c r="H392" s="1" t="inlineStr">
        <is>
          <t>0,1</t>
        </is>
      </c>
      <c r="L392" s="1">
        <f>CONCAT(IF(D392="數值",CONCATENATE(G392&amp;"("&amp;C392&amp;","&amp;IF(ISERROR(SEARCH(",",H392,1)),(H392&amp;","&amp;H392),H392)&amp;IF(ISBLANK(I392),"",IF(ISERROR(SEARCH(",",I392,1)),CONCATENATE(","&amp;I392&amp;","&amp;I392),CONCATENATE(","&amp;I392))&amp;IF(ISBLANK(J392),"",IF(ISERROR(SEARCH(",",J392,1)),CONCATENATE(","&amp;J392&amp;","&amp;J392),CONCATENATE(","&amp;J392))&amp;IF(ISBLANK(K392),"",IF(ISERROR(SEARCH(",",K392,1)),CONCATENATE(","&amp;K392&amp;","&amp;K392),CONCATENATE(","&amp;K392))))))&amp;")","")&amp;" "&amp;F392)</f>
        <v/>
      </c>
    </row>
    <row r="393">
      <c r="A393" s="1" t="n">
        <v>492</v>
      </c>
      <c r="B393" s="1">
        <f>A393</f>
        <v/>
      </c>
      <c r="C393" s="1" t="inlineStr">
        <is>
          <t>vG3m10</t>
        </is>
      </c>
      <c r="D393" s="1" t="inlineStr">
        <is>
          <t>數值</t>
        </is>
      </c>
      <c r="E393" s="1" t="n">
        <v>2</v>
      </c>
      <c r="G393" s="1" t="inlineStr">
        <is>
          <t>range</t>
        </is>
      </c>
      <c r="H393" s="1" t="inlineStr">
        <is>
          <t>0,1</t>
        </is>
      </c>
      <c r="I393" s="1" t="inlineStr">
        <is>
          <t>96</t>
        </is>
      </c>
      <c r="L393" s="1">
        <f>CONCAT(IF(D393="數值",CONCATENATE(G393&amp;"("&amp;C393&amp;","&amp;IF(ISERROR(SEARCH(",",H393,1)),(H393&amp;","&amp;H393),H393)&amp;IF(ISBLANK(I393),"",IF(ISERROR(SEARCH(",",I393,1)),CONCATENATE(","&amp;I393&amp;","&amp;I393),CONCATENATE(","&amp;I393))&amp;IF(ISBLANK(J393),"",IF(ISERROR(SEARCH(",",J393,1)),CONCATENATE(","&amp;J393&amp;","&amp;J393),CONCATENATE(","&amp;J393))&amp;IF(ISBLANK(K393),"",IF(ISERROR(SEARCH(",",K393,1)),CONCATENATE(","&amp;K393&amp;","&amp;K393),CONCATENATE(","&amp;K393))))))&amp;")","")&amp;" "&amp;F393)</f>
        <v/>
      </c>
    </row>
    <row r="394">
      <c r="A394" s="1" t="n">
        <v>493</v>
      </c>
      <c r="B394" s="1">
        <f>A394</f>
        <v/>
      </c>
      <c r="C394" s="1" t="inlineStr">
        <is>
          <t>vG3m11</t>
        </is>
      </c>
      <c r="D394" s="1" t="inlineStr">
        <is>
          <t>數值</t>
        </is>
      </c>
      <c r="E394" s="1" t="n">
        <v>2</v>
      </c>
      <c r="G394" s="1" t="inlineStr">
        <is>
          <t>range</t>
        </is>
      </c>
      <c r="H394" s="1" t="inlineStr">
        <is>
          <t>0,1</t>
        </is>
      </c>
      <c r="I394" s="1" t="inlineStr">
        <is>
          <t>96</t>
        </is>
      </c>
      <c r="L394" s="1">
        <f>CONCAT(IF(D394="數值",CONCATENATE(G394&amp;"("&amp;C394&amp;","&amp;IF(ISERROR(SEARCH(",",H394,1)),(H394&amp;","&amp;H394),H394)&amp;IF(ISBLANK(I394),"",IF(ISERROR(SEARCH(",",I394,1)),CONCATENATE(","&amp;I394&amp;","&amp;I394),CONCATENATE(","&amp;I394))&amp;IF(ISBLANK(J394),"",IF(ISERROR(SEARCH(",",J394,1)),CONCATENATE(","&amp;J394&amp;","&amp;J394),CONCATENATE(","&amp;J394))&amp;IF(ISBLANK(K394),"",IF(ISERROR(SEARCH(",",K394,1)),CONCATENATE(","&amp;K394&amp;","&amp;K394),CONCATENATE(","&amp;K394))))))&amp;")","")&amp;" "&amp;F394)</f>
        <v/>
      </c>
    </row>
    <row r="395">
      <c r="A395" s="1" t="n">
        <v>494</v>
      </c>
      <c r="B395" s="1">
        <f>A395</f>
        <v/>
      </c>
      <c r="C395" s="1" t="inlineStr">
        <is>
          <t>vG3m12</t>
        </is>
      </c>
      <c r="D395" s="1" t="inlineStr">
        <is>
          <t>數值</t>
        </is>
      </c>
      <c r="E395" s="1" t="n">
        <v>2</v>
      </c>
      <c r="G395" s="1" t="inlineStr">
        <is>
          <t>range</t>
        </is>
      </c>
      <c r="H395" s="1" t="inlineStr">
        <is>
          <t>0,1</t>
        </is>
      </c>
      <c r="I395" s="1" t="inlineStr">
        <is>
          <t>96</t>
        </is>
      </c>
      <c r="L395" s="1">
        <f>CONCAT(IF(D395="數值",CONCATENATE(G395&amp;"("&amp;C395&amp;","&amp;IF(ISERROR(SEARCH(",",H395,1)),(H395&amp;","&amp;H395),H395)&amp;IF(ISBLANK(I395),"",IF(ISERROR(SEARCH(",",I395,1)),CONCATENATE(","&amp;I395&amp;","&amp;I395),CONCATENATE(","&amp;I395))&amp;IF(ISBLANK(J395),"",IF(ISERROR(SEARCH(",",J395,1)),CONCATENATE(","&amp;J395&amp;","&amp;J395),CONCATENATE(","&amp;J395))&amp;IF(ISBLANK(K395),"",IF(ISERROR(SEARCH(",",K395,1)),CONCATENATE(","&amp;K395&amp;","&amp;K395),CONCATENATE(","&amp;K395))))))&amp;")","")&amp;" "&amp;F395)</f>
        <v/>
      </c>
    </row>
    <row r="396">
      <c r="A396" s="1" t="n">
        <v>495</v>
      </c>
      <c r="B396" s="1">
        <f>A396</f>
        <v/>
      </c>
      <c r="C396" s="1" t="inlineStr">
        <is>
          <t>vG3m13</t>
        </is>
      </c>
      <c r="D396" s="1" t="inlineStr">
        <is>
          <t>數值</t>
        </is>
      </c>
      <c r="E396" s="1" t="n">
        <v>2</v>
      </c>
      <c r="G396" s="1" t="inlineStr">
        <is>
          <t>range</t>
        </is>
      </c>
      <c r="H396" s="1" t="inlineStr">
        <is>
          <t>0,1</t>
        </is>
      </c>
      <c r="I396" s="1" t="inlineStr">
        <is>
          <t>96</t>
        </is>
      </c>
      <c r="L396" s="1">
        <f>CONCAT(IF(D396="數值",CONCATENATE(G396&amp;"("&amp;C396&amp;","&amp;IF(ISERROR(SEARCH(",",H396,1)),(H396&amp;","&amp;H396),H396)&amp;IF(ISBLANK(I396),"",IF(ISERROR(SEARCH(",",I396,1)),CONCATENATE(","&amp;I396&amp;","&amp;I396),CONCATENATE(","&amp;I396))&amp;IF(ISBLANK(J396),"",IF(ISERROR(SEARCH(",",J396,1)),CONCATENATE(","&amp;J396&amp;","&amp;J396),CONCATENATE(","&amp;J396))&amp;IF(ISBLANK(K396),"",IF(ISERROR(SEARCH(",",K396,1)),CONCATENATE(","&amp;K396&amp;","&amp;K396),CONCATENATE(","&amp;K396))))))&amp;")","")&amp;" "&amp;F396)</f>
        <v/>
      </c>
    </row>
    <row r="397">
      <c r="A397" s="1" t="n">
        <v>496</v>
      </c>
      <c r="B397" s="1">
        <f>A397</f>
        <v/>
      </c>
      <c r="C397" s="1" t="inlineStr">
        <is>
          <t>vG3m14</t>
        </is>
      </c>
      <c r="D397" s="1" t="inlineStr">
        <is>
          <t>數值</t>
        </is>
      </c>
      <c r="E397" s="1" t="n">
        <v>2</v>
      </c>
      <c r="G397" s="1" t="inlineStr">
        <is>
          <t>range</t>
        </is>
      </c>
      <c r="H397" s="1" t="inlineStr">
        <is>
          <t>0,1</t>
        </is>
      </c>
      <c r="I397" s="1" t="inlineStr">
        <is>
          <t>96</t>
        </is>
      </c>
      <c r="L397" s="1">
        <f>CONCAT(IF(D397="數值",CONCATENATE(G397&amp;"("&amp;C397&amp;","&amp;IF(ISERROR(SEARCH(",",H397,1)),(H397&amp;","&amp;H397),H397)&amp;IF(ISBLANK(I397),"",IF(ISERROR(SEARCH(",",I397,1)),CONCATENATE(","&amp;I397&amp;","&amp;I397),CONCATENATE(","&amp;I397))&amp;IF(ISBLANK(J397),"",IF(ISERROR(SEARCH(",",J397,1)),CONCATENATE(","&amp;J397&amp;","&amp;J397),CONCATENATE(","&amp;J397))&amp;IF(ISBLANK(K397),"",IF(ISERROR(SEARCH(",",K397,1)),CONCATENATE(","&amp;K397&amp;","&amp;K397),CONCATENATE(","&amp;K397))))))&amp;")","")&amp;" "&amp;F397)</f>
        <v/>
      </c>
    </row>
    <row r="398">
      <c r="A398" s="1" t="n">
        <v>497</v>
      </c>
      <c r="B398" s="1">
        <f>A398</f>
        <v/>
      </c>
      <c r="C398" s="1" t="inlineStr">
        <is>
          <t>vG3m15</t>
        </is>
      </c>
      <c r="D398" s="1" t="inlineStr">
        <is>
          <t>數值</t>
        </is>
      </c>
      <c r="E398" s="1" t="n">
        <v>2</v>
      </c>
      <c r="G398" s="1" t="inlineStr">
        <is>
          <t>range</t>
        </is>
      </c>
      <c r="H398" s="1" t="inlineStr">
        <is>
          <t>0,1</t>
        </is>
      </c>
      <c r="I398" s="1" t="inlineStr">
        <is>
          <t>96</t>
        </is>
      </c>
      <c r="L398" s="1">
        <f>CONCAT(IF(D398="數值",CONCATENATE(G398&amp;"("&amp;C398&amp;","&amp;IF(ISERROR(SEARCH(",",H398,1)),(H398&amp;","&amp;H398),H398)&amp;IF(ISBLANK(I398),"",IF(ISERROR(SEARCH(",",I398,1)),CONCATENATE(","&amp;I398&amp;","&amp;I398),CONCATENATE(","&amp;I398))&amp;IF(ISBLANK(J398),"",IF(ISERROR(SEARCH(",",J398,1)),CONCATENATE(","&amp;J398&amp;","&amp;J398),CONCATENATE(","&amp;J398))&amp;IF(ISBLANK(K398),"",IF(ISERROR(SEARCH(",",K398,1)),CONCATENATE(","&amp;K398&amp;","&amp;K398),CONCATENATE(","&amp;K398))))))&amp;")","")&amp;" "&amp;F398)</f>
        <v/>
      </c>
    </row>
    <row r="399">
      <c r="A399" s="1" t="n">
        <v>498</v>
      </c>
      <c r="B399" s="1">
        <f>A399</f>
        <v/>
      </c>
      <c r="C399" s="1" t="inlineStr">
        <is>
          <t>vG3m16</t>
        </is>
      </c>
      <c r="D399" s="1" t="inlineStr">
        <is>
          <t>數值</t>
        </is>
      </c>
      <c r="E399" s="1" t="n">
        <v>2</v>
      </c>
      <c r="G399" s="1" t="inlineStr">
        <is>
          <t>range</t>
        </is>
      </c>
      <c r="H399" s="1" t="inlineStr">
        <is>
          <t>0,1</t>
        </is>
      </c>
      <c r="I399" s="1" t="inlineStr">
        <is>
          <t>96</t>
        </is>
      </c>
      <c r="L399" s="1">
        <f>CONCAT(IF(D399="數值",CONCATENATE(G399&amp;"("&amp;C399&amp;","&amp;IF(ISERROR(SEARCH(",",H399,1)),(H399&amp;","&amp;H399),H399)&amp;IF(ISBLANK(I399),"",IF(ISERROR(SEARCH(",",I399,1)),CONCATENATE(","&amp;I399&amp;","&amp;I399),CONCATENATE(","&amp;I399))&amp;IF(ISBLANK(J399),"",IF(ISERROR(SEARCH(",",J399,1)),CONCATENATE(","&amp;J399&amp;","&amp;J399),CONCATENATE(","&amp;J399))&amp;IF(ISBLANK(K399),"",IF(ISERROR(SEARCH(",",K399,1)),CONCATENATE(","&amp;K399&amp;","&amp;K399),CONCATENATE(","&amp;K399))))))&amp;")","")&amp;" "&amp;F399)</f>
        <v/>
      </c>
    </row>
    <row r="400">
      <c r="A400" s="1" t="n">
        <v>499</v>
      </c>
      <c r="B400" s="1">
        <f>A400</f>
        <v/>
      </c>
      <c r="C400" s="1" t="inlineStr">
        <is>
          <t>vG3m18</t>
        </is>
      </c>
      <c r="D400" s="1" t="inlineStr">
        <is>
          <t>數值</t>
        </is>
      </c>
      <c r="E400" s="1" t="n">
        <v>2</v>
      </c>
      <c r="G400" s="1" t="inlineStr">
        <is>
          <t>range</t>
        </is>
      </c>
      <c r="H400" s="1" t="inlineStr">
        <is>
          <t>0,1</t>
        </is>
      </c>
      <c r="I400" s="1" t="inlineStr">
        <is>
          <t>96</t>
        </is>
      </c>
      <c r="L400" s="1">
        <f>CONCAT(IF(D400="數值",CONCATENATE(G400&amp;"("&amp;C400&amp;","&amp;IF(ISERROR(SEARCH(",",H400,1)),(H400&amp;","&amp;H400),H400)&amp;IF(ISBLANK(I400),"",IF(ISERROR(SEARCH(",",I400,1)),CONCATENATE(","&amp;I400&amp;","&amp;I400),CONCATENATE(","&amp;I400))&amp;IF(ISBLANK(J400),"",IF(ISERROR(SEARCH(",",J400,1)),CONCATENATE(","&amp;J400&amp;","&amp;J400),CONCATENATE(","&amp;J400))&amp;IF(ISBLANK(K400),"",IF(ISERROR(SEARCH(",",K400,1)),CONCATENATE(","&amp;K400&amp;","&amp;K400),CONCATENATE(","&amp;K400))))))&amp;")","")&amp;" "&amp;F400)</f>
        <v/>
      </c>
    </row>
    <row r="401">
      <c r="A401" s="1" t="n">
        <v>500</v>
      </c>
      <c r="B401" s="1">
        <f>A401</f>
        <v/>
      </c>
      <c r="C401" s="1" t="inlineStr">
        <is>
          <t>vG3m19</t>
        </is>
      </c>
      <c r="D401" s="1" t="inlineStr">
        <is>
          <t>數值</t>
        </is>
      </c>
      <c r="E401" s="1" t="n">
        <v>2</v>
      </c>
      <c r="G401" s="1" t="inlineStr">
        <is>
          <t>range</t>
        </is>
      </c>
      <c r="H401" s="1" t="inlineStr">
        <is>
          <t>0,1</t>
        </is>
      </c>
      <c r="I401" s="1" t="inlineStr">
        <is>
          <t>96</t>
        </is>
      </c>
      <c r="L401" s="1">
        <f>CONCAT(IF(D401="數值",CONCATENATE(G401&amp;"("&amp;C401&amp;","&amp;IF(ISERROR(SEARCH(",",H401,1)),(H401&amp;","&amp;H401),H401)&amp;IF(ISBLANK(I401),"",IF(ISERROR(SEARCH(",",I401,1)),CONCATENATE(","&amp;I401&amp;","&amp;I401),CONCATENATE(","&amp;I401))&amp;IF(ISBLANK(J401),"",IF(ISERROR(SEARCH(",",J401,1)),CONCATENATE(","&amp;J401&amp;","&amp;J401),CONCATENATE(","&amp;J401))&amp;IF(ISBLANK(K401),"",IF(ISERROR(SEARCH(",",K401,1)),CONCATENATE(","&amp;K401&amp;","&amp;K401),CONCATENATE(","&amp;K401))))))&amp;")","")&amp;" "&amp;F401)</f>
        <v/>
      </c>
    </row>
    <row r="402">
      <c r="A402" s="1" t="n">
        <v>501</v>
      </c>
      <c r="B402" s="1">
        <f>A402</f>
        <v/>
      </c>
      <c r="C402" s="1" t="inlineStr">
        <is>
          <t>vG3m20</t>
        </is>
      </c>
      <c r="D402" s="1" t="inlineStr">
        <is>
          <t>數值</t>
        </is>
      </c>
      <c r="E402" s="1" t="n">
        <v>2</v>
      </c>
      <c r="G402" s="1" t="inlineStr">
        <is>
          <t>range</t>
        </is>
      </c>
      <c r="H402" s="1" t="inlineStr">
        <is>
          <t>0,1</t>
        </is>
      </c>
      <c r="I402" s="1" t="inlineStr">
        <is>
          <t>96</t>
        </is>
      </c>
      <c r="L402" s="1">
        <f>CONCAT(IF(D402="數值",CONCATENATE(G402&amp;"("&amp;C402&amp;","&amp;IF(ISERROR(SEARCH(",",H402,1)),(H402&amp;","&amp;H402),H402)&amp;IF(ISBLANK(I402),"",IF(ISERROR(SEARCH(",",I402,1)),CONCATENATE(","&amp;I402&amp;","&amp;I402),CONCATENATE(","&amp;I402))&amp;IF(ISBLANK(J402),"",IF(ISERROR(SEARCH(",",J402,1)),CONCATENATE(","&amp;J402&amp;","&amp;J402),CONCATENATE(","&amp;J402))&amp;IF(ISBLANK(K402),"",IF(ISERROR(SEARCH(",",K402,1)),CONCATENATE(","&amp;K402&amp;","&amp;K402),CONCATENATE(","&amp;K402))))))&amp;")","")&amp;" "&amp;F402)</f>
        <v/>
      </c>
    </row>
    <row r="403">
      <c r="A403" s="1" t="n">
        <v>502</v>
      </c>
      <c r="B403" s="1">
        <f>A403</f>
        <v/>
      </c>
      <c r="C403" s="1" t="inlineStr">
        <is>
          <t>vG3m21</t>
        </is>
      </c>
      <c r="D403" s="1" t="inlineStr">
        <is>
          <t>數值</t>
        </is>
      </c>
      <c r="E403" s="1" t="n">
        <v>2</v>
      </c>
      <c r="G403" s="1" t="inlineStr">
        <is>
          <t>range</t>
        </is>
      </c>
      <c r="H403" s="1" t="inlineStr">
        <is>
          <t>0,1</t>
        </is>
      </c>
      <c r="I403" s="1" t="inlineStr">
        <is>
          <t>96</t>
        </is>
      </c>
      <c r="L403" s="1">
        <f>CONCAT(IF(D403="數值",CONCATENATE(G403&amp;"("&amp;C403&amp;","&amp;IF(ISERROR(SEARCH(",",H403,1)),(H403&amp;","&amp;H403),H403)&amp;IF(ISBLANK(I403),"",IF(ISERROR(SEARCH(",",I403,1)),CONCATENATE(","&amp;I403&amp;","&amp;I403),CONCATENATE(","&amp;I403))&amp;IF(ISBLANK(J403),"",IF(ISERROR(SEARCH(",",J403,1)),CONCATENATE(","&amp;J403&amp;","&amp;J403),CONCATENATE(","&amp;J403))&amp;IF(ISBLANK(K403),"",IF(ISERROR(SEARCH(",",K403,1)),CONCATENATE(","&amp;K403&amp;","&amp;K403),CONCATENATE(","&amp;K403))))))&amp;")","")&amp;" "&amp;F403)</f>
        <v/>
      </c>
    </row>
    <row r="404">
      <c r="A404" s="1" t="n">
        <v>503</v>
      </c>
      <c r="B404" s="1">
        <f>A404</f>
        <v/>
      </c>
      <c r="C404" s="1" t="inlineStr">
        <is>
          <t>vG3m22</t>
        </is>
      </c>
      <c r="D404" s="1" t="inlineStr">
        <is>
          <t>數值</t>
        </is>
      </c>
      <c r="E404" s="1" t="n">
        <v>2</v>
      </c>
      <c r="G404" s="1" t="inlineStr">
        <is>
          <t>range</t>
        </is>
      </c>
      <c r="H404" s="1" t="inlineStr">
        <is>
          <t>0,1</t>
        </is>
      </c>
      <c r="I404" s="1" t="inlineStr">
        <is>
          <t>96</t>
        </is>
      </c>
      <c r="L404" s="1">
        <f>CONCAT(IF(D404="數值",CONCATENATE(G404&amp;"("&amp;C404&amp;","&amp;IF(ISERROR(SEARCH(",",H404,1)),(H404&amp;","&amp;H404),H404)&amp;IF(ISBLANK(I404),"",IF(ISERROR(SEARCH(",",I404,1)),CONCATENATE(","&amp;I404&amp;","&amp;I404),CONCATENATE(","&amp;I404))&amp;IF(ISBLANK(J404),"",IF(ISERROR(SEARCH(",",J404,1)),CONCATENATE(","&amp;J404&amp;","&amp;J404),CONCATENATE(","&amp;J404))&amp;IF(ISBLANK(K404),"",IF(ISERROR(SEARCH(",",K404,1)),CONCATENATE(","&amp;K404&amp;","&amp;K404),CONCATENATE(","&amp;K404))))))&amp;")","")&amp;" "&amp;F404)</f>
        <v/>
      </c>
    </row>
    <row r="405">
      <c r="A405" s="1" t="n">
        <v>504</v>
      </c>
      <c r="B405" s="1">
        <f>A405</f>
        <v/>
      </c>
      <c r="C405" s="1" t="inlineStr">
        <is>
          <t>vG3m23</t>
        </is>
      </c>
      <c r="D405" s="1" t="inlineStr">
        <is>
          <t>數值</t>
        </is>
      </c>
      <c r="E405" s="1" t="n">
        <v>2</v>
      </c>
      <c r="G405" s="1" t="inlineStr">
        <is>
          <t>range</t>
        </is>
      </c>
      <c r="H405" s="1" t="inlineStr">
        <is>
          <t>0,1</t>
        </is>
      </c>
      <c r="I405" s="1" t="inlineStr">
        <is>
          <t>96</t>
        </is>
      </c>
      <c r="L405" s="1">
        <f>CONCAT(IF(D405="數值",CONCATENATE(G405&amp;"("&amp;C405&amp;","&amp;IF(ISERROR(SEARCH(",",H405,1)),(H405&amp;","&amp;H405),H405)&amp;IF(ISBLANK(I405),"",IF(ISERROR(SEARCH(",",I405,1)),CONCATENATE(","&amp;I405&amp;","&amp;I405),CONCATENATE(","&amp;I405))&amp;IF(ISBLANK(J405),"",IF(ISERROR(SEARCH(",",J405,1)),CONCATENATE(","&amp;J405&amp;","&amp;J405),CONCATENATE(","&amp;J405))&amp;IF(ISBLANK(K405),"",IF(ISERROR(SEARCH(",",K405,1)),CONCATENATE(","&amp;K405&amp;","&amp;K405),CONCATENATE(","&amp;K405))))))&amp;")","")&amp;" "&amp;F405)</f>
        <v/>
      </c>
    </row>
    <row r="406">
      <c r="A406" s="1" t="n">
        <v>505</v>
      </c>
      <c r="B406" s="1">
        <f>A406</f>
        <v/>
      </c>
      <c r="C406" s="1" t="inlineStr">
        <is>
          <t>vG3m24</t>
        </is>
      </c>
      <c r="D406" s="1" t="inlineStr">
        <is>
          <t>數值</t>
        </is>
      </c>
      <c r="E406" s="1" t="n">
        <v>2</v>
      </c>
      <c r="G406" s="1" t="inlineStr">
        <is>
          <t>range</t>
        </is>
      </c>
      <c r="H406" s="1" t="inlineStr">
        <is>
          <t>0,1</t>
        </is>
      </c>
      <c r="I406" s="1" t="inlineStr">
        <is>
          <t>96</t>
        </is>
      </c>
      <c r="L406" s="1">
        <f>CONCAT(IF(D406="數值",CONCATENATE(G406&amp;"("&amp;C406&amp;","&amp;IF(ISERROR(SEARCH(",",H406,1)),(H406&amp;","&amp;H406),H406)&amp;IF(ISBLANK(I406),"",IF(ISERROR(SEARCH(",",I406,1)),CONCATENATE(","&amp;I406&amp;","&amp;I406),CONCATENATE(","&amp;I406))&amp;IF(ISBLANK(J406),"",IF(ISERROR(SEARCH(",",J406,1)),CONCATENATE(","&amp;J406&amp;","&amp;J406),CONCATENATE(","&amp;J406))&amp;IF(ISBLANK(K406),"",IF(ISERROR(SEARCH(",",K406,1)),CONCATENATE(","&amp;K406&amp;","&amp;K406),CONCATENATE(","&amp;K406))))))&amp;")","")&amp;" "&amp;F406)</f>
        <v/>
      </c>
    </row>
    <row r="407">
      <c r="A407" s="1" t="n">
        <v>506</v>
      </c>
      <c r="B407" s="1">
        <f>A407</f>
        <v/>
      </c>
      <c r="C407" s="1" t="inlineStr">
        <is>
          <t>vG3m25</t>
        </is>
      </c>
      <c r="D407" s="1" t="inlineStr">
        <is>
          <t>數值</t>
        </is>
      </c>
      <c r="E407" s="1" t="n">
        <v>2</v>
      </c>
      <c r="G407" s="1" t="inlineStr">
        <is>
          <t>range</t>
        </is>
      </c>
      <c r="H407" s="1" t="inlineStr">
        <is>
          <t>0,1</t>
        </is>
      </c>
      <c r="I407" s="1" t="inlineStr">
        <is>
          <t>96</t>
        </is>
      </c>
      <c r="L407" s="1">
        <f>CONCAT(IF(D407="數值",CONCATENATE(G407&amp;"("&amp;C407&amp;","&amp;IF(ISERROR(SEARCH(",",H407,1)),(H407&amp;","&amp;H407),H407)&amp;IF(ISBLANK(I407),"",IF(ISERROR(SEARCH(",",I407,1)),CONCATENATE(","&amp;I407&amp;","&amp;I407),CONCATENATE(","&amp;I407))&amp;IF(ISBLANK(J407),"",IF(ISERROR(SEARCH(",",J407,1)),CONCATENATE(","&amp;J407&amp;","&amp;J407),CONCATENATE(","&amp;J407))&amp;IF(ISBLANK(K407),"",IF(ISERROR(SEARCH(",",K407,1)),CONCATENATE(","&amp;K407&amp;","&amp;K407),CONCATENATE(","&amp;K407))))))&amp;")","")&amp;" "&amp;F407)</f>
        <v/>
      </c>
    </row>
    <row r="408">
      <c r="A408" s="1" t="n">
        <v>507</v>
      </c>
      <c r="B408" s="1">
        <f>A408</f>
        <v/>
      </c>
      <c r="C408" s="1" t="inlineStr">
        <is>
          <t>vG3m26</t>
        </is>
      </c>
      <c r="D408" s="1" t="inlineStr">
        <is>
          <t>數值</t>
        </is>
      </c>
      <c r="E408" s="1" t="n">
        <v>2</v>
      </c>
      <c r="G408" s="1" t="inlineStr">
        <is>
          <t>range</t>
        </is>
      </c>
      <c r="H408" s="1" t="inlineStr">
        <is>
          <t>0,1</t>
        </is>
      </c>
      <c r="I408" s="1" t="inlineStr">
        <is>
          <t>96</t>
        </is>
      </c>
      <c r="L408" s="1">
        <f>CONCAT(IF(D408="數值",CONCATENATE(G408&amp;"("&amp;C408&amp;","&amp;IF(ISERROR(SEARCH(",",H408,1)),(H408&amp;","&amp;H408),H408)&amp;IF(ISBLANK(I408),"",IF(ISERROR(SEARCH(",",I408,1)),CONCATENATE(","&amp;I408&amp;","&amp;I408),CONCATENATE(","&amp;I408))&amp;IF(ISBLANK(J408),"",IF(ISERROR(SEARCH(",",J408,1)),CONCATENATE(","&amp;J408&amp;","&amp;J408),CONCATENATE(","&amp;J408))&amp;IF(ISBLANK(K408),"",IF(ISERROR(SEARCH(",",K408,1)),CONCATENATE(","&amp;K408&amp;","&amp;K408),CONCATENATE(","&amp;K408))))))&amp;")","")&amp;" "&amp;F408)</f>
        <v/>
      </c>
    </row>
    <row r="409">
      <c r="A409" s="1" t="n">
        <v>508</v>
      </c>
      <c r="B409" s="1">
        <f>A409</f>
        <v/>
      </c>
      <c r="C409" s="1" t="inlineStr">
        <is>
          <t>vG3m27</t>
        </is>
      </c>
      <c r="D409" s="1" t="inlineStr">
        <is>
          <t>數值</t>
        </is>
      </c>
      <c r="E409" s="1" t="n">
        <v>2</v>
      </c>
      <c r="G409" s="1" t="inlineStr">
        <is>
          <t>range</t>
        </is>
      </c>
      <c r="H409" s="1" t="inlineStr">
        <is>
          <t>0,1</t>
        </is>
      </c>
      <c r="I409" s="1" t="inlineStr">
        <is>
          <t>96</t>
        </is>
      </c>
      <c r="L409" s="1">
        <f>CONCAT(IF(D409="數值",CONCATENATE(G409&amp;"("&amp;C409&amp;","&amp;IF(ISERROR(SEARCH(",",H409,1)),(H409&amp;","&amp;H409),H409)&amp;IF(ISBLANK(I409),"",IF(ISERROR(SEARCH(",",I409,1)),CONCATENATE(","&amp;I409&amp;","&amp;I409),CONCATENATE(","&amp;I409))&amp;IF(ISBLANK(J409),"",IF(ISERROR(SEARCH(",",J409,1)),CONCATENATE(","&amp;J409&amp;","&amp;J409),CONCATENATE(","&amp;J409))&amp;IF(ISBLANK(K409),"",IF(ISERROR(SEARCH(",",K409,1)),CONCATENATE(","&amp;K409&amp;","&amp;K409),CONCATENATE(","&amp;K409))))))&amp;")","")&amp;" "&amp;F409)</f>
        <v/>
      </c>
    </row>
    <row r="410">
      <c r="A410" s="1" t="n">
        <v>509</v>
      </c>
      <c r="B410" s="1">
        <f>A410</f>
        <v/>
      </c>
      <c r="C410" s="1" t="inlineStr">
        <is>
          <t>vG3m28</t>
        </is>
      </c>
      <c r="D410" s="1" t="inlineStr">
        <is>
          <t>數值</t>
        </is>
      </c>
      <c r="E410" s="1" t="n">
        <v>2</v>
      </c>
      <c r="G410" s="1" t="inlineStr">
        <is>
          <t>range</t>
        </is>
      </c>
      <c r="H410" s="1" t="inlineStr">
        <is>
          <t>0,1</t>
        </is>
      </c>
      <c r="I410" s="1" t="inlineStr">
        <is>
          <t>96</t>
        </is>
      </c>
      <c r="L410" s="1">
        <f>CONCAT(IF(D410="數值",CONCATENATE(G410&amp;"("&amp;C410&amp;","&amp;IF(ISERROR(SEARCH(",",H410,1)),(H410&amp;","&amp;H410),H410)&amp;IF(ISBLANK(I410),"",IF(ISERROR(SEARCH(",",I410,1)),CONCATENATE(","&amp;I410&amp;","&amp;I410),CONCATENATE(","&amp;I410))&amp;IF(ISBLANK(J410),"",IF(ISERROR(SEARCH(",",J410,1)),CONCATENATE(","&amp;J410&amp;","&amp;J410),CONCATENATE(","&amp;J410))&amp;IF(ISBLANK(K410),"",IF(ISERROR(SEARCH(",",K410,1)),CONCATENATE(","&amp;K410&amp;","&amp;K410),CONCATENATE(","&amp;K410))))))&amp;")","")&amp;" "&amp;F410)</f>
        <v/>
      </c>
    </row>
    <row r="411">
      <c r="A411" s="1" t="n">
        <v>510</v>
      </c>
      <c r="B411" s="1">
        <f>A411</f>
        <v/>
      </c>
      <c r="C411" s="1" t="inlineStr">
        <is>
          <t>vG3m29</t>
        </is>
      </c>
      <c r="D411" s="1" t="inlineStr">
        <is>
          <t>數值</t>
        </is>
      </c>
      <c r="E411" s="1" t="n">
        <v>2</v>
      </c>
      <c r="G411" s="1" t="inlineStr">
        <is>
          <t>range</t>
        </is>
      </c>
      <c r="H411" s="1" t="inlineStr">
        <is>
          <t>0,1</t>
        </is>
      </c>
      <c r="I411" s="1" t="inlineStr">
        <is>
          <t>96</t>
        </is>
      </c>
      <c r="L411" s="1">
        <f>CONCAT(IF(D411="數值",CONCATENATE(G411&amp;"("&amp;C411&amp;","&amp;IF(ISERROR(SEARCH(",",H411,1)),(H411&amp;","&amp;H411),H411)&amp;IF(ISBLANK(I411),"",IF(ISERROR(SEARCH(",",I411,1)),CONCATENATE(","&amp;I411&amp;","&amp;I411),CONCATENATE(","&amp;I411))&amp;IF(ISBLANK(J411),"",IF(ISERROR(SEARCH(",",J411,1)),CONCATENATE(","&amp;J411&amp;","&amp;J411),CONCATENATE(","&amp;J411))&amp;IF(ISBLANK(K411),"",IF(ISERROR(SEARCH(",",K411,1)),CONCATENATE(","&amp;K411&amp;","&amp;K411),CONCATENATE(","&amp;K411))))))&amp;")","")&amp;" "&amp;F411)</f>
        <v/>
      </c>
    </row>
    <row r="412">
      <c r="A412" s="1" t="n">
        <v>511</v>
      </c>
      <c r="B412" s="1">
        <f>A412</f>
        <v/>
      </c>
      <c r="C412" s="1" t="inlineStr">
        <is>
          <t>vG3m30</t>
        </is>
      </c>
      <c r="D412" s="1" t="inlineStr">
        <is>
          <t>數值</t>
        </is>
      </c>
      <c r="E412" s="1" t="n">
        <v>2</v>
      </c>
      <c r="G412" s="1" t="inlineStr">
        <is>
          <t>range</t>
        </is>
      </c>
      <c r="H412" s="1" t="inlineStr">
        <is>
          <t>0,1</t>
        </is>
      </c>
      <c r="I412" s="1" t="inlineStr">
        <is>
          <t>96</t>
        </is>
      </c>
      <c r="L412" s="1">
        <f>CONCAT(IF(D412="數值",CONCATENATE(G412&amp;"("&amp;C412&amp;","&amp;IF(ISERROR(SEARCH(",",H412,1)),(H412&amp;","&amp;H412),H412)&amp;IF(ISBLANK(I412),"",IF(ISERROR(SEARCH(",",I412,1)),CONCATENATE(","&amp;I412&amp;","&amp;I412),CONCATENATE(","&amp;I412))&amp;IF(ISBLANK(J412),"",IF(ISERROR(SEARCH(",",J412,1)),CONCATENATE(","&amp;J412&amp;","&amp;J412),CONCATENATE(","&amp;J412))&amp;IF(ISBLANK(K412),"",IF(ISERROR(SEARCH(",",K412,1)),CONCATENATE(","&amp;K412&amp;","&amp;K412),CONCATENATE(","&amp;K412))))))&amp;")","")&amp;" "&amp;F412)</f>
        <v/>
      </c>
    </row>
    <row r="413">
      <c r="A413" s="1" t="n">
        <v>512</v>
      </c>
      <c r="B413" s="1">
        <f>A413</f>
        <v/>
      </c>
      <c r="C413" s="1" t="inlineStr">
        <is>
          <t>vG3m31</t>
        </is>
      </c>
      <c r="D413" s="1" t="inlineStr">
        <is>
          <t>數值</t>
        </is>
      </c>
      <c r="E413" s="1" t="n">
        <v>2</v>
      </c>
      <c r="G413" s="1" t="inlineStr">
        <is>
          <t>range</t>
        </is>
      </c>
      <c r="H413" s="1" t="inlineStr">
        <is>
          <t>0,1</t>
        </is>
      </c>
      <c r="I413" s="1" t="inlineStr">
        <is>
          <t>96</t>
        </is>
      </c>
      <c r="L413" s="1">
        <f>CONCAT(IF(D413="數值",CONCATENATE(G413&amp;"("&amp;C413&amp;","&amp;IF(ISERROR(SEARCH(",",H413,1)),(H413&amp;","&amp;H413),H413)&amp;IF(ISBLANK(I413),"",IF(ISERROR(SEARCH(",",I413,1)),CONCATENATE(","&amp;I413&amp;","&amp;I413),CONCATENATE(","&amp;I413))&amp;IF(ISBLANK(J413),"",IF(ISERROR(SEARCH(",",J413,1)),CONCATENATE(","&amp;J413&amp;","&amp;J413),CONCATENATE(","&amp;J413))&amp;IF(ISBLANK(K413),"",IF(ISERROR(SEARCH(",",K413,1)),CONCATENATE(","&amp;K413&amp;","&amp;K413),CONCATENATE(","&amp;K413))))))&amp;")","")&amp;" "&amp;F413)</f>
        <v/>
      </c>
    </row>
    <row r="414">
      <c r="A414" s="1" t="n">
        <v>513</v>
      </c>
      <c r="B414" s="1">
        <f>A414</f>
        <v/>
      </c>
      <c r="C414" s="1" t="inlineStr">
        <is>
          <t>vG3m32</t>
        </is>
      </c>
      <c r="D414" s="1" t="inlineStr">
        <is>
          <t>數值</t>
        </is>
      </c>
      <c r="E414" s="1" t="n">
        <v>2</v>
      </c>
      <c r="G414" s="1" t="inlineStr">
        <is>
          <t>range</t>
        </is>
      </c>
      <c r="H414" s="1" t="inlineStr">
        <is>
          <t>0,1</t>
        </is>
      </c>
      <c r="I414" s="1" t="inlineStr">
        <is>
          <t>96</t>
        </is>
      </c>
      <c r="L414" s="1">
        <f>CONCAT(IF(D414="數值",CONCATENATE(G414&amp;"("&amp;C414&amp;","&amp;IF(ISERROR(SEARCH(",",H414,1)),(H414&amp;","&amp;H414),H414)&amp;IF(ISBLANK(I414),"",IF(ISERROR(SEARCH(",",I414,1)),CONCATENATE(","&amp;I414&amp;","&amp;I414),CONCATENATE(","&amp;I414))&amp;IF(ISBLANK(J414),"",IF(ISERROR(SEARCH(",",J414,1)),CONCATENATE(","&amp;J414&amp;","&amp;J414),CONCATENATE(","&amp;J414))&amp;IF(ISBLANK(K414),"",IF(ISERROR(SEARCH(",",K414,1)),CONCATENATE(","&amp;K414&amp;","&amp;K414),CONCATENATE(","&amp;K414))))))&amp;")","")&amp;" "&amp;F414)</f>
        <v/>
      </c>
    </row>
    <row r="415">
      <c r="A415" s="1" t="n">
        <v>514</v>
      </c>
      <c r="B415" s="1">
        <f>A415</f>
        <v/>
      </c>
      <c r="C415" s="1" t="inlineStr">
        <is>
          <t>vG3m33</t>
        </is>
      </c>
      <c r="D415" s="1" t="inlineStr">
        <is>
          <t>數值</t>
        </is>
      </c>
      <c r="E415" s="1" t="n">
        <v>2</v>
      </c>
      <c r="G415" s="1" t="inlineStr">
        <is>
          <t>range</t>
        </is>
      </c>
      <c r="H415" s="1" t="inlineStr">
        <is>
          <t>0,1</t>
        </is>
      </c>
      <c r="I415" s="1" t="inlineStr">
        <is>
          <t>96</t>
        </is>
      </c>
      <c r="L415" s="1">
        <f>CONCAT(IF(D415="數值",CONCATENATE(G415&amp;"("&amp;C415&amp;","&amp;IF(ISERROR(SEARCH(",",H415,1)),(H415&amp;","&amp;H415),H415)&amp;IF(ISBLANK(I415),"",IF(ISERROR(SEARCH(",",I415,1)),CONCATENATE(","&amp;I415&amp;","&amp;I415),CONCATENATE(","&amp;I415))&amp;IF(ISBLANK(J415),"",IF(ISERROR(SEARCH(",",J415,1)),CONCATENATE(","&amp;J415&amp;","&amp;J415),CONCATENATE(","&amp;J415))&amp;IF(ISBLANK(K415),"",IF(ISERROR(SEARCH(",",K415,1)),CONCATENATE(","&amp;K415&amp;","&amp;K415),CONCATENATE(","&amp;K415))))))&amp;")","")&amp;" "&amp;F415)</f>
        <v/>
      </c>
    </row>
    <row r="416">
      <c r="A416" s="1" t="n">
        <v>515</v>
      </c>
      <c r="B416" s="1">
        <f>A416</f>
        <v/>
      </c>
      <c r="C416" s="1" t="inlineStr">
        <is>
          <t>vG3m88</t>
        </is>
      </c>
      <c r="D416" s="1" t="inlineStr">
        <is>
          <t>數值</t>
        </is>
      </c>
      <c r="E416" s="1" t="n">
        <v>2</v>
      </c>
      <c r="G416" s="1" t="inlineStr">
        <is>
          <t>range</t>
        </is>
      </c>
      <c r="H416" s="1" t="inlineStr">
        <is>
          <t>0,1</t>
        </is>
      </c>
      <c r="I416" s="1" t="inlineStr">
        <is>
          <t>96</t>
        </is>
      </c>
      <c r="L416" s="1">
        <f>CONCAT(IF(D416="數值",CONCATENATE(G416&amp;"("&amp;C416&amp;","&amp;IF(ISERROR(SEARCH(",",H416,1)),(H416&amp;","&amp;H416),H416)&amp;IF(ISBLANK(I416),"",IF(ISERROR(SEARCH(",",I416,1)),CONCATENATE(","&amp;I416&amp;","&amp;I416),CONCATENATE(","&amp;I416))&amp;IF(ISBLANK(J416),"",IF(ISERROR(SEARCH(",",J416,1)),CONCATENATE(","&amp;J416&amp;","&amp;J416),CONCATENATE(","&amp;J416))&amp;IF(ISBLANK(K416),"",IF(ISERROR(SEARCH(",",K416,1)),CONCATENATE(","&amp;K416&amp;","&amp;K416),CONCATENATE(","&amp;K416))))))&amp;")","")&amp;" "&amp;F416)</f>
        <v/>
      </c>
    </row>
    <row r="417">
      <c r="A417" s="1" t="n">
        <v>516</v>
      </c>
      <c r="B417" s="1">
        <f>A417</f>
        <v/>
      </c>
      <c r="C417" s="1" t="inlineStr">
        <is>
          <t>vF0</t>
        </is>
      </c>
      <c r="D417" s="1" t="inlineStr">
        <is>
          <t>數值</t>
        </is>
      </c>
      <c r="E417" s="1" t="n">
        <v>2</v>
      </c>
      <c r="G417" s="1" t="inlineStr">
        <is>
          <t>range</t>
        </is>
      </c>
      <c r="H417" s="1" t="inlineStr">
        <is>
          <t>1,2</t>
        </is>
      </c>
      <c r="I417" s="1" t="inlineStr">
        <is>
          <t>89,90</t>
        </is>
      </c>
      <c r="J417" s="1" t="inlineStr">
        <is>
          <t>97,98</t>
        </is>
      </c>
      <c r="K417" s="1" t="n"/>
      <c r="L417" s="1">
        <f>CONCAT(IF(D417="數值",CONCATENATE(G417&amp;"("&amp;C417&amp;","&amp;IF(ISERROR(SEARCH(",",H417,1)),(H417&amp;","&amp;H417),H417)&amp;IF(ISBLANK(I417),"",IF(ISERROR(SEARCH(",",I417,1)),CONCATENATE(","&amp;I417&amp;","&amp;I417),CONCATENATE(","&amp;I417))&amp;IF(ISBLANK(J417),"",IF(ISERROR(SEARCH(",",J417,1)),CONCATENATE(","&amp;J417&amp;","&amp;J417),CONCATENATE(","&amp;J417))&amp;IF(ISBLANK(K417),"",IF(ISERROR(SEARCH(",",K417,1)),CONCATENATE(","&amp;K417&amp;","&amp;K417),CONCATENATE(","&amp;K417))))))&amp;")","")&amp;" "&amp;F417)</f>
        <v/>
      </c>
    </row>
    <row r="418">
      <c r="A418" s="1" t="n">
        <v>517</v>
      </c>
      <c r="B418" s="1">
        <f>A418</f>
        <v/>
      </c>
      <c r="C418" s="1" t="inlineStr">
        <is>
          <t>vF1</t>
        </is>
      </c>
      <c r="D418" s="1" t="inlineStr">
        <is>
          <t>數值</t>
        </is>
      </c>
      <c r="E418" s="1" t="n">
        <v>5</v>
      </c>
      <c r="G418" s="1" t="inlineStr">
        <is>
          <t>range</t>
        </is>
      </c>
      <c r="H418" s="1" t="inlineStr">
        <is>
          <t>95</t>
        </is>
      </c>
      <c r="I418" s="1" t="inlineStr">
        <is>
          <t>97,98</t>
        </is>
      </c>
      <c r="J418" s="1" t="n"/>
      <c r="L418" s="1">
        <f>CONCAT(IF(D418="數值",CONCATENATE(G418&amp;"("&amp;C418&amp;","&amp;IF(ISERROR(SEARCH(",",H418,1)),(H418&amp;","&amp;H418),H418)&amp;IF(ISBLANK(I418),"",IF(ISERROR(SEARCH(",",I418,1)),CONCATENATE(","&amp;I418&amp;","&amp;I418),CONCATENATE(","&amp;I418))&amp;IF(ISBLANK(J418),"",IF(ISERROR(SEARCH(",",J418,1)),CONCATENATE(","&amp;J418&amp;","&amp;J418),CONCATENATE(","&amp;J418))&amp;IF(ISBLANK(K418),"",IF(ISERROR(SEARCH(",",K418,1)),CONCATENATE(","&amp;K418&amp;","&amp;K418),CONCATENATE(","&amp;K418))))))&amp;")","")&amp;" "&amp;F418)</f>
        <v/>
      </c>
    </row>
    <row r="419">
      <c r="A419" s="1" t="n">
        <v>518</v>
      </c>
      <c r="B419" s="1">
        <f>A419</f>
        <v/>
      </c>
      <c r="C419" s="1" t="inlineStr">
        <is>
          <t>vF2</t>
        </is>
      </c>
      <c r="D419" s="1" t="inlineStr">
        <is>
          <t>數值</t>
        </is>
      </c>
      <c r="E419" s="1" t="n">
        <v>5</v>
      </c>
      <c r="G419" s="1" t="inlineStr">
        <is>
          <t>range</t>
        </is>
      </c>
      <c r="H419" s="1" t="inlineStr">
        <is>
          <t>1,2359</t>
        </is>
      </c>
      <c r="I419" s="1" t="inlineStr">
        <is>
          <t>9797</t>
        </is>
      </c>
      <c r="J419" s="1" t="inlineStr">
        <is>
          <t>9898</t>
        </is>
      </c>
      <c r="L419" s="1">
        <f>CONCAT(IF(D419="數值",CONCATENATE(G419&amp;"("&amp;C419&amp;","&amp;IF(ISERROR(SEARCH(",",H419,1)),(H419&amp;","&amp;H419),H419)&amp;IF(ISBLANK(I419),"",IF(ISERROR(SEARCH(",",I419,1)),CONCATENATE(","&amp;I419&amp;","&amp;I419),CONCATENATE(","&amp;I419))&amp;IF(ISBLANK(J419),"",IF(ISERROR(SEARCH(",",J419,1)),CONCATENATE(","&amp;J419&amp;","&amp;J419),CONCATENATE(","&amp;J419))&amp;IF(ISBLANK(K419),"",IF(ISERROR(SEARCH(",",K419,1)),CONCATENATE(","&amp;K419&amp;","&amp;K419),CONCATENATE(","&amp;K419))))))&amp;")","")&amp;" "&amp;F419)</f>
        <v/>
      </c>
    </row>
    <row r="420">
      <c r="A420" s="1" t="n">
        <v>519</v>
      </c>
      <c r="B420" s="1">
        <f>A420</f>
        <v/>
      </c>
      <c r="C420" s="1" t="inlineStr">
        <is>
          <t>vF3</t>
        </is>
      </c>
      <c r="D420" s="1" t="inlineStr">
        <is>
          <t>數值</t>
        </is>
      </c>
      <c r="E420" s="1" t="n">
        <v>5</v>
      </c>
      <c r="G420" s="1" t="inlineStr">
        <is>
          <t>range</t>
        </is>
      </c>
      <c r="H420" s="1" t="inlineStr">
        <is>
          <t>95</t>
        </is>
      </c>
      <c r="I420" s="1" t="inlineStr">
        <is>
          <t>97,98</t>
        </is>
      </c>
      <c r="J420" s="1" t="n"/>
      <c r="L420" s="1">
        <f>CONCAT(IF(D420="數值",CONCATENATE(G420&amp;"("&amp;C420&amp;","&amp;IF(ISERROR(SEARCH(",",H420,1)),(H420&amp;","&amp;H420),H420)&amp;IF(ISBLANK(I420),"",IF(ISERROR(SEARCH(",",I420,1)),CONCATENATE(","&amp;I420&amp;","&amp;I420),CONCATENATE(","&amp;I420))&amp;IF(ISBLANK(J420),"",IF(ISERROR(SEARCH(",",J420,1)),CONCATENATE(","&amp;J420&amp;","&amp;J420),CONCATENATE(","&amp;J420))&amp;IF(ISBLANK(K420),"",IF(ISERROR(SEARCH(",",K420,1)),CONCATENATE(","&amp;K420&amp;","&amp;K420),CONCATENATE(","&amp;K420))))))&amp;")","")&amp;" "&amp;F420)</f>
        <v/>
      </c>
    </row>
    <row r="421">
      <c r="A421" s="1" t="n">
        <v>520</v>
      </c>
      <c r="B421" s="1">
        <f>A421</f>
        <v/>
      </c>
      <c r="C421" s="1" t="inlineStr">
        <is>
          <t>vF4</t>
        </is>
      </c>
      <c r="D421" s="1" t="inlineStr">
        <is>
          <t>數值</t>
        </is>
      </c>
      <c r="E421" s="1" t="n">
        <v>5</v>
      </c>
      <c r="G421" s="1" t="inlineStr">
        <is>
          <t>range</t>
        </is>
      </c>
      <c r="H421" s="1" t="inlineStr">
        <is>
          <t>1,2359</t>
        </is>
      </c>
      <c r="I421" s="1" t="inlineStr">
        <is>
          <t>9797</t>
        </is>
      </c>
      <c r="J421" s="1" t="inlineStr">
        <is>
          <t>9898</t>
        </is>
      </c>
      <c r="L421" s="1">
        <f>CONCAT(IF(D421="數值",CONCATENATE(G421&amp;"("&amp;C421&amp;","&amp;IF(ISERROR(SEARCH(",",H421,1)),(H421&amp;","&amp;H421),H421)&amp;IF(ISBLANK(I421),"",IF(ISERROR(SEARCH(",",I421,1)),CONCATENATE(","&amp;I421&amp;","&amp;I421),CONCATENATE(","&amp;I421))&amp;IF(ISBLANK(J421),"",IF(ISERROR(SEARCH(",",J421,1)),CONCATENATE(","&amp;J421&amp;","&amp;J421),CONCATENATE(","&amp;J421))&amp;IF(ISBLANK(K421),"",IF(ISERROR(SEARCH(",",K421,1)),CONCATENATE(","&amp;K421&amp;","&amp;K421),CONCATENATE(","&amp;K421))))))&amp;")","")&amp;" "&amp;F421)</f>
        <v/>
      </c>
    </row>
    <row r="422">
      <c r="A422" s="1" t="n">
        <v>521</v>
      </c>
      <c r="B422" s="1">
        <f>A422</f>
        <v/>
      </c>
      <c r="C422" s="1" t="inlineStr">
        <is>
          <t>vF5m01</t>
        </is>
      </c>
      <c r="D422" s="1" t="inlineStr">
        <is>
          <t>數值</t>
        </is>
      </c>
      <c r="E422" s="1" t="n">
        <v>2</v>
      </c>
      <c r="G422" s="1" t="inlineStr">
        <is>
          <t>range</t>
        </is>
      </c>
      <c r="H422" s="1" t="inlineStr">
        <is>
          <t>0,1</t>
        </is>
      </c>
      <c r="L422" s="1">
        <f>CONCAT(IF(D422="數值",CONCATENATE(G422&amp;"("&amp;C422&amp;","&amp;IF(ISERROR(SEARCH(",",H422,1)),(H422&amp;","&amp;H422),H422)&amp;IF(ISBLANK(I422),"",IF(ISERROR(SEARCH(",",I422,1)),CONCATENATE(","&amp;I422&amp;","&amp;I422),CONCATENATE(","&amp;I422))&amp;IF(ISBLANK(J422),"",IF(ISERROR(SEARCH(",",J422,1)),CONCATENATE(","&amp;J422&amp;","&amp;J422),CONCATENATE(","&amp;J422))&amp;IF(ISBLANK(K422),"",IF(ISERROR(SEARCH(",",K422,1)),CONCATENATE(","&amp;K422&amp;","&amp;K422),CONCATENATE(","&amp;K422))))))&amp;")","")&amp;" "&amp;F422)</f>
        <v/>
      </c>
    </row>
    <row r="423">
      <c r="A423" s="1" t="n">
        <v>522</v>
      </c>
      <c r="B423" s="1">
        <f>A423</f>
        <v/>
      </c>
      <c r="C423" s="1" t="inlineStr">
        <is>
          <t>vF5m02</t>
        </is>
      </c>
      <c r="D423" s="1" t="inlineStr">
        <is>
          <t>數值</t>
        </is>
      </c>
      <c r="E423" s="1" t="n">
        <v>2</v>
      </c>
      <c r="G423" s="1" t="inlineStr">
        <is>
          <t>range</t>
        </is>
      </c>
      <c r="H423" s="1" t="inlineStr">
        <is>
          <t>0,1</t>
        </is>
      </c>
      <c r="L423" s="1">
        <f>CONCAT(IF(D423="數值",CONCATENATE(G423&amp;"("&amp;C423&amp;","&amp;IF(ISERROR(SEARCH(",",H423,1)),(H423&amp;","&amp;H423),H423)&amp;IF(ISBLANK(I423),"",IF(ISERROR(SEARCH(",",I423,1)),CONCATENATE(","&amp;I423&amp;","&amp;I423),CONCATENATE(","&amp;I423))&amp;IF(ISBLANK(J423),"",IF(ISERROR(SEARCH(",",J423,1)),CONCATENATE(","&amp;J423&amp;","&amp;J423),CONCATENATE(","&amp;J423))&amp;IF(ISBLANK(K423),"",IF(ISERROR(SEARCH(",",K423,1)),CONCATENATE(","&amp;K423&amp;","&amp;K423),CONCATENATE(","&amp;K423))))))&amp;")","")&amp;" "&amp;F423)</f>
        <v/>
      </c>
    </row>
    <row r="424">
      <c r="A424" s="1" t="n">
        <v>523</v>
      </c>
      <c r="B424" s="1">
        <f>A424</f>
        <v/>
      </c>
      <c r="C424" s="1" t="inlineStr">
        <is>
          <t>vF5m03</t>
        </is>
      </c>
      <c r="D424" s="1" t="inlineStr">
        <is>
          <t>數值</t>
        </is>
      </c>
      <c r="E424" s="1" t="n">
        <v>2</v>
      </c>
      <c r="G424" s="1" t="inlineStr">
        <is>
          <t>range</t>
        </is>
      </c>
      <c r="H424" s="1" t="inlineStr">
        <is>
          <t>0,1</t>
        </is>
      </c>
      <c r="L424" s="1">
        <f>CONCAT(IF(D424="數值",CONCATENATE(G424&amp;"("&amp;C424&amp;","&amp;IF(ISERROR(SEARCH(",",H424,1)),(H424&amp;","&amp;H424),H424)&amp;IF(ISBLANK(I424),"",IF(ISERROR(SEARCH(",",I424,1)),CONCATENATE(","&amp;I424&amp;","&amp;I424),CONCATENATE(","&amp;I424))&amp;IF(ISBLANK(J424),"",IF(ISERROR(SEARCH(",",J424,1)),CONCATENATE(","&amp;J424&amp;","&amp;J424),CONCATENATE(","&amp;J424))&amp;IF(ISBLANK(K424),"",IF(ISERROR(SEARCH(",",K424,1)),CONCATENATE(","&amp;K424&amp;","&amp;K424),CONCATENATE(","&amp;K424))))))&amp;")","")&amp;" "&amp;F424)</f>
        <v/>
      </c>
    </row>
    <row r="425">
      <c r="A425" s="1" t="n">
        <v>524</v>
      </c>
      <c r="B425" s="1">
        <f>A425</f>
        <v/>
      </c>
      <c r="C425" s="1" t="inlineStr">
        <is>
          <t>vF5m04</t>
        </is>
      </c>
      <c r="D425" s="1" t="inlineStr">
        <is>
          <t>數值</t>
        </is>
      </c>
      <c r="E425" s="1" t="n">
        <v>2</v>
      </c>
      <c r="G425" s="1" t="inlineStr">
        <is>
          <t>range</t>
        </is>
      </c>
      <c r="H425" s="1" t="inlineStr">
        <is>
          <t>0,1</t>
        </is>
      </c>
      <c r="L425" s="1">
        <f>CONCAT(IF(D425="數值",CONCATENATE(G425&amp;"("&amp;C425&amp;","&amp;IF(ISERROR(SEARCH(",",H425,1)),(H425&amp;","&amp;H425),H425)&amp;IF(ISBLANK(I425),"",IF(ISERROR(SEARCH(",",I425,1)),CONCATENATE(","&amp;I425&amp;","&amp;I425),CONCATENATE(","&amp;I425))&amp;IF(ISBLANK(J425),"",IF(ISERROR(SEARCH(",",J425,1)),CONCATENATE(","&amp;J425&amp;","&amp;J425),CONCATENATE(","&amp;J425))&amp;IF(ISBLANK(K425),"",IF(ISERROR(SEARCH(",",K425,1)),CONCATENATE(","&amp;K425&amp;","&amp;K425),CONCATENATE(","&amp;K425))))))&amp;")","")&amp;" "&amp;F425)</f>
        <v/>
      </c>
    </row>
    <row r="426">
      <c r="A426" s="1" t="n">
        <v>525</v>
      </c>
      <c r="B426" s="1">
        <f>A426</f>
        <v/>
      </c>
      <c r="C426" s="1" t="inlineStr">
        <is>
          <t>vF5m05</t>
        </is>
      </c>
      <c r="D426" s="1" t="inlineStr">
        <is>
          <t>數值</t>
        </is>
      </c>
      <c r="E426" s="1" t="n">
        <v>2</v>
      </c>
      <c r="G426" s="1" t="inlineStr">
        <is>
          <t>range</t>
        </is>
      </c>
      <c r="H426" s="1" t="inlineStr">
        <is>
          <t>0,1</t>
        </is>
      </c>
      <c r="L426" s="1">
        <f>CONCAT(IF(D426="數值",CONCATENATE(G426&amp;"("&amp;C426&amp;","&amp;IF(ISERROR(SEARCH(",",H426,1)),(H426&amp;","&amp;H426),H426)&amp;IF(ISBLANK(I426),"",IF(ISERROR(SEARCH(",",I426,1)),CONCATENATE(","&amp;I426&amp;","&amp;I426),CONCATENATE(","&amp;I426))&amp;IF(ISBLANK(J426),"",IF(ISERROR(SEARCH(",",J426,1)),CONCATENATE(","&amp;J426&amp;","&amp;J426),CONCATENATE(","&amp;J426))&amp;IF(ISBLANK(K426),"",IF(ISERROR(SEARCH(",",K426,1)),CONCATENATE(","&amp;K426&amp;","&amp;K426),CONCATENATE(","&amp;K426))))))&amp;")","")&amp;" "&amp;F426)</f>
        <v/>
      </c>
    </row>
    <row r="427">
      <c r="A427" s="1" t="n">
        <v>526</v>
      </c>
      <c r="B427" s="1">
        <f>A427</f>
        <v/>
      </c>
      <c r="C427" s="1" t="inlineStr">
        <is>
          <t>vF5m06</t>
        </is>
      </c>
      <c r="D427" s="1" t="inlineStr">
        <is>
          <t>數值</t>
        </is>
      </c>
      <c r="E427" s="1" t="n">
        <v>2</v>
      </c>
      <c r="G427" s="1" t="inlineStr">
        <is>
          <t>range</t>
        </is>
      </c>
      <c r="H427" s="1" t="inlineStr">
        <is>
          <t>0,1</t>
        </is>
      </c>
      <c r="L427" s="1">
        <f>CONCAT(IF(D427="數值",CONCATENATE(G427&amp;"("&amp;C427&amp;","&amp;IF(ISERROR(SEARCH(",",H427,1)),(H427&amp;","&amp;H427),H427)&amp;IF(ISBLANK(I427),"",IF(ISERROR(SEARCH(",",I427,1)),CONCATENATE(","&amp;I427&amp;","&amp;I427),CONCATENATE(","&amp;I427))&amp;IF(ISBLANK(J427),"",IF(ISERROR(SEARCH(",",J427,1)),CONCATENATE(","&amp;J427&amp;","&amp;J427),CONCATENATE(","&amp;J427))&amp;IF(ISBLANK(K427),"",IF(ISERROR(SEARCH(",",K427,1)),CONCATENATE(","&amp;K427&amp;","&amp;K427),CONCATENATE(","&amp;K427))))))&amp;")","")&amp;" "&amp;F427)</f>
        <v/>
      </c>
    </row>
    <row r="428">
      <c r="A428" s="1" t="n">
        <v>527</v>
      </c>
      <c r="B428" s="1">
        <f>A428</f>
        <v/>
      </c>
      <c r="C428" s="1" t="inlineStr">
        <is>
          <t>vF5m07</t>
        </is>
      </c>
      <c r="D428" s="1" t="inlineStr">
        <is>
          <t>數值</t>
        </is>
      </c>
      <c r="E428" s="1" t="n">
        <v>2</v>
      </c>
      <c r="G428" s="1" t="inlineStr">
        <is>
          <t>range</t>
        </is>
      </c>
      <c r="H428" s="1" t="inlineStr">
        <is>
          <t>0,1</t>
        </is>
      </c>
      <c r="L428" s="1">
        <f>CONCAT(IF(D428="數值",CONCATENATE(G428&amp;"("&amp;C428&amp;","&amp;IF(ISERROR(SEARCH(",",H428,1)),(H428&amp;","&amp;H428),H428)&amp;IF(ISBLANK(I428),"",IF(ISERROR(SEARCH(",",I428,1)),CONCATENATE(","&amp;I428&amp;","&amp;I428),CONCATENATE(","&amp;I428))&amp;IF(ISBLANK(J428),"",IF(ISERROR(SEARCH(",",J428,1)),CONCATENATE(","&amp;J428&amp;","&amp;J428),CONCATENATE(","&amp;J428))&amp;IF(ISBLANK(K428),"",IF(ISERROR(SEARCH(",",K428,1)),CONCATENATE(","&amp;K428&amp;","&amp;K428),CONCATENATE(","&amp;K428))))))&amp;")","")&amp;" "&amp;F428)</f>
        <v/>
      </c>
    </row>
    <row r="429">
      <c r="A429" s="1" t="n">
        <v>528</v>
      </c>
      <c r="B429" s="1">
        <f>A429</f>
        <v/>
      </c>
      <c r="C429" s="1" t="inlineStr">
        <is>
          <t>vF5m08</t>
        </is>
      </c>
      <c r="D429" s="1" t="inlineStr">
        <is>
          <t>數值</t>
        </is>
      </c>
      <c r="E429" s="1" t="n">
        <v>2</v>
      </c>
      <c r="G429" s="1" t="inlineStr">
        <is>
          <t>range</t>
        </is>
      </c>
      <c r="H429" s="1" t="inlineStr">
        <is>
          <t>0,1</t>
        </is>
      </c>
      <c r="L429" s="1">
        <f>CONCAT(IF(D429="數值",CONCATENATE(G429&amp;"("&amp;C429&amp;","&amp;IF(ISERROR(SEARCH(",",H429,1)),(H429&amp;","&amp;H429),H429)&amp;IF(ISBLANK(I429),"",IF(ISERROR(SEARCH(",",I429,1)),CONCATENATE(","&amp;I429&amp;","&amp;I429),CONCATENATE(","&amp;I429))&amp;IF(ISBLANK(J429),"",IF(ISERROR(SEARCH(",",J429,1)),CONCATENATE(","&amp;J429&amp;","&amp;J429),CONCATENATE(","&amp;J429))&amp;IF(ISBLANK(K429),"",IF(ISERROR(SEARCH(",",K429,1)),CONCATENATE(","&amp;K429&amp;","&amp;K429),CONCATENATE(","&amp;K429))))))&amp;")","")&amp;" "&amp;F429)</f>
        <v/>
      </c>
    </row>
    <row r="430">
      <c r="A430" s="1" t="n">
        <v>529</v>
      </c>
      <c r="B430" s="1">
        <f>A430</f>
        <v/>
      </c>
      <c r="C430" s="1" t="inlineStr">
        <is>
          <t>vF5m88</t>
        </is>
      </c>
      <c r="D430" s="1" t="inlineStr">
        <is>
          <t>數值</t>
        </is>
      </c>
      <c r="E430" s="1" t="n">
        <v>2</v>
      </c>
      <c r="G430" s="1" t="inlineStr">
        <is>
          <t>range</t>
        </is>
      </c>
      <c r="H430" s="1" t="inlineStr">
        <is>
          <t>0,1</t>
        </is>
      </c>
      <c r="I430" s="1" t="inlineStr">
        <is>
          <t>96</t>
        </is>
      </c>
      <c r="L430" s="1">
        <f>CONCAT(IF(D430="數值",CONCATENATE(G430&amp;"("&amp;C430&amp;","&amp;IF(ISERROR(SEARCH(",",H430,1)),(H430&amp;","&amp;H430),H430)&amp;IF(ISBLANK(I430),"",IF(ISERROR(SEARCH(",",I430,1)),CONCATENATE(","&amp;I430&amp;","&amp;I430),CONCATENATE(","&amp;I430))&amp;IF(ISBLANK(J430),"",IF(ISERROR(SEARCH(",",J430,1)),CONCATENATE(","&amp;J430&amp;","&amp;J430),CONCATENATE(","&amp;J430))&amp;IF(ISBLANK(K430),"",IF(ISERROR(SEARCH(",",K430,1)),CONCATENATE(","&amp;K430&amp;","&amp;K430),CONCATENATE(","&amp;K430))))))&amp;")","")&amp;" "&amp;F430)</f>
        <v/>
      </c>
    </row>
    <row r="431">
      <c r="A431" s="1" t="n">
        <v>530</v>
      </c>
      <c r="B431" s="1">
        <f>A431</f>
        <v/>
      </c>
      <c r="C431" s="1" t="inlineStr">
        <is>
          <t>vC1</t>
        </is>
      </c>
      <c r="D431" s="1" t="inlineStr">
        <is>
          <t>數值</t>
        </is>
      </c>
      <c r="E431" s="1" t="n">
        <v>4</v>
      </c>
      <c r="G431" s="1" t="inlineStr">
        <is>
          <t>range</t>
        </is>
      </c>
      <c r="H431" s="1" t="inlineStr">
        <is>
          <t>95</t>
        </is>
      </c>
      <c r="I431" s="1" t="inlineStr">
        <is>
          <t>97,98</t>
        </is>
      </c>
      <c r="J431" s="1" t="n"/>
      <c r="L431" s="1">
        <f>CONCAT(IF(D431="數值",CONCATENATE(G431&amp;"("&amp;C431&amp;","&amp;IF(ISERROR(SEARCH(",",H431,1)),(H431&amp;","&amp;H431),H431)&amp;IF(ISBLANK(I431),"",IF(ISERROR(SEARCH(",",I431,1)),CONCATENATE(","&amp;I431&amp;","&amp;I431),CONCATENATE(","&amp;I431))&amp;IF(ISBLANK(J431),"",IF(ISERROR(SEARCH(",",J431,1)),CONCATENATE(","&amp;J431&amp;","&amp;J431),CONCATENATE(","&amp;J431))&amp;IF(ISBLANK(K431),"",IF(ISERROR(SEARCH(",",K431,1)),CONCATENATE(","&amp;K431&amp;","&amp;K431),CONCATENATE(","&amp;K431))))))&amp;")","")&amp;" "&amp;F431)</f>
        <v/>
      </c>
    </row>
    <row r="432">
      <c r="A432" s="1" t="n">
        <v>531</v>
      </c>
      <c r="B432" s="1">
        <f>A432</f>
        <v/>
      </c>
      <c r="C432" s="1" t="inlineStr">
        <is>
          <t>vC2</t>
        </is>
      </c>
      <c r="D432" s="1" t="inlineStr">
        <is>
          <t>數值</t>
        </is>
      </c>
      <c r="E432" s="1" t="n">
        <v>5</v>
      </c>
      <c r="G432" s="1" t="inlineStr">
        <is>
          <t>range</t>
        </is>
      </c>
      <c r="H432" s="1" t="inlineStr">
        <is>
          <t>1,2359</t>
        </is>
      </c>
      <c r="I432" s="1" t="inlineStr">
        <is>
          <t>9797</t>
        </is>
      </c>
      <c r="J432" s="1" t="inlineStr">
        <is>
          <t>9898</t>
        </is>
      </c>
      <c r="L432" s="1">
        <f>CONCAT(IF(D432="數值",CONCATENATE(G432&amp;"("&amp;C432&amp;","&amp;IF(ISERROR(SEARCH(",",H432,1)),(H432&amp;","&amp;H432),H432)&amp;IF(ISBLANK(I432),"",IF(ISERROR(SEARCH(",",I432,1)),CONCATENATE(","&amp;I432&amp;","&amp;I432),CONCATENATE(","&amp;I432))&amp;IF(ISBLANK(J432),"",IF(ISERROR(SEARCH(",",J432,1)),CONCATENATE(","&amp;J432&amp;","&amp;J432),CONCATENATE(","&amp;J432))&amp;IF(ISBLANK(K432),"",IF(ISERROR(SEARCH(",",K432,1)),CONCATENATE(","&amp;K432&amp;","&amp;K432),CONCATENATE(","&amp;K432))))))&amp;")","")&amp;" "&amp;F432)</f>
        <v/>
      </c>
    </row>
    <row r="433">
      <c r="A433" s="1" t="n">
        <v>532</v>
      </c>
      <c r="B433" s="1">
        <f>A433</f>
        <v/>
      </c>
      <c r="C433" s="1" t="inlineStr">
        <is>
          <t>vC3m01</t>
        </is>
      </c>
      <c r="D433" s="1" t="inlineStr">
        <is>
          <t>數值</t>
        </is>
      </c>
      <c r="E433" s="1" t="n">
        <v>2</v>
      </c>
      <c r="G433" s="1" t="inlineStr">
        <is>
          <t>range</t>
        </is>
      </c>
      <c r="H433" s="1" t="inlineStr">
        <is>
          <t>0,1</t>
        </is>
      </c>
      <c r="L433" s="1">
        <f>CONCAT(IF(D433="數值",CONCATENATE(G433&amp;"("&amp;C433&amp;","&amp;IF(ISERROR(SEARCH(",",H433,1)),(H433&amp;","&amp;H433),H433)&amp;IF(ISBLANK(I433),"",IF(ISERROR(SEARCH(",",I433,1)),CONCATENATE(","&amp;I433&amp;","&amp;I433),CONCATENATE(","&amp;I433))&amp;IF(ISBLANK(J433),"",IF(ISERROR(SEARCH(",",J433,1)),CONCATENATE(","&amp;J433&amp;","&amp;J433),CONCATENATE(","&amp;J433))&amp;IF(ISBLANK(K433),"",IF(ISERROR(SEARCH(",",K433,1)),CONCATENATE(","&amp;K433&amp;","&amp;K433),CONCATENATE(","&amp;K433))))))&amp;")","")&amp;" "&amp;F433)</f>
        <v/>
      </c>
    </row>
    <row r="434">
      <c r="A434" s="1" t="n">
        <v>533</v>
      </c>
      <c r="B434" s="1">
        <f>A434</f>
        <v/>
      </c>
      <c r="C434" s="1" t="inlineStr">
        <is>
          <t>vC3m02</t>
        </is>
      </c>
      <c r="D434" s="1" t="inlineStr">
        <is>
          <t>數值</t>
        </is>
      </c>
      <c r="E434" s="1" t="n">
        <v>2</v>
      </c>
      <c r="G434" s="1" t="inlineStr">
        <is>
          <t>range</t>
        </is>
      </c>
      <c r="H434" s="1" t="inlineStr">
        <is>
          <t>0,1</t>
        </is>
      </c>
      <c r="L434" s="1">
        <f>CONCAT(IF(D434="數值",CONCATENATE(G434&amp;"("&amp;C434&amp;","&amp;IF(ISERROR(SEARCH(",",H434,1)),(H434&amp;","&amp;H434),H434)&amp;IF(ISBLANK(I434),"",IF(ISERROR(SEARCH(",",I434,1)),CONCATENATE(","&amp;I434&amp;","&amp;I434),CONCATENATE(","&amp;I434))&amp;IF(ISBLANK(J434),"",IF(ISERROR(SEARCH(",",J434,1)),CONCATENATE(","&amp;J434&amp;","&amp;J434),CONCATENATE(","&amp;J434))&amp;IF(ISBLANK(K434),"",IF(ISERROR(SEARCH(",",K434,1)),CONCATENATE(","&amp;K434&amp;","&amp;K434),CONCATENATE(","&amp;K434))))))&amp;")","")&amp;" "&amp;F434)</f>
        <v/>
      </c>
    </row>
    <row r="435">
      <c r="A435" s="1" t="n">
        <v>534</v>
      </c>
      <c r="B435" s="1">
        <f>A435</f>
        <v/>
      </c>
      <c r="C435" s="1" t="inlineStr">
        <is>
          <t>vC3m03</t>
        </is>
      </c>
      <c r="D435" s="1" t="inlineStr">
        <is>
          <t>數值</t>
        </is>
      </c>
      <c r="E435" s="1" t="n">
        <v>2</v>
      </c>
      <c r="G435" s="1" t="inlineStr">
        <is>
          <t>range</t>
        </is>
      </c>
      <c r="H435" s="1" t="inlineStr">
        <is>
          <t>0,1</t>
        </is>
      </c>
      <c r="L435" s="1">
        <f>CONCAT(IF(D435="數值",CONCATENATE(G435&amp;"("&amp;C435&amp;","&amp;IF(ISERROR(SEARCH(",",H435,1)),(H435&amp;","&amp;H435),H435)&amp;IF(ISBLANK(I435),"",IF(ISERROR(SEARCH(",",I435,1)),CONCATENATE(","&amp;I435&amp;","&amp;I435),CONCATENATE(","&amp;I435))&amp;IF(ISBLANK(J435),"",IF(ISERROR(SEARCH(",",J435,1)),CONCATENATE(","&amp;J435&amp;","&amp;J435),CONCATENATE(","&amp;J435))&amp;IF(ISBLANK(K435),"",IF(ISERROR(SEARCH(",",K435,1)),CONCATENATE(","&amp;K435&amp;","&amp;K435),CONCATENATE(","&amp;K435))))))&amp;")","")&amp;" "&amp;F435)</f>
        <v/>
      </c>
    </row>
    <row r="436">
      <c r="A436" s="1" t="n">
        <v>535</v>
      </c>
      <c r="B436" s="1">
        <f>A436</f>
        <v/>
      </c>
      <c r="C436" s="1" t="inlineStr">
        <is>
          <t>vC3m04</t>
        </is>
      </c>
      <c r="D436" s="1" t="inlineStr">
        <is>
          <t>數值</t>
        </is>
      </c>
      <c r="E436" s="1" t="n">
        <v>2</v>
      </c>
      <c r="G436" s="1" t="inlineStr">
        <is>
          <t>range</t>
        </is>
      </c>
      <c r="H436" s="1" t="inlineStr">
        <is>
          <t>0,1</t>
        </is>
      </c>
      <c r="L436" s="1">
        <f>CONCAT(IF(D436="數值",CONCATENATE(G436&amp;"("&amp;C436&amp;","&amp;IF(ISERROR(SEARCH(",",H436,1)),(H436&amp;","&amp;H436),H436)&amp;IF(ISBLANK(I436),"",IF(ISERROR(SEARCH(",",I436,1)),CONCATENATE(","&amp;I436&amp;","&amp;I436),CONCATENATE(","&amp;I436))&amp;IF(ISBLANK(J436),"",IF(ISERROR(SEARCH(",",J436,1)),CONCATENATE(","&amp;J436&amp;","&amp;J436),CONCATENATE(","&amp;J436))&amp;IF(ISBLANK(K436),"",IF(ISERROR(SEARCH(",",K436,1)),CONCATENATE(","&amp;K436&amp;","&amp;K436),CONCATENATE(","&amp;K436))))))&amp;")","")&amp;" "&amp;F436)</f>
        <v/>
      </c>
    </row>
    <row r="437">
      <c r="A437" s="1" t="n">
        <v>536</v>
      </c>
      <c r="B437" s="1">
        <f>A437</f>
        <v/>
      </c>
      <c r="C437" s="1" t="inlineStr">
        <is>
          <t>vC3m05</t>
        </is>
      </c>
      <c r="D437" s="1" t="inlineStr">
        <is>
          <t>數值</t>
        </is>
      </c>
      <c r="E437" s="1" t="n">
        <v>2</v>
      </c>
      <c r="G437" s="1" t="inlineStr">
        <is>
          <t>range</t>
        </is>
      </c>
      <c r="H437" s="1" t="inlineStr">
        <is>
          <t>0,1</t>
        </is>
      </c>
      <c r="L437" s="1">
        <f>CONCAT(IF(D437="數值",CONCATENATE(G437&amp;"("&amp;C437&amp;","&amp;IF(ISERROR(SEARCH(",",H437,1)),(H437&amp;","&amp;H437),H437)&amp;IF(ISBLANK(I437),"",IF(ISERROR(SEARCH(",",I437,1)),CONCATENATE(","&amp;I437&amp;","&amp;I437),CONCATENATE(","&amp;I437))&amp;IF(ISBLANK(J437),"",IF(ISERROR(SEARCH(",",J437,1)),CONCATENATE(","&amp;J437&amp;","&amp;J437),CONCATENATE(","&amp;J437))&amp;IF(ISBLANK(K437),"",IF(ISERROR(SEARCH(",",K437,1)),CONCATENATE(","&amp;K437&amp;","&amp;K437),CONCATENATE(","&amp;K437))))))&amp;")","")&amp;" "&amp;F437)</f>
        <v/>
      </c>
    </row>
    <row r="438">
      <c r="A438" s="1" t="n">
        <v>537</v>
      </c>
      <c r="B438" s="1">
        <f>A438</f>
        <v/>
      </c>
      <c r="C438" s="1" t="inlineStr">
        <is>
          <t>vC3m06</t>
        </is>
      </c>
      <c r="D438" s="1" t="inlineStr">
        <is>
          <t>數值</t>
        </is>
      </c>
      <c r="E438" s="1" t="n">
        <v>2</v>
      </c>
      <c r="G438" s="1" t="inlineStr">
        <is>
          <t>range</t>
        </is>
      </c>
      <c r="H438" s="1" t="inlineStr">
        <is>
          <t>0,1</t>
        </is>
      </c>
      <c r="L438" s="1">
        <f>CONCAT(IF(D438="數值",CONCATENATE(G438&amp;"("&amp;C438&amp;","&amp;IF(ISERROR(SEARCH(",",H438,1)),(H438&amp;","&amp;H438),H438)&amp;IF(ISBLANK(I438),"",IF(ISERROR(SEARCH(",",I438,1)),CONCATENATE(","&amp;I438&amp;","&amp;I438),CONCATENATE(","&amp;I438))&amp;IF(ISBLANK(J438),"",IF(ISERROR(SEARCH(",",J438,1)),CONCATENATE(","&amp;J438&amp;","&amp;J438),CONCATENATE(","&amp;J438))&amp;IF(ISBLANK(K438),"",IF(ISERROR(SEARCH(",",K438,1)),CONCATENATE(","&amp;K438&amp;","&amp;K438),CONCATENATE(","&amp;K438))))))&amp;")","")&amp;" "&amp;F438)</f>
        <v/>
      </c>
    </row>
    <row r="439">
      <c r="A439" s="1" t="n">
        <v>538</v>
      </c>
      <c r="B439" s="1">
        <f>A439</f>
        <v/>
      </c>
      <c r="C439" s="1" t="inlineStr">
        <is>
          <t>vC3m07</t>
        </is>
      </c>
      <c r="D439" s="1" t="inlineStr">
        <is>
          <t>數值</t>
        </is>
      </c>
      <c r="E439" s="1" t="n">
        <v>2</v>
      </c>
      <c r="G439" s="1" t="inlineStr">
        <is>
          <t>range</t>
        </is>
      </c>
      <c r="H439" s="1" t="inlineStr">
        <is>
          <t>0,1</t>
        </is>
      </c>
      <c r="L439" s="1">
        <f>CONCAT(IF(D439="數值",CONCATENATE(G439&amp;"("&amp;C439&amp;","&amp;IF(ISERROR(SEARCH(",",H439,1)),(H439&amp;","&amp;H439),H439)&amp;IF(ISBLANK(I439),"",IF(ISERROR(SEARCH(",",I439,1)),CONCATENATE(","&amp;I439&amp;","&amp;I439),CONCATENATE(","&amp;I439))&amp;IF(ISBLANK(J439),"",IF(ISERROR(SEARCH(",",J439,1)),CONCATENATE(","&amp;J439&amp;","&amp;J439),CONCATENATE(","&amp;J439))&amp;IF(ISBLANK(K439),"",IF(ISERROR(SEARCH(",",K439,1)),CONCATENATE(","&amp;K439&amp;","&amp;K439),CONCATENATE(","&amp;K439))))))&amp;")","")&amp;" "&amp;F439)</f>
        <v/>
      </c>
    </row>
    <row r="440">
      <c r="A440" s="1" t="n">
        <v>539</v>
      </c>
      <c r="B440" s="1">
        <f>A440</f>
        <v/>
      </c>
      <c r="C440" s="1" t="inlineStr">
        <is>
          <t>vC3m08</t>
        </is>
      </c>
      <c r="D440" s="1" t="inlineStr">
        <is>
          <t>數值</t>
        </is>
      </c>
      <c r="E440" s="1" t="n">
        <v>2</v>
      </c>
      <c r="G440" s="1" t="inlineStr">
        <is>
          <t>range</t>
        </is>
      </c>
      <c r="H440" s="1" t="inlineStr">
        <is>
          <t>0,1</t>
        </is>
      </c>
      <c r="L440" s="1">
        <f>CONCAT(IF(D440="數值",CONCATENATE(G440&amp;"("&amp;C440&amp;","&amp;IF(ISERROR(SEARCH(",",H440,1)),(H440&amp;","&amp;H440),H440)&amp;IF(ISBLANK(I440),"",IF(ISERROR(SEARCH(",",I440,1)),CONCATENATE(","&amp;I440&amp;","&amp;I440),CONCATENATE(","&amp;I440))&amp;IF(ISBLANK(J440),"",IF(ISERROR(SEARCH(",",J440,1)),CONCATENATE(","&amp;J440&amp;","&amp;J440),CONCATENATE(","&amp;J440))&amp;IF(ISBLANK(K440),"",IF(ISERROR(SEARCH(",",K440,1)),CONCATENATE(","&amp;K440&amp;","&amp;K440),CONCATENATE(","&amp;K440))))))&amp;")","")&amp;" "&amp;F440)</f>
        <v/>
      </c>
    </row>
    <row r="441">
      <c r="A441" s="1" t="n">
        <v>540</v>
      </c>
      <c r="B441" s="1">
        <f>A441</f>
        <v/>
      </c>
      <c r="C441" s="1" t="inlineStr">
        <is>
          <t>vC3m09</t>
        </is>
      </c>
      <c r="D441" s="1" t="inlineStr">
        <is>
          <t>數值</t>
        </is>
      </c>
      <c r="E441" s="1" t="n">
        <v>2</v>
      </c>
      <c r="G441" s="1" t="inlineStr">
        <is>
          <t>range</t>
        </is>
      </c>
      <c r="H441" s="1" t="inlineStr">
        <is>
          <t>0,1</t>
        </is>
      </c>
      <c r="L441" s="1">
        <f>CONCAT(IF(D441="數值",CONCATENATE(G441&amp;"("&amp;C441&amp;","&amp;IF(ISERROR(SEARCH(",",H441,1)),(H441&amp;","&amp;H441),H441)&amp;IF(ISBLANK(I441),"",IF(ISERROR(SEARCH(",",I441,1)),CONCATENATE(","&amp;I441&amp;","&amp;I441),CONCATENATE(","&amp;I441))&amp;IF(ISBLANK(J441),"",IF(ISERROR(SEARCH(",",J441,1)),CONCATENATE(","&amp;J441&amp;","&amp;J441),CONCATENATE(","&amp;J441))&amp;IF(ISBLANK(K441),"",IF(ISERROR(SEARCH(",",K441,1)),CONCATENATE(","&amp;K441&amp;","&amp;K441),CONCATENATE(","&amp;K441))))))&amp;")","")&amp;" "&amp;F441)</f>
        <v/>
      </c>
    </row>
    <row r="442">
      <c r="A442" s="1" t="n">
        <v>541</v>
      </c>
      <c r="B442" s="1">
        <f>A442</f>
        <v/>
      </c>
      <c r="C442" s="1" t="inlineStr">
        <is>
          <t>vC3m10</t>
        </is>
      </c>
      <c r="D442" s="1" t="inlineStr">
        <is>
          <t>數值</t>
        </is>
      </c>
      <c r="E442" s="1" t="n">
        <v>2</v>
      </c>
      <c r="G442" s="1" t="inlineStr">
        <is>
          <t>range</t>
        </is>
      </c>
      <c r="H442" s="1" t="inlineStr">
        <is>
          <t>0,1</t>
        </is>
      </c>
      <c r="I442" s="1" t="inlineStr">
        <is>
          <t>96</t>
        </is>
      </c>
      <c r="L442" s="1">
        <f>CONCAT(IF(D442="數值",CONCATENATE(G442&amp;"("&amp;C442&amp;","&amp;IF(ISERROR(SEARCH(",",H442,1)),(H442&amp;","&amp;H442),H442)&amp;IF(ISBLANK(I442),"",IF(ISERROR(SEARCH(",",I442,1)),CONCATENATE(","&amp;I442&amp;","&amp;I442),CONCATENATE(","&amp;I442))&amp;IF(ISBLANK(J442),"",IF(ISERROR(SEARCH(",",J442,1)),CONCATENATE(","&amp;J442&amp;","&amp;J442),CONCATENATE(","&amp;J442))&amp;IF(ISBLANK(K442),"",IF(ISERROR(SEARCH(",",K442,1)),CONCATENATE(","&amp;K442&amp;","&amp;K442),CONCATENATE(","&amp;K442))))))&amp;")","")&amp;" "&amp;F442)</f>
        <v/>
      </c>
    </row>
    <row r="443">
      <c r="A443" s="1" t="n">
        <v>542</v>
      </c>
      <c r="B443" s="1">
        <f>A443</f>
        <v/>
      </c>
      <c r="C443" s="1" t="inlineStr">
        <is>
          <t>vC3m11</t>
        </is>
      </c>
      <c r="D443" s="1" t="inlineStr">
        <is>
          <t>數值</t>
        </is>
      </c>
      <c r="E443" s="1" t="n">
        <v>2</v>
      </c>
      <c r="G443" s="1" t="inlineStr">
        <is>
          <t>range</t>
        </is>
      </c>
      <c r="H443" s="1" t="inlineStr">
        <is>
          <t>0,1</t>
        </is>
      </c>
      <c r="I443" s="1" t="inlineStr">
        <is>
          <t>96</t>
        </is>
      </c>
      <c r="L443" s="1">
        <f>CONCAT(IF(D443="數值",CONCATENATE(G443&amp;"("&amp;C443&amp;","&amp;IF(ISERROR(SEARCH(",",H443,1)),(H443&amp;","&amp;H443),H443)&amp;IF(ISBLANK(I443),"",IF(ISERROR(SEARCH(",",I443,1)),CONCATENATE(","&amp;I443&amp;","&amp;I443),CONCATENATE(","&amp;I443))&amp;IF(ISBLANK(J443),"",IF(ISERROR(SEARCH(",",J443,1)),CONCATENATE(","&amp;J443&amp;","&amp;J443),CONCATENATE(","&amp;J443))&amp;IF(ISBLANK(K443),"",IF(ISERROR(SEARCH(",",K443,1)),CONCATENATE(","&amp;K443&amp;","&amp;K443),CONCATENATE(","&amp;K443))))))&amp;")","")&amp;" "&amp;F443)</f>
        <v/>
      </c>
    </row>
    <row r="444">
      <c r="A444" s="1" t="n">
        <v>543</v>
      </c>
      <c r="B444" s="1">
        <f>A444</f>
        <v/>
      </c>
      <c r="C444" s="1" t="inlineStr">
        <is>
          <t>vC3m88</t>
        </is>
      </c>
      <c r="D444" s="1" t="inlineStr">
        <is>
          <t>數值</t>
        </is>
      </c>
      <c r="E444" s="1" t="n">
        <v>2</v>
      </c>
      <c r="G444" s="1" t="inlineStr">
        <is>
          <t>range</t>
        </is>
      </c>
      <c r="H444" s="1" t="inlineStr">
        <is>
          <t>0,1</t>
        </is>
      </c>
      <c r="I444" s="1" t="inlineStr">
        <is>
          <t>96</t>
        </is>
      </c>
      <c r="L444" s="1">
        <f>CONCAT(IF(D444="數值",CONCATENATE(G444&amp;"("&amp;C444&amp;","&amp;IF(ISERROR(SEARCH(",",H444,1)),(H444&amp;","&amp;H444),H444)&amp;IF(ISBLANK(I444),"",IF(ISERROR(SEARCH(",",I444,1)),CONCATENATE(","&amp;I444&amp;","&amp;I444),CONCATENATE(","&amp;I444))&amp;IF(ISBLANK(J444),"",IF(ISERROR(SEARCH(",",J444,1)),CONCATENATE(","&amp;J444&amp;","&amp;J444),CONCATENATE(","&amp;J444))&amp;IF(ISBLANK(K444),"",IF(ISERROR(SEARCH(",",K444,1)),CONCATENATE(","&amp;K444&amp;","&amp;K444),CONCATENATE(","&amp;K444))))))&amp;")","")&amp;" "&amp;F444)</f>
        <v/>
      </c>
    </row>
    <row r="445">
      <c r="A445" s="1" t="n">
        <v>544</v>
      </c>
      <c r="B445" s="1">
        <f>A445</f>
        <v/>
      </c>
      <c r="C445" s="1" t="inlineStr">
        <is>
          <t>vJ4_1</t>
        </is>
      </c>
      <c r="D445" s="1" t="inlineStr">
        <is>
          <t>數值</t>
        </is>
      </c>
      <c r="E445" s="1" t="n">
        <v>4</v>
      </c>
      <c r="G445" s="1" t="inlineStr">
        <is>
          <t>range</t>
        </is>
      </c>
    </row>
    <row r="446">
      <c r="A446" s="1" t="n">
        <v>545</v>
      </c>
      <c r="B446" s="1">
        <f>A446</f>
        <v/>
      </c>
      <c r="C446" s="1" t="inlineStr">
        <is>
          <t>vJ4_2</t>
        </is>
      </c>
      <c r="D446" s="1" t="inlineStr">
        <is>
          <t>數值</t>
        </is>
      </c>
      <c r="E446" s="1" t="n">
        <v>4</v>
      </c>
      <c r="G446" s="1" t="inlineStr">
        <is>
          <t>range</t>
        </is>
      </c>
    </row>
    <row r="447">
      <c r="A447" s="1" t="n">
        <v>546</v>
      </c>
      <c r="B447" s="1">
        <f>A447</f>
        <v/>
      </c>
      <c r="C447" s="1" t="inlineStr">
        <is>
          <t>vJ4_3</t>
        </is>
      </c>
      <c r="D447" s="1" t="inlineStr">
        <is>
          <t>數值</t>
        </is>
      </c>
      <c r="E447" s="1" t="n">
        <v>4</v>
      </c>
      <c r="G447" s="1" t="inlineStr">
        <is>
          <t>range</t>
        </is>
      </c>
    </row>
    <row r="448">
      <c r="A448" s="1" t="n">
        <v>547</v>
      </c>
      <c r="B448" s="1">
        <f>A448</f>
        <v/>
      </c>
      <c r="C448" s="1" t="inlineStr">
        <is>
          <t>vJ4_4</t>
        </is>
      </c>
      <c r="D448" s="1" t="inlineStr">
        <is>
          <t>數值</t>
        </is>
      </c>
      <c r="E448" s="1" t="n">
        <v>4</v>
      </c>
      <c r="G448" s="1" t="inlineStr">
        <is>
          <t>range</t>
        </is>
      </c>
    </row>
    <row r="449">
      <c r="A449" s="1" t="n">
        <v>548</v>
      </c>
      <c r="B449" s="1">
        <f>A449</f>
        <v/>
      </c>
      <c r="C449" s="1" t="inlineStr">
        <is>
          <t>vJ4_5</t>
        </is>
      </c>
      <c r="D449" s="1" t="inlineStr">
        <is>
          <t>數值</t>
        </is>
      </c>
      <c r="E449" s="1" t="n">
        <v>4</v>
      </c>
      <c r="G449" s="1" t="inlineStr">
        <is>
          <t>range</t>
        </is>
      </c>
    </row>
    <row r="450">
      <c r="A450" s="1" t="n">
        <v>549</v>
      </c>
      <c r="B450" s="1">
        <f>A450</f>
        <v/>
      </c>
      <c r="C450" s="1" t="inlineStr">
        <is>
          <t>vJB1m01</t>
        </is>
      </c>
      <c r="D450" s="1" t="inlineStr">
        <is>
          <t>數值</t>
        </is>
      </c>
      <c r="E450" s="1" t="n">
        <v>2</v>
      </c>
      <c r="G450" s="1" t="inlineStr">
        <is>
          <t>range</t>
        </is>
      </c>
      <c r="H450" s="1" t="inlineStr">
        <is>
          <t>0,1</t>
        </is>
      </c>
      <c r="L450" s="1">
        <f>CONCAT(IF(D450="數值",CONCATENATE(G450&amp;"("&amp;C450&amp;","&amp;IF(ISERROR(SEARCH(",",H450,1)),(H450&amp;","&amp;H450),H450)&amp;IF(ISBLANK(I450),"",IF(ISERROR(SEARCH(",",I450,1)),CONCATENATE(","&amp;I450&amp;","&amp;I450),CONCATENATE(","&amp;I450))&amp;IF(ISBLANK(J450),"",IF(ISERROR(SEARCH(",",J450,1)),CONCATENATE(","&amp;J450&amp;","&amp;J450),CONCATENATE(","&amp;J450))&amp;IF(ISBLANK(K450),"",IF(ISERROR(SEARCH(",",K450,1)),CONCATENATE(","&amp;K450&amp;","&amp;K450),CONCATENATE(","&amp;K450))))))&amp;")","")&amp;" "&amp;F450)</f>
        <v/>
      </c>
    </row>
    <row r="451">
      <c r="A451" s="1" t="n">
        <v>550</v>
      </c>
      <c r="B451" s="1">
        <f>A451</f>
        <v/>
      </c>
      <c r="C451" s="1" t="inlineStr">
        <is>
          <t>vJB1m02</t>
        </is>
      </c>
      <c r="D451" s="1" t="inlineStr">
        <is>
          <t>數值</t>
        </is>
      </c>
      <c r="E451" s="1" t="n">
        <v>2</v>
      </c>
      <c r="G451" s="1" t="inlineStr">
        <is>
          <t>range</t>
        </is>
      </c>
      <c r="H451" s="1" t="inlineStr">
        <is>
          <t>0,1</t>
        </is>
      </c>
      <c r="L451" s="1">
        <f>CONCAT(IF(D451="數值",CONCATENATE(G451&amp;"("&amp;C451&amp;","&amp;IF(ISERROR(SEARCH(",",H451,1)),(H451&amp;","&amp;H451),H451)&amp;IF(ISBLANK(I451),"",IF(ISERROR(SEARCH(",",I451,1)),CONCATENATE(","&amp;I451&amp;","&amp;I451),CONCATENATE(","&amp;I451))&amp;IF(ISBLANK(J451),"",IF(ISERROR(SEARCH(",",J451,1)),CONCATENATE(","&amp;J451&amp;","&amp;J451),CONCATENATE(","&amp;J451))&amp;IF(ISBLANK(K451),"",IF(ISERROR(SEARCH(",",K451,1)),CONCATENATE(","&amp;K451&amp;","&amp;K451),CONCATENATE(","&amp;K451))))))&amp;")","")&amp;" "&amp;F451)</f>
        <v/>
      </c>
    </row>
    <row r="452">
      <c r="A452" s="1" t="n">
        <v>551</v>
      </c>
      <c r="B452" s="1">
        <f>A452</f>
        <v/>
      </c>
      <c r="C452" s="1" t="inlineStr">
        <is>
          <t>vJB1m03</t>
        </is>
      </c>
      <c r="D452" s="1" t="inlineStr">
        <is>
          <t>數值</t>
        </is>
      </c>
      <c r="E452" s="1" t="n">
        <v>2</v>
      </c>
      <c r="G452" s="1" t="inlineStr">
        <is>
          <t>range</t>
        </is>
      </c>
      <c r="H452" s="1" t="inlineStr">
        <is>
          <t>0,1</t>
        </is>
      </c>
      <c r="L452" s="1">
        <f>CONCAT(IF(D452="數值",CONCATENATE(G452&amp;"("&amp;C452&amp;","&amp;IF(ISERROR(SEARCH(",",H452,1)),(H452&amp;","&amp;H452),H452)&amp;IF(ISBLANK(I452),"",IF(ISERROR(SEARCH(",",I452,1)),CONCATENATE(","&amp;I452&amp;","&amp;I452),CONCATENATE(","&amp;I452))&amp;IF(ISBLANK(J452),"",IF(ISERROR(SEARCH(",",J452,1)),CONCATENATE(","&amp;J452&amp;","&amp;J452),CONCATENATE(","&amp;J452))&amp;IF(ISBLANK(K452),"",IF(ISERROR(SEARCH(",",K452,1)),CONCATENATE(","&amp;K452&amp;","&amp;K452),CONCATENATE(","&amp;K452))))))&amp;")","")&amp;" "&amp;F452)</f>
        <v/>
      </c>
    </row>
    <row r="453">
      <c r="A453" s="1" t="n">
        <v>552</v>
      </c>
      <c r="B453" s="1">
        <f>A453</f>
        <v/>
      </c>
      <c r="C453" s="1" t="inlineStr">
        <is>
          <t>vJB1m04</t>
        </is>
      </c>
      <c r="D453" s="1" t="inlineStr">
        <is>
          <t>數值</t>
        </is>
      </c>
      <c r="E453" s="1" t="n">
        <v>2</v>
      </c>
      <c r="G453" s="1" t="inlineStr">
        <is>
          <t>range</t>
        </is>
      </c>
      <c r="H453" s="1" t="inlineStr">
        <is>
          <t>0,1</t>
        </is>
      </c>
      <c r="L453" s="1">
        <f>CONCAT(IF(D453="數值",CONCATENATE(G453&amp;"("&amp;C453&amp;","&amp;IF(ISERROR(SEARCH(",",H453,1)),(H453&amp;","&amp;H453),H453)&amp;IF(ISBLANK(I453),"",IF(ISERROR(SEARCH(",",I453,1)),CONCATENATE(","&amp;I453&amp;","&amp;I453),CONCATENATE(","&amp;I453))&amp;IF(ISBLANK(J453),"",IF(ISERROR(SEARCH(",",J453,1)),CONCATENATE(","&amp;J453&amp;","&amp;J453),CONCATENATE(","&amp;J453))&amp;IF(ISBLANK(K453),"",IF(ISERROR(SEARCH(",",K453,1)),CONCATENATE(","&amp;K453&amp;","&amp;K453),CONCATENATE(","&amp;K453))))))&amp;")","")&amp;" "&amp;F453)</f>
        <v/>
      </c>
    </row>
    <row r="454">
      <c r="A454" s="1" t="n">
        <v>553</v>
      </c>
      <c r="B454" s="1">
        <f>A454</f>
        <v/>
      </c>
      <c r="C454" s="1" t="inlineStr">
        <is>
          <t>vJB1m05</t>
        </is>
      </c>
      <c r="D454" s="1" t="inlineStr">
        <is>
          <t>數值</t>
        </is>
      </c>
      <c r="E454" s="1" t="n">
        <v>2</v>
      </c>
      <c r="G454" s="1" t="inlineStr">
        <is>
          <t>range</t>
        </is>
      </c>
      <c r="H454" s="1" t="inlineStr">
        <is>
          <t>0,1</t>
        </is>
      </c>
      <c r="L454" s="1">
        <f>CONCAT(IF(D454="數值",CONCATENATE(G454&amp;"("&amp;C454&amp;","&amp;IF(ISERROR(SEARCH(",",H454,1)),(H454&amp;","&amp;H454),H454)&amp;IF(ISBLANK(I454),"",IF(ISERROR(SEARCH(",",I454,1)),CONCATENATE(","&amp;I454&amp;","&amp;I454),CONCATENATE(","&amp;I454))&amp;IF(ISBLANK(J454),"",IF(ISERROR(SEARCH(",",J454,1)),CONCATENATE(","&amp;J454&amp;","&amp;J454),CONCATENATE(","&amp;J454))&amp;IF(ISBLANK(K454),"",IF(ISERROR(SEARCH(",",K454,1)),CONCATENATE(","&amp;K454&amp;","&amp;K454),CONCATENATE(","&amp;K454))))))&amp;")","")&amp;" "&amp;F454)</f>
        <v/>
      </c>
    </row>
    <row r="455">
      <c r="A455" s="1" t="n">
        <v>554</v>
      </c>
      <c r="B455" s="1">
        <f>A455</f>
        <v/>
      </c>
      <c r="C455" s="1" t="inlineStr">
        <is>
          <t>vJB1m06</t>
        </is>
      </c>
      <c r="D455" s="1" t="inlineStr">
        <is>
          <t>數值</t>
        </is>
      </c>
      <c r="E455" s="1" t="n">
        <v>2</v>
      </c>
      <c r="G455" s="1" t="inlineStr">
        <is>
          <t>range</t>
        </is>
      </c>
      <c r="H455" s="1" t="inlineStr">
        <is>
          <t>0,1</t>
        </is>
      </c>
      <c r="L455" s="1">
        <f>CONCAT(IF(D455="數值",CONCATENATE(G455&amp;"("&amp;C455&amp;","&amp;IF(ISERROR(SEARCH(",",H455,1)),(H455&amp;","&amp;H455),H455)&amp;IF(ISBLANK(I455),"",IF(ISERROR(SEARCH(",",I455,1)),CONCATENATE(","&amp;I455&amp;","&amp;I455),CONCATENATE(","&amp;I455))&amp;IF(ISBLANK(J455),"",IF(ISERROR(SEARCH(",",J455,1)),CONCATENATE(","&amp;J455&amp;","&amp;J455),CONCATENATE(","&amp;J455))&amp;IF(ISBLANK(K455),"",IF(ISERROR(SEARCH(",",K455,1)),CONCATENATE(","&amp;K455&amp;","&amp;K455),CONCATENATE(","&amp;K455))))))&amp;")","")&amp;" "&amp;F455)</f>
        <v/>
      </c>
    </row>
    <row r="456">
      <c r="A456" s="1" t="n">
        <v>555</v>
      </c>
      <c r="B456" s="1">
        <f>A456</f>
        <v/>
      </c>
      <c r="C456" s="1" t="inlineStr">
        <is>
          <t>vJB1m07</t>
        </is>
      </c>
      <c r="D456" s="1" t="inlineStr">
        <is>
          <t>數值</t>
        </is>
      </c>
      <c r="E456" s="1" t="n">
        <v>2</v>
      </c>
      <c r="G456" s="1" t="inlineStr">
        <is>
          <t>range</t>
        </is>
      </c>
      <c r="H456" s="1" t="inlineStr">
        <is>
          <t>0,1</t>
        </is>
      </c>
      <c r="L456" s="1">
        <f>CONCAT(IF(D456="數值",CONCATENATE(G456&amp;"("&amp;C456&amp;","&amp;IF(ISERROR(SEARCH(",",H456,1)),(H456&amp;","&amp;H456),H456)&amp;IF(ISBLANK(I456),"",IF(ISERROR(SEARCH(",",I456,1)),CONCATENATE(","&amp;I456&amp;","&amp;I456),CONCATENATE(","&amp;I456))&amp;IF(ISBLANK(J456),"",IF(ISERROR(SEARCH(",",J456,1)),CONCATENATE(","&amp;J456&amp;","&amp;J456),CONCATENATE(","&amp;J456))&amp;IF(ISBLANK(K456),"",IF(ISERROR(SEARCH(",",K456,1)),CONCATENATE(","&amp;K456&amp;","&amp;K456),CONCATENATE(","&amp;K456))))))&amp;")","")&amp;" "&amp;F456)</f>
        <v/>
      </c>
    </row>
    <row r="457">
      <c r="A457" s="1" t="n">
        <v>556</v>
      </c>
      <c r="B457" s="1">
        <f>A457</f>
        <v/>
      </c>
      <c r="C457" s="1" t="inlineStr">
        <is>
          <t>vJB1m08</t>
        </is>
      </c>
      <c r="D457" s="1" t="inlineStr">
        <is>
          <t>數值</t>
        </is>
      </c>
      <c r="E457" s="1" t="n">
        <v>2</v>
      </c>
      <c r="G457" s="1" t="inlineStr">
        <is>
          <t>range</t>
        </is>
      </c>
      <c r="H457" s="1" t="inlineStr">
        <is>
          <t>0,1</t>
        </is>
      </c>
      <c r="L457" s="1">
        <f>CONCAT(IF(D457="數值",CONCATENATE(G457&amp;"("&amp;C457&amp;","&amp;IF(ISERROR(SEARCH(",",H457,1)),(H457&amp;","&amp;H457),H457)&amp;IF(ISBLANK(I457),"",IF(ISERROR(SEARCH(",",I457,1)),CONCATENATE(","&amp;I457&amp;","&amp;I457),CONCATENATE(","&amp;I457))&amp;IF(ISBLANK(J457),"",IF(ISERROR(SEARCH(",",J457,1)),CONCATENATE(","&amp;J457&amp;","&amp;J457),CONCATENATE(","&amp;J457))&amp;IF(ISBLANK(K457),"",IF(ISERROR(SEARCH(",",K457,1)),CONCATENATE(","&amp;K457&amp;","&amp;K457),CONCATENATE(","&amp;K457))))))&amp;")","")&amp;" "&amp;F457)</f>
        <v/>
      </c>
    </row>
    <row r="458">
      <c r="A458" s="1" t="n">
        <v>557</v>
      </c>
      <c r="B458" s="1">
        <f>A458</f>
        <v/>
      </c>
      <c r="C458" s="1" t="inlineStr">
        <is>
          <t>vJB1m09</t>
        </is>
      </c>
      <c r="D458" s="1" t="inlineStr">
        <is>
          <t>數值</t>
        </is>
      </c>
      <c r="E458" s="1" t="n">
        <v>2</v>
      </c>
      <c r="G458" s="1" t="inlineStr">
        <is>
          <t>range</t>
        </is>
      </c>
      <c r="H458" s="1" t="inlineStr">
        <is>
          <t>0,1</t>
        </is>
      </c>
      <c r="L458" s="1">
        <f>CONCAT(IF(D458="數值",CONCATENATE(G458&amp;"("&amp;C458&amp;","&amp;IF(ISERROR(SEARCH(",",H458,1)),(H458&amp;","&amp;H458),H458)&amp;IF(ISBLANK(I458),"",IF(ISERROR(SEARCH(",",I458,1)),CONCATENATE(","&amp;I458&amp;","&amp;I458),CONCATENATE(","&amp;I458))&amp;IF(ISBLANK(J458),"",IF(ISERROR(SEARCH(",",J458,1)),CONCATENATE(","&amp;J458&amp;","&amp;J458),CONCATENATE(","&amp;J458))&amp;IF(ISBLANK(K458),"",IF(ISERROR(SEARCH(",",K458,1)),CONCATENATE(","&amp;K458&amp;","&amp;K458),CONCATENATE(","&amp;K458))))))&amp;")","")&amp;" "&amp;F458)</f>
        <v/>
      </c>
    </row>
    <row r="459">
      <c r="A459" s="1" t="n">
        <v>558</v>
      </c>
      <c r="B459" s="1">
        <f>A459</f>
        <v/>
      </c>
      <c r="C459" s="1" t="inlineStr">
        <is>
          <t>vJB1m10</t>
        </is>
      </c>
      <c r="D459" s="1" t="inlineStr">
        <is>
          <t>數值</t>
        </is>
      </c>
      <c r="E459" s="1" t="n">
        <v>2</v>
      </c>
      <c r="G459" s="1" t="inlineStr">
        <is>
          <t>range</t>
        </is>
      </c>
      <c r="H459" s="1" t="inlineStr">
        <is>
          <t>0,1</t>
        </is>
      </c>
      <c r="I459" s="1" t="inlineStr">
        <is>
          <t>96</t>
        </is>
      </c>
      <c r="L459" s="1">
        <f>CONCAT(IF(D459="數值",CONCATENATE(G459&amp;"("&amp;C459&amp;","&amp;IF(ISERROR(SEARCH(",",H459,1)),(H459&amp;","&amp;H459),H459)&amp;IF(ISBLANK(I459),"",IF(ISERROR(SEARCH(",",I459,1)),CONCATENATE(","&amp;I459&amp;","&amp;I459),CONCATENATE(","&amp;I459))&amp;IF(ISBLANK(J459),"",IF(ISERROR(SEARCH(",",J459,1)),CONCATENATE(","&amp;J459&amp;","&amp;J459),CONCATENATE(","&amp;J459))&amp;IF(ISBLANK(K459),"",IF(ISERROR(SEARCH(",",K459,1)),CONCATENATE(","&amp;K459&amp;","&amp;K459),CONCATENATE(","&amp;K459))))))&amp;")","")&amp;" "&amp;F459)</f>
        <v/>
      </c>
    </row>
    <row r="460">
      <c r="A460" s="1" t="n">
        <v>559</v>
      </c>
      <c r="B460" s="1">
        <f>A460</f>
        <v/>
      </c>
      <c r="C460" s="1" t="inlineStr">
        <is>
          <t>vJB1m11</t>
        </is>
      </c>
      <c r="D460" s="1" t="inlineStr">
        <is>
          <t>數值</t>
        </is>
      </c>
      <c r="E460" s="1" t="n">
        <v>2</v>
      </c>
      <c r="G460" s="1" t="inlineStr">
        <is>
          <t>range</t>
        </is>
      </c>
      <c r="H460" s="1" t="inlineStr">
        <is>
          <t>0,1</t>
        </is>
      </c>
      <c r="I460" s="1" t="inlineStr">
        <is>
          <t>96</t>
        </is>
      </c>
      <c r="L460" s="1">
        <f>CONCAT(IF(D460="數值",CONCATENATE(G460&amp;"("&amp;C460&amp;","&amp;IF(ISERROR(SEARCH(",",H460,1)),(H460&amp;","&amp;H460),H460)&amp;IF(ISBLANK(I460),"",IF(ISERROR(SEARCH(",",I460,1)),CONCATENATE(","&amp;I460&amp;","&amp;I460),CONCATENATE(","&amp;I460))&amp;IF(ISBLANK(J460),"",IF(ISERROR(SEARCH(",",J460,1)),CONCATENATE(","&amp;J460&amp;","&amp;J460),CONCATENATE(","&amp;J460))&amp;IF(ISBLANK(K460),"",IF(ISERROR(SEARCH(",",K460,1)),CONCATENATE(","&amp;K460&amp;","&amp;K460),CONCATENATE(","&amp;K460))))))&amp;")","")&amp;" "&amp;F460)</f>
        <v/>
      </c>
    </row>
    <row r="461">
      <c r="A461" s="1" t="n">
        <v>560</v>
      </c>
      <c r="B461" s="1">
        <f>A461</f>
        <v/>
      </c>
      <c r="C461" s="1" t="inlineStr">
        <is>
          <t>vJB1m88</t>
        </is>
      </c>
      <c r="D461" s="1" t="inlineStr">
        <is>
          <t>數值</t>
        </is>
      </c>
      <c r="E461" s="1" t="n">
        <v>2</v>
      </c>
      <c r="G461" s="1" t="inlineStr">
        <is>
          <t>range</t>
        </is>
      </c>
      <c r="H461" s="1" t="inlineStr">
        <is>
          <t>0,1</t>
        </is>
      </c>
      <c r="I461" s="1" t="inlineStr">
        <is>
          <t>96</t>
        </is>
      </c>
      <c r="L461" s="1">
        <f>CONCAT(IF(D461="數值",CONCATENATE(G461&amp;"("&amp;C461&amp;","&amp;IF(ISERROR(SEARCH(",",H461,1)),(H461&amp;","&amp;H461),H461)&amp;IF(ISBLANK(I461),"",IF(ISERROR(SEARCH(",",I461,1)),CONCATENATE(","&amp;I461&amp;","&amp;I461),CONCATENATE(","&amp;I461))&amp;IF(ISBLANK(J461),"",IF(ISERROR(SEARCH(",",J461,1)),CONCATENATE(","&amp;J461&amp;","&amp;J461),CONCATENATE(","&amp;J461))&amp;IF(ISBLANK(K461),"",IF(ISERROR(SEARCH(",",K461,1)),CONCATENATE(","&amp;K461&amp;","&amp;K461),CONCATENATE(","&amp;K461))))))&amp;")","")&amp;" "&amp;F461)</f>
        <v/>
      </c>
    </row>
    <row r="462">
      <c r="A462" s="1" t="n">
        <v>561</v>
      </c>
      <c r="B462" s="1">
        <f>A462</f>
        <v/>
      </c>
      <c r="C462" s="1" t="inlineStr">
        <is>
          <t>vJB1m90</t>
        </is>
      </c>
      <c r="D462" s="1" t="inlineStr">
        <is>
          <t>數值</t>
        </is>
      </c>
      <c r="E462" s="1" t="n">
        <v>2</v>
      </c>
      <c r="G462" s="1" t="inlineStr">
        <is>
          <t>range</t>
        </is>
      </c>
      <c r="H462" s="1" t="inlineStr">
        <is>
          <t>0,1</t>
        </is>
      </c>
      <c r="I462" s="1" t="inlineStr">
        <is>
          <t>96</t>
        </is>
      </c>
      <c r="L462" s="1">
        <f>CONCAT(IF(D462="數值",CONCATENATE(G462&amp;"("&amp;C462&amp;","&amp;IF(ISERROR(SEARCH(",",H462,1)),(H462&amp;","&amp;H462),H462)&amp;IF(ISBLANK(I462),"",IF(ISERROR(SEARCH(",",I462,1)),CONCATENATE(","&amp;I462&amp;","&amp;I462),CONCATENATE(","&amp;I462))&amp;IF(ISBLANK(J462),"",IF(ISERROR(SEARCH(",",J462,1)),CONCATENATE(","&amp;J462&amp;","&amp;J462),CONCATENATE(","&amp;J462))&amp;IF(ISBLANK(K462),"",IF(ISERROR(SEARCH(",",K462,1)),CONCATENATE(","&amp;K462&amp;","&amp;K462),CONCATENATE(","&amp;K462))))))&amp;")","")&amp;" "&amp;F462)</f>
        <v/>
      </c>
    </row>
    <row r="463">
      <c r="A463" s="1" t="n">
        <v>562</v>
      </c>
      <c r="B463" s="1">
        <f>A463</f>
        <v/>
      </c>
      <c r="C463" s="1" t="inlineStr">
        <is>
          <t>vJB2m01</t>
        </is>
      </c>
      <c r="D463" s="1" t="inlineStr">
        <is>
          <t>數值</t>
        </is>
      </c>
      <c r="E463" s="1" t="n">
        <v>2</v>
      </c>
      <c r="G463" s="1" t="inlineStr">
        <is>
          <t>range</t>
        </is>
      </c>
      <c r="H463" s="1" t="inlineStr">
        <is>
          <t>0,1</t>
        </is>
      </c>
      <c r="L463" s="1">
        <f>CONCAT(IF(D463="數值",CONCATENATE(G463&amp;"("&amp;C463&amp;","&amp;IF(ISERROR(SEARCH(",",H463,1)),(H463&amp;","&amp;H463),H463)&amp;IF(ISBLANK(I463),"",IF(ISERROR(SEARCH(",",I463,1)),CONCATENATE(","&amp;I463&amp;","&amp;I463),CONCATENATE(","&amp;I463))&amp;IF(ISBLANK(J463),"",IF(ISERROR(SEARCH(",",J463,1)),CONCATENATE(","&amp;J463&amp;","&amp;J463),CONCATENATE(","&amp;J463))&amp;IF(ISBLANK(K463),"",IF(ISERROR(SEARCH(",",K463,1)),CONCATENATE(","&amp;K463&amp;","&amp;K463),CONCATENATE(","&amp;K463))))))&amp;")","")&amp;" "&amp;F463)</f>
        <v/>
      </c>
    </row>
    <row r="464">
      <c r="A464" s="1" t="n">
        <v>563</v>
      </c>
      <c r="B464" s="1">
        <f>A464</f>
        <v/>
      </c>
      <c r="C464" s="1" t="inlineStr">
        <is>
          <t>vJB2m02</t>
        </is>
      </c>
      <c r="D464" s="1" t="inlineStr">
        <is>
          <t>數值</t>
        </is>
      </c>
      <c r="E464" s="1" t="n">
        <v>2</v>
      </c>
      <c r="G464" s="1" t="inlineStr">
        <is>
          <t>range</t>
        </is>
      </c>
      <c r="H464" s="1" t="inlineStr">
        <is>
          <t>0,1</t>
        </is>
      </c>
      <c r="L464" s="1">
        <f>CONCAT(IF(D464="數值",CONCATENATE(G464&amp;"("&amp;C464&amp;","&amp;IF(ISERROR(SEARCH(",",H464,1)),(H464&amp;","&amp;H464),H464)&amp;IF(ISBLANK(I464),"",IF(ISERROR(SEARCH(",",I464,1)),CONCATENATE(","&amp;I464&amp;","&amp;I464),CONCATENATE(","&amp;I464))&amp;IF(ISBLANK(J464),"",IF(ISERROR(SEARCH(",",J464,1)),CONCATENATE(","&amp;J464&amp;","&amp;J464),CONCATENATE(","&amp;J464))&amp;IF(ISBLANK(K464),"",IF(ISERROR(SEARCH(",",K464,1)),CONCATENATE(","&amp;K464&amp;","&amp;K464),CONCATENATE(","&amp;K464))))))&amp;")","")&amp;" "&amp;F464)</f>
        <v/>
      </c>
    </row>
    <row r="465">
      <c r="A465" s="1" t="n">
        <v>564</v>
      </c>
      <c r="B465" s="1">
        <f>A465</f>
        <v/>
      </c>
      <c r="C465" s="1" t="inlineStr">
        <is>
          <t>vJB2m03</t>
        </is>
      </c>
      <c r="D465" s="1" t="inlineStr">
        <is>
          <t>數值</t>
        </is>
      </c>
      <c r="E465" s="1" t="n">
        <v>2</v>
      </c>
      <c r="G465" s="1" t="inlineStr">
        <is>
          <t>range</t>
        </is>
      </c>
      <c r="H465" s="1" t="inlineStr">
        <is>
          <t>0,1</t>
        </is>
      </c>
      <c r="L465" s="1">
        <f>CONCAT(IF(D465="數值",CONCATENATE(G465&amp;"("&amp;C465&amp;","&amp;IF(ISERROR(SEARCH(",",H465,1)),(H465&amp;","&amp;H465),H465)&amp;IF(ISBLANK(I465),"",IF(ISERROR(SEARCH(",",I465,1)),CONCATENATE(","&amp;I465&amp;","&amp;I465),CONCATENATE(","&amp;I465))&amp;IF(ISBLANK(J465),"",IF(ISERROR(SEARCH(",",J465,1)),CONCATENATE(","&amp;J465&amp;","&amp;J465),CONCATENATE(","&amp;J465))&amp;IF(ISBLANK(K465),"",IF(ISERROR(SEARCH(",",K465,1)),CONCATENATE(","&amp;K465&amp;","&amp;K465),CONCATENATE(","&amp;K465))))))&amp;")","")&amp;" "&amp;F465)</f>
        <v/>
      </c>
    </row>
    <row r="466">
      <c r="A466" s="1" t="n">
        <v>565</v>
      </c>
      <c r="B466" s="1">
        <f>A466</f>
        <v/>
      </c>
      <c r="C466" s="1" t="inlineStr">
        <is>
          <t>vJB2m04</t>
        </is>
      </c>
      <c r="D466" s="1" t="inlineStr">
        <is>
          <t>數值</t>
        </is>
      </c>
      <c r="E466" s="1" t="n">
        <v>2</v>
      </c>
      <c r="G466" s="1" t="inlineStr">
        <is>
          <t>range</t>
        </is>
      </c>
      <c r="H466" s="1" t="inlineStr">
        <is>
          <t>0,1</t>
        </is>
      </c>
      <c r="L466" s="1">
        <f>CONCAT(IF(D466="數值",CONCATENATE(G466&amp;"("&amp;C466&amp;","&amp;IF(ISERROR(SEARCH(",",H466,1)),(H466&amp;","&amp;H466),H466)&amp;IF(ISBLANK(I466),"",IF(ISERROR(SEARCH(",",I466,1)),CONCATENATE(","&amp;I466&amp;","&amp;I466),CONCATENATE(","&amp;I466))&amp;IF(ISBLANK(J466),"",IF(ISERROR(SEARCH(",",J466,1)),CONCATENATE(","&amp;J466&amp;","&amp;J466),CONCATENATE(","&amp;J466))&amp;IF(ISBLANK(K466),"",IF(ISERROR(SEARCH(",",K466,1)),CONCATENATE(","&amp;K466&amp;","&amp;K466),CONCATENATE(","&amp;K466))))))&amp;")","")&amp;" "&amp;F466)</f>
        <v/>
      </c>
    </row>
    <row r="467">
      <c r="A467" s="1" t="n">
        <v>566</v>
      </c>
      <c r="B467" s="1">
        <f>A467</f>
        <v/>
      </c>
      <c r="C467" s="1" t="inlineStr">
        <is>
          <t>vJB2m05</t>
        </is>
      </c>
      <c r="D467" s="1" t="inlineStr">
        <is>
          <t>數值</t>
        </is>
      </c>
      <c r="E467" s="1" t="n">
        <v>2</v>
      </c>
      <c r="G467" s="1" t="inlineStr">
        <is>
          <t>range</t>
        </is>
      </c>
      <c r="H467" s="1" t="inlineStr">
        <is>
          <t>0,1</t>
        </is>
      </c>
      <c r="L467" s="1">
        <f>CONCAT(IF(D467="數值",CONCATENATE(G467&amp;"("&amp;C467&amp;","&amp;IF(ISERROR(SEARCH(",",H467,1)),(H467&amp;","&amp;H467),H467)&amp;IF(ISBLANK(I467),"",IF(ISERROR(SEARCH(",",I467,1)),CONCATENATE(","&amp;I467&amp;","&amp;I467),CONCATENATE(","&amp;I467))&amp;IF(ISBLANK(J467),"",IF(ISERROR(SEARCH(",",J467,1)),CONCATENATE(","&amp;J467&amp;","&amp;J467),CONCATENATE(","&amp;J467))&amp;IF(ISBLANK(K467),"",IF(ISERROR(SEARCH(",",K467,1)),CONCATENATE(","&amp;K467&amp;","&amp;K467),CONCATENATE(","&amp;K467))))))&amp;")","")&amp;" "&amp;F467)</f>
        <v/>
      </c>
    </row>
    <row r="468">
      <c r="A468" s="1" t="n">
        <v>567</v>
      </c>
      <c r="B468" s="1">
        <f>A468</f>
        <v/>
      </c>
      <c r="C468" s="1" t="inlineStr">
        <is>
          <t>vJB2m06</t>
        </is>
      </c>
      <c r="D468" s="1" t="inlineStr">
        <is>
          <t>數值</t>
        </is>
      </c>
      <c r="E468" s="1" t="n">
        <v>2</v>
      </c>
      <c r="G468" s="1" t="inlineStr">
        <is>
          <t>range</t>
        </is>
      </c>
      <c r="H468" s="1" t="inlineStr">
        <is>
          <t>0,1</t>
        </is>
      </c>
      <c r="L468" s="1">
        <f>CONCAT(IF(D468="數值",CONCATENATE(G468&amp;"("&amp;C468&amp;","&amp;IF(ISERROR(SEARCH(",",H468,1)),(H468&amp;","&amp;H468),H468)&amp;IF(ISBLANK(I468),"",IF(ISERROR(SEARCH(",",I468,1)),CONCATENATE(","&amp;I468&amp;","&amp;I468),CONCATENATE(","&amp;I468))&amp;IF(ISBLANK(J468),"",IF(ISERROR(SEARCH(",",J468,1)),CONCATENATE(","&amp;J468&amp;","&amp;J468),CONCATENATE(","&amp;J468))&amp;IF(ISBLANK(K468),"",IF(ISERROR(SEARCH(",",K468,1)),CONCATENATE(","&amp;K468&amp;","&amp;K468),CONCATENATE(","&amp;K468))))))&amp;")","")&amp;" "&amp;F468)</f>
        <v/>
      </c>
    </row>
    <row r="469">
      <c r="A469" s="1" t="n">
        <v>568</v>
      </c>
      <c r="B469" s="1">
        <f>A469</f>
        <v/>
      </c>
      <c r="C469" s="1" t="inlineStr">
        <is>
          <t>vJB2m07</t>
        </is>
      </c>
      <c r="D469" s="1" t="inlineStr">
        <is>
          <t>數值</t>
        </is>
      </c>
      <c r="E469" s="1" t="n">
        <v>2</v>
      </c>
      <c r="G469" s="1" t="inlineStr">
        <is>
          <t>range</t>
        </is>
      </c>
      <c r="H469" s="1" t="inlineStr">
        <is>
          <t>0,1</t>
        </is>
      </c>
      <c r="L469" s="1">
        <f>CONCAT(IF(D469="數值",CONCATENATE(G469&amp;"("&amp;C469&amp;","&amp;IF(ISERROR(SEARCH(",",H469,1)),(H469&amp;","&amp;H469),H469)&amp;IF(ISBLANK(I469),"",IF(ISERROR(SEARCH(",",I469,1)),CONCATENATE(","&amp;I469&amp;","&amp;I469),CONCATENATE(","&amp;I469))&amp;IF(ISBLANK(J469),"",IF(ISERROR(SEARCH(",",J469,1)),CONCATENATE(","&amp;J469&amp;","&amp;J469),CONCATENATE(","&amp;J469))&amp;IF(ISBLANK(K469),"",IF(ISERROR(SEARCH(",",K469,1)),CONCATENATE(","&amp;K469&amp;","&amp;K469),CONCATENATE(","&amp;K469))))))&amp;")","")&amp;" "&amp;F469)</f>
        <v/>
      </c>
    </row>
    <row r="470">
      <c r="A470" s="1" t="n">
        <v>569</v>
      </c>
      <c r="B470" s="1">
        <f>A470</f>
        <v/>
      </c>
      <c r="C470" s="1" t="inlineStr">
        <is>
          <t>vJB2m88</t>
        </is>
      </c>
      <c r="D470" s="1" t="inlineStr">
        <is>
          <t>數值</t>
        </is>
      </c>
      <c r="E470" s="1" t="n">
        <v>2</v>
      </c>
      <c r="G470" s="1" t="inlineStr">
        <is>
          <t>range</t>
        </is>
      </c>
      <c r="H470" s="1" t="inlineStr">
        <is>
          <t>0,1</t>
        </is>
      </c>
      <c r="I470" s="1" t="inlineStr">
        <is>
          <t>96</t>
        </is>
      </c>
      <c r="L470" s="1">
        <f>CONCAT(IF(D470="數值",CONCATENATE(G470&amp;"("&amp;C470&amp;","&amp;IF(ISERROR(SEARCH(",",H470,1)),(H470&amp;","&amp;H470),H470)&amp;IF(ISBLANK(I470),"",IF(ISERROR(SEARCH(",",I470,1)),CONCATENATE(","&amp;I470&amp;","&amp;I470),CONCATENATE(","&amp;I470))&amp;IF(ISBLANK(J470),"",IF(ISERROR(SEARCH(",",J470,1)),CONCATENATE(","&amp;J470&amp;","&amp;J470),CONCATENATE(","&amp;J470))&amp;IF(ISBLANK(K470),"",IF(ISERROR(SEARCH(",",K470,1)),CONCATENATE(","&amp;K470&amp;","&amp;K470),CONCATENATE(","&amp;K470))))))&amp;")","")&amp;" "&amp;F470)</f>
        <v/>
      </c>
    </row>
    <row r="471">
      <c r="A471" s="1" t="n">
        <v>570</v>
      </c>
      <c r="B471" s="1">
        <f>A471</f>
        <v/>
      </c>
      <c r="C471" s="1" t="inlineStr">
        <is>
          <t>vJB2m90</t>
        </is>
      </c>
      <c r="D471" s="1" t="inlineStr">
        <is>
          <t>數值</t>
        </is>
      </c>
      <c r="E471" s="1" t="n">
        <v>2</v>
      </c>
      <c r="G471" s="1" t="inlineStr">
        <is>
          <t>range</t>
        </is>
      </c>
      <c r="H471" s="1" t="inlineStr">
        <is>
          <t>0,1</t>
        </is>
      </c>
      <c r="I471" s="1" t="inlineStr">
        <is>
          <t>96</t>
        </is>
      </c>
      <c r="L471" s="1">
        <f>CONCAT(IF(D471="數值",CONCATENATE(G471&amp;"("&amp;C471&amp;","&amp;IF(ISERROR(SEARCH(",",H471,1)),(H471&amp;","&amp;H471),H471)&amp;IF(ISBLANK(I471),"",IF(ISERROR(SEARCH(",",I471,1)),CONCATENATE(","&amp;I471&amp;","&amp;I471),CONCATENATE(","&amp;I471))&amp;IF(ISBLANK(J471),"",IF(ISERROR(SEARCH(",",J471,1)),CONCATENATE(","&amp;J471&amp;","&amp;J471),CONCATENATE(","&amp;J471))&amp;IF(ISBLANK(K471),"",IF(ISERROR(SEARCH(",",K471,1)),CONCATENATE(","&amp;K471&amp;","&amp;K471),CONCATENATE(","&amp;K471))))))&amp;")","")&amp;" "&amp;F471)</f>
        <v/>
      </c>
    </row>
    <row r="472">
      <c r="A472" s="1" t="n">
        <v>571</v>
      </c>
      <c r="B472" s="1">
        <f>A472</f>
        <v/>
      </c>
      <c r="C472" s="1" t="inlineStr">
        <is>
          <t>vH1</t>
        </is>
      </c>
      <c r="D472" s="1" t="inlineStr">
        <is>
          <t>數值</t>
        </is>
      </c>
      <c r="E472" s="1" t="n">
        <v>4</v>
      </c>
      <c r="G472" s="1" t="inlineStr">
        <is>
          <t>range</t>
        </is>
      </c>
      <c r="H472" s="1" t="inlineStr">
        <is>
          <t>991</t>
        </is>
      </c>
      <c r="I472" s="1" t="inlineStr">
        <is>
          <t>997,998</t>
        </is>
      </c>
      <c r="J472" s="1" t="n"/>
      <c r="L472" s="1">
        <f>CONCAT(IF(D472="數值",CONCATENATE(G472&amp;"("&amp;C472&amp;","&amp;IF(ISERROR(SEARCH(",",H472,1)),(H472&amp;","&amp;H472),H472)&amp;IF(ISBLANK(I472),"",IF(ISERROR(SEARCH(",",I472,1)),CONCATENATE(","&amp;I472&amp;","&amp;I472),CONCATENATE(","&amp;I472))&amp;IF(ISBLANK(J472),"",IF(ISERROR(SEARCH(",",J472,1)),CONCATENATE(","&amp;J472&amp;","&amp;J472),CONCATENATE(","&amp;J472))&amp;IF(ISBLANK(K472),"",IF(ISERROR(SEARCH(",",K472,1)),CONCATENATE(","&amp;K472&amp;","&amp;K472),CONCATENATE(","&amp;K472))))))&amp;")","")&amp;" "&amp;F472)</f>
        <v/>
      </c>
    </row>
    <row r="473">
      <c r="A473" s="1" t="n">
        <v>572</v>
      </c>
      <c r="B473" s="1">
        <f>A473</f>
        <v/>
      </c>
      <c r="C473" s="1" t="inlineStr">
        <is>
          <t>vH2</t>
        </is>
      </c>
      <c r="D473" s="1" t="inlineStr">
        <is>
          <t>數值</t>
        </is>
      </c>
      <c r="E473" s="1" t="n">
        <v>2</v>
      </c>
      <c r="G473" s="1" t="inlineStr">
        <is>
          <t>range</t>
        </is>
      </c>
      <c r="H473" s="1" t="inlineStr">
        <is>
          <t>1,5</t>
        </is>
      </c>
      <c r="I473" s="1" t="inlineStr">
        <is>
          <t>97,98</t>
        </is>
      </c>
      <c r="J473" s="1" t="inlineStr">
        <is>
          <t>997,998</t>
        </is>
      </c>
      <c r="K473" s="1" t="n"/>
      <c r="L473" s="1">
        <f>CONCAT(IF(D473="數值",CONCATENATE(G473&amp;"("&amp;C473&amp;","&amp;IF(ISERROR(SEARCH(",",H473,1)),(H473&amp;","&amp;H473),H473)&amp;IF(ISBLANK(I473),"",IF(ISERROR(SEARCH(",",I473,1)),CONCATENATE(","&amp;I473&amp;","&amp;I473),CONCATENATE(","&amp;I473))&amp;IF(ISBLANK(J473),"",IF(ISERROR(SEARCH(",",J473,1)),CONCATENATE(","&amp;J473&amp;","&amp;J473),CONCATENATE(","&amp;J473))&amp;IF(ISBLANK(K473),"",IF(ISERROR(SEARCH(",",K473,1)),CONCATENATE(","&amp;K473&amp;","&amp;K473),CONCATENATE(","&amp;K473))))))&amp;")","")&amp;" "&amp;F473)</f>
        <v/>
      </c>
    </row>
    <row r="474">
      <c r="A474" s="1" t="n">
        <v>573</v>
      </c>
      <c r="B474" s="1">
        <f>A474</f>
        <v/>
      </c>
      <c r="C474" s="1" t="inlineStr">
        <is>
          <t>vH3</t>
        </is>
      </c>
      <c r="D474" s="1" t="inlineStr">
        <is>
          <t>數值</t>
        </is>
      </c>
      <c r="E474" s="1" t="n">
        <v>2</v>
      </c>
      <c r="G474" s="1" t="inlineStr">
        <is>
          <t>range</t>
        </is>
      </c>
      <c r="H474" s="1" t="inlineStr">
        <is>
          <t>1,5</t>
        </is>
      </c>
      <c r="I474" s="1" t="inlineStr">
        <is>
          <t>97,98</t>
        </is>
      </c>
      <c r="J474" s="1" t="n"/>
      <c r="L474" s="1">
        <f>CONCAT(IF(D474="數值",CONCATENATE(G474&amp;"("&amp;C474&amp;","&amp;IF(ISERROR(SEARCH(",",H474,1)),(H474&amp;","&amp;H474),H474)&amp;IF(ISBLANK(I474),"",IF(ISERROR(SEARCH(",",I474,1)),CONCATENATE(","&amp;I474&amp;","&amp;I474),CONCATENATE(","&amp;I474))&amp;IF(ISBLANK(J474),"",IF(ISERROR(SEARCH(",",J474,1)),CONCATENATE(","&amp;J474&amp;","&amp;J474),CONCATENATE(","&amp;J474))&amp;IF(ISBLANK(K474),"",IF(ISERROR(SEARCH(",",K474,1)),CONCATENATE(","&amp;K474&amp;","&amp;K474),CONCATENATE(","&amp;K474))))))&amp;")","")&amp;" "&amp;F474)</f>
        <v/>
      </c>
    </row>
    <row r="475">
      <c r="A475" s="1" t="n">
        <v>574</v>
      </c>
      <c r="B475" s="1">
        <f>A475</f>
        <v/>
      </c>
      <c r="C475" s="1" t="inlineStr">
        <is>
          <t>vH4</t>
        </is>
      </c>
      <c r="D475" s="1" t="inlineStr">
        <is>
          <t>數值</t>
        </is>
      </c>
      <c r="E475" s="1" t="n">
        <v>4</v>
      </c>
      <c r="G475" s="1" t="inlineStr">
        <is>
          <t>range</t>
        </is>
      </c>
      <c r="H475" s="1" t="inlineStr">
        <is>
          <t>991</t>
        </is>
      </c>
      <c r="I475" s="1" t="inlineStr">
        <is>
          <t>997,998</t>
        </is>
      </c>
      <c r="J475" s="1" t="n"/>
      <c r="L475" s="1">
        <f>CONCAT(IF(D475="數值",CONCATENATE(G475&amp;"("&amp;C475&amp;","&amp;IF(ISERROR(SEARCH(",",H475,1)),(H475&amp;","&amp;H475),H475)&amp;IF(ISBLANK(I475),"",IF(ISERROR(SEARCH(",",I475,1)),CONCATENATE(","&amp;I475&amp;","&amp;I475),CONCATENATE(","&amp;I475))&amp;IF(ISBLANK(J475),"",IF(ISERROR(SEARCH(",",J475,1)),CONCATENATE(","&amp;J475&amp;","&amp;J475),CONCATENATE(","&amp;J475))&amp;IF(ISBLANK(K475),"",IF(ISERROR(SEARCH(",",K475,1)),CONCATENATE(","&amp;K475&amp;","&amp;K475),CONCATENATE(","&amp;K475))))))&amp;")","")&amp;" "&amp;F475)</f>
        <v/>
      </c>
    </row>
    <row r="476">
      <c r="A476" s="1" t="n">
        <v>575</v>
      </c>
      <c r="B476" s="1">
        <f>A476</f>
        <v/>
      </c>
      <c r="C476" s="1" t="inlineStr">
        <is>
          <t>vH5</t>
        </is>
      </c>
      <c r="D476" s="1" t="inlineStr">
        <is>
          <t>數值</t>
        </is>
      </c>
      <c r="E476" s="1" t="n">
        <v>2</v>
      </c>
      <c r="G476" s="1" t="inlineStr">
        <is>
          <t>range</t>
        </is>
      </c>
      <c r="H476" s="1" t="inlineStr">
        <is>
          <t>1,5</t>
        </is>
      </c>
      <c r="I476" s="1" t="inlineStr">
        <is>
          <t>97,98</t>
        </is>
      </c>
      <c r="J476" s="1" t="inlineStr">
        <is>
          <t>997,998</t>
        </is>
      </c>
      <c r="K476" s="1" t="n"/>
      <c r="L476" s="1">
        <f>CONCAT(IF(D476="數值",CONCATENATE(G476&amp;"("&amp;C476&amp;","&amp;IF(ISERROR(SEARCH(",",H476,1)),(H476&amp;","&amp;H476),H476)&amp;IF(ISBLANK(I476),"",IF(ISERROR(SEARCH(",",I476,1)),CONCATENATE(","&amp;I476&amp;","&amp;I476),CONCATENATE(","&amp;I476))&amp;IF(ISBLANK(J476),"",IF(ISERROR(SEARCH(",",J476,1)),CONCATENATE(","&amp;J476&amp;","&amp;J476),CONCATENATE(","&amp;J476))&amp;IF(ISBLANK(K476),"",IF(ISERROR(SEARCH(",",K476,1)),CONCATENATE(","&amp;K476&amp;","&amp;K476),CONCATENATE(","&amp;K476))))))&amp;")","")&amp;" "&amp;F476)</f>
        <v/>
      </c>
    </row>
    <row r="477">
      <c r="A477" s="1" t="n">
        <v>576</v>
      </c>
      <c r="B477" s="1">
        <f>A477</f>
        <v/>
      </c>
      <c r="C477" s="1" t="inlineStr">
        <is>
          <t>vH6</t>
        </is>
      </c>
      <c r="D477" s="1" t="inlineStr">
        <is>
          <t>數值</t>
        </is>
      </c>
      <c r="E477" s="1" t="n">
        <v>2</v>
      </c>
      <c r="G477" s="1" t="inlineStr">
        <is>
          <t>range</t>
        </is>
      </c>
      <c r="H477" s="1" t="inlineStr">
        <is>
          <t>1,5</t>
        </is>
      </c>
      <c r="I477" s="1" t="inlineStr">
        <is>
          <t>97,98</t>
        </is>
      </c>
      <c r="J477" s="1" t="n"/>
      <c r="L477" s="1">
        <f>CONCAT(IF(D477="數值",CONCATENATE(G477&amp;"("&amp;C477&amp;","&amp;IF(ISERROR(SEARCH(",",H477,1)),(H477&amp;","&amp;H477),H477)&amp;IF(ISBLANK(I477),"",IF(ISERROR(SEARCH(",",I477,1)),CONCATENATE(","&amp;I477&amp;","&amp;I477),CONCATENATE(","&amp;I477))&amp;IF(ISBLANK(J477),"",IF(ISERROR(SEARCH(",",J477,1)),CONCATENATE(","&amp;J477&amp;","&amp;J477),CONCATENATE(","&amp;J477))&amp;IF(ISBLANK(K477),"",IF(ISERROR(SEARCH(",",K477,1)),CONCATENATE(","&amp;K477&amp;","&amp;K477),CONCATENATE(","&amp;K477))))))&amp;")","")&amp;" "&amp;F477)</f>
        <v/>
      </c>
    </row>
    <row r="478">
      <c r="A478" s="1" t="n">
        <v>577</v>
      </c>
      <c r="B478" s="1">
        <f>A478</f>
        <v/>
      </c>
      <c r="C478" s="1" t="inlineStr">
        <is>
          <t>vH7</t>
        </is>
      </c>
      <c r="D478" s="1" t="inlineStr">
        <is>
          <t>數值</t>
        </is>
      </c>
      <c r="E478" s="1" t="n">
        <v>4</v>
      </c>
      <c r="G478" s="1" t="inlineStr">
        <is>
          <t>range</t>
        </is>
      </c>
      <c r="H478" s="1" t="inlineStr">
        <is>
          <t>97,98</t>
        </is>
      </c>
      <c r="I478" s="1" t="inlineStr">
        <is>
          <t>991</t>
        </is>
      </c>
      <c r="J478" s="1" t="inlineStr">
        <is>
          <t>997,998</t>
        </is>
      </c>
      <c r="K478" s="1" t="n"/>
      <c r="L478" s="1">
        <f>CONCAT(IF(D478="數值",CONCATENATE(G478&amp;"("&amp;C478&amp;","&amp;IF(ISERROR(SEARCH(",",H478,1)),(H478&amp;","&amp;H478),H478)&amp;IF(ISBLANK(I478),"",IF(ISERROR(SEARCH(",",I478,1)),CONCATENATE(","&amp;I478&amp;","&amp;I478),CONCATENATE(","&amp;I478))&amp;IF(ISBLANK(J478),"",IF(ISERROR(SEARCH(",",J478,1)),CONCATENATE(","&amp;J478&amp;","&amp;J478),CONCATENATE(","&amp;J478))&amp;IF(ISBLANK(K478),"",IF(ISERROR(SEARCH(",",K478,1)),CONCATENATE(","&amp;K478&amp;","&amp;K478),CONCATENATE(","&amp;K478))))))&amp;")","")&amp;" "&amp;F478)</f>
        <v/>
      </c>
    </row>
    <row r="479">
      <c r="A479" s="1" t="n">
        <v>578</v>
      </c>
      <c r="B479" s="1">
        <f>A479</f>
        <v/>
      </c>
      <c r="C479" s="1" t="inlineStr">
        <is>
          <t>vH7_1</t>
        </is>
      </c>
      <c r="D479" s="1" t="inlineStr">
        <is>
          <t>數值</t>
        </is>
      </c>
      <c r="E479" s="1" t="n">
        <v>4</v>
      </c>
      <c r="G479" s="1" t="inlineStr">
        <is>
          <t>range</t>
        </is>
      </c>
    </row>
    <row r="480">
      <c r="A480" s="1" t="n">
        <v>579</v>
      </c>
      <c r="B480" s="1">
        <f>A480</f>
        <v/>
      </c>
      <c r="C480" s="1" t="inlineStr">
        <is>
          <t>vH7_2</t>
        </is>
      </c>
      <c r="D480" s="1" t="inlineStr">
        <is>
          <t>數值</t>
        </is>
      </c>
      <c r="E480" s="1" t="n">
        <v>4</v>
      </c>
      <c r="G480" s="1" t="inlineStr">
        <is>
          <t>range</t>
        </is>
      </c>
    </row>
    <row r="481">
      <c r="A481" s="1" t="n">
        <v>580</v>
      </c>
      <c r="B481" s="1">
        <f>A481</f>
        <v/>
      </c>
      <c r="C481" s="1" t="inlineStr">
        <is>
          <t>vH7_3</t>
        </is>
      </c>
      <c r="D481" s="1" t="inlineStr">
        <is>
          <t>數值</t>
        </is>
      </c>
      <c r="E481" s="1" t="n">
        <v>4</v>
      </c>
      <c r="G481" s="1" t="inlineStr">
        <is>
          <t>range</t>
        </is>
      </c>
    </row>
    <row r="482">
      <c r="A482" s="1" t="n">
        <v>581</v>
      </c>
      <c r="B482" s="1">
        <f>A482</f>
        <v/>
      </c>
      <c r="C482" s="1" t="inlineStr">
        <is>
          <t>vCKH7</t>
        </is>
      </c>
      <c r="D482" s="1" t="inlineStr">
        <is>
          <t>數值</t>
        </is>
      </c>
      <c r="E482" s="1" t="n">
        <v>14</v>
      </c>
      <c r="G482" s="1" t="inlineStr">
        <is>
          <t>range</t>
        </is>
      </c>
      <c r="H482" s="1" t="inlineStr">
        <is>
          <t>20260615000000,20260915000000</t>
        </is>
      </c>
      <c r="L482" s="1">
        <f>CONCAT(IF(D482="數值",CONCATENATE(G482&amp;"("&amp;C482&amp;","&amp;IF(ISERROR(SEARCH(",",H482,1)),(H482&amp;","&amp;H482),H482)&amp;IF(ISBLANK(I482),"",IF(ISERROR(SEARCH(",",I482,1)),CONCATENATE(","&amp;I482&amp;","&amp;I482),CONCATENATE(","&amp;I482))&amp;IF(ISBLANK(J482),"",IF(ISERROR(SEARCH(",",J482,1)),CONCATENATE(","&amp;J482&amp;","&amp;J482),CONCATENATE(","&amp;J482))&amp;IF(ISBLANK(K482),"",IF(ISERROR(SEARCH(",",K482,1)),CONCATENATE(","&amp;K482&amp;","&amp;K482),CONCATENATE(","&amp;K482))))))&amp;")","")&amp;" "&amp;F482)</f>
        <v/>
      </c>
    </row>
    <row r="483">
      <c r="A483" s="1" t="n">
        <v>582</v>
      </c>
      <c r="B483" s="1">
        <f>A483</f>
        <v/>
      </c>
      <c r="C483" s="1" t="inlineStr">
        <is>
          <t>vCKH7_1</t>
        </is>
      </c>
      <c r="D483" s="1" t="inlineStr">
        <is>
          <t>數值</t>
        </is>
      </c>
      <c r="E483" s="1" t="n">
        <v>14</v>
      </c>
      <c r="G483" s="1" t="inlineStr">
        <is>
          <t>range</t>
        </is>
      </c>
      <c r="H483" s="1" t="inlineStr">
        <is>
          <t>20260615000000,20260915000000</t>
        </is>
      </c>
      <c r="L483" s="1">
        <f>CONCAT(IF(D483="數值",CONCATENATE(G483&amp;"("&amp;C483&amp;","&amp;IF(ISERROR(SEARCH(",",H483,1)),(H483&amp;","&amp;H483),H483)&amp;IF(ISBLANK(I483),"",IF(ISERROR(SEARCH(",",I483,1)),CONCATENATE(","&amp;I483&amp;","&amp;I483),CONCATENATE(","&amp;I483))&amp;IF(ISBLANK(J483),"",IF(ISERROR(SEARCH(",",J483,1)),CONCATENATE(","&amp;J483&amp;","&amp;J483),CONCATENATE(","&amp;J483))&amp;IF(ISBLANK(K483),"",IF(ISERROR(SEARCH(",",K483,1)),CONCATENATE(","&amp;K483&amp;","&amp;K483),CONCATENATE(","&amp;K483))))))&amp;")","")&amp;" "&amp;F483)</f>
        <v/>
      </c>
    </row>
    <row r="484">
      <c r="A484" s="1" t="n">
        <v>583</v>
      </c>
      <c r="B484" s="1">
        <f>A484</f>
        <v/>
      </c>
      <c r="C484" s="1" t="inlineStr">
        <is>
          <t>vCKH7_2</t>
        </is>
      </c>
      <c r="D484" s="1" t="inlineStr">
        <is>
          <t>數值</t>
        </is>
      </c>
      <c r="E484" s="1" t="n">
        <v>14</v>
      </c>
      <c r="G484" s="1" t="inlineStr">
        <is>
          <t>range</t>
        </is>
      </c>
      <c r="H484" s="1" t="inlineStr">
        <is>
          <t>20260615000000,20260915000000</t>
        </is>
      </c>
      <c r="L484" s="1">
        <f>CONCAT(IF(D484="數值",CONCATENATE(G484&amp;"("&amp;C484&amp;","&amp;IF(ISERROR(SEARCH(",",H484,1)),(H484&amp;","&amp;H484),H484)&amp;IF(ISBLANK(I484),"",IF(ISERROR(SEARCH(",",I484,1)),CONCATENATE(","&amp;I484&amp;","&amp;I484),CONCATENATE(","&amp;I484))&amp;IF(ISBLANK(J484),"",IF(ISERROR(SEARCH(",",J484,1)),CONCATENATE(","&amp;J484&amp;","&amp;J484),CONCATENATE(","&amp;J484))&amp;IF(ISBLANK(K484),"",IF(ISERROR(SEARCH(",",K484,1)),CONCATENATE(","&amp;K484&amp;","&amp;K484),CONCATENATE(","&amp;K484))))))&amp;")","")&amp;" "&amp;F484)</f>
        <v/>
      </c>
    </row>
    <row r="485">
      <c r="A485" s="1" t="n">
        <v>584</v>
      </c>
      <c r="B485" s="1">
        <f>A485</f>
        <v/>
      </c>
      <c r="C485" s="1" t="inlineStr">
        <is>
          <t>vCKH7_3</t>
        </is>
      </c>
      <c r="D485" s="1" t="inlineStr">
        <is>
          <t>數值</t>
        </is>
      </c>
      <c r="E485" s="1" t="n">
        <v>14</v>
      </c>
      <c r="G485" s="1" t="inlineStr">
        <is>
          <t>range</t>
        </is>
      </c>
      <c r="H485" s="1" t="inlineStr">
        <is>
          <t>20260615000000,20260915000000</t>
        </is>
      </c>
      <c r="L485" s="1">
        <f>CONCAT(IF(D485="數值",CONCATENATE(G485&amp;"("&amp;C485&amp;","&amp;IF(ISERROR(SEARCH(",",H485,1)),(H485&amp;","&amp;H485),H485)&amp;IF(ISBLANK(I485),"",IF(ISERROR(SEARCH(",",I485,1)),CONCATENATE(","&amp;I485&amp;","&amp;I485),CONCATENATE(","&amp;I485))&amp;IF(ISBLANK(J485),"",IF(ISERROR(SEARCH(",",J485,1)),CONCATENATE(","&amp;J485&amp;","&amp;J485),CONCATENATE(","&amp;J485))&amp;IF(ISBLANK(K485),"",IF(ISERROR(SEARCH(",",K485,1)),CONCATENATE(","&amp;K485&amp;","&amp;K485),CONCATENATE(","&amp;K485))))))&amp;")","")&amp;" "&amp;F485)</f>
        <v/>
      </c>
    </row>
    <row r="486">
      <c r="A486" s="1" t="n">
        <v>585</v>
      </c>
      <c r="B486" s="1">
        <f>A486</f>
        <v/>
      </c>
      <c r="C486" s="1" t="inlineStr">
        <is>
          <t>vH8</t>
        </is>
      </c>
      <c r="D486" s="1" t="inlineStr">
        <is>
          <t>數值</t>
        </is>
      </c>
      <c r="E486" s="1" t="n">
        <v>4</v>
      </c>
      <c r="G486" s="1" t="inlineStr">
        <is>
          <t>range</t>
        </is>
      </c>
      <c r="H486" s="1" t="inlineStr">
        <is>
          <t>991</t>
        </is>
      </c>
      <c r="I486" s="1" t="inlineStr">
        <is>
          <t>997,998</t>
        </is>
      </c>
      <c r="J486" s="1" t="n"/>
      <c r="L486" s="1">
        <f>CONCAT(IF(D486="數值",CONCATENATE(G486&amp;"("&amp;C486&amp;","&amp;IF(ISERROR(SEARCH(",",H486,1)),(H486&amp;","&amp;H486),H486)&amp;IF(ISBLANK(I486),"",IF(ISERROR(SEARCH(",",I486,1)),CONCATENATE(","&amp;I486&amp;","&amp;I486),CONCATENATE(","&amp;I486))&amp;IF(ISBLANK(J486),"",IF(ISERROR(SEARCH(",",J486,1)),CONCATENATE(","&amp;J486&amp;","&amp;J486),CONCATENATE(","&amp;J486))&amp;IF(ISBLANK(K486),"",IF(ISERROR(SEARCH(",",K486,1)),CONCATENATE(","&amp;K486&amp;","&amp;K486),CONCATENATE(","&amp;K486))))))&amp;")","")&amp;" "&amp;F486)</f>
        <v/>
      </c>
    </row>
    <row r="487">
      <c r="A487" s="1" t="n">
        <v>586</v>
      </c>
      <c r="B487" s="1">
        <f>A487</f>
        <v/>
      </c>
      <c r="C487" s="1" t="inlineStr">
        <is>
          <t>vM1g1</t>
        </is>
      </c>
      <c r="D487" s="1" t="inlineStr">
        <is>
          <t>數值</t>
        </is>
      </c>
      <c r="E487" s="1" t="n">
        <v>4</v>
      </c>
      <c r="G487" s="1" t="inlineStr">
        <is>
          <t>range</t>
        </is>
      </c>
      <c r="H487" s="1" t="inlineStr">
        <is>
          <t>0,140</t>
        </is>
      </c>
      <c r="I487" s="1" t="inlineStr">
        <is>
          <t>997</t>
        </is>
      </c>
      <c r="J487" s="1" t="inlineStr">
        <is>
          <t>998</t>
        </is>
      </c>
      <c r="L487" s="1">
        <f>CONCAT(IF(D487="數值",CONCATENATE(G487&amp;"("&amp;C487&amp;","&amp;IF(ISERROR(SEARCH(",",H487,1)),(H487&amp;","&amp;H487),H487)&amp;IF(ISBLANK(I487),"",IF(ISERROR(SEARCH(",",I487,1)),CONCATENATE(","&amp;I487&amp;","&amp;I487),CONCATENATE(","&amp;I487))&amp;IF(ISBLANK(J487),"",IF(ISERROR(SEARCH(",",J487,1)),CONCATENATE(","&amp;J487&amp;","&amp;J487),CONCATENATE(","&amp;J487))&amp;IF(ISBLANK(K487),"",IF(ISERROR(SEARCH(",",K487,1)),CONCATENATE(","&amp;K487&amp;","&amp;K487),CONCATENATE(","&amp;K487))))))&amp;")","")&amp;" "&amp;F487)</f>
        <v/>
      </c>
    </row>
    <row r="488">
      <c r="A488" s="1" t="n">
        <v>587</v>
      </c>
      <c r="B488" s="1">
        <f>A488</f>
        <v/>
      </c>
      <c r="C488" s="1" t="inlineStr">
        <is>
          <t>vM1g2</t>
        </is>
      </c>
      <c r="D488" s="1" t="inlineStr">
        <is>
          <t>數值</t>
        </is>
      </c>
      <c r="E488" s="1" t="n">
        <v>3</v>
      </c>
      <c r="G488" s="1" t="inlineStr">
        <is>
          <t>range</t>
        </is>
      </c>
      <c r="H488" s="1" t="inlineStr">
        <is>
          <t>0,59</t>
        </is>
      </c>
      <c r="I488" s="1" t="inlineStr">
        <is>
          <t>97</t>
        </is>
      </c>
      <c r="J488" s="1" t="inlineStr">
        <is>
          <t>98</t>
        </is>
      </c>
      <c r="L488" s="1">
        <f>CONCAT(IF(D488="數值",CONCATENATE(G488&amp;"("&amp;C488&amp;","&amp;IF(ISERROR(SEARCH(",",H488,1)),(H488&amp;","&amp;H488),H488)&amp;IF(ISBLANK(I488),"",IF(ISERROR(SEARCH(",",I488,1)),CONCATENATE(","&amp;I488&amp;","&amp;I488),CONCATENATE(","&amp;I488))&amp;IF(ISBLANK(J488),"",IF(ISERROR(SEARCH(",",J488,1)),CONCATENATE(","&amp;J488&amp;","&amp;J488),CONCATENATE(","&amp;J488))&amp;IF(ISBLANK(K488),"",IF(ISERROR(SEARCH(",",K488,1)),CONCATENATE(","&amp;K488&amp;","&amp;K488),CONCATENATE(","&amp;K488))))))&amp;")","")&amp;" "&amp;F488)</f>
        <v/>
      </c>
    </row>
    <row r="489">
      <c r="A489" s="1" t="n">
        <v>588</v>
      </c>
      <c r="B489" s="1">
        <f>A489</f>
        <v/>
      </c>
      <c r="C489" s="1" t="inlineStr">
        <is>
          <t>vM2m01</t>
        </is>
      </c>
      <c r="D489" s="1" t="inlineStr">
        <is>
          <t>數值</t>
        </is>
      </c>
      <c r="E489" s="1" t="n">
        <v>2</v>
      </c>
      <c r="G489" s="1" t="inlineStr">
        <is>
          <t>range</t>
        </is>
      </c>
      <c r="H489" s="1" t="inlineStr">
        <is>
          <t>0,1</t>
        </is>
      </c>
      <c r="L489" s="1">
        <f>CONCAT(IF(D489="數值",CONCATENATE(G489&amp;"("&amp;C489&amp;","&amp;IF(ISERROR(SEARCH(",",H489,1)),(H489&amp;","&amp;H489),H489)&amp;IF(ISBLANK(I489),"",IF(ISERROR(SEARCH(",",I489,1)),CONCATENATE(","&amp;I489&amp;","&amp;I489),CONCATENATE(","&amp;I489))&amp;IF(ISBLANK(J489),"",IF(ISERROR(SEARCH(",",J489,1)),CONCATENATE(","&amp;J489&amp;","&amp;J489),CONCATENATE(","&amp;J489))&amp;IF(ISBLANK(K489),"",IF(ISERROR(SEARCH(",",K489,1)),CONCATENATE(","&amp;K489&amp;","&amp;K489),CONCATENATE(","&amp;K489))))))&amp;")","")&amp;" "&amp;F489)</f>
        <v/>
      </c>
    </row>
    <row r="490">
      <c r="A490" s="1" t="n">
        <v>589</v>
      </c>
      <c r="B490" s="1">
        <f>A490</f>
        <v/>
      </c>
      <c r="C490" s="1" t="inlineStr">
        <is>
          <t>vM2m02</t>
        </is>
      </c>
      <c r="D490" s="1" t="inlineStr">
        <is>
          <t>數值</t>
        </is>
      </c>
      <c r="E490" s="1" t="n">
        <v>2</v>
      </c>
      <c r="G490" s="1" t="inlineStr">
        <is>
          <t>range</t>
        </is>
      </c>
      <c r="H490" s="1" t="inlineStr">
        <is>
          <t>0,1</t>
        </is>
      </c>
      <c r="L490" s="1">
        <f>CONCAT(IF(D490="數值",CONCATENATE(G490&amp;"("&amp;C490&amp;","&amp;IF(ISERROR(SEARCH(",",H490,1)),(H490&amp;","&amp;H490),H490)&amp;IF(ISBLANK(I490),"",IF(ISERROR(SEARCH(",",I490,1)),CONCATENATE(","&amp;I490&amp;","&amp;I490),CONCATENATE(","&amp;I490))&amp;IF(ISBLANK(J490),"",IF(ISERROR(SEARCH(",",J490,1)),CONCATENATE(","&amp;J490&amp;","&amp;J490),CONCATENATE(","&amp;J490))&amp;IF(ISBLANK(K490),"",IF(ISERROR(SEARCH(",",K490,1)),CONCATENATE(","&amp;K490&amp;","&amp;K490),CONCATENATE(","&amp;K490))))))&amp;")","")&amp;" "&amp;F490)</f>
        <v/>
      </c>
    </row>
    <row r="491">
      <c r="A491" s="1" t="n">
        <v>590</v>
      </c>
      <c r="B491" s="1">
        <f>A491</f>
        <v/>
      </c>
      <c r="C491" s="1" t="inlineStr">
        <is>
          <t>vM2m03</t>
        </is>
      </c>
      <c r="D491" s="1" t="inlineStr">
        <is>
          <t>數值</t>
        </is>
      </c>
      <c r="E491" s="1" t="n">
        <v>2</v>
      </c>
      <c r="G491" s="1" t="inlineStr">
        <is>
          <t>range</t>
        </is>
      </c>
      <c r="H491" s="1" t="inlineStr">
        <is>
          <t>0,1</t>
        </is>
      </c>
      <c r="L491" s="1">
        <f>CONCAT(IF(D491="數值",CONCATENATE(G491&amp;"("&amp;C491&amp;","&amp;IF(ISERROR(SEARCH(",",H491,1)),(H491&amp;","&amp;H491),H491)&amp;IF(ISBLANK(I491),"",IF(ISERROR(SEARCH(",",I491,1)),CONCATENATE(","&amp;I491&amp;","&amp;I491),CONCATENATE(","&amp;I491))&amp;IF(ISBLANK(J491),"",IF(ISERROR(SEARCH(",",J491,1)),CONCATENATE(","&amp;J491&amp;","&amp;J491),CONCATENATE(","&amp;J491))&amp;IF(ISBLANK(K491),"",IF(ISERROR(SEARCH(",",K491,1)),CONCATENATE(","&amp;K491&amp;","&amp;K491),CONCATENATE(","&amp;K491))))))&amp;")","")&amp;" "&amp;F491)</f>
        <v/>
      </c>
    </row>
    <row r="492">
      <c r="A492" s="1" t="n">
        <v>591</v>
      </c>
      <c r="B492" s="1">
        <f>A492</f>
        <v/>
      </c>
      <c r="C492" s="1" t="inlineStr">
        <is>
          <t>vM2m04</t>
        </is>
      </c>
      <c r="D492" s="1" t="inlineStr">
        <is>
          <t>數值</t>
        </is>
      </c>
      <c r="E492" s="1" t="n">
        <v>2</v>
      </c>
      <c r="G492" s="1" t="inlineStr">
        <is>
          <t>range</t>
        </is>
      </c>
      <c r="H492" s="1" t="inlineStr">
        <is>
          <t>0,1</t>
        </is>
      </c>
      <c r="L492" s="1">
        <f>CONCAT(IF(D492="數值",CONCATENATE(G492&amp;"("&amp;C492&amp;","&amp;IF(ISERROR(SEARCH(",",H492,1)),(H492&amp;","&amp;H492),H492)&amp;IF(ISBLANK(I492),"",IF(ISERROR(SEARCH(",",I492,1)),CONCATENATE(","&amp;I492&amp;","&amp;I492),CONCATENATE(","&amp;I492))&amp;IF(ISBLANK(J492),"",IF(ISERROR(SEARCH(",",J492,1)),CONCATENATE(","&amp;J492&amp;","&amp;J492),CONCATENATE(","&amp;J492))&amp;IF(ISBLANK(K492),"",IF(ISERROR(SEARCH(",",K492,1)),CONCATENATE(","&amp;K492&amp;","&amp;K492),CONCATENATE(","&amp;K492))))))&amp;")","")&amp;" "&amp;F492)</f>
        <v/>
      </c>
    </row>
    <row r="493">
      <c r="A493" s="1" t="n">
        <v>592</v>
      </c>
      <c r="B493" s="1">
        <f>A493</f>
        <v/>
      </c>
      <c r="C493" s="1" t="inlineStr">
        <is>
          <t>vM2m05</t>
        </is>
      </c>
      <c r="D493" s="1" t="inlineStr">
        <is>
          <t>數值</t>
        </is>
      </c>
      <c r="E493" s="1" t="n">
        <v>2</v>
      </c>
      <c r="G493" s="1" t="inlineStr">
        <is>
          <t>range</t>
        </is>
      </c>
      <c r="H493" s="1" t="inlineStr">
        <is>
          <t>0,1</t>
        </is>
      </c>
      <c r="L493" s="1">
        <f>CONCAT(IF(D493="數值",CONCATENATE(G493&amp;"("&amp;C493&amp;","&amp;IF(ISERROR(SEARCH(",",H493,1)),(H493&amp;","&amp;H493),H493)&amp;IF(ISBLANK(I493),"",IF(ISERROR(SEARCH(",",I493,1)),CONCATENATE(","&amp;I493&amp;","&amp;I493),CONCATENATE(","&amp;I493))&amp;IF(ISBLANK(J493),"",IF(ISERROR(SEARCH(",",J493,1)),CONCATENATE(","&amp;J493&amp;","&amp;J493),CONCATENATE(","&amp;J493))&amp;IF(ISBLANK(K493),"",IF(ISERROR(SEARCH(",",K493,1)),CONCATENATE(","&amp;K493&amp;","&amp;K493),CONCATENATE(","&amp;K493))))))&amp;")","")&amp;" "&amp;F493)</f>
        <v/>
      </c>
    </row>
    <row r="494">
      <c r="A494" s="1" t="n">
        <v>593</v>
      </c>
      <c r="B494" s="1">
        <f>A494</f>
        <v/>
      </c>
      <c r="C494" s="1" t="inlineStr">
        <is>
          <t>vM2m06</t>
        </is>
      </c>
      <c r="D494" s="1" t="inlineStr">
        <is>
          <t>數值</t>
        </is>
      </c>
      <c r="E494" s="1" t="n">
        <v>2</v>
      </c>
      <c r="G494" s="1" t="inlineStr">
        <is>
          <t>range</t>
        </is>
      </c>
      <c r="H494" s="1" t="inlineStr">
        <is>
          <t>0,1</t>
        </is>
      </c>
      <c r="L494" s="1">
        <f>CONCAT(IF(D494="數值",CONCATENATE(G494&amp;"("&amp;C494&amp;","&amp;IF(ISERROR(SEARCH(",",H494,1)),(H494&amp;","&amp;H494),H494)&amp;IF(ISBLANK(I494),"",IF(ISERROR(SEARCH(",",I494,1)),CONCATENATE(","&amp;I494&amp;","&amp;I494),CONCATENATE(","&amp;I494))&amp;IF(ISBLANK(J494),"",IF(ISERROR(SEARCH(",",J494,1)),CONCATENATE(","&amp;J494&amp;","&amp;J494),CONCATENATE(","&amp;J494))&amp;IF(ISBLANK(K494),"",IF(ISERROR(SEARCH(",",K494,1)),CONCATENATE(","&amp;K494&amp;","&amp;K494),CONCATENATE(","&amp;K494))))))&amp;")","")&amp;" "&amp;F494)</f>
        <v/>
      </c>
    </row>
    <row r="495">
      <c r="A495" s="1" t="n">
        <v>594</v>
      </c>
      <c r="B495" s="1">
        <f>A495</f>
        <v/>
      </c>
      <c r="C495" s="1" t="inlineStr">
        <is>
          <t>vM2m07</t>
        </is>
      </c>
      <c r="D495" s="1" t="inlineStr">
        <is>
          <t>數值</t>
        </is>
      </c>
      <c r="E495" s="1" t="n">
        <v>2</v>
      </c>
      <c r="G495" s="1" t="inlineStr">
        <is>
          <t>range</t>
        </is>
      </c>
      <c r="H495" s="1" t="inlineStr">
        <is>
          <t>0,1</t>
        </is>
      </c>
      <c r="L495" s="1">
        <f>CONCAT(IF(D495="數值",CONCATENATE(G495&amp;"("&amp;C495&amp;","&amp;IF(ISERROR(SEARCH(",",H495,1)),(H495&amp;","&amp;H495),H495)&amp;IF(ISBLANK(I495),"",IF(ISERROR(SEARCH(",",I495,1)),CONCATENATE(","&amp;I495&amp;","&amp;I495),CONCATENATE(","&amp;I495))&amp;IF(ISBLANK(J495),"",IF(ISERROR(SEARCH(",",J495,1)),CONCATENATE(","&amp;J495&amp;","&amp;J495),CONCATENATE(","&amp;J495))&amp;IF(ISBLANK(K495),"",IF(ISERROR(SEARCH(",",K495,1)),CONCATENATE(","&amp;K495&amp;","&amp;K495),CONCATENATE(","&amp;K495))))))&amp;")","")&amp;" "&amp;F495)</f>
        <v/>
      </c>
    </row>
    <row r="496">
      <c r="A496" s="1" t="n">
        <v>595</v>
      </c>
      <c r="B496" s="1">
        <f>A496</f>
        <v/>
      </c>
      <c r="C496" s="1" t="inlineStr">
        <is>
          <t>vM2m08</t>
        </is>
      </c>
      <c r="D496" s="1" t="inlineStr">
        <is>
          <t>數值</t>
        </is>
      </c>
      <c r="E496" s="1" t="n">
        <v>2</v>
      </c>
      <c r="G496" s="1" t="inlineStr">
        <is>
          <t>range</t>
        </is>
      </c>
      <c r="H496" s="1" t="inlineStr">
        <is>
          <t>0,1</t>
        </is>
      </c>
      <c r="L496" s="1">
        <f>CONCAT(IF(D496="數值",CONCATENATE(G496&amp;"("&amp;C496&amp;","&amp;IF(ISERROR(SEARCH(",",H496,1)),(H496&amp;","&amp;H496),H496)&amp;IF(ISBLANK(I496),"",IF(ISERROR(SEARCH(",",I496,1)),CONCATENATE(","&amp;I496&amp;","&amp;I496),CONCATENATE(","&amp;I496))&amp;IF(ISBLANK(J496),"",IF(ISERROR(SEARCH(",",J496,1)),CONCATENATE(","&amp;J496&amp;","&amp;J496),CONCATENATE(","&amp;J496))&amp;IF(ISBLANK(K496),"",IF(ISERROR(SEARCH(",",K496,1)),CONCATENATE(","&amp;K496&amp;","&amp;K496),CONCATENATE(","&amp;K496))))))&amp;")","")&amp;" "&amp;F496)</f>
        <v/>
      </c>
    </row>
    <row r="497">
      <c r="A497" s="1" t="n">
        <v>596</v>
      </c>
      <c r="B497" s="1">
        <f>A497</f>
        <v/>
      </c>
      <c r="C497" s="1" t="inlineStr">
        <is>
          <t>vM2m09</t>
        </is>
      </c>
      <c r="D497" s="1" t="inlineStr">
        <is>
          <t>數值</t>
        </is>
      </c>
      <c r="E497" s="1" t="n">
        <v>2</v>
      </c>
      <c r="G497" s="1" t="inlineStr">
        <is>
          <t>range</t>
        </is>
      </c>
      <c r="H497" s="1" t="inlineStr">
        <is>
          <t>0,1</t>
        </is>
      </c>
      <c r="L497" s="1">
        <f>CONCAT(IF(D497="數值",CONCATENATE(G497&amp;"("&amp;C497&amp;","&amp;IF(ISERROR(SEARCH(",",H497,1)),(H497&amp;","&amp;H497),H497)&amp;IF(ISBLANK(I497),"",IF(ISERROR(SEARCH(",",I497,1)),CONCATENATE(","&amp;I497&amp;","&amp;I497),CONCATENATE(","&amp;I497))&amp;IF(ISBLANK(J497),"",IF(ISERROR(SEARCH(",",J497,1)),CONCATENATE(","&amp;J497&amp;","&amp;J497),CONCATENATE(","&amp;J497))&amp;IF(ISBLANK(K497),"",IF(ISERROR(SEARCH(",",K497,1)),CONCATENATE(","&amp;K497&amp;","&amp;K497),CONCATENATE(","&amp;K497))))))&amp;")","")&amp;" "&amp;F497)</f>
        <v/>
      </c>
    </row>
    <row r="498">
      <c r="A498" s="1" t="n">
        <v>597</v>
      </c>
      <c r="B498" s="1">
        <f>A498</f>
        <v/>
      </c>
      <c r="C498" s="1" t="inlineStr">
        <is>
          <t>vM2m10</t>
        </is>
      </c>
      <c r="D498" s="1" t="inlineStr">
        <is>
          <t>數值</t>
        </is>
      </c>
      <c r="E498" s="1" t="n">
        <v>2</v>
      </c>
      <c r="G498" s="1" t="inlineStr">
        <is>
          <t>range</t>
        </is>
      </c>
      <c r="H498" s="1" t="inlineStr">
        <is>
          <t>0,1</t>
        </is>
      </c>
      <c r="I498" s="1" t="inlineStr">
        <is>
          <t>96</t>
        </is>
      </c>
      <c r="L498" s="1">
        <f>CONCAT(IF(D498="數值",CONCATENATE(G498&amp;"("&amp;C498&amp;","&amp;IF(ISERROR(SEARCH(",",H498,1)),(H498&amp;","&amp;H498),H498)&amp;IF(ISBLANK(I498),"",IF(ISERROR(SEARCH(",",I498,1)),CONCATENATE(","&amp;I498&amp;","&amp;I498),CONCATENATE(","&amp;I498))&amp;IF(ISBLANK(J498),"",IF(ISERROR(SEARCH(",",J498,1)),CONCATENATE(","&amp;J498&amp;","&amp;J498),CONCATENATE(","&amp;J498))&amp;IF(ISBLANK(K498),"",IF(ISERROR(SEARCH(",",K498,1)),CONCATENATE(","&amp;K498&amp;","&amp;K498),CONCATENATE(","&amp;K498))))))&amp;")","")&amp;" "&amp;F498)</f>
        <v/>
      </c>
    </row>
    <row r="499">
      <c r="A499" s="1" t="n">
        <v>598</v>
      </c>
      <c r="B499" s="1">
        <f>A499</f>
        <v/>
      </c>
      <c r="C499" s="1" t="inlineStr">
        <is>
          <t>vM2m11</t>
        </is>
      </c>
      <c r="D499" s="1" t="inlineStr">
        <is>
          <t>數值</t>
        </is>
      </c>
      <c r="E499" s="1" t="n">
        <v>2</v>
      </c>
      <c r="G499" s="1" t="inlineStr">
        <is>
          <t>range</t>
        </is>
      </c>
      <c r="H499" s="1" t="inlineStr">
        <is>
          <t>0,1</t>
        </is>
      </c>
      <c r="I499" s="1" t="inlineStr">
        <is>
          <t>96</t>
        </is>
      </c>
      <c r="L499" s="1">
        <f>CONCAT(IF(D499="數值",CONCATENATE(G499&amp;"("&amp;C499&amp;","&amp;IF(ISERROR(SEARCH(",",H499,1)),(H499&amp;","&amp;H499),H499)&amp;IF(ISBLANK(I499),"",IF(ISERROR(SEARCH(",",I499,1)),CONCATENATE(","&amp;I499&amp;","&amp;I499),CONCATENATE(","&amp;I499))&amp;IF(ISBLANK(J499),"",IF(ISERROR(SEARCH(",",J499,1)),CONCATENATE(","&amp;J499&amp;","&amp;J499),CONCATENATE(","&amp;J499))&amp;IF(ISBLANK(K499),"",IF(ISERROR(SEARCH(",",K499,1)),CONCATENATE(","&amp;K499&amp;","&amp;K499),CONCATENATE(","&amp;K499))))))&amp;")","")&amp;" "&amp;F499)</f>
        <v/>
      </c>
    </row>
    <row r="500">
      <c r="A500" s="1" t="n">
        <v>599</v>
      </c>
      <c r="B500" s="1">
        <f>A500</f>
        <v/>
      </c>
      <c r="C500" s="1" t="inlineStr">
        <is>
          <t>vM2m12</t>
        </is>
      </c>
      <c r="D500" s="1" t="inlineStr">
        <is>
          <t>數值</t>
        </is>
      </c>
      <c r="E500" s="1" t="n">
        <v>2</v>
      </c>
      <c r="G500" s="1" t="inlineStr">
        <is>
          <t>range</t>
        </is>
      </c>
      <c r="H500" s="1" t="inlineStr">
        <is>
          <t>0,1</t>
        </is>
      </c>
      <c r="I500" s="1" t="inlineStr">
        <is>
          <t>96</t>
        </is>
      </c>
      <c r="L500" s="1">
        <f>CONCAT(IF(D500="數值",CONCATENATE(G500&amp;"("&amp;C500&amp;","&amp;IF(ISERROR(SEARCH(",",H500,1)),(H500&amp;","&amp;H500),H500)&amp;IF(ISBLANK(I500),"",IF(ISERROR(SEARCH(",",I500,1)),CONCATENATE(","&amp;I500&amp;","&amp;I500),CONCATENATE(","&amp;I500))&amp;IF(ISBLANK(J500),"",IF(ISERROR(SEARCH(",",J500,1)),CONCATENATE(","&amp;J500&amp;","&amp;J500),CONCATENATE(","&amp;J500))&amp;IF(ISBLANK(K500),"",IF(ISERROR(SEARCH(",",K500,1)),CONCATENATE(","&amp;K500&amp;","&amp;K500),CONCATENATE(","&amp;K500))))))&amp;")","")&amp;" "&amp;F500)</f>
        <v/>
      </c>
    </row>
    <row r="501">
      <c r="A501" s="1" t="n">
        <v>600</v>
      </c>
      <c r="B501" s="1">
        <f>A501</f>
        <v/>
      </c>
      <c r="C501" s="1" t="inlineStr">
        <is>
          <t>vM2m13</t>
        </is>
      </c>
      <c r="D501" s="1" t="inlineStr">
        <is>
          <t>數值</t>
        </is>
      </c>
      <c r="E501" s="1" t="n">
        <v>2</v>
      </c>
      <c r="G501" s="1" t="inlineStr">
        <is>
          <t>range</t>
        </is>
      </c>
      <c r="H501" s="1" t="inlineStr">
        <is>
          <t>0,1</t>
        </is>
      </c>
      <c r="I501" s="1" t="inlineStr">
        <is>
          <t>96</t>
        </is>
      </c>
      <c r="L501" s="1">
        <f>CONCAT(IF(D501="數值",CONCATENATE(G501&amp;"("&amp;C501&amp;","&amp;IF(ISERROR(SEARCH(",",H501,1)),(H501&amp;","&amp;H501),H501)&amp;IF(ISBLANK(I501),"",IF(ISERROR(SEARCH(",",I501,1)),CONCATENATE(","&amp;I501&amp;","&amp;I501),CONCATENATE(","&amp;I501))&amp;IF(ISBLANK(J501),"",IF(ISERROR(SEARCH(",",J501,1)),CONCATENATE(","&amp;J501&amp;","&amp;J501),CONCATENATE(","&amp;J501))&amp;IF(ISBLANK(K501),"",IF(ISERROR(SEARCH(",",K501,1)),CONCATENATE(","&amp;K501&amp;","&amp;K501),CONCATENATE(","&amp;K501))))))&amp;")","")&amp;" "&amp;F501)</f>
        <v/>
      </c>
    </row>
    <row r="502">
      <c r="A502" s="1" t="n">
        <v>601</v>
      </c>
      <c r="B502" s="1">
        <f>A502</f>
        <v/>
      </c>
      <c r="C502" s="1" t="inlineStr">
        <is>
          <t>vM2m14</t>
        </is>
      </c>
      <c r="D502" s="1" t="inlineStr">
        <is>
          <t>數值</t>
        </is>
      </c>
      <c r="E502" s="1" t="n">
        <v>2</v>
      </c>
      <c r="G502" s="1" t="inlineStr">
        <is>
          <t>range</t>
        </is>
      </c>
      <c r="H502" s="1" t="inlineStr">
        <is>
          <t>0,1</t>
        </is>
      </c>
      <c r="I502" s="1" t="inlineStr">
        <is>
          <t>96</t>
        </is>
      </c>
      <c r="L502" s="1">
        <f>CONCAT(IF(D502="數值",CONCATENATE(G502&amp;"("&amp;C502&amp;","&amp;IF(ISERROR(SEARCH(",",H502,1)),(H502&amp;","&amp;H502),H502)&amp;IF(ISBLANK(I502),"",IF(ISERROR(SEARCH(",",I502,1)),CONCATENATE(","&amp;I502&amp;","&amp;I502),CONCATENATE(","&amp;I502))&amp;IF(ISBLANK(J502),"",IF(ISERROR(SEARCH(",",J502,1)),CONCATENATE(","&amp;J502&amp;","&amp;J502),CONCATENATE(","&amp;J502))&amp;IF(ISBLANK(K502),"",IF(ISERROR(SEARCH(",",K502,1)),CONCATENATE(","&amp;K502&amp;","&amp;K502),CONCATENATE(","&amp;K502))))))&amp;")","")&amp;" "&amp;F502)</f>
        <v/>
      </c>
    </row>
    <row r="503">
      <c r="A503" s="1" t="n">
        <v>602</v>
      </c>
      <c r="B503" s="1">
        <f>A503</f>
        <v/>
      </c>
      <c r="C503" s="1" t="inlineStr">
        <is>
          <t>vM2m15</t>
        </is>
      </c>
      <c r="D503" s="1" t="inlineStr">
        <is>
          <t>數值</t>
        </is>
      </c>
      <c r="E503" s="1" t="n">
        <v>2</v>
      </c>
      <c r="G503" s="1" t="inlineStr">
        <is>
          <t>range</t>
        </is>
      </c>
      <c r="H503" s="1" t="inlineStr">
        <is>
          <t>0,1</t>
        </is>
      </c>
      <c r="I503" s="1" t="inlineStr">
        <is>
          <t>96</t>
        </is>
      </c>
      <c r="L503" s="1">
        <f>CONCAT(IF(D503="數值",CONCATENATE(G503&amp;"("&amp;C503&amp;","&amp;IF(ISERROR(SEARCH(",",H503,1)),(H503&amp;","&amp;H503),H503)&amp;IF(ISBLANK(I503),"",IF(ISERROR(SEARCH(",",I503,1)),CONCATENATE(","&amp;I503&amp;","&amp;I503),CONCATENATE(","&amp;I503))&amp;IF(ISBLANK(J503),"",IF(ISERROR(SEARCH(",",J503,1)),CONCATENATE(","&amp;J503&amp;","&amp;J503),CONCATENATE(","&amp;J503))&amp;IF(ISBLANK(K503),"",IF(ISERROR(SEARCH(",",K503,1)),CONCATENATE(","&amp;K503&amp;","&amp;K503),CONCATENATE(","&amp;K503))))))&amp;")","")&amp;" "&amp;F503)</f>
        <v/>
      </c>
    </row>
    <row r="504">
      <c r="A504" s="1" t="n">
        <v>603</v>
      </c>
      <c r="B504" s="1">
        <f>A504</f>
        <v/>
      </c>
      <c r="C504" s="1" t="inlineStr">
        <is>
          <t>vM2m16</t>
        </is>
      </c>
      <c r="D504" s="1" t="inlineStr">
        <is>
          <t>數值</t>
        </is>
      </c>
      <c r="E504" s="1" t="n">
        <v>2</v>
      </c>
      <c r="G504" s="1" t="inlineStr">
        <is>
          <t>range</t>
        </is>
      </c>
      <c r="H504" s="1" t="inlineStr">
        <is>
          <t>0,1</t>
        </is>
      </c>
      <c r="I504" s="1" t="inlineStr">
        <is>
          <t>96</t>
        </is>
      </c>
      <c r="L504" s="1">
        <f>CONCAT(IF(D504="數值",CONCATENATE(G504&amp;"("&amp;C504&amp;","&amp;IF(ISERROR(SEARCH(",",H504,1)),(H504&amp;","&amp;H504),H504)&amp;IF(ISBLANK(I504),"",IF(ISERROR(SEARCH(",",I504,1)),CONCATENATE(","&amp;I504&amp;","&amp;I504),CONCATENATE(","&amp;I504))&amp;IF(ISBLANK(J504),"",IF(ISERROR(SEARCH(",",J504,1)),CONCATENATE(","&amp;J504&amp;","&amp;J504),CONCATENATE(","&amp;J504))&amp;IF(ISBLANK(K504),"",IF(ISERROR(SEARCH(",",K504,1)),CONCATENATE(","&amp;K504&amp;","&amp;K504),CONCATENATE(","&amp;K504))))))&amp;")","")&amp;" "&amp;F504)</f>
        <v/>
      </c>
    </row>
    <row r="505">
      <c r="A505" s="1" t="n">
        <v>604</v>
      </c>
      <c r="B505" s="1">
        <f>A505</f>
        <v/>
      </c>
      <c r="C505" s="1" t="inlineStr">
        <is>
          <t>vM2m88</t>
        </is>
      </c>
      <c r="D505" s="1" t="inlineStr">
        <is>
          <t>數值</t>
        </is>
      </c>
      <c r="E505" s="1" t="n">
        <v>2</v>
      </c>
      <c r="G505" s="1" t="inlineStr">
        <is>
          <t>range</t>
        </is>
      </c>
      <c r="H505" s="1" t="inlineStr">
        <is>
          <t>0,1</t>
        </is>
      </c>
      <c r="I505" s="1" t="inlineStr">
        <is>
          <t>96</t>
        </is>
      </c>
      <c r="L505" s="1">
        <f>CONCAT(IF(D505="數值",CONCATENATE(G505&amp;"("&amp;C505&amp;","&amp;IF(ISERROR(SEARCH(",",H505,1)),(H505&amp;","&amp;H505),H505)&amp;IF(ISBLANK(I505),"",IF(ISERROR(SEARCH(",",I505,1)),CONCATENATE(","&amp;I505&amp;","&amp;I505),CONCATENATE(","&amp;I505))&amp;IF(ISBLANK(J505),"",IF(ISERROR(SEARCH(",",J505,1)),CONCATENATE(","&amp;J505&amp;","&amp;J505),CONCATENATE(","&amp;J505))&amp;IF(ISBLANK(K505),"",IF(ISERROR(SEARCH(",",K505,1)),CONCATENATE(","&amp;K505&amp;","&amp;K505),CONCATENATE(","&amp;K505))))))&amp;")","")&amp;" "&amp;F505)</f>
        <v/>
      </c>
    </row>
    <row r="506">
      <c r="A506" s="1" t="n">
        <v>605</v>
      </c>
      <c r="B506" s="1">
        <f>A506</f>
        <v/>
      </c>
      <c r="C506" s="1" t="inlineStr">
        <is>
          <t>vM3m01</t>
        </is>
      </c>
      <c r="D506" s="1" t="inlineStr">
        <is>
          <t>數值</t>
        </is>
      </c>
      <c r="E506" s="1" t="n">
        <v>2</v>
      </c>
      <c r="G506" s="1" t="inlineStr">
        <is>
          <t>range</t>
        </is>
      </c>
      <c r="H506" s="1" t="inlineStr">
        <is>
          <t>0,1</t>
        </is>
      </c>
      <c r="L506" s="1">
        <f>CONCAT(IF(D506="數值",CONCATENATE(G506&amp;"("&amp;C506&amp;","&amp;IF(ISERROR(SEARCH(",",H506,1)),(H506&amp;","&amp;H506),H506)&amp;IF(ISBLANK(I506),"",IF(ISERROR(SEARCH(",",I506,1)),CONCATENATE(","&amp;I506&amp;","&amp;I506),CONCATENATE(","&amp;I506))&amp;IF(ISBLANK(J506),"",IF(ISERROR(SEARCH(",",J506,1)),CONCATENATE(","&amp;J506&amp;","&amp;J506),CONCATENATE(","&amp;J506))&amp;IF(ISBLANK(K506),"",IF(ISERROR(SEARCH(",",K506,1)),CONCATENATE(","&amp;K506&amp;","&amp;K506),CONCATENATE(","&amp;K506))))))&amp;")","")&amp;" "&amp;F506)</f>
        <v/>
      </c>
    </row>
    <row r="507">
      <c r="A507" s="1" t="n">
        <v>606</v>
      </c>
      <c r="B507" s="1">
        <f>A507</f>
        <v/>
      </c>
      <c r="C507" s="1" t="inlineStr">
        <is>
          <t>vM3m02</t>
        </is>
      </c>
      <c r="D507" s="1" t="inlineStr">
        <is>
          <t>數值</t>
        </is>
      </c>
      <c r="E507" s="1" t="n">
        <v>2</v>
      </c>
      <c r="G507" s="1" t="inlineStr">
        <is>
          <t>range</t>
        </is>
      </c>
      <c r="H507" s="1" t="inlineStr">
        <is>
          <t>0,1</t>
        </is>
      </c>
      <c r="L507" s="1">
        <f>CONCAT(IF(D507="數值",CONCATENATE(G507&amp;"("&amp;C507&amp;","&amp;IF(ISERROR(SEARCH(",",H507,1)),(H507&amp;","&amp;H507),H507)&amp;IF(ISBLANK(I507),"",IF(ISERROR(SEARCH(",",I507,1)),CONCATENATE(","&amp;I507&amp;","&amp;I507),CONCATENATE(","&amp;I507))&amp;IF(ISBLANK(J507),"",IF(ISERROR(SEARCH(",",J507,1)),CONCATENATE(","&amp;J507&amp;","&amp;J507),CONCATENATE(","&amp;J507))&amp;IF(ISBLANK(K507),"",IF(ISERROR(SEARCH(",",K507,1)),CONCATENATE(","&amp;K507&amp;","&amp;K507),CONCATENATE(","&amp;K507))))))&amp;")","")&amp;" "&amp;F507)</f>
        <v/>
      </c>
    </row>
    <row r="508">
      <c r="A508" s="1" t="n">
        <v>607</v>
      </c>
      <c r="B508" s="1">
        <f>A508</f>
        <v/>
      </c>
      <c r="C508" s="1" t="inlineStr">
        <is>
          <t>vM3m03</t>
        </is>
      </c>
      <c r="D508" s="1" t="inlineStr">
        <is>
          <t>數值</t>
        </is>
      </c>
      <c r="E508" s="1" t="n">
        <v>2</v>
      </c>
      <c r="G508" s="1" t="inlineStr">
        <is>
          <t>range</t>
        </is>
      </c>
      <c r="H508" s="1" t="inlineStr">
        <is>
          <t>0,1</t>
        </is>
      </c>
      <c r="L508" s="1">
        <f>CONCAT(IF(D508="數值",CONCATENATE(G508&amp;"("&amp;C508&amp;","&amp;IF(ISERROR(SEARCH(",",H508,1)),(H508&amp;","&amp;H508),H508)&amp;IF(ISBLANK(I508),"",IF(ISERROR(SEARCH(",",I508,1)),CONCATENATE(","&amp;I508&amp;","&amp;I508),CONCATENATE(","&amp;I508))&amp;IF(ISBLANK(J508),"",IF(ISERROR(SEARCH(",",J508,1)),CONCATENATE(","&amp;J508&amp;","&amp;J508),CONCATENATE(","&amp;J508))&amp;IF(ISBLANK(K508),"",IF(ISERROR(SEARCH(",",K508,1)),CONCATENATE(","&amp;K508&amp;","&amp;K508),CONCATENATE(","&amp;K508))))))&amp;")","")&amp;" "&amp;F508)</f>
        <v/>
      </c>
    </row>
    <row r="509">
      <c r="A509" s="1" t="n">
        <v>608</v>
      </c>
      <c r="B509" s="1">
        <f>A509</f>
        <v/>
      </c>
      <c r="C509" s="1" t="inlineStr">
        <is>
          <t>vM3m04</t>
        </is>
      </c>
      <c r="D509" s="1" t="inlineStr">
        <is>
          <t>數值</t>
        </is>
      </c>
      <c r="E509" s="1" t="n">
        <v>2</v>
      </c>
      <c r="G509" s="1" t="inlineStr">
        <is>
          <t>range</t>
        </is>
      </c>
      <c r="H509" s="1" t="inlineStr">
        <is>
          <t>0,1</t>
        </is>
      </c>
      <c r="L509" s="1">
        <f>CONCAT(IF(D509="數值",CONCATENATE(G509&amp;"("&amp;C509&amp;","&amp;IF(ISERROR(SEARCH(",",H509,1)),(H509&amp;","&amp;H509),H509)&amp;IF(ISBLANK(I509),"",IF(ISERROR(SEARCH(",",I509,1)),CONCATENATE(","&amp;I509&amp;","&amp;I509),CONCATENATE(","&amp;I509))&amp;IF(ISBLANK(J509),"",IF(ISERROR(SEARCH(",",J509,1)),CONCATENATE(","&amp;J509&amp;","&amp;J509),CONCATENATE(","&amp;J509))&amp;IF(ISBLANK(K509),"",IF(ISERROR(SEARCH(",",K509,1)),CONCATENATE(","&amp;K509&amp;","&amp;K509),CONCATENATE(","&amp;K509))))))&amp;")","")&amp;" "&amp;F509)</f>
        <v/>
      </c>
    </row>
    <row r="510">
      <c r="A510" s="1" t="n">
        <v>609</v>
      </c>
      <c r="B510" s="1">
        <f>A510</f>
        <v/>
      </c>
      <c r="C510" s="1" t="inlineStr">
        <is>
          <t>vM3m05</t>
        </is>
      </c>
      <c r="D510" s="1" t="inlineStr">
        <is>
          <t>數值</t>
        </is>
      </c>
      <c r="E510" s="1" t="n">
        <v>2</v>
      </c>
      <c r="G510" s="1" t="inlineStr">
        <is>
          <t>range</t>
        </is>
      </c>
      <c r="H510" s="1" t="inlineStr">
        <is>
          <t>0,1</t>
        </is>
      </c>
      <c r="L510" s="1">
        <f>CONCAT(IF(D510="數值",CONCATENATE(G510&amp;"("&amp;C510&amp;","&amp;IF(ISERROR(SEARCH(",",H510,1)),(H510&amp;","&amp;H510),H510)&amp;IF(ISBLANK(I510),"",IF(ISERROR(SEARCH(",",I510,1)),CONCATENATE(","&amp;I510&amp;","&amp;I510),CONCATENATE(","&amp;I510))&amp;IF(ISBLANK(J510),"",IF(ISERROR(SEARCH(",",J510,1)),CONCATENATE(","&amp;J510&amp;","&amp;J510),CONCATENATE(","&amp;J510))&amp;IF(ISBLANK(K510),"",IF(ISERROR(SEARCH(",",K510,1)),CONCATENATE(","&amp;K510&amp;","&amp;K510),CONCATENATE(","&amp;K510))))))&amp;")","")&amp;" "&amp;F510)</f>
        <v/>
      </c>
    </row>
    <row r="511">
      <c r="A511" s="1" t="n">
        <v>610</v>
      </c>
      <c r="B511" s="1">
        <f>A511</f>
        <v/>
      </c>
      <c r="C511" s="1" t="inlineStr">
        <is>
          <t>vM3m06</t>
        </is>
      </c>
      <c r="D511" s="1" t="inlineStr">
        <is>
          <t>數值</t>
        </is>
      </c>
      <c r="E511" s="1" t="n">
        <v>2</v>
      </c>
      <c r="G511" s="1" t="inlineStr">
        <is>
          <t>range</t>
        </is>
      </c>
      <c r="H511" s="1" t="inlineStr">
        <is>
          <t>0,1</t>
        </is>
      </c>
      <c r="L511" s="1">
        <f>CONCAT(IF(D511="數值",CONCATENATE(G511&amp;"("&amp;C511&amp;","&amp;IF(ISERROR(SEARCH(",",H511,1)),(H511&amp;","&amp;H511),H511)&amp;IF(ISBLANK(I511),"",IF(ISERROR(SEARCH(",",I511,1)),CONCATENATE(","&amp;I511&amp;","&amp;I511),CONCATENATE(","&amp;I511))&amp;IF(ISBLANK(J511),"",IF(ISERROR(SEARCH(",",J511,1)),CONCATENATE(","&amp;J511&amp;","&amp;J511),CONCATENATE(","&amp;J511))&amp;IF(ISBLANK(K511),"",IF(ISERROR(SEARCH(",",K511,1)),CONCATENATE(","&amp;K511&amp;","&amp;K511),CONCATENATE(","&amp;K511))))))&amp;")","")&amp;" "&amp;F511)</f>
        <v/>
      </c>
    </row>
    <row r="512">
      <c r="A512" s="1" t="n">
        <v>611</v>
      </c>
      <c r="B512" s="1">
        <f>A512</f>
        <v/>
      </c>
      <c r="C512" s="1" t="inlineStr">
        <is>
          <t>vM3m07</t>
        </is>
      </c>
      <c r="D512" s="1" t="inlineStr">
        <is>
          <t>數值</t>
        </is>
      </c>
      <c r="E512" s="1" t="n">
        <v>2</v>
      </c>
      <c r="G512" s="1" t="inlineStr">
        <is>
          <t>range</t>
        </is>
      </c>
      <c r="H512" s="1" t="inlineStr">
        <is>
          <t>0,1</t>
        </is>
      </c>
      <c r="L512" s="1">
        <f>CONCAT(IF(D512="數值",CONCATENATE(G512&amp;"("&amp;C512&amp;","&amp;IF(ISERROR(SEARCH(",",H512,1)),(H512&amp;","&amp;H512),H512)&amp;IF(ISBLANK(I512),"",IF(ISERROR(SEARCH(",",I512,1)),CONCATENATE(","&amp;I512&amp;","&amp;I512),CONCATENATE(","&amp;I512))&amp;IF(ISBLANK(J512),"",IF(ISERROR(SEARCH(",",J512,1)),CONCATENATE(","&amp;J512&amp;","&amp;J512),CONCATENATE(","&amp;J512))&amp;IF(ISBLANK(K512),"",IF(ISERROR(SEARCH(",",K512,1)),CONCATENATE(","&amp;K512&amp;","&amp;K512),CONCATENATE(","&amp;K512))))))&amp;")","")&amp;" "&amp;F512)</f>
        <v/>
      </c>
    </row>
    <row r="513">
      <c r="A513" s="1" t="n">
        <v>612</v>
      </c>
      <c r="B513" s="1">
        <f>A513</f>
        <v/>
      </c>
      <c r="C513" s="1" t="inlineStr">
        <is>
          <t>vM3m08</t>
        </is>
      </c>
      <c r="D513" s="1" t="inlineStr">
        <is>
          <t>數值</t>
        </is>
      </c>
      <c r="E513" s="1" t="n">
        <v>2</v>
      </c>
      <c r="G513" s="1" t="inlineStr">
        <is>
          <t>range</t>
        </is>
      </c>
      <c r="H513" s="1" t="inlineStr">
        <is>
          <t>0,1</t>
        </is>
      </c>
      <c r="L513" s="1">
        <f>CONCAT(IF(D513="數值",CONCATENATE(G513&amp;"("&amp;C513&amp;","&amp;IF(ISERROR(SEARCH(",",H513,1)),(H513&amp;","&amp;H513),H513)&amp;IF(ISBLANK(I513),"",IF(ISERROR(SEARCH(",",I513,1)),CONCATENATE(","&amp;I513&amp;","&amp;I513),CONCATENATE(","&amp;I513))&amp;IF(ISBLANK(J513),"",IF(ISERROR(SEARCH(",",J513,1)),CONCATENATE(","&amp;J513&amp;","&amp;J513),CONCATENATE(","&amp;J513))&amp;IF(ISBLANK(K513),"",IF(ISERROR(SEARCH(",",K513,1)),CONCATENATE(","&amp;K513&amp;","&amp;K513),CONCATENATE(","&amp;K513))))))&amp;")","")&amp;" "&amp;F513)</f>
        <v/>
      </c>
    </row>
    <row r="514">
      <c r="A514" s="1" t="n">
        <v>613</v>
      </c>
      <c r="B514" s="1">
        <f>A514</f>
        <v/>
      </c>
      <c r="C514" s="1" t="inlineStr">
        <is>
          <t>vM3m09</t>
        </is>
      </c>
      <c r="D514" s="1" t="inlineStr">
        <is>
          <t>數值</t>
        </is>
      </c>
      <c r="E514" s="1" t="n">
        <v>2</v>
      </c>
      <c r="G514" s="1" t="inlineStr">
        <is>
          <t>range</t>
        </is>
      </c>
      <c r="H514" s="1" t="inlineStr">
        <is>
          <t>0,1</t>
        </is>
      </c>
      <c r="L514" s="1">
        <f>CONCAT(IF(D514="數值",CONCATENATE(G514&amp;"("&amp;C514&amp;","&amp;IF(ISERROR(SEARCH(",",H514,1)),(H514&amp;","&amp;H514),H514)&amp;IF(ISBLANK(I514),"",IF(ISERROR(SEARCH(",",I514,1)),CONCATENATE(","&amp;I514&amp;","&amp;I514),CONCATENATE(","&amp;I514))&amp;IF(ISBLANK(J514),"",IF(ISERROR(SEARCH(",",J514,1)),CONCATENATE(","&amp;J514&amp;","&amp;J514),CONCATENATE(","&amp;J514))&amp;IF(ISBLANK(K514),"",IF(ISERROR(SEARCH(",",K514,1)),CONCATENATE(","&amp;K514&amp;","&amp;K514),CONCATENATE(","&amp;K514))))))&amp;")","")&amp;" "&amp;F514)</f>
        <v/>
      </c>
    </row>
    <row r="515">
      <c r="A515" s="1" t="n">
        <v>614</v>
      </c>
      <c r="B515" s="1">
        <f>A515</f>
        <v/>
      </c>
      <c r="C515" s="1" t="inlineStr">
        <is>
          <t>vM3m10</t>
        </is>
      </c>
      <c r="D515" s="1" t="inlineStr">
        <is>
          <t>數值</t>
        </is>
      </c>
      <c r="E515" s="1" t="n">
        <v>2</v>
      </c>
      <c r="G515" s="1" t="inlineStr">
        <is>
          <t>range</t>
        </is>
      </c>
      <c r="H515" s="1" t="inlineStr">
        <is>
          <t>0,1</t>
        </is>
      </c>
      <c r="I515" s="1" t="inlineStr">
        <is>
          <t>96</t>
        </is>
      </c>
      <c r="L515" s="1">
        <f>CONCAT(IF(D515="數值",CONCATENATE(G515&amp;"("&amp;C515&amp;","&amp;IF(ISERROR(SEARCH(",",H515,1)),(H515&amp;","&amp;H515),H515)&amp;IF(ISBLANK(I515),"",IF(ISERROR(SEARCH(",",I515,1)),CONCATENATE(","&amp;I515&amp;","&amp;I515),CONCATENATE(","&amp;I515))&amp;IF(ISBLANK(J515),"",IF(ISERROR(SEARCH(",",J515,1)),CONCATENATE(","&amp;J515&amp;","&amp;J515),CONCATENATE(","&amp;J515))&amp;IF(ISBLANK(K515),"",IF(ISERROR(SEARCH(",",K515,1)),CONCATENATE(","&amp;K515&amp;","&amp;K515),CONCATENATE(","&amp;K515))))))&amp;")","")&amp;" "&amp;F515)</f>
        <v/>
      </c>
    </row>
    <row r="516">
      <c r="A516" s="1" t="n">
        <v>615</v>
      </c>
      <c r="B516" s="1">
        <f>A516</f>
        <v/>
      </c>
      <c r="C516" s="1" t="inlineStr">
        <is>
          <t>vM3m11</t>
        </is>
      </c>
      <c r="D516" s="1" t="inlineStr">
        <is>
          <t>數值</t>
        </is>
      </c>
      <c r="E516" s="1" t="n">
        <v>2</v>
      </c>
      <c r="G516" s="1" t="inlineStr">
        <is>
          <t>range</t>
        </is>
      </c>
      <c r="H516" s="1" t="inlineStr">
        <is>
          <t>0,1</t>
        </is>
      </c>
      <c r="I516" s="1" t="inlineStr">
        <is>
          <t>96</t>
        </is>
      </c>
      <c r="L516" s="1">
        <f>CONCAT(IF(D516="數值",CONCATENATE(G516&amp;"("&amp;C516&amp;","&amp;IF(ISERROR(SEARCH(",",H516,1)),(H516&amp;","&amp;H516),H516)&amp;IF(ISBLANK(I516),"",IF(ISERROR(SEARCH(",",I516,1)),CONCATENATE(","&amp;I516&amp;","&amp;I516),CONCATENATE(","&amp;I516))&amp;IF(ISBLANK(J516),"",IF(ISERROR(SEARCH(",",J516,1)),CONCATENATE(","&amp;J516&amp;","&amp;J516),CONCATENATE(","&amp;J516))&amp;IF(ISBLANK(K516),"",IF(ISERROR(SEARCH(",",K516,1)),CONCATENATE(","&amp;K516&amp;","&amp;K516),CONCATENATE(","&amp;K516))))))&amp;")","")&amp;" "&amp;F516)</f>
        <v/>
      </c>
    </row>
    <row r="517">
      <c r="A517" s="1" t="n">
        <v>616</v>
      </c>
      <c r="B517" s="1">
        <f>A517</f>
        <v/>
      </c>
      <c r="C517" s="1" t="inlineStr">
        <is>
          <t>vM3m12</t>
        </is>
      </c>
      <c r="D517" s="1" t="inlineStr">
        <is>
          <t>數值</t>
        </is>
      </c>
      <c r="E517" s="1" t="n">
        <v>2</v>
      </c>
      <c r="G517" s="1" t="inlineStr">
        <is>
          <t>range</t>
        </is>
      </c>
      <c r="H517" s="1" t="inlineStr">
        <is>
          <t>0,1</t>
        </is>
      </c>
      <c r="I517" s="1" t="inlineStr">
        <is>
          <t>96</t>
        </is>
      </c>
      <c r="L517" s="1">
        <f>CONCAT(IF(D517="數值",CONCATENATE(G517&amp;"("&amp;C517&amp;","&amp;IF(ISERROR(SEARCH(",",H517,1)),(H517&amp;","&amp;H517),H517)&amp;IF(ISBLANK(I517),"",IF(ISERROR(SEARCH(",",I517,1)),CONCATENATE(","&amp;I517&amp;","&amp;I517),CONCATENATE(","&amp;I517))&amp;IF(ISBLANK(J517),"",IF(ISERROR(SEARCH(",",J517,1)),CONCATENATE(","&amp;J517&amp;","&amp;J517),CONCATENATE(","&amp;J517))&amp;IF(ISBLANK(K517),"",IF(ISERROR(SEARCH(",",K517,1)),CONCATENATE(","&amp;K517&amp;","&amp;K517),CONCATENATE(","&amp;K517))))))&amp;")","")&amp;" "&amp;F517)</f>
        <v/>
      </c>
    </row>
    <row r="518">
      <c r="A518" s="1" t="n">
        <v>617</v>
      </c>
      <c r="B518" s="1">
        <f>A518</f>
        <v/>
      </c>
      <c r="C518" s="1" t="inlineStr">
        <is>
          <t>vM3m13</t>
        </is>
      </c>
      <c r="D518" s="1" t="inlineStr">
        <is>
          <t>數值</t>
        </is>
      </c>
      <c r="E518" s="1" t="n">
        <v>2</v>
      </c>
      <c r="G518" s="1" t="inlineStr">
        <is>
          <t>range</t>
        </is>
      </c>
      <c r="H518" s="1" t="inlineStr">
        <is>
          <t>0,1</t>
        </is>
      </c>
      <c r="I518" s="1" t="inlineStr">
        <is>
          <t>96</t>
        </is>
      </c>
      <c r="L518" s="1">
        <f>CONCAT(IF(D518="數值",CONCATENATE(G518&amp;"("&amp;C518&amp;","&amp;IF(ISERROR(SEARCH(",",H518,1)),(H518&amp;","&amp;H518),H518)&amp;IF(ISBLANK(I518),"",IF(ISERROR(SEARCH(",",I518,1)),CONCATENATE(","&amp;I518&amp;","&amp;I518),CONCATENATE(","&amp;I518))&amp;IF(ISBLANK(J518),"",IF(ISERROR(SEARCH(",",J518,1)),CONCATENATE(","&amp;J518&amp;","&amp;J518),CONCATENATE(","&amp;J518))&amp;IF(ISBLANK(K518),"",IF(ISERROR(SEARCH(",",K518,1)),CONCATENATE(","&amp;K518&amp;","&amp;K518),CONCATENATE(","&amp;K518))))))&amp;")","")&amp;" "&amp;F518)</f>
        <v/>
      </c>
    </row>
    <row r="519">
      <c r="A519" s="1" t="n">
        <v>618</v>
      </c>
      <c r="B519" s="1">
        <f>A519</f>
        <v/>
      </c>
      <c r="C519" s="1" t="inlineStr">
        <is>
          <t>vM3m88</t>
        </is>
      </c>
      <c r="D519" s="1" t="inlineStr">
        <is>
          <t>數值</t>
        </is>
      </c>
      <c r="E519" s="1" t="n">
        <v>2</v>
      </c>
      <c r="G519" s="1" t="inlineStr">
        <is>
          <t>range</t>
        </is>
      </c>
      <c r="H519" s="1" t="inlineStr">
        <is>
          <t>0,1</t>
        </is>
      </c>
      <c r="I519" s="1" t="inlineStr">
        <is>
          <t>96</t>
        </is>
      </c>
      <c r="L519" s="1">
        <f>CONCAT(IF(D519="數值",CONCATENATE(G519&amp;"("&amp;C519&amp;","&amp;IF(ISERROR(SEARCH(",",H519,1)),(H519&amp;","&amp;H519),H519)&amp;IF(ISBLANK(I519),"",IF(ISERROR(SEARCH(",",I519,1)),CONCATENATE(","&amp;I519&amp;","&amp;I519),CONCATENATE(","&amp;I519))&amp;IF(ISBLANK(J519),"",IF(ISERROR(SEARCH(",",J519,1)),CONCATENATE(","&amp;J519&amp;","&amp;J519),CONCATENATE(","&amp;J519))&amp;IF(ISBLANK(K519),"",IF(ISERROR(SEARCH(",",K519,1)),CONCATENATE(","&amp;K519&amp;","&amp;K519),CONCATENATE(","&amp;K519))))))&amp;")","")&amp;" "&amp;F519)</f>
        <v/>
      </c>
    </row>
    <row r="520">
      <c r="A520" s="1" t="n">
        <v>619</v>
      </c>
      <c r="B520" s="1">
        <f>A520</f>
        <v/>
      </c>
      <c r="C520" s="1" t="inlineStr">
        <is>
          <t>vM4sM4</t>
        </is>
      </c>
      <c r="D520" s="1" t="inlineStr">
        <is>
          <t>數值</t>
        </is>
      </c>
      <c r="E520" s="1" t="n">
        <v>2</v>
      </c>
      <c r="G520" s="1" t="inlineStr">
        <is>
          <t>range</t>
        </is>
      </c>
      <c r="H520" s="1" t="inlineStr">
        <is>
          <t>0,1</t>
        </is>
      </c>
      <c r="I520" s="1" t="inlineStr">
        <is>
          <t>96</t>
        </is>
      </c>
      <c r="L520" s="1">
        <f>CONCAT(IF(D520="數值",CONCATENATE(G520&amp;"("&amp;C520&amp;","&amp;IF(ISERROR(SEARCH(",",H520,1)),(H520&amp;","&amp;H520),H520)&amp;IF(ISBLANK(I520),"",IF(ISERROR(SEARCH(",",I520,1)),CONCATENATE(","&amp;I520&amp;","&amp;I520),CONCATENATE(","&amp;I520))&amp;IF(ISBLANK(J520),"",IF(ISERROR(SEARCH(",",J520,1)),CONCATENATE(","&amp;J520&amp;","&amp;J520),CONCATENATE(","&amp;J520))&amp;IF(ISBLANK(K520),"",IF(ISERROR(SEARCH(",",K520,1)),CONCATENATE(","&amp;K520&amp;","&amp;K520),CONCATENATE(","&amp;K520))))))&amp;")","")&amp;" "&amp;F520)</f>
        <v/>
      </c>
    </row>
    <row r="521">
      <c r="A521" s="1" t="n">
        <v>620</v>
      </c>
      <c r="B521" s="1">
        <f>A521</f>
        <v/>
      </c>
      <c r="C521" s="1" t="inlineStr">
        <is>
          <t>vM4sM5</t>
        </is>
      </c>
      <c r="D521" s="1" t="inlineStr">
        <is>
          <t>數值</t>
        </is>
      </c>
      <c r="E521" s="1" t="n">
        <v>2</v>
      </c>
      <c r="G521" s="1" t="inlineStr">
        <is>
          <t>range</t>
        </is>
      </c>
      <c r="H521" s="1" t="inlineStr">
        <is>
          <t>0,1</t>
        </is>
      </c>
      <c r="I521" s="1" t="inlineStr">
        <is>
          <t>96</t>
        </is>
      </c>
      <c r="L521" s="1">
        <f>CONCAT(IF(D521="數值",CONCATENATE(G521&amp;"("&amp;C521&amp;","&amp;IF(ISERROR(SEARCH(",",H521,1)),(H521&amp;","&amp;H521),H521)&amp;IF(ISBLANK(I521),"",IF(ISERROR(SEARCH(",",I521,1)),CONCATENATE(","&amp;I521&amp;","&amp;I521),CONCATENATE(","&amp;I521))&amp;IF(ISBLANK(J521),"",IF(ISERROR(SEARCH(",",J521,1)),CONCATENATE(","&amp;J521&amp;","&amp;J521),CONCATENATE(","&amp;J521))&amp;IF(ISBLANK(K521),"",IF(ISERROR(SEARCH(",",K521,1)),CONCATENATE(","&amp;K521&amp;","&amp;K521),CONCATENATE(","&amp;K521))))))&amp;")","")&amp;" "&amp;F521)</f>
        <v/>
      </c>
    </row>
    <row r="522">
      <c r="A522" s="1" t="n">
        <v>621</v>
      </c>
      <c r="B522" s="1">
        <f>A522</f>
        <v/>
      </c>
      <c r="C522" s="1" t="inlineStr">
        <is>
          <t>vM4sM6</t>
        </is>
      </c>
      <c r="D522" s="1" t="inlineStr">
        <is>
          <t>數值</t>
        </is>
      </c>
      <c r="E522" s="1" t="n">
        <v>2</v>
      </c>
      <c r="G522" s="1" t="inlineStr">
        <is>
          <t>range</t>
        </is>
      </c>
      <c r="H522" s="1" t="inlineStr">
        <is>
          <t>0,1</t>
        </is>
      </c>
      <c r="I522" s="1" t="inlineStr">
        <is>
          <t>96</t>
        </is>
      </c>
      <c r="L522" s="1">
        <f>CONCAT(IF(D522="數值",CONCATENATE(G522&amp;"("&amp;C522&amp;","&amp;IF(ISERROR(SEARCH(",",H522,1)),(H522&amp;","&amp;H522),H522)&amp;IF(ISBLANK(I522),"",IF(ISERROR(SEARCH(",",I522,1)),CONCATENATE(","&amp;I522&amp;","&amp;I522),CONCATENATE(","&amp;I522))&amp;IF(ISBLANK(J522),"",IF(ISERROR(SEARCH(",",J522,1)),CONCATENATE(","&amp;J522&amp;","&amp;J522),CONCATENATE(","&amp;J522))&amp;IF(ISBLANK(K522),"",IF(ISERROR(SEARCH(",",K522,1)),CONCATENATE(","&amp;K522&amp;","&amp;K522),CONCATENATE(","&amp;K522))))))&amp;")","")&amp;" "&amp;F522)</f>
        <v/>
      </c>
    </row>
    <row r="523">
      <c r="A523" s="1" t="n">
        <v>622</v>
      </c>
      <c r="B523" s="1">
        <f>A523</f>
        <v/>
      </c>
      <c r="C523" s="1" t="inlineStr">
        <is>
          <t>vN1sN1</t>
        </is>
      </c>
      <c r="D523" s="1" t="inlineStr">
        <is>
          <t>數值</t>
        </is>
      </c>
      <c r="E523" s="1" t="n">
        <v>2</v>
      </c>
      <c r="G523" s="1" t="inlineStr">
        <is>
          <t>range</t>
        </is>
      </c>
      <c r="H523" s="1" t="inlineStr">
        <is>
          <t>1,4</t>
        </is>
      </c>
      <c r="I523" s="1" t="inlineStr">
        <is>
          <t>97,98</t>
        </is>
      </c>
      <c r="J523" s="1" t="n"/>
      <c r="L523" s="1">
        <f>CONCAT(IF(D523="數值",CONCATENATE(G523&amp;"("&amp;C523&amp;","&amp;IF(ISERROR(SEARCH(",",H523,1)),(H523&amp;","&amp;H523),H523)&amp;IF(ISBLANK(I523),"",IF(ISERROR(SEARCH(",",I523,1)),CONCATENATE(","&amp;I523&amp;","&amp;I523),CONCATENATE(","&amp;I523))&amp;IF(ISBLANK(J523),"",IF(ISERROR(SEARCH(",",J523,1)),CONCATENATE(","&amp;J523&amp;","&amp;J523),CONCATENATE(","&amp;J523))&amp;IF(ISBLANK(K523),"",IF(ISERROR(SEARCH(",",K523,1)),CONCATENATE(","&amp;K523&amp;","&amp;K523),CONCATENATE(","&amp;K523))))))&amp;")","")&amp;" "&amp;F523)</f>
        <v/>
      </c>
    </row>
    <row r="524">
      <c r="A524" s="1" t="n">
        <v>623</v>
      </c>
      <c r="B524" s="1">
        <f>A524</f>
        <v/>
      </c>
      <c r="C524" s="1" t="inlineStr">
        <is>
          <t>vN1sN2</t>
        </is>
      </c>
      <c r="D524" s="1" t="inlineStr">
        <is>
          <t>數值</t>
        </is>
      </c>
      <c r="E524" s="1" t="n">
        <v>2</v>
      </c>
      <c r="G524" s="1" t="inlineStr">
        <is>
          <t>range</t>
        </is>
      </c>
      <c r="H524" s="1" t="inlineStr">
        <is>
          <t>1,4</t>
        </is>
      </c>
      <c r="I524" s="1" t="inlineStr">
        <is>
          <t>97,98</t>
        </is>
      </c>
      <c r="J524" s="1" t="n"/>
      <c r="L524" s="1">
        <f>CONCAT(IF(D524="數值",CONCATENATE(G524&amp;"("&amp;C524&amp;","&amp;IF(ISERROR(SEARCH(",",H524,1)),(H524&amp;","&amp;H524),H524)&amp;IF(ISBLANK(I524),"",IF(ISERROR(SEARCH(",",I524,1)),CONCATENATE(","&amp;I524&amp;","&amp;I524),CONCATENATE(","&amp;I524))&amp;IF(ISBLANK(J524),"",IF(ISERROR(SEARCH(",",J524,1)),CONCATENATE(","&amp;J524&amp;","&amp;J524),CONCATENATE(","&amp;J524))&amp;IF(ISBLANK(K524),"",IF(ISERROR(SEARCH(",",K524,1)),CONCATENATE(","&amp;K524&amp;","&amp;K524),CONCATENATE(","&amp;K524))))))&amp;")","")&amp;" "&amp;F524)</f>
        <v/>
      </c>
    </row>
    <row r="525">
      <c r="A525" s="1" t="n">
        <v>624</v>
      </c>
      <c r="B525" s="1">
        <f>A525</f>
        <v/>
      </c>
      <c r="C525" s="1" t="inlineStr">
        <is>
          <t>vN1sN3</t>
        </is>
      </c>
      <c r="D525" s="1" t="inlineStr">
        <is>
          <t>數值</t>
        </is>
      </c>
      <c r="E525" s="1" t="n">
        <v>2</v>
      </c>
      <c r="G525" s="1" t="inlineStr">
        <is>
          <t>range</t>
        </is>
      </c>
      <c r="H525" s="1" t="inlineStr">
        <is>
          <t>1,4</t>
        </is>
      </c>
      <c r="I525" s="1" t="inlineStr">
        <is>
          <t>97,98</t>
        </is>
      </c>
      <c r="J525" s="1" t="n"/>
      <c r="L525" s="1">
        <f>CONCAT(IF(D525="數值",CONCATENATE(G525&amp;"("&amp;C525&amp;","&amp;IF(ISERROR(SEARCH(",",H525,1)),(H525&amp;","&amp;H525),H525)&amp;IF(ISBLANK(I525),"",IF(ISERROR(SEARCH(",",I525,1)),CONCATENATE(","&amp;I525&amp;","&amp;I525),CONCATENATE(","&amp;I525))&amp;IF(ISBLANK(J525),"",IF(ISERROR(SEARCH(",",J525,1)),CONCATENATE(","&amp;J525&amp;","&amp;J525),CONCATENATE(","&amp;J525))&amp;IF(ISBLANK(K525),"",IF(ISERROR(SEARCH(",",K525,1)),CONCATENATE(","&amp;K525&amp;","&amp;K525),CONCATENATE(","&amp;K525))))))&amp;")","")&amp;" "&amp;F525)</f>
        <v/>
      </c>
    </row>
    <row r="526">
      <c r="A526" s="1" t="n">
        <v>625</v>
      </c>
      <c r="B526" s="1">
        <f>A526</f>
        <v/>
      </c>
      <c r="C526" s="1" t="inlineStr">
        <is>
          <t>vN1sN4</t>
        </is>
      </c>
      <c r="D526" s="1" t="inlineStr">
        <is>
          <t>數值</t>
        </is>
      </c>
      <c r="E526" s="1" t="n">
        <v>2</v>
      </c>
      <c r="G526" s="1" t="inlineStr">
        <is>
          <t>range</t>
        </is>
      </c>
      <c r="H526" s="1" t="inlineStr">
        <is>
          <t>1,4</t>
        </is>
      </c>
      <c r="I526" s="1" t="inlineStr">
        <is>
          <t>97,98</t>
        </is>
      </c>
      <c r="J526" s="1" t="n"/>
      <c r="L526" s="1">
        <f>CONCAT(IF(D526="數值",CONCATENATE(G526&amp;"("&amp;C526&amp;","&amp;IF(ISERROR(SEARCH(",",H526,1)),(H526&amp;","&amp;H526),H526)&amp;IF(ISBLANK(I526),"",IF(ISERROR(SEARCH(",",I526,1)),CONCATENATE(","&amp;I526&amp;","&amp;I526),CONCATENATE(","&amp;I526))&amp;IF(ISBLANK(J526),"",IF(ISERROR(SEARCH(",",J526,1)),CONCATENATE(","&amp;J526&amp;","&amp;J526),CONCATENATE(","&amp;J526))&amp;IF(ISBLANK(K526),"",IF(ISERROR(SEARCH(",",K526,1)),CONCATENATE(","&amp;K526&amp;","&amp;K526),CONCATENATE(","&amp;K526))))))&amp;")","")&amp;" "&amp;F526)</f>
        <v/>
      </c>
    </row>
    <row r="527">
      <c r="A527" s="1" t="n">
        <v>626</v>
      </c>
      <c r="B527" s="1">
        <f>A527</f>
        <v/>
      </c>
      <c r="C527" s="1" t="inlineStr">
        <is>
          <t>vN1sN5</t>
        </is>
      </c>
      <c r="D527" s="1" t="inlineStr">
        <is>
          <t>數值</t>
        </is>
      </c>
      <c r="E527" s="1" t="n">
        <v>2</v>
      </c>
      <c r="G527" s="1" t="inlineStr">
        <is>
          <t>range</t>
        </is>
      </c>
      <c r="H527" s="1" t="inlineStr">
        <is>
          <t>1,4</t>
        </is>
      </c>
      <c r="I527" s="1" t="inlineStr">
        <is>
          <t>97,98</t>
        </is>
      </c>
      <c r="J527" s="1" t="n"/>
      <c r="L527" s="1">
        <f>CONCAT(IF(D527="數值",CONCATENATE(G527&amp;"("&amp;C527&amp;","&amp;IF(ISERROR(SEARCH(",",H527,1)),(H527&amp;","&amp;H527),H527)&amp;IF(ISBLANK(I527),"",IF(ISERROR(SEARCH(",",I527,1)),CONCATENATE(","&amp;I527&amp;","&amp;I527),CONCATENATE(","&amp;I527))&amp;IF(ISBLANK(J527),"",IF(ISERROR(SEARCH(",",J527,1)),CONCATENATE(","&amp;J527&amp;","&amp;J527),CONCATENATE(","&amp;J527))&amp;IF(ISBLANK(K527),"",IF(ISERROR(SEARCH(",",K527,1)),CONCATENATE(","&amp;K527&amp;","&amp;K527),CONCATENATE(","&amp;K527))))))&amp;")","")&amp;" "&amp;F527)</f>
        <v/>
      </c>
    </row>
    <row r="528">
      <c r="A528" s="1" t="n">
        <v>627</v>
      </c>
      <c r="B528" s="1">
        <f>A528</f>
        <v/>
      </c>
      <c r="C528" s="1" t="inlineStr">
        <is>
          <t>vN6sN6</t>
        </is>
      </c>
      <c r="D528" s="1" t="inlineStr">
        <is>
          <t>數值</t>
        </is>
      </c>
      <c r="E528" s="1" t="n">
        <v>2</v>
      </c>
      <c r="G528" s="1" t="inlineStr">
        <is>
          <t>range</t>
        </is>
      </c>
      <c r="H528" s="1" t="inlineStr">
        <is>
          <t>1,4</t>
        </is>
      </c>
      <c r="I528" s="1" t="inlineStr">
        <is>
          <t>97,98</t>
        </is>
      </c>
      <c r="J528" s="1" t="n"/>
      <c r="L528" s="1">
        <f>CONCAT(IF(D528="數值",CONCATENATE(G528&amp;"("&amp;C528&amp;","&amp;IF(ISERROR(SEARCH(",",H528,1)),(H528&amp;","&amp;H528),H528)&amp;IF(ISBLANK(I528),"",IF(ISERROR(SEARCH(",",I528,1)),CONCATENATE(","&amp;I528&amp;","&amp;I528),CONCATENATE(","&amp;I528))&amp;IF(ISBLANK(J528),"",IF(ISERROR(SEARCH(",",J528,1)),CONCATENATE(","&amp;J528&amp;","&amp;J528),CONCATENATE(","&amp;J528))&amp;IF(ISBLANK(K528),"",IF(ISERROR(SEARCH(",",K528,1)),CONCATENATE(","&amp;K528&amp;","&amp;K528),CONCATENATE(","&amp;K528))))))&amp;")","")&amp;" "&amp;F528)</f>
        <v/>
      </c>
    </row>
    <row r="529">
      <c r="A529" s="1" t="n">
        <v>628</v>
      </c>
      <c r="B529" s="1">
        <f>A529</f>
        <v/>
      </c>
      <c r="C529" s="1" t="inlineStr">
        <is>
          <t>vN6sN7</t>
        </is>
      </c>
      <c r="D529" s="1" t="inlineStr">
        <is>
          <t>數值</t>
        </is>
      </c>
      <c r="E529" s="1" t="n">
        <v>2</v>
      </c>
      <c r="G529" s="1" t="inlineStr">
        <is>
          <t>range</t>
        </is>
      </c>
      <c r="H529" s="1" t="inlineStr">
        <is>
          <t>1,4</t>
        </is>
      </c>
      <c r="I529" s="1" t="inlineStr">
        <is>
          <t>97,98</t>
        </is>
      </c>
      <c r="J529" s="1" t="n"/>
      <c r="L529" s="1">
        <f>CONCAT(IF(D529="數值",CONCATENATE(G529&amp;"("&amp;C529&amp;","&amp;IF(ISERROR(SEARCH(",",H529,1)),(H529&amp;","&amp;H529),H529)&amp;IF(ISBLANK(I529),"",IF(ISERROR(SEARCH(",",I529,1)),CONCATENATE(","&amp;I529&amp;","&amp;I529),CONCATENATE(","&amp;I529))&amp;IF(ISBLANK(J529),"",IF(ISERROR(SEARCH(",",J529,1)),CONCATENATE(","&amp;J529&amp;","&amp;J529),CONCATENATE(","&amp;J529))&amp;IF(ISBLANK(K529),"",IF(ISERROR(SEARCH(",",K529,1)),CONCATENATE(","&amp;K529&amp;","&amp;K529),CONCATENATE(","&amp;K529))))))&amp;")","")&amp;" "&amp;F529)</f>
        <v/>
      </c>
    </row>
    <row r="530">
      <c r="A530" s="1" t="n">
        <v>629</v>
      </c>
      <c r="B530" s="1">
        <f>A530</f>
        <v/>
      </c>
      <c r="C530" s="1" t="inlineStr">
        <is>
          <t>vN6sN8</t>
        </is>
      </c>
      <c r="D530" s="1" t="inlineStr">
        <is>
          <t>數值</t>
        </is>
      </c>
      <c r="E530" s="1" t="n">
        <v>2</v>
      </c>
      <c r="G530" s="1" t="inlineStr">
        <is>
          <t>range</t>
        </is>
      </c>
      <c r="H530" s="1" t="inlineStr">
        <is>
          <t>1,4</t>
        </is>
      </c>
      <c r="I530" s="1" t="inlineStr">
        <is>
          <t>97,98</t>
        </is>
      </c>
      <c r="J530" s="1" t="n"/>
      <c r="L530" s="1">
        <f>CONCAT(IF(D530="數值",CONCATENATE(G530&amp;"("&amp;C530&amp;","&amp;IF(ISERROR(SEARCH(",",H530,1)),(H530&amp;","&amp;H530),H530)&amp;IF(ISBLANK(I530),"",IF(ISERROR(SEARCH(",",I530,1)),CONCATENATE(","&amp;I530&amp;","&amp;I530),CONCATENATE(","&amp;I530))&amp;IF(ISBLANK(J530),"",IF(ISERROR(SEARCH(",",J530,1)),CONCATENATE(","&amp;J530&amp;","&amp;J530),CONCATENATE(","&amp;J530))&amp;IF(ISBLANK(K530),"",IF(ISERROR(SEARCH(",",K530,1)),CONCATENATE(","&amp;K530&amp;","&amp;K530),CONCATENATE(","&amp;K530))))))&amp;")","")&amp;" "&amp;F530)</f>
        <v/>
      </c>
    </row>
    <row r="531">
      <c r="A531" s="1" t="n">
        <v>630</v>
      </c>
      <c r="B531" s="1">
        <f>A531</f>
        <v/>
      </c>
      <c r="C531" s="1" t="inlineStr">
        <is>
          <t>vN6sN9</t>
        </is>
      </c>
      <c r="D531" s="1" t="inlineStr">
        <is>
          <t>數值</t>
        </is>
      </c>
      <c r="E531" s="1" t="n">
        <v>2</v>
      </c>
      <c r="G531" s="1" t="inlineStr">
        <is>
          <t>range</t>
        </is>
      </c>
      <c r="H531" s="1" t="inlineStr">
        <is>
          <t>1,4</t>
        </is>
      </c>
      <c r="I531" s="1" t="inlineStr">
        <is>
          <t>97,98</t>
        </is>
      </c>
      <c r="J531" s="1" t="n"/>
      <c r="L531" s="1">
        <f>CONCAT(IF(D531="數值",CONCATENATE(G531&amp;"("&amp;C531&amp;","&amp;IF(ISERROR(SEARCH(",",H531,1)),(H531&amp;","&amp;H531),H531)&amp;IF(ISBLANK(I531),"",IF(ISERROR(SEARCH(",",I531,1)),CONCATENATE(","&amp;I531&amp;","&amp;I531),CONCATENATE(","&amp;I531))&amp;IF(ISBLANK(J531),"",IF(ISERROR(SEARCH(",",J531,1)),CONCATENATE(","&amp;J531&amp;","&amp;J531),CONCATENATE(","&amp;J531))&amp;IF(ISBLANK(K531),"",IF(ISERROR(SEARCH(",",K531,1)),CONCATENATE(","&amp;K531&amp;","&amp;K531),CONCATENATE(","&amp;K531))))))&amp;")","")&amp;" "&amp;F531)</f>
        <v/>
      </c>
    </row>
    <row r="532">
      <c r="A532" s="1" t="n">
        <v>631</v>
      </c>
      <c r="B532" s="1">
        <f>A532</f>
        <v/>
      </c>
      <c r="C532" s="1" t="inlineStr">
        <is>
          <t>vN6sN10</t>
        </is>
      </c>
      <c r="D532" s="1" t="inlineStr">
        <is>
          <t>數值</t>
        </is>
      </c>
      <c r="E532" s="1" t="n">
        <v>2</v>
      </c>
      <c r="G532" s="1" t="inlineStr">
        <is>
          <t>range</t>
        </is>
      </c>
      <c r="H532" s="1" t="inlineStr">
        <is>
          <t>1,4</t>
        </is>
      </c>
      <c r="I532" s="1" t="inlineStr">
        <is>
          <t>97,98</t>
        </is>
      </c>
      <c r="J532" s="1" t="n"/>
      <c r="L532" s="1">
        <f>CONCAT(IF(D532="數值",CONCATENATE(G532&amp;"("&amp;C532&amp;","&amp;IF(ISERROR(SEARCH(",",H532,1)),(H532&amp;","&amp;H532),H532)&amp;IF(ISBLANK(I532),"",IF(ISERROR(SEARCH(",",I532,1)),CONCATENATE(","&amp;I532&amp;","&amp;I532),CONCATENATE(","&amp;I532))&amp;IF(ISBLANK(J532),"",IF(ISERROR(SEARCH(",",J532,1)),CONCATENATE(","&amp;J532&amp;","&amp;J532),CONCATENATE(","&amp;J532))&amp;IF(ISBLANK(K532),"",IF(ISERROR(SEARCH(",",K532,1)),CONCATENATE(","&amp;K532&amp;","&amp;K532),CONCATENATE(","&amp;K532))))))&amp;")","")&amp;" "&amp;F532)</f>
        <v/>
      </c>
    </row>
    <row r="533">
      <c r="A533" s="1" t="n">
        <v>632</v>
      </c>
      <c r="B533" s="1">
        <f>A533</f>
        <v/>
      </c>
      <c r="C533" s="1" t="inlineStr">
        <is>
          <t>vN11sN11</t>
        </is>
      </c>
      <c r="D533" s="1" t="inlineStr">
        <is>
          <t>數值</t>
        </is>
      </c>
      <c r="E533" s="1" t="n">
        <v>2</v>
      </c>
      <c r="G533" s="1" t="inlineStr">
        <is>
          <t>range</t>
        </is>
      </c>
      <c r="H533" s="1" t="inlineStr">
        <is>
          <t>1,5</t>
        </is>
      </c>
      <c r="I533" s="1" t="inlineStr">
        <is>
          <t>97,98</t>
        </is>
      </c>
      <c r="J533" s="1" t="n"/>
      <c r="L533" s="1">
        <f>CONCAT(IF(D533="數值",CONCATENATE(G533&amp;"("&amp;C533&amp;","&amp;IF(ISERROR(SEARCH(",",H533,1)),(H533&amp;","&amp;H533),H533)&amp;IF(ISBLANK(I533),"",IF(ISERROR(SEARCH(",",I533,1)),CONCATENATE(","&amp;I533&amp;","&amp;I533),CONCATENATE(","&amp;I533))&amp;IF(ISBLANK(J533),"",IF(ISERROR(SEARCH(",",J533,1)),CONCATENATE(","&amp;J533&amp;","&amp;J533),CONCATENATE(","&amp;J533))&amp;IF(ISBLANK(K533),"",IF(ISERROR(SEARCH(",",K533,1)),CONCATENATE(","&amp;K533&amp;","&amp;K533),CONCATENATE(","&amp;K533))))))&amp;")","")&amp;" "&amp;F533)</f>
        <v/>
      </c>
    </row>
    <row r="534">
      <c r="A534" s="1" t="n">
        <v>633</v>
      </c>
      <c r="B534" s="1">
        <f>A534</f>
        <v/>
      </c>
      <c r="C534" s="1" t="inlineStr">
        <is>
          <t>vN11sN12</t>
        </is>
      </c>
      <c r="D534" s="1" t="inlineStr">
        <is>
          <t>數值</t>
        </is>
      </c>
      <c r="E534" s="1" t="n">
        <v>2</v>
      </c>
      <c r="G534" s="1" t="inlineStr">
        <is>
          <t>range</t>
        </is>
      </c>
      <c r="H534" s="1" t="inlineStr">
        <is>
          <t>1,5</t>
        </is>
      </c>
      <c r="I534" s="1" t="inlineStr">
        <is>
          <t>97,98</t>
        </is>
      </c>
      <c r="J534" s="1" t="n"/>
      <c r="L534" s="1">
        <f>CONCAT(IF(D534="數值",CONCATENATE(G534&amp;"("&amp;C534&amp;","&amp;IF(ISERROR(SEARCH(",",H534,1)),(H534&amp;","&amp;H534),H534)&amp;IF(ISBLANK(I534),"",IF(ISERROR(SEARCH(",",I534,1)),CONCATENATE(","&amp;I534&amp;","&amp;I534),CONCATENATE(","&amp;I534))&amp;IF(ISBLANK(J534),"",IF(ISERROR(SEARCH(",",J534,1)),CONCATENATE(","&amp;J534&amp;","&amp;J534),CONCATENATE(","&amp;J534))&amp;IF(ISBLANK(K534),"",IF(ISERROR(SEARCH(",",K534,1)),CONCATENATE(","&amp;K534&amp;","&amp;K534),CONCATENATE(","&amp;K534))))))&amp;")","")&amp;" "&amp;F534)</f>
        <v/>
      </c>
    </row>
    <row r="535">
      <c r="A535" s="1" t="n">
        <v>634</v>
      </c>
      <c r="B535" s="1">
        <f>A535</f>
        <v/>
      </c>
      <c r="C535" s="1" t="inlineStr">
        <is>
          <t>vN11sN13</t>
        </is>
      </c>
      <c r="D535" s="1" t="inlineStr">
        <is>
          <t>數值</t>
        </is>
      </c>
      <c r="E535" s="1" t="n">
        <v>2</v>
      </c>
      <c r="G535" s="1" t="inlineStr">
        <is>
          <t>range</t>
        </is>
      </c>
      <c r="H535" s="1" t="inlineStr">
        <is>
          <t>1,5</t>
        </is>
      </c>
      <c r="I535" s="1" t="inlineStr">
        <is>
          <t>97,98</t>
        </is>
      </c>
      <c r="J535" s="1" t="n"/>
      <c r="L535" s="1">
        <f>CONCAT(IF(D535="數值",CONCATENATE(G535&amp;"("&amp;C535&amp;","&amp;IF(ISERROR(SEARCH(",",H535,1)),(H535&amp;","&amp;H535),H535)&amp;IF(ISBLANK(I535),"",IF(ISERROR(SEARCH(",",I535,1)),CONCATENATE(","&amp;I535&amp;","&amp;I535),CONCATENATE(","&amp;I535))&amp;IF(ISBLANK(J535),"",IF(ISERROR(SEARCH(",",J535,1)),CONCATENATE(","&amp;J535&amp;","&amp;J535),CONCATENATE(","&amp;J535))&amp;IF(ISBLANK(K535),"",IF(ISERROR(SEARCH(",",K535,1)),CONCATENATE(","&amp;K535&amp;","&amp;K535),CONCATENATE(","&amp;K535))))))&amp;")","")&amp;" "&amp;F535)</f>
        <v/>
      </c>
    </row>
    <row r="536">
      <c r="A536" s="1" t="n">
        <v>635</v>
      </c>
      <c r="B536" s="1">
        <f>A536</f>
        <v/>
      </c>
      <c r="C536" s="1" t="inlineStr">
        <is>
          <t>vN11sN14</t>
        </is>
      </c>
      <c r="D536" s="1" t="inlineStr">
        <is>
          <t>數值</t>
        </is>
      </c>
      <c r="E536" s="1" t="n">
        <v>2</v>
      </c>
      <c r="G536" s="1" t="inlineStr">
        <is>
          <t>range</t>
        </is>
      </c>
      <c r="H536" s="1" t="inlineStr">
        <is>
          <t>1,5</t>
        </is>
      </c>
      <c r="I536" s="1" t="inlineStr">
        <is>
          <t>97,98</t>
        </is>
      </c>
      <c r="J536" s="1" t="n"/>
      <c r="L536" s="1">
        <f>CONCAT(IF(D536="數值",CONCATENATE(G536&amp;"("&amp;C536&amp;","&amp;IF(ISERROR(SEARCH(",",H536,1)),(H536&amp;","&amp;H536),H536)&amp;IF(ISBLANK(I536),"",IF(ISERROR(SEARCH(",",I536,1)),CONCATENATE(","&amp;I536&amp;","&amp;I536),CONCATENATE(","&amp;I536))&amp;IF(ISBLANK(J536),"",IF(ISERROR(SEARCH(",",J536,1)),CONCATENATE(","&amp;J536&amp;","&amp;J536),CONCATENATE(","&amp;J536))&amp;IF(ISBLANK(K536),"",IF(ISERROR(SEARCH(",",K536,1)),CONCATENATE(","&amp;K536&amp;","&amp;K536),CONCATENATE(","&amp;K536))))))&amp;")","")&amp;" "&amp;F536)</f>
        <v/>
      </c>
    </row>
    <row r="537">
      <c r="A537" s="1" t="n">
        <v>636</v>
      </c>
      <c r="B537" s="1">
        <f>A537</f>
        <v/>
      </c>
      <c r="C537" s="1" t="inlineStr">
        <is>
          <t>vN11sN15</t>
        </is>
      </c>
      <c r="D537" s="1" t="inlineStr">
        <is>
          <t>數值</t>
        </is>
      </c>
      <c r="E537" s="1" t="n">
        <v>2</v>
      </c>
      <c r="G537" s="1" t="inlineStr">
        <is>
          <t>range</t>
        </is>
      </c>
      <c r="H537" s="1" t="inlineStr">
        <is>
          <t>1,5</t>
        </is>
      </c>
      <c r="I537" s="1" t="inlineStr">
        <is>
          <t>97,98</t>
        </is>
      </c>
      <c r="J537" s="1" t="n"/>
      <c r="L537" s="1">
        <f>CONCAT(IF(D537="數值",CONCATENATE(G537&amp;"("&amp;C537&amp;","&amp;IF(ISERROR(SEARCH(",",H537,1)),(H537&amp;","&amp;H537),H537)&amp;IF(ISBLANK(I537),"",IF(ISERROR(SEARCH(",",I537,1)),CONCATENATE(","&amp;I537&amp;","&amp;I537),CONCATENATE(","&amp;I537))&amp;IF(ISBLANK(J537),"",IF(ISERROR(SEARCH(",",J537,1)),CONCATENATE(","&amp;J537&amp;","&amp;J537),CONCATENATE(","&amp;J537))&amp;IF(ISBLANK(K537),"",IF(ISERROR(SEARCH(",",K537,1)),CONCATENATE(","&amp;K537&amp;","&amp;K537),CONCATENATE(","&amp;K537))))))&amp;")","")&amp;" "&amp;F537)</f>
        <v/>
      </c>
    </row>
    <row r="538">
      <c r="A538" s="1" t="n">
        <v>637</v>
      </c>
      <c r="B538" s="1">
        <f>A538</f>
        <v/>
      </c>
      <c r="C538" s="1" t="inlineStr">
        <is>
          <t>vN11sN16</t>
        </is>
      </c>
      <c r="D538" s="1" t="inlineStr">
        <is>
          <t>數值</t>
        </is>
      </c>
      <c r="E538" s="1" t="n">
        <v>2</v>
      </c>
      <c r="G538" s="1" t="inlineStr">
        <is>
          <t>range</t>
        </is>
      </c>
      <c r="H538" s="1" t="inlineStr">
        <is>
          <t>1,5</t>
        </is>
      </c>
      <c r="I538" s="1" t="inlineStr">
        <is>
          <t>97,98</t>
        </is>
      </c>
      <c r="J538" s="1" t="n"/>
      <c r="L538" s="1">
        <f>CONCAT(IF(D538="數值",CONCATENATE(G538&amp;"("&amp;C538&amp;","&amp;IF(ISERROR(SEARCH(",",H538,1)),(H538&amp;","&amp;H538),H538)&amp;IF(ISBLANK(I538),"",IF(ISERROR(SEARCH(",",I538,1)),CONCATENATE(","&amp;I538&amp;","&amp;I538),CONCATENATE(","&amp;I538))&amp;IF(ISBLANK(J538),"",IF(ISERROR(SEARCH(",",J538,1)),CONCATENATE(","&amp;J538&amp;","&amp;J538),CONCATENATE(","&amp;J538))&amp;IF(ISBLANK(K538),"",IF(ISERROR(SEARCH(",",K538,1)),CONCATENATE(","&amp;K538&amp;","&amp;K538),CONCATENATE(","&amp;K538))))))&amp;")","")&amp;" "&amp;F538)</f>
        <v/>
      </c>
    </row>
    <row r="539">
      <c r="A539" s="1" t="n">
        <v>638</v>
      </c>
      <c r="B539" s="1">
        <f>A539</f>
        <v/>
      </c>
      <c r="C539" s="1" t="inlineStr">
        <is>
          <t>vN17</t>
        </is>
      </c>
      <c r="D539" s="1" t="inlineStr">
        <is>
          <t>數值</t>
        </is>
      </c>
      <c r="E539" s="1" t="n">
        <v>2</v>
      </c>
      <c r="G539" s="1" t="inlineStr">
        <is>
          <t>range</t>
        </is>
      </c>
      <c r="H539" s="1" t="inlineStr">
        <is>
          <t>1,5</t>
        </is>
      </c>
      <c r="I539" s="1" t="inlineStr">
        <is>
          <t>90</t>
        </is>
      </c>
      <c r="J539" s="1" t="inlineStr">
        <is>
          <t>97,98</t>
        </is>
      </c>
      <c r="K539" s="1" t="n"/>
      <c r="L539" s="1">
        <f>CONCAT(IF(D539="數值",CONCATENATE(G539&amp;"("&amp;C539&amp;","&amp;IF(ISERROR(SEARCH(",",H539,1)),(H539&amp;","&amp;H539),H539)&amp;IF(ISBLANK(I539),"",IF(ISERROR(SEARCH(",",I539,1)),CONCATENATE(","&amp;I539&amp;","&amp;I539),CONCATENATE(","&amp;I539))&amp;IF(ISBLANK(J539),"",IF(ISERROR(SEARCH(",",J539,1)),CONCATENATE(","&amp;J539&amp;","&amp;J539),CONCATENATE(","&amp;J539))&amp;IF(ISBLANK(K539),"",IF(ISERROR(SEARCH(",",K539,1)),CONCATENATE(","&amp;K539&amp;","&amp;K539),CONCATENATE(","&amp;K539))))))&amp;")","")&amp;" "&amp;F539)</f>
        <v/>
      </c>
    </row>
    <row r="540">
      <c r="A540" s="1" t="n">
        <v>639</v>
      </c>
      <c r="B540" s="1">
        <f>A540</f>
        <v/>
      </c>
      <c r="C540" s="1" t="inlineStr">
        <is>
          <t>vN18sN18</t>
        </is>
      </c>
      <c r="D540" s="1" t="inlineStr">
        <is>
          <t>數值</t>
        </is>
      </c>
      <c r="E540" s="1" t="n">
        <v>2</v>
      </c>
      <c r="G540" s="1" t="inlineStr">
        <is>
          <t>range</t>
        </is>
      </c>
      <c r="H540" s="1" t="inlineStr">
        <is>
          <t>1,5</t>
        </is>
      </c>
      <c r="I540" s="1" t="inlineStr">
        <is>
          <t>97,98</t>
        </is>
      </c>
      <c r="J540" s="1" t="n"/>
      <c r="L540" s="1">
        <f>CONCAT(IF(D540="數值",CONCATENATE(G540&amp;"("&amp;C540&amp;","&amp;IF(ISERROR(SEARCH(",",H540,1)),(H540&amp;","&amp;H540),H540)&amp;IF(ISBLANK(I540),"",IF(ISERROR(SEARCH(",",I540,1)),CONCATENATE(","&amp;I540&amp;","&amp;I540),CONCATENATE(","&amp;I540))&amp;IF(ISBLANK(J540),"",IF(ISERROR(SEARCH(",",J540,1)),CONCATENATE(","&amp;J540&amp;","&amp;J540),CONCATENATE(","&amp;J540))&amp;IF(ISBLANK(K540),"",IF(ISERROR(SEARCH(",",K540,1)),CONCATENATE(","&amp;K540&amp;","&amp;K540),CONCATENATE(","&amp;K540))))))&amp;")","")&amp;" "&amp;F540)</f>
        <v/>
      </c>
    </row>
    <row r="541">
      <c r="A541" s="1" t="n">
        <v>640</v>
      </c>
      <c r="B541" s="1">
        <f>A541</f>
        <v/>
      </c>
      <c r="C541" s="1" t="inlineStr">
        <is>
          <t>vN18sN19</t>
        </is>
      </c>
      <c r="D541" s="1" t="inlineStr">
        <is>
          <t>數值</t>
        </is>
      </c>
      <c r="E541" s="1" t="n">
        <v>2</v>
      </c>
      <c r="G541" s="1" t="inlineStr">
        <is>
          <t>range</t>
        </is>
      </c>
      <c r="H541" s="1" t="inlineStr">
        <is>
          <t>1,5</t>
        </is>
      </c>
      <c r="I541" s="1" t="inlineStr">
        <is>
          <t>97,98</t>
        </is>
      </c>
      <c r="J541" s="1" t="n"/>
      <c r="L541" s="1">
        <f>CONCAT(IF(D541="數值",CONCATENATE(G541&amp;"("&amp;C541&amp;","&amp;IF(ISERROR(SEARCH(",",H541,1)),(H541&amp;","&amp;H541),H541)&amp;IF(ISBLANK(I541),"",IF(ISERROR(SEARCH(",",I541,1)),CONCATENATE(","&amp;I541&amp;","&amp;I541),CONCATENATE(","&amp;I541))&amp;IF(ISBLANK(J541),"",IF(ISERROR(SEARCH(",",J541,1)),CONCATENATE(","&amp;J541&amp;","&amp;J541),CONCATENATE(","&amp;J541))&amp;IF(ISBLANK(K541),"",IF(ISERROR(SEARCH(",",K541,1)),CONCATENATE(","&amp;K541&amp;","&amp;K541),CONCATENATE(","&amp;K541))))))&amp;")","")&amp;" "&amp;F541)</f>
        <v/>
      </c>
    </row>
    <row r="542">
      <c r="A542" s="1" t="n">
        <v>641</v>
      </c>
      <c r="B542" s="1">
        <f>A542</f>
        <v/>
      </c>
      <c r="C542" s="1" t="inlineStr">
        <is>
          <t>vN18sN20</t>
        </is>
      </c>
      <c r="D542" s="1" t="inlineStr">
        <is>
          <t>數值</t>
        </is>
      </c>
      <c r="E542" s="1" t="n">
        <v>2</v>
      </c>
      <c r="G542" s="1" t="inlineStr">
        <is>
          <t>range</t>
        </is>
      </c>
      <c r="H542" s="1" t="inlineStr">
        <is>
          <t>1,5</t>
        </is>
      </c>
      <c r="I542" s="1" t="inlineStr">
        <is>
          <t>97,98</t>
        </is>
      </c>
      <c r="J542" s="1" t="n"/>
      <c r="L542" s="1">
        <f>CONCAT(IF(D542="數值",CONCATENATE(G542&amp;"("&amp;C542&amp;","&amp;IF(ISERROR(SEARCH(",",H542,1)),(H542&amp;","&amp;H542),H542)&amp;IF(ISBLANK(I542),"",IF(ISERROR(SEARCH(",",I542,1)),CONCATENATE(","&amp;I542&amp;","&amp;I542),CONCATENATE(","&amp;I542))&amp;IF(ISBLANK(J542),"",IF(ISERROR(SEARCH(",",J542,1)),CONCATENATE(","&amp;J542&amp;","&amp;J542),CONCATENATE(","&amp;J542))&amp;IF(ISBLANK(K542),"",IF(ISERROR(SEARCH(",",K542,1)),CONCATENATE(","&amp;K542&amp;","&amp;K542),CONCATENATE(","&amp;K542))))))&amp;")","")&amp;" "&amp;F542)</f>
        <v/>
      </c>
    </row>
    <row r="543">
      <c r="A543" s="1" t="n">
        <v>642</v>
      </c>
      <c r="B543" s="1">
        <f>A543</f>
        <v/>
      </c>
      <c r="C543" s="1" t="inlineStr">
        <is>
          <t>vN21sN21</t>
        </is>
      </c>
      <c r="D543" s="1" t="inlineStr">
        <is>
          <t>數值</t>
        </is>
      </c>
      <c r="E543" s="1" t="n">
        <v>2</v>
      </c>
      <c r="G543" s="1" t="inlineStr">
        <is>
          <t>range</t>
        </is>
      </c>
      <c r="H543" s="1" t="inlineStr">
        <is>
          <t>1,5</t>
        </is>
      </c>
      <c r="I543" s="1" t="inlineStr">
        <is>
          <t>97,98</t>
        </is>
      </c>
      <c r="J543" s="1" t="n"/>
      <c r="L543" s="1">
        <f>CONCAT(IF(D543="數值",CONCATENATE(G543&amp;"("&amp;C543&amp;","&amp;IF(ISERROR(SEARCH(",",H543,1)),(H543&amp;","&amp;H543),H543)&amp;IF(ISBLANK(I543),"",IF(ISERROR(SEARCH(",",I543,1)),CONCATENATE(","&amp;I543&amp;","&amp;I543),CONCATENATE(","&amp;I543))&amp;IF(ISBLANK(J543),"",IF(ISERROR(SEARCH(",",J543,1)),CONCATENATE(","&amp;J543&amp;","&amp;J543),CONCATENATE(","&amp;J543))&amp;IF(ISBLANK(K543),"",IF(ISERROR(SEARCH(",",K543,1)),CONCATENATE(","&amp;K543&amp;","&amp;K543),CONCATENATE(","&amp;K543))))))&amp;")","")&amp;" "&amp;F543)</f>
        <v/>
      </c>
    </row>
    <row r="544">
      <c r="A544" s="1" t="n">
        <v>643</v>
      </c>
      <c r="B544" s="1">
        <f>A544</f>
        <v/>
      </c>
      <c r="C544" s="1" t="inlineStr">
        <is>
          <t>vN21sN22</t>
        </is>
      </c>
      <c r="D544" s="1" t="inlineStr">
        <is>
          <t>數值</t>
        </is>
      </c>
      <c r="E544" s="1" t="n">
        <v>2</v>
      </c>
      <c r="G544" s="1" t="inlineStr">
        <is>
          <t>range</t>
        </is>
      </c>
      <c r="H544" s="1" t="inlineStr">
        <is>
          <t>1,5</t>
        </is>
      </c>
      <c r="I544" s="1" t="inlineStr">
        <is>
          <t>97,98</t>
        </is>
      </c>
      <c r="J544" s="1" t="n"/>
      <c r="L544" s="1">
        <f>CONCAT(IF(D544="數值",CONCATENATE(G544&amp;"("&amp;C544&amp;","&amp;IF(ISERROR(SEARCH(",",H544,1)),(H544&amp;","&amp;H544),H544)&amp;IF(ISBLANK(I544),"",IF(ISERROR(SEARCH(",",I544,1)),CONCATENATE(","&amp;I544&amp;","&amp;I544),CONCATENATE(","&amp;I544))&amp;IF(ISBLANK(J544),"",IF(ISERROR(SEARCH(",",J544,1)),CONCATENATE(","&amp;J544&amp;","&amp;J544),CONCATENATE(","&amp;J544))&amp;IF(ISBLANK(K544),"",IF(ISERROR(SEARCH(",",K544,1)),CONCATENATE(","&amp;K544&amp;","&amp;K544),CONCATENATE(","&amp;K544))))))&amp;")","")&amp;" "&amp;F544)</f>
        <v/>
      </c>
    </row>
    <row r="545">
      <c r="A545" s="1" t="n">
        <v>644</v>
      </c>
      <c r="B545" s="1">
        <f>A545</f>
        <v/>
      </c>
      <c r="C545" s="1" t="inlineStr">
        <is>
          <t>vN23</t>
        </is>
      </c>
      <c r="D545" s="1" t="inlineStr">
        <is>
          <t>數值</t>
        </is>
      </c>
      <c r="E545" s="1" t="n">
        <v>2</v>
      </c>
      <c r="G545" s="1" t="inlineStr">
        <is>
          <t>range</t>
        </is>
      </c>
      <c r="H545" s="1" t="inlineStr">
        <is>
          <t>1,5</t>
        </is>
      </c>
      <c r="I545" s="1" t="inlineStr">
        <is>
          <t>97,98</t>
        </is>
      </c>
      <c r="J545" s="1" t="n"/>
      <c r="L545" s="1">
        <f>CONCAT(IF(D545="數值",CONCATENATE(G545&amp;"("&amp;C545&amp;","&amp;IF(ISERROR(SEARCH(",",H545,1)),(H545&amp;","&amp;H545),H545)&amp;IF(ISBLANK(I545),"",IF(ISERROR(SEARCH(",",I545,1)),CONCATENATE(","&amp;I545&amp;","&amp;I545),CONCATENATE(","&amp;I545))&amp;IF(ISBLANK(J545),"",IF(ISERROR(SEARCH(",",J545,1)),CONCATENATE(","&amp;J545&amp;","&amp;J545),CONCATENATE(","&amp;J545))&amp;IF(ISBLANK(K545),"",IF(ISERROR(SEARCH(",",K545,1)),CONCATENATE(","&amp;K545&amp;","&amp;K545),CONCATENATE(","&amp;K545))))))&amp;")","")&amp;" "&amp;F545)</f>
        <v/>
      </c>
    </row>
    <row r="546">
      <c r="A546" s="1" t="n">
        <v>645</v>
      </c>
      <c r="B546" s="1">
        <f>A546</f>
        <v/>
      </c>
      <c r="C546" s="1" t="inlineStr">
        <is>
          <t>vN24</t>
        </is>
      </c>
      <c r="D546" s="1" t="inlineStr">
        <is>
          <t>數值</t>
        </is>
      </c>
      <c r="E546" s="1" t="n">
        <v>2</v>
      </c>
      <c r="G546" s="1" t="inlineStr">
        <is>
          <t>range</t>
        </is>
      </c>
      <c r="H546" s="1" t="inlineStr">
        <is>
          <t>1,5</t>
        </is>
      </c>
      <c r="I546" s="1" t="inlineStr">
        <is>
          <t>97,98</t>
        </is>
      </c>
      <c r="J546" s="1" t="n"/>
      <c r="L546" s="1">
        <f>CONCAT(IF(D546="數值",CONCATENATE(G546&amp;"("&amp;C546&amp;","&amp;IF(ISERROR(SEARCH(",",H546,1)),(H546&amp;","&amp;H546),H546)&amp;IF(ISBLANK(I546),"",IF(ISERROR(SEARCH(",",I546,1)),CONCATENATE(","&amp;I546&amp;","&amp;I546),CONCATENATE(","&amp;I546))&amp;IF(ISBLANK(J546),"",IF(ISERROR(SEARCH(",",J546,1)),CONCATENATE(","&amp;J546&amp;","&amp;J546),CONCATENATE(","&amp;J546))&amp;IF(ISBLANK(K546),"",IF(ISERROR(SEARCH(",",K546,1)),CONCATENATE(","&amp;K546&amp;","&amp;K546),CONCATENATE(","&amp;K546))))))&amp;")","")&amp;" "&amp;F546)</f>
        <v/>
      </c>
    </row>
    <row r="547">
      <c r="A547" s="1" t="n">
        <v>646</v>
      </c>
      <c r="B547" s="1">
        <f>A547</f>
        <v/>
      </c>
      <c r="C547" s="1" t="inlineStr">
        <is>
          <t>vN25</t>
        </is>
      </c>
      <c r="D547" s="1" t="inlineStr">
        <is>
          <t>數值</t>
        </is>
      </c>
      <c r="E547" s="1" t="n">
        <v>2</v>
      </c>
      <c r="G547" s="1" t="inlineStr">
        <is>
          <t>range</t>
        </is>
      </c>
      <c r="H547" s="1" t="inlineStr">
        <is>
          <t>1,5</t>
        </is>
      </c>
      <c r="I547" s="1" t="inlineStr">
        <is>
          <t>90</t>
        </is>
      </c>
      <c r="J547" s="1" t="inlineStr">
        <is>
          <t>97,98</t>
        </is>
      </c>
      <c r="K547" s="1" t="n"/>
      <c r="L547" s="1">
        <f>CONCAT(IF(D547="數值",CONCATENATE(G547&amp;"("&amp;C547&amp;","&amp;IF(ISERROR(SEARCH(",",H547,1)),(H547&amp;","&amp;H547),H547)&amp;IF(ISBLANK(I547),"",IF(ISERROR(SEARCH(",",I547,1)),CONCATENATE(","&amp;I547&amp;","&amp;I547),CONCATENATE(","&amp;I547))&amp;IF(ISBLANK(J547),"",IF(ISERROR(SEARCH(",",J547,1)),CONCATENATE(","&amp;J547&amp;","&amp;J547),CONCATENATE(","&amp;J547))&amp;IF(ISBLANK(K547),"",IF(ISERROR(SEARCH(",",K547,1)),CONCATENATE(","&amp;K547&amp;","&amp;K547),CONCATENATE(","&amp;K547))))))&amp;")","")&amp;" "&amp;F547)</f>
        <v/>
      </c>
    </row>
    <row r="548">
      <c r="A548" s="1" t="n">
        <v>647</v>
      </c>
      <c r="B548" s="1">
        <f>A548</f>
        <v/>
      </c>
      <c r="C548" s="1" t="inlineStr">
        <is>
          <t>vN26</t>
        </is>
      </c>
      <c r="D548" s="1" t="inlineStr">
        <is>
          <t>數值</t>
        </is>
      </c>
      <c r="E548" s="1" t="n">
        <v>2</v>
      </c>
      <c r="G548" s="1" t="inlineStr">
        <is>
          <t>range</t>
        </is>
      </c>
      <c r="H548" s="1" t="inlineStr">
        <is>
          <t>1,5</t>
        </is>
      </c>
      <c r="I548" s="1" t="inlineStr">
        <is>
          <t>97,98</t>
        </is>
      </c>
      <c r="J548" s="1" t="n"/>
      <c r="L548" s="1">
        <f>CONCAT(IF(D548="數值",CONCATENATE(G548&amp;"("&amp;C548&amp;","&amp;IF(ISERROR(SEARCH(",",H548,1)),(H548&amp;","&amp;H548),H548)&amp;IF(ISBLANK(I548),"",IF(ISERROR(SEARCH(",",I548,1)),CONCATENATE(","&amp;I548&amp;","&amp;I548),CONCATENATE(","&amp;I548))&amp;IF(ISBLANK(J548),"",IF(ISERROR(SEARCH(",",J548,1)),CONCATENATE(","&amp;J548&amp;","&amp;J548),CONCATENATE(","&amp;J548))&amp;IF(ISBLANK(K548),"",IF(ISERROR(SEARCH(",",K548,1)),CONCATENATE(","&amp;K548&amp;","&amp;K548),CONCATENATE(","&amp;K548))))))&amp;")","")&amp;" "&amp;F548)</f>
        <v/>
      </c>
    </row>
    <row r="549">
      <c r="A549" s="1" t="n">
        <v>648</v>
      </c>
      <c r="B549" s="1">
        <f>A549</f>
        <v/>
      </c>
      <c r="C549" s="1" t="inlineStr">
        <is>
          <t>vN27</t>
        </is>
      </c>
      <c r="D549" s="1" t="inlineStr">
        <is>
          <t>數值</t>
        </is>
      </c>
      <c r="E549" s="1" t="n">
        <v>2</v>
      </c>
      <c r="G549" s="1" t="inlineStr">
        <is>
          <t>range</t>
        </is>
      </c>
      <c r="H549" s="1" t="inlineStr">
        <is>
          <t>1,5</t>
        </is>
      </c>
      <c r="I549" s="1" t="inlineStr">
        <is>
          <t>97,98</t>
        </is>
      </c>
      <c r="J549" s="1" t="n"/>
      <c r="L549" s="1">
        <f>CONCAT(IF(D549="數值",CONCATENATE(G549&amp;"("&amp;C549&amp;","&amp;IF(ISERROR(SEARCH(",",H549,1)),(H549&amp;","&amp;H549),H549)&amp;IF(ISBLANK(I549),"",IF(ISERROR(SEARCH(",",I549,1)),CONCATENATE(","&amp;I549&amp;","&amp;I549),CONCATENATE(","&amp;I549))&amp;IF(ISBLANK(J549),"",IF(ISERROR(SEARCH(",",J549,1)),CONCATENATE(","&amp;J549&amp;","&amp;J549),CONCATENATE(","&amp;J549))&amp;IF(ISBLANK(K549),"",IF(ISERROR(SEARCH(",",K549,1)),CONCATENATE(","&amp;K549&amp;","&amp;K549),CONCATENATE(","&amp;K549))))))&amp;")","")&amp;" "&amp;F549)</f>
        <v/>
      </c>
    </row>
    <row r="550">
      <c r="A550" s="1" t="n">
        <v>649</v>
      </c>
      <c r="B550" s="1">
        <f>A550</f>
        <v/>
      </c>
      <c r="C550" s="1" t="inlineStr">
        <is>
          <t>vN28</t>
        </is>
      </c>
      <c r="D550" s="1" t="inlineStr">
        <is>
          <t>數值</t>
        </is>
      </c>
      <c r="E550" s="1" t="n">
        <v>2</v>
      </c>
      <c r="G550" s="1" t="inlineStr">
        <is>
          <t>range</t>
        </is>
      </c>
      <c r="H550" s="1" t="inlineStr">
        <is>
          <t>1,5</t>
        </is>
      </c>
      <c r="I550" s="1" t="inlineStr">
        <is>
          <t>97,98</t>
        </is>
      </c>
      <c r="J550" s="1" t="n"/>
      <c r="L550" s="1">
        <f>CONCAT(IF(D550="數值",CONCATENATE(G550&amp;"("&amp;C550&amp;","&amp;IF(ISERROR(SEARCH(",",H550,1)),(H550&amp;","&amp;H550),H550)&amp;IF(ISBLANK(I550),"",IF(ISERROR(SEARCH(",",I550,1)),CONCATENATE(","&amp;I550&amp;","&amp;I550),CONCATENATE(","&amp;I550))&amp;IF(ISBLANK(J550),"",IF(ISERROR(SEARCH(",",J550,1)),CONCATENATE(","&amp;J550&amp;","&amp;J550),CONCATENATE(","&amp;J550))&amp;IF(ISBLANK(K550),"",IF(ISERROR(SEARCH(",",K550,1)),CONCATENATE(","&amp;K550&amp;","&amp;K550),CONCATENATE(","&amp;K550))))))&amp;")","")&amp;" "&amp;F550)</f>
        <v/>
      </c>
    </row>
    <row r="551">
      <c r="A551" s="1" t="n">
        <v>650</v>
      </c>
      <c r="B551" s="1">
        <f>A551</f>
        <v/>
      </c>
      <c r="C551" s="1" t="inlineStr">
        <is>
          <t>vN29</t>
        </is>
      </c>
      <c r="D551" s="1" t="inlineStr">
        <is>
          <t>數值</t>
        </is>
      </c>
      <c r="E551" s="1" t="n">
        <v>2</v>
      </c>
      <c r="G551" s="1" t="inlineStr">
        <is>
          <t>range</t>
        </is>
      </c>
      <c r="H551" s="1" t="inlineStr">
        <is>
          <t>1,5</t>
        </is>
      </c>
      <c r="I551" s="1" t="inlineStr">
        <is>
          <t>97,98</t>
        </is>
      </c>
      <c r="J551" s="1" t="n"/>
      <c r="L551" s="1">
        <f>CONCAT(IF(D551="數值",CONCATENATE(G551&amp;"("&amp;C551&amp;","&amp;IF(ISERROR(SEARCH(",",H551,1)),(H551&amp;","&amp;H551),H551)&amp;IF(ISBLANK(I551),"",IF(ISERROR(SEARCH(",",I551,1)),CONCATENATE(","&amp;I551&amp;","&amp;I551),CONCATENATE(","&amp;I551))&amp;IF(ISBLANK(J551),"",IF(ISERROR(SEARCH(",",J551,1)),CONCATENATE(","&amp;J551&amp;","&amp;J551),CONCATENATE(","&amp;J551))&amp;IF(ISBLANK(K551),"",IF(ISERROR(SEARCH(",",K551,1)),CONCATENATE(","&amp;K551&amp;","&amp;K551),CONCATENATE(","&amp;K551))))))&amp;")","")&amp;" "&amp;F551)</f>
        <v/>
      </c>
    </row>
    <row r="552">
      <c r="A552" s="1" t="n">
        <v>651</v>
      </c>
      <c r="B552" s="1">
        <f>A552</f>
        <v/>
      </c>
      <c r="C552" s="1" t="inlineStr">
        <is>
          <t>vN30</t>
        </is>
      </c>
      <c r="D552" s="1" t="inlineStr">
        <is>
          <t>數值</t>
        </is>
      </c>
      <c r="E552" s="1" t="n">
        <v>3</v>
      </c>
      <c r="G552" s="1" t="inlineStr">
        <is>
          <t>range</t>
        </is>
      </c>
      <c r="H552" s="1" t="inlineStr">
        <is>
          <t>90</t>
        </is>
      </c>
      <c r="I552" s="1" t="inlineStr">
        <is>
          <t>97,98</t>
        </is>
      </c>
      <c r="J552" s="1" t="n"/>
      <c r="L552" s="1">
        <f>CONCAT(IF(D552="數值",CONCATENATE(G552&amp;"("&amp;C552&amp;","&amp;IF(ISERROR(SEARCH(",",H552,1)),(H552&amp;","&amp;H552),H552)&amp;IF(ISBLANK(I552),"",IF(ISERROR(SEARCH(",",I552,1)),CONCATENATE(","&amp;I552&amp;","&amp;I552),CONCATENATE(","&amp;I552))&amp;IF(ISBLANK(J552),"",IF(ISERROR(SEARCH(",",J552,1)),CONCATENATE(","&amp;J552&amp;","&amp;J552),CONCATENATE(","&amp;J552))&amp;IF(ISBLANK(K552),"",IF(ISERROR(SEARCH(",",K552,1)),CONCATENATE(","&amp;K552&amp;","&amp;K552),CONCATENATE(","&amp;K552))))))&amp;")","")&amp;" "&amp;F552)</f>
        <v/>
      </c>
    </row>
    <row r="553">
      <c r="A553" s="1" t="n">
        <v>652</v>
      </c>
      <c r="B553" s="1">
        <f>A553</f>
        <v/>
      </c>
      <c r="C553" s="1" t="inlineStr">
        <is>
          <t>vN31</t>
        </is>
      </c>
      <c r="D553" s="1" t="inlineStr">
        <is>
          <t>數值</t>
        </is>
      </c>
      <c r="E553" s="1" t="n">
        <v>3</v>
      </c>
      <c r="G553" s="1" t="inlineStr">
        <is>
          <t>range</t>
        </is>
      </c>
      <c r="H553" s="1" t="inlineStr">
        <is>
          <t>97,98</t>
        </is>
      </c>
      <c r="I553" s="1" t="n"/>
      <c r="L553" s="1">
        <f>CONCAT(IF(D553="數值",CONCATENATE(G553&amp;"("&amp;C553&amp;","&amp;IF(ISERROR(SEARCH(",",H553,1)),(H553&amp;","&amp;H553),H553)&amp;IF(ISBLANK(I553),"",IF(ISERROR(SEARCH(",",I553,1)),CONCATENATE(","&amp;I553&amp;","&amp;I553),CONCATENATE(","&amp;I553))&amp;IF(ISBLANK(J553),"",IF(ISERROR(SEARCH(",",J553,1)),CONCATENATE(","&amp;J553&amp;","&amp;J553),CONCATENATE(","&amp;J553))&amp;IF(ISBLANK(K553),"",IF(ISERROR(SEARCH(",",K553,1)),CONCATENATE(","&amp;K553&amp;","&amp;K553),CONCATENATE(","&amp;K553))))))&amp;")","")&amp;" "&amp;F553)</f>
        <v/>
      </c>
    </row>
    <row r="554">
      <c r="A554" s="1" t="n">
        <v>653</v>
      </c>
      <c r="B554" s="1">
        <f>A554</f>
        <v/>
      </c>
      <c r="C554" s="1" t="inlineStr">
        <is>
          <t>vN32</t>
        </is>
      </c>
      <c r="D554" s="1" t="inlineStr">
        <is>
          <t>數值</t>
        </is>
      </c>
      <c r="E554" s="1" t="n">
        <v>3</v>
      </c>
      <c r="G554" s="1" t="inlineStr">
        <is>
          <t>range</t>
        </is>
      </c>
      <c r="H554" s="1" t="inlineStr">
        <is>
          <t>97,98</t>
        </is>
      </c>
      <c r="I554" s="1" t="n"/>
      <c r="L554" s="1">
        <f>CONCAT(IF(D554="數值",CONCATENATE(G554&amp;"("&amp;C554&amp;","&amp;IF(ISERROR(SEARCH(",",H554,1)),(H554&amp;","&amp;H554),H554)&amp;IF(ISBLANK(I554),"",IF(ISERROR(SEARCH(",",I554,1)),CONCATENATE(","&amp;I554&amp;","&amp;I554),CONCATENATE(","&amp;I554))&amp;IF(ISBLANK(J554),"",IF(ISERROR(SEARCH(",",J554,1)),CONCATENATE(","&amp;J554&amp;","&amp;J554),CONCATENATE(","&amp;J554))&amp;IF(ISBLANK(K554),"",IF(ISERROR(SEARCH(",",K554,1)),CONCATENATE(","&amp;K554&amp;","&amp;K554),CONCATENATE(","&amp;K554))))))&amp;")","")&amp;" "&amp;F554)</f>
        <v/>
      </c>
    </row>
    <row r="555">
      <c r="A555" s="1" t="n">
        <v>654</v>
      </c>
      <c r="B555" s="1">
        <f>A555</f>
        <v/>
      </c>
      <c r="C555" s="1" t="inlineStr">
        <is>
          <t>vO5</t>
        </is>
      </c>
      <c r="D555" s="1" t="inlineStr">
        <is>
          <t>數值</t>
        </is>
      </c>
      <c r="E555" s="1" t="n">
        <v>2</v>
      </c>
      <c r="G555" s="1" t="inlineStr">
        <is>
          <t>range</t>
        </is>
      </c>
      <c r="H555" s="1" t="inlineStr">
        <is>
          <t>1,23</t>
        </is>
      </c>
      <c r="I555" s="1" t="inlineStr">
        <is>
          <t>97,98</t>
        </is>
      </c>
      <c r="J555" s="1" t="n"/>
      <c r="L555" s="1">
        <f>CONCAT(IF(D555="數值",CONCATENATE(G555&amp;"("&amp;C555&amp;","&amp;IF(ISERROR(SEARCH(",",H555,1)),(H555&amp;","&amp;H555),H555)&amp;IF(ISBLANK(I555),"",IF(ISERROR(SEARCH(",",I555,1)),CONCATENATE(","&amp;I555&amp;","&amp;I555),CONCATENATE(","&amp;I555))&amp;IF(ISBLANK(J555),"",IF(ISERROR(SEARCH(",",J555,1)),CONCATENATE(","&amp;J555&amp;","&amp;J555),CONCATENATE(","&amp;J555))&amp;IF(ISBLANK(K555),"",IF(ISERROR(SEARCH(",",K555,1)),CONCATENATE(","&amp;K555&amp;","&amp;K555),CONCATENATE(","&amp;K555))))))&amp;")","")&amp;" "&amp;F555)</f>
        <v/>
      </c>
    </row>
    <row r="556">
      <c r="A556" s="1" t="n">
        <v>655</v>
      </c>
      <c r="B556" s="1">
        <f>A556</f>
        <v/>
      </c>
      <c r="C556" s="1" t="inlineStr">
        <is>
          <t>vN33sN33</t>
        </is>
      </c>
      <c r="D556" s="1" t="inlineStr">
        <is>
          <t>數值</t>
        </is>
      </c>
      <c r="E556" s="1" t="n">
        <v>2</v>
      </c>
      <c r="G556" s="1" t="inlineStr">
        <is>
          <t>range</t>
        </is>
      </c>
      <c r="H556" s="1" t="inlineStr">
        <is>
          <t>1,4</t>
        </is>
      </c>
      <c r="I556" s="1" t="inlineStr">
        <is>
          <t>97,98</t>
        </is>
      </c>
      <c r="J556" s="1" t="n"/>
      <c r="L556" s="1">
        <f>CONCAT(IF(D556="數值",CONCATENATE(G556&amp;"("&amp;C556&amp;","&amp;IF(ISERROR(SEARCH(",",H556,1)),(H556&amp;","&amp;H556),H556)&amp;IF(ISBLANK(I556),"",IF(ISERROR(SEARCH(",",I556,1)),CONCATENATE(","&amp;I556&amp;","&amp;I556),CONCATENATE(","&amp;I556))&amp;IF(ISBLANK(J556),"",IF(ISERROR(SEARCH(",",J556,1)),CONCATENATE(","&amp;J556&amp;","&amp;J556),CONCATENATE(","&amp;J556))&amp;IF(ISBLANK(K556),"",IF(ISERROR(SEARCH(",",K556,1)),CONCATENATE(","&amp;K556&amp;","&amp;K556),CONCATENATE(","&amp;K556))))))&amp;")","")&amp;" "&amp;F556)</f>
        <v/>
      </c>
    </row>
    <row r="557">
      <c r="A557" s="1" t="n">
        <v>656</v>
      </c>
      <c r="B557" s="1">
        <f>A557</f>
        <v/>
      </c>
      <c r="C557" s="1" t="inlineStr">
        <is>
          <t>vN33sN34</t>
        </is>
      </c>
      <c r="D557" s="1" t="inlineStr">
        <is>
          <t>數值</t>
        </is>
      </c>
      <c r="E557" s="1" t="n">
        <v>2</v>
      </c>
      <c r="G557" s="1" t="inlineStr">
        <is>
          <t>range</t>
        </is>
      </c>
      <c r="H557" s="1" t="inlineStr">
        <is>
          <t>1,4</t>
        </is>
      </c>
      <c r="I557" s="1" t="inlineStr">
        <is>
          <t>97,98</t>
        </is>
      </c>
      <c r="J557" s="1" t="n"/>
      <c r="L557" s="1">
        <f>CONCAT(IF(D557="數值",CONCATENATE(G557&amp;"("&amp;C557&amp;","&amp;IF(ISERROR(SEARCH(",",H557,1)),(H557&amp;","&amp;H557),H557)&amp;IF(ISBLANK(I557),"",IF(ISERROR(SEARCH(",",I557,1)),CONCATENATE(","&amp;I557&amp;","&amp;I557),CONCATENATE(","&amp;I557))&amp;IF(ISBLANK(J557),"",IF(ISERROR(SEARCH(",",J557,1)),CONCATENATE(","&amp;J557&amp;","&amp;J557),CONCATENATE(","&amp;J557))&amp;IF(ISBLANK(K557),"",IF(ISERROR(SEARCH(",",K557,1)),CONCATENATE(","&amp;K557&amp;","&amp;K557),CONCATENATE(","&amp;K557))))))&amp;")","")&amp;" "&amp;F557)</f>
        <v/>
      </c>
    </row>
    <row r="558">
      <c r="A558" s="1" t="n">
        <v>657</v>
      </c>
      <c r="B558" s="1">
        <f>A558</f>
        <v/>
      </c>
      <c r="C558" s="1" t="inlineStr">
        <is>
          <t>vN35sN35</t>
        </is>
      </c>
      <c r="D558" s="1" t="inlineStr">
        <is>
          <t>數值</t>
        </is>
      </c>
      <c r="E558" s="1" t="n">
        <v>2</v>
      </c>
      <c r="G558" s="1" t="inlineStr">
        <is>
          <t>range</t>
        </is>
      </c>
      <c r="H558" s="1" t="inlineStr">
        <is>
          <t>0,7</t>
        </is>
      </c>
      <c r="I558" s="1" t="inlineStr">
        <is>
          <t>97,98</t>
        </is>
      </c>
      <c r="J558" s="1" t="n"/>
      <c r="L558" s="1">
        <f>CONCAT(IF(D558="數值",CONCATENATE(G558&amp;"("&amp;C558&amp;","&amp;IF(ISERROR(SEARCH(",",H558,1)),(H558&amp;","&amp;H558),H558)&amp;IF(ISBLANK(I558),"",IF(ISERROR(SEARCH(",",I558,1)),CONCATENATE(","&amp;I558&amp;","&amp;I558),CONCATENATE(","&amp;I558))&amp;IF(ISBLANK(J558),"",IF(ISERROR(SEARCH(",",J558,1)),CONCATENATE(","&amp;J558&amp;","&amp;J558),CONCATENATE(","&amp;J558))&amp;IF(ISBLANK(K558),"",IF(ISERROR(SEARCH(",",K558,1)),CONCATENATE(","&amp;K558&amp;","&amp;K558),CONCATENATE(","&amp;K558))))))&amp;")","")&amp;" "&amp;F558)</f>
        <v/>
      </c>
    </row>
    <row r="559">
      <c r="A559" s="1" t="n">
        <v>658</v>
      </c>
      <c r="B559" s="1">
        <f>A559</f>
        <v/>
      </c>
      <c r="C559" s="1" t="inlineStr">
        <is>
          <t>vN35sN36</t>
        </is>
      </c>
      <c r="D559" s="1" t="inlineStr">
        <is>
          <t>數值</t>
        </is>
      </c>
      <c r="E559" s="1" t="n">
        <v>2</v>
      </c>
      <c r="G559" s="1" t="inlineStr">
        <is>
          <t>range</t>
        </is>
      </c>
      <c r="H559" s="1" t="inlineStr">
        <is>
          <t>0,7</t>
        </is>
      </c>
      <c r="I559" s="1" t="inlineStr">
        <is>
          <t>97,98</t>
        </is>
      </c>
      <c r="J559" s="1" t="n"/>
      <c r="L559" s="1">
        <f>CONCAT(IF(D559="數值",CONCATENATE(G559&amp;"("&amp;C559&amp;","&amp;IF(ISERROR(SEARCH(",",H559,1)),(H559&amp;","&amp;H559),H559)&amp;IF(ISBLANK(I559),"",IF(ISERROR(SEARCH(",",I559,1)),CONCATENATE(","&amp;I559&amp;","&amp;I559),CONCATENATE(","&amp;I559))&amp;IF(ISBLANK(J559),"",IF(ISERROR(SEARCH(",",J559,1)),CONCATENATE(","&amp;J559&amp;","&amp;J559),CONCATENATE(","&amp;J559))&amp;IF(ISBLANK(K559),"",IF(ISERROR(SEARCH(",",K559,1)),CONCATENATE(","&amp;K559&amp;","&amp;K559),CONCATENATE(","&amp;K559))))))&amp;")","")&amp;" "&amp;F559)</f>
        <v/>
      </c>
    </row>
    <row r="560">
      <c r="A560" s="1" t="n">
        <v>659</v>
      </c>
      <c r="B560" s="1">
        <f>A560</f>
        <v/>
      </c>
      <c r="C560" s="1" t="inlineStr">
        <is>
          <t>vN35sN37</t>
        </is>
      </c>
      <c r="D560" s="1" t="inlineStr">
        <is>
          <t>數值</t>
        </is>
      </c>
      <c r="E560" s="1" t="n">
        <v>2</v>
      </c>
      <c r="G560" s="1" t="inlineStr">
        <is>
          <t>range</t>
        </is>
      </c>
      <c r="H560" s="1" t="inlineStr">
        <is>
          <t>0,7</t>
        </is>
      </c>
      <c r="I560" s="1" t="inlineStr">
        <is>
          <t>97,98</t>
        </is>
      </c>
      <c r="J560" s="1" t="n"/>
      <c r="L560" s="1">
        <f>CONCAT(IF(D560="數值",CONCATENATE(G560&amp;"("&amp;C560&amp;","&amp;IF(ISERROR(SEARCH(",",H560,1)),(H560&amp;","&amp;H560),H560)&amp;IF(ISBLANK(I560),"",IF(ISERROR(SEARCH(",",I560,1)),CONCATENATE(","&amp;I560&amp;","&amp;I560),CONCATENATE(","&amp;I560))&amp;IF(ISBLANK(J560),"",IF(ISERROR(SEARCH(",",J560,1)),CONCATENATE(","&amp;J560&amp;","&amp;J560),CONCATENATE(","&amp;J560))&amp;IF(ISBLANK(K560),"",IF(ISERROR(SEARCH(",",K560,1)),CONCATENATE(","&amp;K560&amp;","&amp;K560),CONCATENATE(","&amp;K560))))))&amp;")","")&amp;" "&amp;F560)</f>
        <v/>
      </c>
    </row>
    <row r="561">
      <c r="A561" s="1" t="n">
        <v>660</v>
      </c>
      <c r="B561" s="1">
        <f>A561</f>
        <v/>
      </c>
      <c r="C561" s="1" t="inlineStr">
        <is>
          <t>vN35sN38</t>
        </is>
      </c>
      <c r="D561" s="1" t="inlineStr">
        <is>
          <t>數值</t>
        </is>
      </c>
      <c r="E561" s="1" t="n">
        <v>2</v>
      </c>
      <c r="G561" s="1" t="inlineStr">
        <is>
          <t>range</t>
        </is>
      </c>
      <c r="H561" s="1" t="inlineStr">
        <is>
          <t>0,7</t>
        </is>
      </c>
      <c r="I561" s="1" t="inlineStr">
        <is>
          <t>97,98</t>
        </is>
      </c>
      <c r="J561" s="1" t="n"/>
      <c r="L561" s="1">
        <f>CONCAT(IF(D561="數值",CONCATENATE(G561&amp;"("&amp;C561&amp;","&amp;IF(ISERROR(SEARCH(",",H561,1)),(H561&amp;","&amp;H561),H561)&amp;IF(ISBLANK(I561),"",IF(ISERROR(SEARCH(",",I561,1)),CONCATENATE(","&amp;I561&amp;","&amp;I561),CONCATENATE(","&amp;I561))&amp;IF(ISBLANK(J561),"",IF(ISERROR(SEARCH(",",J561,1)),CONCATENATE(","&amp;J561&amp;","&amp;J561),CONCATENATE(","&amp;J561))&amp;IF(ISBLANK(K561),"",IF(ISERROR(SEARCH(",",K561,1)),CONCATENATE(","&amp;K561&amp;","&amp;K561),CONCATENATE(","&amp;K561))))))&amp;")","")&amp;" "&amp;F561)</f>
        <v/>
      </c>
    </row>
    <row r="562">
      <c r="A562" s="1" t="n">
        <v>661</v>
      </c>
      <c r="B562" s="1">
        <f>A562</f>
        <v/>
      </c>
      <c r="C562" s="1" t="inlineStr">
        <is>
          <t>vQa</t>
        </is>
      </c>
      <c r="D562" s="1" t="inlineStr">
        <is>
          <t>數值</t>
        </is>
      </c>
      <c r="E562" s="1" t="n">
        <v>14</v>
      </c>
      <c r="G562" s="1" t="inlineStr">
        <is>
          <t>range</t>
        </is>
      </c>
      <c r="H562" s="1" t="inlineStr">
        <is>
          <t>20260615000000,20260915000000</t>
        </is>
      </c>
      <c r="L562" s="1">
        <f>CONCAT(IF(D562="數值",CONCATENATE(G562&amp;"("&amp;C562&amp;","&amp;IF(ISERROR(SEARCH(",",H562,1)),(H562&amp;","&amp;H562),H562)&amp;IF(ISBLANK(I562),"",IF(ISERROR(SEARCH(",",I562,1)),CONCATENATE(","&amp;I562&amp;","&amp;I562),CONCATENATE(","&amp;I562))&amp;IF(ISBLANK(J562),"",IF(ISERROR(SEARCH(",",J562,1)),CONCATENATE(","&amp;J562&amp;","&amp;J562),CONCATENATE(","&amp;J562))&amp;IF(ISBLANK(K562),"",IF(ISERROR(SEARCH(",",K562,1)),CONCATENATE(","&amp;K562&amp;","&amp;K562),CONCATENATE(","&amp;K562))))))&amp;")","")&amp;" "&amp;F562)</f>
        <v/>
      </c>
    </row>
    <row r="563">
      <c r="A563" s="1" t="n">
        <v>662</v>
      </c>
      <c r="B563" s="1">
        <f>A563</f>
        <v/>
      </c>
      <c r="C563" s="1" t="inlineStr">
        <is>
          <t>vQ1</t>
        </is>
      </c>
      <c r="D563" s="1" t="inlineStr">
        <is>
          <t>數值</t>
        </is>
      </c>
      <c r="E563" s="1" t="n">
        <v>2</v>
      </c>
      <c r="G563" s="1" t="inlineStr">
        <is>
          <t>range</t>
        </is>
      </c>
      <c r="H563" s="1" t="inlineStr">
        <is>
          <t>1,4</t>
        </is>
      </c>
      <c r="I563" s="1" t="inlineStr">
        <is>
          <t>97,98</t>
        </is>
      </c>
      <c r="J563" s="1" t="n"/>
      <c r="L563" s="1">
        <f>CONCAT(IF(D563="數值",CONCATENATE(G563&amp;"("&amp;C563&amp;","&amp;IF(ISERROR(SEARCH(",",H563,1)),(H563&amp;","&amp;H563),H563)&amp;IF(ISBLANK(I563),"",IF(ISERROR(SEARCH(",",I563,1)),CONCATENATE(","&amp;I563&amp;","&amp;I563),CONCATENATE(","&amp;I563))&amp;IF(ISBLANK(J563),"",IF(ISERROR(SEARCH(",",J563,1)),CONCATENATE(","&amp;J563&amp;","&amp;J563),CONCATENATE(","&amp;J563))&amp;IF(ISBLANK(K563),"",IF(ISERROR(SEARCH(",",K563,1)),CONCATENATE(","&amp;K563&amp;","&amp;K563),CONCATENATE(","&amp;K563))))))&amp;")","")&amp;" "&amp;F563)</f>
        <v/>
      </c>
    </row>
    <row r="564">
      <c r="A564" s="1" t="n">
        <v>663</v>
      </c>
      <c r="B564" s="1">
        <f>A564</f>
        <v/>
      </c>
      <c r="C564" s="1" t="inlineStr">
        <is>
          <t>vQ2</t>
        </is>
      </c>
      <c r="D564" s="1" t="inlineStr">
        <is>
          <t>數值</t>
        </is>
      </c>
      <c r="E564" s="1" t="n">
        <v>2</v>
      </c>
      <c r="G564" s="1" t="inlineStr">
        <is>
          <t>range</t>
        </is>
      </c>
      <c r="H564" s="1" t="inlineStr">
        <is>
          <t>1,4</t>
        </is>
      </c>
      <c r="I564" s="1" t="inlineStr">
        <is>
          <t>97,98</t>
        </is>
      </c>
      <c r="J564" s="1" t="n"/>
      <c r="L564" s="1">
        <f>CONCAT(IF(D564="數值",CONCATENATE(G564&amp;"("&amp;C564&amp;","&amp;IF(ISERROR(SEARCH(",",H564,1)),(H564&amp;","&amp;H564),H564)&amp;IF(ISBLANK(I564),"",IF(ISERROR(SEARCH(",",I564,1)),CONCATENATE(","&amp;I564&amp;","&amp;I564),CONCATENATE(","&amp;I564))&amp;IF(ISBLANK(J564),"",IF(ISERROR(SEARCH(",",J564,1)),CONCATENATE(","&amp;J564&amp;","&amp;J564),CONCATENATE(","&amp;J564))&amp;IF(ISBLANK(K564),"",IF(ISERROR(SEARCH(",",K564,1)),CONCATENATE(","&amp;K564&amp;","&amp;K564),CONCATENATE(","&amp;K564))))))&amp;")","")&amp;" "&amp;F564)</f>
        <v/>
      </c>
    </row>
    <row r="565">
      <c r="A565" s="1" t="n">
        <v>664</v>
      </c>
      <c r="B565" s="1">
        <f>A565</f>
        <v/>
      </c>
      <c r="C565" s="1" t="inlineStr">
        <is>
          <t>vQ3</t>
        </is>
      </c>
      <c r="D565" s="1" t="inlineStr">
        <is>
          <t>數值</t>
        </is>
      </c>
      <c r="E565" s="1" t="n">
        <v>2</v>
      </c>
      <c r="G565" s="1" t="inlineStr">
        <is>
          <t>range</t>
        </is>
      </c>
      <c r="H565" s="1" t="inlineStr">
        <is>
          <t>1,4</t>
        </is>
      </c>
      <c r="I565" s="1" t="inlineStr">
        <is>
          <t>97,98</t>
        </is>
      </c>
      <c r="J565" s="1" t="n"/>
      <c r="L565" s="1">
        <f>CONCAT(IF(D565="數值",CONCATENATE(G565&amp;"("&amp;C565&amp;","&amp;IF(ISERROR(SEARCH(",",H565,1)),(H565&amp;","&amp;H565),H565)&amp;IF(ISBLANK(I565),"",IF(ISERROR(SEARCH(",",I565,1)),CONCATENATE(","&amp;I565&amp;","&amp;I565),CONCATENATE(","&amp;I565))&amp;IF(ISBLANK(J565),"",IF(ISERROR(SEARCH(",",J565,1)),CONCATENATE(","&amp;J565&amp;","&amp;J565),CONCATENATE(","&amp;J565))&amp;IF(ISBLANK(K565),"",IF(ISERROR(SEARCH(",",K565,1)),CONCATENATE(","&amp;K565&amp;","&amp;K565),CONCATENATE(","&amp;K565))))))&amp;")","")&amp;" "&amp;F565)</f>
        <v/>
      </c>
    </row>
    <row r="566">
      <c r="A566" s="1" t="n">
        <v>665</v>
      </c>
      <c r="B566" s="1">
        <f>A566</f>
        <v/>
      </c>
      <c r="C566" s="1" t="inlineStr">
        <is>
          <t>vQ4</t>
        </is>
      </c>
      <c r="D566" s="1" t="inlineStr">
        <is>
          <t>數值</t>
        </is>
      </c>
      <c r="E566" s="1" t="n">
        <v>2</v>
      </c>
      <c r="G566" s="1" t="inlineStr">
        <is>
          <t>range</t>
        </is>
      </c>
      <c r="H566" s="1" t="inlineStr">
        <is>
          <t>1,4</t>
        </is>
      </c>
      <c r="I566" s="1" t="inlineStr">
        <is>
          <t>97,98</t>
        </is>
      </c>
      <c r="J566" s="1" t="n"/>
      <c r="L566" s="1">
        <f>CONCAT(IF(D566="數值",CONCATENATE(G566&amp;"("&amp;C566&amp;","&amp;IF(ISERROR(SEARCH(",",H566,1)),(H566&amp;","&amp;H566),H566)&amp;IF(ISBLANK(I566),"",IF(ISERROR(SEARCH(",",I566,1)),CONCATENATE(","&amp;I566&amp;","&amp;I566),CONCATENATE(","&amp;I566))&amp;IF(ISBLANK(J566),"",IF(ISERROR(SEARCH(",",J566,1)),CONCATENATE(","&amp;J566&amp;","&amp;J566),CONCATENATE(","&amp;J566))&amp;IF(ISBLANK(K566),"",IF(ISERROR(SEARCH(",",K566,1)),CONCATENATE(","&amp;K566&amp;","&amp;K566),CONCATENATE(","&amp;K566))))))&amp;")","")&amp;" "&amp;F566)</f>
        <v/>
      </c>
    </row>
    <row r="567">
      <c r="A567" s="1" t="n">
        <v>666</v>
      </c>
      <c r="B567" s="1">
        <f>A567</f>
        <v/>
      </c>
      <c r="C567" s="1" t="inlineStr">
        <is>
          <t>vQ5</t>
        </is>
      </c>
      <c r="D567" s="1" t="inlineStr">
        <is>
          <t>數值</t>
        </is>
      </c>
      <c r="E567" s="1" t="n">
        <v>2</v>
      </c>
      <c r="G567" s="1" t="inlineStr">
        <is>
          <t>range</t>
        </is>
      </c>
      <c r="H567" s="1" t="inlineStr">
        <is>
          <t>1,2</t>
        </is>
      </c>
      <c r="I567" s="1" t="inlineStr">
        <is>
          <t>97,98</t>
        </is>
      </c>
      <c r="J567" s="1" t="n"/>
      <c r="L567" s="1">
        <f>CONCAT(IF(D567="數值",CONCATENATE(G567&amp;"("&amp;C567&amp;","&amp;IF(ISERROR(SEARCH(",",H567,1)),(H567&amp;","&amp;H567),H567)&amp;IF(ISBLANK(I567),"",IF(ISERROR(SEARCH(",",I567,1)),CONCATENATE(","&amp;I567&amp;","&amp;I567),CONCATENATE(","&amp;I567))&amp;IF(ISBLANK(J567),"",IF(ISERROR(SEARCH(",",J567,1)),CONCATENATE(","&amp;J567&amp;","&amp;J567),CONCATENATE(","&amp;J567))&amp;IF(ISBLANK(K567),"",IF(ISERROR(SEARCH(",",K567,1)),CONCATENATE(","&amp;K567&amp;","&amp;K567),CONCATENATE(","&amp;K567))))))&amp;")","")&amp;" "&amp;F567)</f>
        <v/>
      </c>
    </row>
    <row r="568">
      <c r="A568" s="1" t="n">
        <v>667</v>
      </c>
      <c r="B568" s="1">
        <f>A568</f>
        <v/>
      </c>
      <c r="C568" s="1" t="inlineStr">
        <is>
          <t>vQ6</t>
        </is>
      </c>
      <c r="D568" s="1" t="inlineStr">
        <is>
          <t>數值</t>
        </is>
      </c>
      <c r="E568" s="1" t="n">
        <v>2</v>
      </c>
      <c r="G568" s="1" t="inlineStr">
        <is>
          <t>range</t>
        </is>
      </c>
      <c r="H568" s="1" t="inlineStr">
        <is>
          <t>1,4</t>
        </is>
      </c>
      <c r="I568" s="1" t="inlineStr">
        <is>
          <t>90</t>
        </is>
      </c>
      <c r="J568" s="1" t="inlineStr">
        <is>
          <t>97,98</t>
        </is>
      </c>
      <c r="K568" s="1" t="n"/>
      <c r="L568" s="1">
        <f>CONCAT(IF(D568="數值",CONCATENATE(G568&amp;"("&amp;C568&amp;","&amp;IF(ISERROR(SEARCH(",",H568,1)),(H568&amp;","&amp;H568),H568)&amp;IF(ISBLANK(I568),"",IF(ISERROR(SEARCH(",",I568,1)),CONCATENATE(","&amp;I568&amp;","&amp;I568),CONCATENATE(","&amp;I568))&amp;IF(ISBLANK(J568),"",IF(ISERROR(SEARCH(",",J568,1)),CONCATENATE(","&amp;J568&amp;","&amp;J568),CONCATENATE(","&amp;J568))&amp;IF(ISBLANK(K568),"",IF(ISERROR(SEARCH(",",K568,1)),CONCATENATE(","&amp;K568&amp;","&amp;K568),CONCATENATE(","&amp;K568))))))&amp;")","")&amp;" "&amp;F568)</f>
        <v/>
      </c>
    </row>
    <row r="569">
      <c r="A569" s="1" t="n">
        <v>668</v>
      </c>
      <c r="B569" s="1">
        <f>A569</f>
        <v/>
      </c>
      <c r="C569" s="1" t="inlineStr">
        <is>
          <t>vQ7</t>
        </is>
      </c>
      <c r="D569" s="1" t="inlineStr">
        <is>
          <t>數值</t>
        </is>
      </c>
      <c r="E569" s="1" t="n">
        <v>2</v>
      </c>
      <c r="G569" s="1" t="inlineStr">
        <is>
          <t>range</t>
        </is>
      </c>
      <c r="H569" s="1" t="inlineStr">
        <is>
          <t>1,4</t>
        </is>
      </c>
      <c r="I569" s="1" t="inlineStr">
        <is>
          <t>90</t>
        </is>
      </c>
      <c r="J569" s="1" t="inlineStr">
        <is>
          <t>97,98</t>
        </is>
      </c>
      <c r="K569" s="1" t="n"/>
      <c r="L569" s="1">
        <f>CONCAT(IF(D569="數值",CONCATENATE(G569&amp;"("&amp;C569&amp;","&amp;IF(ISERROR(SEARCH(",",H569,1)),(H569&amp;","&amp;H569),H569)&amp;IF(ISBLANK(I569),"",IF(ISERROR(SEARCH(",",I569,1)),CONCATENATE(","&amp;I569&amp;","&amp;I569),CONCATENATE(","&amp;I569))&amp;IF(ISBLANK(J569),"",IF(ISERROR(SEARCH(",",J569,1)),CONCATENATE(","&amp;J569&amp;","&amp;J569),CONCATENATE(","&amp;J569))&amp;IF(ISBLANK(K569),"",IF(ISERROR(SEARCH(",",K569,1)),CONCATENATE(","&amp;K569&amp;","&amp;K569),CONCATENATE(","&amp;K569))))))&amp;")","")&amp;" "&amp;F569)</f>
        <v/>
      </c>
    </row>
    <row r="570">
      <c r="A570" s="1" t="n">
        <v>669</v>
      </c>
      <c r="B570" s="1">
        <f>A570</f>
        <v/>
      </c>
      <c r="C570" s="1" t="inlineStr">
        <is>
          <t>vQ8</t>
        </is>
      </c>
      <c r="D570" s="1" t="inlineStr">
        <is>
          <t>數值</t>
        </is>
      </c>
      <c r="E570" s="1" t="n">
        <v>2</v>
      </c>
      <c r="G570" s="1" t="inlineStr">
        <is>
          <t>range</t>
        </is>
      </c>
      <c r="H570" s="1" t="inlineStr">
        <is>
          <t>1,4</t>
        </is>
      </c>
      <c r="I570" s="1" t="inlineStr">
        <is>
          <t>90</t>
        </is>
      </c>
      <c r="J570" s="1" t="inlineStr">
        <is>
          <t>97,98</t>
        </is>
      </c>
      <c r="K570" s="1" t="n"/>
      <c r="L570" s="1">
        <f>CONCAT(IF(D570="數值",CONCATENATE(G570&amp;"("&amp;C570&amp;","&amp;IF(ISERROR(SEARCH(",",H570,1)),(H570&amp;","&amp;H570),H570)&amp;IF(ISBLANK(I570),"",IF(ISERROR(SEARCH(",",I570,1)),CONCATENATE(","&amp;I570&amp;","&amp;I570),CONCATENATE(","&amp;I570))&amp;IF(ISBLANK(J570),"",IF(ISERROR(SEARCH(",",J570,1)),CONCATENATE(","&amp;J570&amp;","&amp;J570),CONCATENATE(","&amp;J570))&amp;IF(ISBLANK(K570),"",IF(ISERROR(SEARCH(",",K570,1)),CONCATENATE(","&amp;K570&amp;","&amp;K570),CONCATENATE(","&amp;K570))))))&amp;")","")&amp;" "&amp;F570)</f>
        <v/>
      </c>
    </row>
    <row r="571">
      <c r="A571" s="1" t="n">
        <v>670</v>
      </c>
      <c r="B571" s="1">
        <f>A571</f>
        <v/>
      </c>
      <c r="C571" s="1" t="inlineStr">
        <is>
          <t>vQ9</t>
        </is>
      </c>
      <c r="D571" s="1" t="inlineStr">
        <is>
          <t>數值</t>
        </is>
      </c>
      <c r="E571" s="1" t="n">
        <v>2</v>
      </c>
      <c r="G571" s="1" t="inlineStr">
        <is>
          <t>range</t>
        </is>
      </c>
      <c r="H571" s="1" t="inlineStr">
        <is>
          <t>1,4</t>
        </is>
      </c>
      <c r="I571" s="1" t="inlineStr">
        <is>
          <t>90</t>
        </is>
      </c>
      <c r="J571" s="1" t="inlineStr">
        <is>
          <t>97,98</t>
        </is>
      </c>
      <c r="K571" s="1" t="n"/>
      <c r="L571" s="1">
        <f>CONCAT(IF(D571="數值",CONCATENATE(G571&amp;"("&amp;C571&amp;","&amp;IF(ISERROR(SEARCH(",",H571,1)),(H571&amp;","&amp;H571),H571)&amp;IF(ISBLANK(I571),"",IF(ISERROR(SEARCH(",",I571,1)),CONCATENATE(","&amp;I571&amp;","&amp;I571),CONCATENATE(","&amp;I571))&amp;IF(ISBLANK(J571),"",IF(ISERROR(SEARCH(",",J571,1)),CONCATENATE(","&amp;J571&amp;","&amp;J571),CONCATENATE(","&amp;J571))&amp;IF(ISBLANK(K571),"",IF(ISERROR(SEARCH(",",K571,1)),CONCATENATE(","&amp;K571&amp;","&amp;K571),CONCATENATE(","&amp;K571))))))&amp;")","")&amp;" "&amp;F571)</f>
        <v/>
      </c>
    </row>
    <row r="572">
      <c r="A572" s="1" t="n">
        <v>671</v>
      </c>
      <c r="B572" s="1">
        <f>A572</f>
        <v/>
      </c>
      <c r="C572" s="1" t="inlineStr">
        <is>
          <t>vQ10</t>
        </is>
      </c>
      <c r="D572" s="1" t="inlineStr">
        <is>
          <t>數值</t>
        </is>
      </c>
      <c r="E572" s="1" t="n">
        <v>2</v>
      </c>
      <c r="G572" s="1" t="inlineStr">
        <is>
          <t>range</t>
        </is>
      </c>
      <c r="H572" s="1" t="inlineStr">
        <is>
          <t>1,2</t>
        </is>
      </c>
      <c r="I572" s="1" t="inlineStr">
        <is>
          <t>97,98</t>
        </is>
      </c>
      <c r="J572" s="1" t="n"/>
      <c r="L572" s="1">
        <f>CONCAT(IF(D572="數值",CONCATENATE(G572&amp;"("&amp;C572&amp;","&amp;IF(ISERROR(SEARCH(",",H572,1)),(H572&amp;","&amp;H572),H572)&amp;IF(ISBLANK(I572),"",IF(ISERROR(SEARCH(",",I572,1)),CONCATENATE(","&amp;I572&amp;","&amp;I572),CONCATENATE(","&amp;I572))&amp;IF(ISBLANK(J572),"",IF(ISERROR(SEARCH(",",J572,1)),CONCATENATE(","&amp;J572&amp;","&amp;J572),CONCATENATE(","&amp;J572))&amp;IF(ISBLANK(K572),"",IF(ISERROR(SEARCH(",",K572,1)),CONCATENATE(","&amp;K572&amp;","&amp;K572),CONCATENATE(","&amp;K572))))))&amp;")","")&amp;" "&amp;F572)</f>
        <v/>
      </c>
    </row>
    <row r="573">
      <c r="A573" s="1" t="n">
        <v>672</v>
      </c>
      <c r="B573" s="1">
        <f>A573</f>
        <v/>
      </c>
      <c r="C573" s="1" t="inlineStr">
        <is>
          <t>vCKQ10</t>
        </is>
      </c>
      <c r="D573" s="1" t="inlineStr">
        <is>
          <t>數值</t>
        </is>
      </c>
      <c r="E573" s="1" t="n">
        <v>2</v>
      </c>
      <c r="G573" s="1" t="inlineStr">
        <is>
          <t>range</t>
        </is>
      </c>
      <c r="H573" s="1" t="inlineStr">
        <is>
          <t>1,2</t>
        </is>
      </c>
      <c r="I573" s="1" t="inlineStr">
        <is>
          <t>97,98</t>
        </is>
      </c>
      <c r="J573" s="1" t="n"/>
      <c r="L573" s="1">
        <f>CONCAT(IF(D573="數值",CONCATENATE(G573&amp;"("&amp;C573&amp;","&amp;IF(ISERROR(SEARCH(",",H573,1)),(H573&amp;","&amp;H573),H573)&amp;IF(ISBLANK(I573),"",IF(ISERROR(SEARCH(",",I573,1)),CONCATENATE(","&amp;I573&amp;","&amp;I573),CONCATENATE(","&amp;I573))&amp;IF(ISBLANK(J573),"",IF(ISERROR(SEARCH(",",J573,1)),CONCATENATE(","&amp;J573&amp;","&amp;J573),CONCATENATE(","&amp;J573))&amp;IF(ISBLANK(K573),"",IF(ISERROR(SEARCH(",",K573,1)),CONCATENATE(","&amp;K573&amp;","&amp;K573),CONCATENATE(","&amp;K573))))))&amp;")","")&amp;" "&amp;F573)</f>
        <v/>
      </c>
    </row>
    <row r="574">
      <c r="A574" s="1" t="n">
        <v>673</v>
      </c>
      <c r="B574" s="1">
        <f>A574</f>
        <v/>
      </c>
      <c r="C574" s="1" t="inlineStr">
        <is>
          <t>vQ11</t>
        </is>
      </c>
      <c r="D574" s="1" t="inlineStr">
        <is>
          <t>數值</t>
        </is>
      </c>
      <c r="E574" s="1" t="n">
        <v>2</v>
      </c>
      <c r="G574" s="1" t="inlineStr">
        <is>
          <t>range</t>
        </is>
      </c>
      <c r="H574" s="1" t="inlineStr">
        <is>
          <t>1,4</t>
        </is>
      </c>
      <c r="I574" s="1" t="inlineStr">
        <is>
          <t>90</t>
        </is>
      </c>
      <c r="J574" s="1" t="inlineStr">
        <is>
          <t>97,98</t>
        </is>
      </c>
      <c r="K574" s="1" t="n"/>
      <c r="L574" s="1">
        <f>CONCAT(IF(D574="數值",CONCATENATE(G574&amp;"("&amp;C574&amp;","&amp;IF(ISERROR(SEARCH(",",H574,1)),(H574&amp;","&amp;H574),H574)&amp;IF(ISBLANK(I574),"",IF(ISERROR(SEARCH(",",I574,1)),CONCATENATE(","&amp;I574&amp;","&amp;I574),CONCATENATE(","&amp;I574))&amp;IF(ISBLANK(J574),"",IF(ISERROR(SEARCH(",",J574,1)),CONCATENATE(","&amp;J574&amp;","&amp;J574),CONCATENATE(","&amp;J574))&amp;IF(ISBLANK(K574),"",IF(ISERROR(SEARCH(",",K574,1)),CONCATENATE(","&amp;K574&amp;","&amp;K574),CONCATENATE(","&amp;K574))))))&amp;")","")&amp;" "&amp;F574)</f>
        <v/>
      </c>
    </row>
    <row r="575">
      <c r="A575" s="1" t="n">
        <v>674</v>
      </c>
      <c r="B575" s="1">
        <f>A575</f>
        <v/>
      </c>
      <c r="C575" s="1" t="inlineStr">
        <is>
          <t>vQ12</t>
        </is>
      </c>
      <c r="D575" s="1" t="inlineStr">
        <is>
          <t>數值</t>
        </is>
      </c>
      <c r="E575" s="1" t="n">
        <v>2</v>
      </c>
      <c r="G575" s="1" t="inlineStr">
        <is>
          <t>range</t>
        </is>
      </c>
      <c r="H575" s="1" t="inlineStr">
        <is>
          <t>1,4</t>
        </is>
      </c>
      <c r="I575" s="1" t="inlineStr">
        <is>
          <t>90</t>
        </is>
      </c>
      <c r="J575" s="1" t="inlineStr">
        <is>
          <t>97,98</t>
        </is>
      </c>
      <c r="K575" s="1" t="n"/>
      <c r="L575" s="1">
        <f>CONCAT(IF(D575="數值",CONCATENATE(G575&amp;"("&amp;C575&amp;","&amp;IF(ISERROR(SEARCH(",",H575,1)),(H575&amp;","&amp;H575),H575)&amp;IF(ISBLANK(I575),"",IF(ISERROR(SEARCH(",",I575,1)),CONCATENATE(","&amp;I575&amp;","&amp;I575),CONCATENATE(","&amp;I575))&amp;IF(ISBLANK(J575),"",IF(ISERROR(SEARCH(",",J575,1)),CONCATENATE(","&amp;J575&amp;","&amp;J575),CONCATENATE(","&amp;J575))&amp;IF(ISBLANK(K575),"",IF(ISERROR(SEARCH(",",K575,1)),CONCATENATE(","&amp;K575&amp;","&amp;K575),CONCATENATE(","&amp;K575))))))&amp;")","")&amp;" "&amp;F575)</f>
        <v/>
      </c>
    </row>
    <row r="576">
      <c r="A576" s="1" t="n">
        <v>675</v>
      </c>
      <c r="B576" s="1">
        <f>A576</f>
        <v/>
      </c>
      <c r="C576" s="1" t="inlineStr">
        <is>
          <t>vQ13</t>
        </is>
      </c>
      <c r="D576" s="1" t="inlineStr">
        <is>
          <t>數值</t>
        </is>
      </c>
      <c r="E576" s="1" t="n">
        <v>2</v>
      </c>
      <c r="G576" s="1" t="inlineStr">
        <is>
          <t>range</t>
        </is>
      </c>
      <c r="H576" s="1" t="inlineStr">
        <is>
          <t>1,4</t>
        </is>
      </c>
      <c r="I576" s="1" t="inlineStr">
        <is>
          <t>90</t>
        </is>
      </c>
      <c r="J576" s="1" t="inlineStr">
        <is>
          <t>97,98</t>
        </is>
      </c>
      <c r="K576" s="1" t="n"/>
      <c r="L576" s="1">
        <f>CONCAT(IF(D576="數值",CONCATENATE(G576&amp;"("&amp;C576&amp;","&amp;IF(ISERROR(SEARCH(",",H576,1)),(H576&amp;","&amp;H576),H576)&amp;IF(ISBLANK(I576),"",IF(ISERROR(SEARCH(",",I576,1)),CONCATENATE(","&amp;I576&amp;","&amp;I576),CONCATENATE(","&amp;I576))&amp;IF(ISBLANK(J576),"",IF(ISERROR(SEARCH(",",J576,1)),CONCATENATE(","&amp;J576&amp;","&amp;J576),CONCATENATE(","&amp;J576))&amp;IF(ISBLANK(K576),"",IF(ISERROR(SEARCH(",",K576,1)),CONCATENATE(","&amp;K576&amp;","&amp;K576),CONCATENATE(","&amp;K576))))))&amp;")","")&amp;" "&amp;F576)</f>
        <v/>
      </c>
    </row>
    <row r="577">
      <c r="A577" s="1" t="n">
        <v>676</v>
      </c>
      <c r="B577" s="1">
        <f>A577</f>
        <v/>
      </c>
      <c r="C577" s="1" t="inlineStr">
        <is>
          <t>vQ14</t>
        </is>
      </c>
      <c r="D577" s="1" t="inlineStr">
        <is>
          <t>數值</t>
        </is>
      </c>
      <c r="E577" s="1" t="n">
        <v>2</v>
      </c>
      <c r="G577" s="1" t="inlineStr">
        <is>
          <t>range</t>
        </is>
      </c>
      <c r="H577" s="1" t="inlineStr">
        <is>
          <t>1,4</t>
        </is>
      </c>
      <c r="I577" s="1" t="inlineStr">
        <is>
          <t>90</t>
        </is>
      </c>
      <c r="J577" s="1" t="inlineStr">
        <is>
          <t>97,98</t>
        </is>
      </c>
      <c r="K577" s="1" t="n"/>
      <c r="L577" s="1">
        <f>CONCAT(IF(D577="數值",CONCATENATE(G577&amp;"("&amp;C577&amp;","&amp;IF(ISERROR(SEARCH(",",H577,1)),(H577&amp;","&amp;H577),H577)&amp;IF(ISBLANK(I577),"",IF(ISERROR(SEARCH(",",I577,1)),CONCATENATE(","&amp;I577&amp;","&amp;I577),CONCATENATE(","&amp;I577))&amp;IF(ISBLANK(J577),"",IF(ISERROR(SEARCH(",",J577,1)),CONCATENATE(","&amp;J577&amp;","&amp;J577),CONCATENATE(","&amp;J577))&amp;IF(ISBLANK(K577),"",IF(ISERROR(SEARCH(",",K577,1)),CONCATENATE(","&amp;K577&amp;","&amp;K577),CONCATENATE(","&amp;K577))))))&amp;")","")&amp;" "&amp;F577)</f>
        <v/>
      </c>
    </row>
    <row r="578">
      <c r="A578" s="1" t="n">
        <v>677</v>
      </c>
      <c r="B578" s="1">
        <f>A578</f>
        <v/>
      </c>
      <c r="C578" s="1" t="inlineStr">
        <is>
          <t>vQ15</t>
        </is>
      </c>
      <c r="D578" s="1" t="inlineStr">
        <is>
          <t>數值</t>
        </is>
      </c>
      <c r="E578" s="1" t="n">
        <v>2</v>
      </c>
      <c r="G578" s="1" t="inlineStr">
        <is>
          <t>range</t>
        </is>
      </c>
      <c r="H578" s="1" t="inlineStr">
        <is>
          <t>1,2</t>
        </is>
      </c>
      <c r="I578" s="1" t="inlineStr">
        <is>
          <t>97,98</t>
        </is>
      </c>
      <c r="J578" s="1" t="n"/>
      <c r="L578" s="1">
        <f>CONCAT(IF(D578="數值",CONCATENATE(G578&amp;"("&amp;C578&amp;","&amp;IF(ISERROR(SEARCH(",",H578,1)),(H578&amp;","&amp;H578),H578)&amp;IF(ISBLANK(I578),"",IF(ISERROR(SEARCH(",",I578,1)),CONCATENATE(","&amp;I578&amp;","&amp;I578),CONCATENATE(","&amp;I578))&amp;IF(ISBLANK(J578),"",IF(ISERROR(SEARCH(",",J578,1)),CONCATENATE(","&amp;J578&amp;","&amp;J578),CONCATENATE(","&amp;J578))&amp;IF(ISBLANK(K578),"",IF(ISERROR(SEARCH(",",K578,1)),CONCATENATE(","&amp;K578&amp;","&amp;K578),CONCATENATE(","&amp;K578))))))&amp;")","")&amp;" "&amp;F578)</f>
        <v/>
      </c>
    </row>
    <row r="579">
      <c r="A579" s="1" t="n">
        <v>678</v>
      </c>
      <c r="B579" s="1">
        <f>A579</f>
        <v/>
      </c>
      <c r="C579" s="1" t="inlineStr">
        <is>
          <t>vQ16</t>
        </is>
      </c>
      <c r="D579" s="1" t="inlineStr">
        <is>
          <t>數值</t>
        </is>
      </c>
      <c r="E579" s="1" t="n">
        <v>2</v>
      </c>
      <c r="G579" s="1" t="inlineStr">
        <is>
          <t>range</t>
        </is>
      </c>
      <c r="H579" s="1" t="inlineStr">
        <is>
          <t>1,4</t>
        </is>
      </c>
      <c r="I579" s="1" t="inlineStr">
        <is>
          <t>90</t>
        </is>
      </c>
      <c r="J579" s="1" t="inlineStr">
        <is>
          <t>97,98</t>
        </is>
      </c>
      <c r="K579" s="1" t="n"/>
      <c r="L579" s="1">
        <f>CONCAT(IF(D579="數值",CONCATENATE(G579&amp;"("&amp;C579&amp;","&amp;IF(ISERROR(SEARCH(",",H579,1)),(H579&amp;","&amp;H579),H579)&amp;IF(ISBLANK(I579),"",IF(ISERROR(SEARCH(",",I579,1)),CONCATENATE(","&amp;I579&amp;","&amp;I579),CONCATENATE(","&amp;I579))&amp;IF(ISBLANK(J579),"",IF(ISERROR(SEARCH(",",J579,1)),CONCATENATE(","&amp;J579&amp;","&amp;J579),CONCATENATE(","&amp;J579))&amp;IF(ISBLANK(K579),"",IF(ISERROR(SEARCH(",",K579,1)),CONCATENATE(","&amp;K579&amp;","&amp;K579),CONCATENATE(","&amp;K579))))))&amp;")","")&amp;" "&amp;F579)</f>
        <v/>
      </c>
    </row>
    <row r="580">
      <c r="A580" s="1" t="n">
        <v>679</v>
      </c>
      <c r="B580" s="1">
        <f>A580</f>
        <v/>
      </c>
      <c r="C580" s="1" t="inlineStr">
        <is>
          <t>vQ17</t>
        </is>
      </c>
      <c r="D580" s="1" t="inlineStr">
        <is>
          <t>數值</t>
        </is>
      </c>
      <c r="E580" s="1" t="n">
        <v>2</v>
      </c>
      <c r="G580" s="1" t="inlineStr">
        <is>
          <t>range</t>
        </is>
      </c>
      <c r="H580" s="1" t="inlineStr">
        <is>
          <t>1,4</t>
        </is>
      </c>
      <c r="I580" s="1" t="inlineStr">
        <is>
          <t>90</t>
        </is>
      </c>
      <c r="J580" s="1" t="inlineStr">
        <is>
          <t>97,98</t>
        </is>
      </c>
      <c r="K580" s="1" t="n"/>
      <c r="L580" s="1">
        <f>CONCAT(IF(D580="數值",CONCATENATE(G580&amp;"("&amp;C580&amp;","&amp;IF(ISERROR(SEARCH(",",H580,1)),(H580&amp;","&amp;H580),H580)&amp;IF(ISBLANK(I580),"",IF(ISERROR(SEARCH(",",I580,1)),CONCATENATE(","&amp;I580&amp;","&amp;I580),CONCATENATE(","&amp;I580))&amp;IF(ISBLANK(J580),"",IF(ISERROR(SEARCH(",",J580,1)),CONCATENATE(","&amp;J580&amp;","&amp;J580),CONCATENATE(","&amp;J580))&amp;IF(ISBLANK(K580),"",IF(ISERROR(SEARCH(",",K580,1)),CONCATENATE(","&amp;K580&amp;","&amp;K580),CONCATENATE(","&amp;K580))))))&amp;")","")&amp;" "&amp;F580)</f>
        <v/>
      </c>
    </row>
    <row r="581">
      <c r="A581" s="1" t="n">
        <v>680</v>
      </c>
      <c r="B581" s="1">
        <f>A581</f>
        <v/>
      </c>
      <c r="C581" s="1" t="inlineStr">
        <is>
          <t>vQ18</t>
        </is>
      </c>
      <c r="D581" s="1" t="inlineStr">
        <is>
          <t>數值</t>
        </is>
      </c>
      <c r="E581" s="1" t="n">
        <v>2</v>
      </c>
      <c r="G581" s="1" t="inlineStr">
        <is>
          <t>range</t>
        </is>
      </c>
      <c r="H581" s="1" t="inlineStr">
        <is>
          <t>1,4</t>
        </is>
      </c>
      <c r="I581" s="1" t="inlineStr">
        <is>
          <t>90</t>
        </is>
      </c>
      <c r="J581" s="1" t="inlineStr">
        <is>
          <t>97,98</t>
        </is>
      </c>
      <c r="K581" s="1" t="n"/>
      <c r="L581" s="1">
        <f>CONCAT(IF(D581="數值",CONCATENATE(G581&amp;"("&amp;C581&amp;","&amp;IF(ISERROR(SEARCH(",",H581,1)),(H581&amp;","&amp;H581),H581)&amp;IF(ISBLANK(I581),"",IF(ISERROR(SEARCH(",",I581,1)),CONCATENATE(","&amp;I581&amp;","&amp;I581),CONCATENATE(","&amp;I581))&amp;IF(ISBLANK(J581),"",IF(ISERROR(SEARCH(",",J581,1)),CONCATENATE(","&amp;J581&amp;","&amp;J581),CONCATENATE(","&amp;J581))&amp;IF(ISBLANK(K581),"",IF(ISERROR(SEARCH(",",K581,1)),CONCATENATE(","&amp;K581&amp;","&amp;K581),CONCATENATE(","&amp;K581))))))&amp;")","")&amp;" "&amp;F581)</f>
        <v/>
      </c>
    </row>
    <row r="582">
      <c r="A582" s="1" t="n">
        <v>681</v>
      </c>
      <c r="B582" s="1">
        <f>A582</f>
        <v/>
      </c>
      <c r="C582" s="1" t="inlineStr">
        <is>
          <t>vQ19</t>
        </is>
      </c>
      <c r="D582" s="1" t="inlineStr">
        <is>
          <t>數值</t>
        </is>
      </c>
      <c r="E582" s="1" t="n">
        <v>2</v>
      </c>
      <c r="G582" s="1" t="inlineStr">
        <is>
          <t>range</t>
        </is>
      </c>
      <c r="H582" s="1" t="inlineStr">
        <is>
          <t>1,4</t>
        </is>
      </c>
      <c r="I582" s="1" t="inlineStr">
        <is>
          <t>90</t>
        </is>
      </c>
      <c r="J582" s="1" t="inlineStr">
        <is>
          <t>97,98</t>
        </is>
      </c>
      <c r="K582" s="1" t="n"/>
      <c r="L582" s="1">
        <f>CONCAT(IF(D582="數值",CONCATENATE(G582&amp;"("&amp;C582&amp;","&amp;IF(ISERROR(SEARCH(",",H582,1)),(H582&amp;","&amp;H582),H582)&amp;IF(ISBLANK(I582),"",IF(ISERROR(SEARCH(",",I582,1)),CONCATENATE(","&amp;I582&amp;","&amp;I582),CONCATENATE(","&amp;I582))&amp;IF(ISBLANK(J582),"",IF(ISERROR(SEARCH(",",J582,1)),CONCATENATE(","&amp;J582&amp;","&amp;J582),CONCATENATE(","&amp;J582))&amp;IF(ISBLANK(K582),"",IF(ISERROR(SEARCH(",",K582,1)),CONCATENATE(","&amp;K582&amp;","&amp;K582),CONCATENATE(","&amp;K582))))))&amp;")","")&amp;" "&amp;F582)</f>
        <v/>
      </c>
    </row>
    <row r="583">
      <c r="A583" s="1" t="n">
        <v>682</v>
      </c>
      <c r="B583" s="1">
        <f>A583</f>
        <v/>
      </c>
      <c r="C583" s="1" t="inlineStr">
        <is>
          <t>vQ20m01</t>
        </is>
      </c>
      <c r="D583" s="1" t="inlineStr">
        <is>
          <t>數值</t>
        </is>
      </c>
      <c r="E583" s="1" t="n">
        <v>2</v>
      </c>
      <c r="G583" s="1" t="inlineStr">
        <is>
          <t>range</t>
        </is>
      </c>
      <c r="H583" s="1" t="inlineStr">
        <is>
          <t>0,1</t>
        </is>
      </c>
      <c r="L583" s="1">
        <f>CONCAT(IF(D583="數值",CONCATENATE(G583&amp;"("&amp;C583&amp;","&amp;IF(ISERROR(SEARCH(",",H583,1)),(H583&amp;","&amp;H583),H583)&amp;IF(ISBLANK(I583),"",IF(ISERROR(SEARCH(",",I583,1)),CONCATENATE(","&amp;I583&amp;","&amp;I583),CONCATENATE(","&amp;I583))&amp;IF(ISBLANK(J583),"",IF(ISERROR(SEARCH(",",J583,1)),CONCATENATE(","&amp;J583&amp;","&amp;J583),CONCATENATE(","&amp;J583))&amp;IF(ISBLANK(K583),"",IF(ISERROR(SEARCH(",",K583,1)),CONCATENATE(","&amp;K583&amp;","&amp;K583),CONCATENATE(","&amp;K583))))))&amp;")","")&amp;" "&amp;F583)</f>
        <v/>
      </c>
    </row>
    <row r="584">
      <c r="A584" s="1" t="n">
        <v>683</v>
      </c>
      <c r="B584" s="1">
        <f>A584</f>
        <v/>
      </c>
      <c r="C584" s="1" t="inlineStr">
        <is>
          <t>vQ20m02</t>
        </is>
      </c>
      <c r="D584" s="1" t="inlineStr">
        <is>
          <t>數值</t>
        </is>
      </c>
      <c r="E584" s="1" t="n">
        <v>2</v>
      </c>
      <c r="G584" s="1" t="inlineStr">
        <is>
          <t>range</t>
        </is>
      </c>
      <c r="H584" s="1" t="inlineStr">
        <is>
          <t>0,1</t>
        </is>
      </c>
      <c r="L584" s="1">
        <f>CONCAT(IF(D584="數值",CONCATENATE(G584&amp;"("&amp;C584&amp;","&amp;IF(ISERROR(SEARCH(",",H584,1)),(H584&amp;","&amp;H584),H584)&amp;IF(ISBLANK(I584),"",IF(ISERROR(SEARCH(",",I584,1)),CONCATENATE(","&amp;I584&amp;","&amp;I584),CONCATENATE(","&amp;I584))&amp;IF(ISBLANK(J584),"",IF(ISERROR(SEARCH(",",J584,1)),CONCATENATE(","&amp;J584&amp;","&amp;J584),CONCATENATE(","&amp;J584))&amp;IF(ISBLANK(K584),"",IF(ISERROR(SEARCH(",",K584,1)),CONCATENATE(","&amp;K584&amp;","&amp;K584),CONCATENATE(","&amp;K584))))))&amp;")","")&amp;" "&amp;F584)</f>
        <v/>
      </c>
    </row>
    <row r="585">
      <c r="A585" s="1" t="n">
        <v>684</v>
      </c>
      <c r="B585" s="1">
        <f>A585</f>
        <v/>
      </c>
      <c r="C585" s="1" t="inlineStr">
        <is>
          <t>vQ20m03</t>
        </is>
      </c>
      <c r="D585" s="1" t="inlineStr">
        <is>
          <t>數值</t>
        </is>
      </c>
      <c r="E585" s="1" t="n">
        <v>2</v>
      </c>
      <c r="G585" s="1" t="inlineStr">
        <is>
          <t>range</t>
        </is>
      </c>
      <c r="H585" s="1" t="inlineStr">
        <is>
          <t>0,1</t>
        </is>
      </c>
      <c r="L585" s="1">
        <f>CONCAT(IF(D585="數值",CONCATENATE(G585&amp;"("&amp;C585&amp;","&amp;IF(ISERROR(SEARCH(",",H585,1)),(H585&amp;","&amp;H585),H585)&amp;IF(ISBLANK(I585),"",IF(ISERROR(SEARCH(",",I585,1)),CONCATENATE(","&amp;I585&amp;","&amp;I585),CONCATENATE(","&amp;I585))&amp;IF(ISBLANK(J585),"",IF(ISERROR(SEARCH(",",J585,1)),CONCATENATE(","&amp;J585&amp;","&amp;J585),CONCATENATE(","&amp;J585))&amp;IF(ISBLANK(K585),"",IF(ISERROR(SEARCH(",",K585,1)),CONCATENATE(","&amp;K585&amp;","&amp;K585),CONCATENATE(","&amp;K585))))))&amp;")","")&amp;" "&amp;F585)</f>
        <v/>
      </c>
    </row>
    <row r="586">
      <c r="A586" s="1" t="n">
        <v>685</v>
      </c>
      <c r="B586" s="1">
        <f>A586</f>
        <v/>
      </c>
      <c r="C586" s="1" t="inlineStr">
        <is>
          <t>vQ20m04</t>
        </is>
      </c>
      <c r="D586" s="1" t="inlineStr">
        <is>
          <t>數值</t>
        </is>
      </c>
      <c r="E586" s="1" t="n">
        <v>2</v>
      </c>
      <c r="G586" s="1" t="inlineStr">
        <is>
          <t>range</t>
        </is>
      </c>
      <c r="H586" s="1" t="inlineStr">
        <is>
          <t>0,1</t>
        </is>
      </c>
      <c r="L586" s="1">
        <f>CONCAT(IF(D586="數值",CONCATENATE(G586&amp;"("&amp;C586&amp;","&amp;IF(ISERROR(SEARCH(",",H586,1)),(H586&amp;","&amp;H586),H586)&amp;IF(ISBLANK(I586),"",IF(ISERROR(SEARCH(",",I586,1)),CONCATENATE(","&amp;I586&amp;","&amp;I586),CONCATENATE(","&amp;I586))&amp;IF(ISBLANK(J586),"",IF(ISERROR(SEARCH(",",J586,1)),CONCATENATE(","&amp;J586&amp;","&amp;J586),CONCATENATE(","&amp;J586))&amp;IF(ISBLANK(K586),"",IF(ISERROR(SEARCH(",",K586,1)),CONCATENATE(","&amp;K586&amp;","&amp;K586),CONCATENATE(","&amp;K586))))))&amp;")","")&amp;" "&amp;F586)</f>
        <v/>
      </c>
    </row>
    <row r="587">
      <c r="A587" s="1" t="n">
        <v>686</v>
      </c>
      <c r="B587" s="1">
        <f>A587</f>
        <v/>
      </c>
      <c r="C587" s="1" t="inlineStr">
        <is>
          <t>vQ20m05</t>
        </is>
      </c>
      <c r="D587" s="1" t="inlineStr">
        <is>
          <t>數值</t>
        </is>
      </c>
      <c r="E587" s="1" t="n">
        <v>2</v>
      </c>
      <c r="G587" s="1" t="inlineStr">
        <is>
          <t>range</t>
        </is>
      </c>
      <c r="H587" s="1" t="inlineStr">
        <is>
          <t>0,1</t>
        </is>
      </c>
      <c r="L587" s="1">
        <f>CONCAT(IF(D587="數值",CONCATENATE(G587&amp;"("&amp;C587&amp;","&amp;IF(ISERROR(SEARCH(",",H587,1)),(H587&amp;","&amp;H587),H587)&amp;IF(ISBLANK(I587),"",IF(ISERROR(SEARCH(",",I587,1)),CONCATENATE(","&amp;I587&amp;","&amp;I587),CONCATENATE(","&amp;I587))&amp;IF(ISBLANK(J587),"",IF(ISERROR(SEARCH(",",J587,1)),CONCATENATE(","&amp;J587&amp;","&amp;J587),CONCATENATE(","&amp;J587))&amp;IF(ISBLANK(K587),"",IF(ISERROR(SEARCH(",",K587,1)),CONCATENATE(","&amp;K587&amp;","&amp;K587),CONCATENATE(","&amp;K587))))))&amp;")","")&amp;" "&amp;F587)</f>
        <v/>
      </c>
    </row>
    <row r="588">
      <c r="A588" s="1" t="n">
        <v>687</v>
      </c>
      <c r="B588" s="1">
        <f>A588</f>
        <v/>
      </c>
      <c r="C588" s="1" t="inlineStr">
        <is>
          <t>vQ20m06</t>
        </is>
      </c>
      <c r="D588" s="1" t="inlineStr">
        <is>
          <t>數值</t>
        </is>
      </c>
      <c r="E588" s="1" t="n">
        <v>2</v>
      </c>
      <c r="G588" s="1" t="inlineStr">
        <is>
          <t>range</t>
        </is>
      </c>
      <c r="H588" s="1" t="inlineStr">
        <is>
          <t>0,1</t>
        </is>
      </c>
      <c r="L588" s="1">
        <f>CONCAT(IF(D588="數值",CONCATENATE(G588&amp;"("&amp;C588&amp;","&amp;IF(ISERROR(SEARCH(",",H588,1)),(H588&amp;","&amp;H588),H588)&amp;IF(ISBLANK(I588),"",IF(ISERROR(SEARCH(",",I588,1)),CONCATENATE(","&amp;I588&amp;","&amp;I588),CONCATENATE(","&amp;I588))&amp;IF(ISBLANK(J588),"",IF(ISERROR(SEARCH(",",J588,1)),CONCATENATE(","&amp;J588&amp;","&amp;J588),CONCATENATE(","&amp;J588))&amp;IF(ISBLANK(K588),"",IF(ISERROR(SEARCH(",",K588,1)),CONCATENATE(","&amp;K588&amp;","&amp;K588),CONCATENATE(","&amp;K588))))))&amp;")","")&amp;" "&amp;F588)</f>
        <v/>
      </c>
    </row>
    <row r="589">
      <c r="A589" s="1" t="n">
        <v>688</v>
      </c>
      <c r="B589" s="1">
        <f>A589</f>
        <v/>
      </c>
      <c r="C589" s="1" t="inlineStr">
        <is>
          <t>vQ20m88</t>
        </is>
      </c>
      <c r="D589" s="1" t="inlineStr">
        <is>
          <t>數值</t>
        </is>
      </c>
      <c r="E589" s="1" t="n">
        <v>2</v>
      </c>
      <c r="G589" s="1" t="inlineStr">
        <is>
          <t>range</t>
        </is>
      </c>
      <c r="H589" s="1" t="inlineStr">
        <is>
          <t>0,1</t>
        </is>
      </c>
      <c r="I589" s="1" t="inlineStr">
        <is>
          <t>96</t>
        </is>
      </c>
      <c r="L589" s="1">
        <f>CONCAT(IF(D589="數值",CONCATENATE(G589&amp;"("&amp;C589&amp;","&amp;IF(ISERROR(SEARCH(",",H589,1)),(H589&amp;","&amp;H589),H589)&amp;IF(ISBLANK(I589),"",IF(ISERROR(SEARCH(",",I589,1)),CONCATENATE(","&amp;I589&amp;","&amp;I589),CONCATENATE(","&amp;I589))&amp;IF(ISBLANK(J589),"",IF(ISERROR(SEARCH(",",J589,1)),CONCATENATE(","&amp;J589&amp;","&amp;J589),CONCATENATE(","&amp;J589))&amp;IF(ISBLANK(K589),"",IF(ISERROR(SEARCH(",",K589,1)),CONCATENATE(","&amp;K589&amp;","&amp;K589),CONCATENATE(","&amp;K589))))))&amp;")","")&amp;" "&amp;F589)</f>
        <v/>
      </c>
    </row>
    <row r="590">
      <c r="A590" s="1" t="n">
        <v>689</v>
      </c>
      <c r="B590" s="1">
        <f>A590</f>
        <v/>
      </c>
      <c r="C590" s="1" t="inlineStr">
        <is>
          <t>vQ20m90</t>
        </is>
      </c>
      <c r="D590" s="1" t="inlineStr">
        <is>
          <t>數值</t>
        </is>
      </c>
      <c r="E590" s="1" t="n">
        <v>2</v>
      </c>
      <c r="G590" s="1" t="inlineStr">
        <is>
          <t>range</t>
        </is>
      </c>
      <c r="H590" s="1" t="inlineStr">
        <is>
          <t>0,1</t>
        </is>
      </c>
      <c r="I590" s="1" t="inlineStr">
        <is>
          <t>96</t>
        </is>
      </c>
      <c r="L590" s="1">
        <f>CONCAT(IF(D590="數值",CONCATENATE(G590&amp;"("&amp;C590&amp;","&amp;IF(ISERROR(SEARCH(",",H590,1)),(H590&amp;","&amp;H590),H590)&amp;IF(ISBLANK(I590),"",IF(ISERROR(SEARCH(",",I590,1)),CONCATENATE(","&amp;I590&amp;","&amp;I590),CONCATENATE(","&amp;I590))&amp;IF(ISBLANK(J590),"",IF(ISERROR(SEARCH(",",J590,1)),CONCATENATE(","&amp;J590&amp;","&amp;J590),CONCATENATE(","&amp;J590))&amp;IF(ISBLANK(K590),"",IF(ISERROR(SEARCH(",",K590,1)),CONCATENATE(","&amp;K590&amp;","&amp;K590),CONCATENATE(","&amp;K590))))))&amp;")","")&amp;" "&amp;F590)</f>
        <v/>
      </c>
    </row>
    <row r="591">
      <c r="A591" s="1" t="n">
        <v>690</v>
      </c>
      <c r="B591" s="1">
        <f>A591</f>
        <v/>
      </c>
      <c r="C591" s="1" t="inlineStr">
        <is>
          <t>vCKQ20A</t>
        </is>
      </c>
      <c r="D591" s="1" t="inlineStr">
        <is>
          <t>數值</t>
        </is>
      </c>
      <c r="E591" s="1" t="n">
        <v>2</v>
      </c>
      <c r="G591" s="1" t="inlineStr">
        <is>
          <t>range</t>
        </is>
      </c>
    </row>
    <row r="592">
      <c r="A592" s="1" t="n">
        <v>691</v>
      </c>
      <c r="B592" s="1">
        <f>A592</f>
        <v/>
      </c>
      <c r="C592" s="1" t="inlineStr">
        <is>
          <t>vCKQ20B</t>
        </is>
      </c>
      <c r="D592" s="1" t="inlineStr">
        <is>
          <t>數值</t>
        </is>
      </c>
      <c r="E592" s="1" t="n">
        <v>2</v>
      </c>
      <c r="G592" s="1" t="inlineStr">
        <is>
          <t>range</t>
        </is>
      </c>
    </row>
    <row r="593">
      <c r="A593" s="1" t="n">
        <v>692</v>
      </c>
      <c r="B593" s="1">
        <f>A593</f>
        <v/>
      </c>
      <c r="C593" s="1" t="inlineStr">
        <is>
          <t>vQ24g1</t>
        </is>
      </c>
      <c r="D593" s="1" t="inlineStr">
        <is>
          <t>數值</t>
        </is>
      </c>
      <c r="E593" s="1" t="n">
        <v>4</v>
      </c>
      <c r="G593" s="1" t="inlineStr">
        <is>
          <t>range</t>
        </is>
      </c>
      <c r="H593" s="1" t="inlineStr">
        <is>
          <t>0,140</t>
        </is>
      </c>
      <c r="I593" s="1" t="inlineStr">
        <is>
          <t>997</t>
        </is>
      </c>
      <c r="J593" s="1" t="inlineStr">
        <is>
          <t>998</t>
        </is>
      </c>
      <c r="L593" s="1">
        <f>CONCAT(IF(D593="數值",CONCATENATE(G593&amp;"("&amp;C593&amp;","&amp;IF(ISERROR(SEARCH(",",H593,1)),(H593&amp;","&amp;H593),H593)&amp;IF(ISBLANK(I593),"",IF(ISERROR(SEARCH(",",I593,1)),CONCATENATE(","&amp;I593&amp;","&amp;I593),CONCATENATE(","&amp;I593))&amp;IF(ISBLANK(J593),"",IF(ISERROR(SEARCH(",",J593,1)),CONCATENATE(","&amp;J593&amp;","&amp;J593),CONCATENATE(","&amp;J593))&amp;IF(ISBLANK(K593),"",IF(ISERROR(SEARCH(",",K593,1)),CONCATENATE(","&amp;K593&amp;","&amp;K593),CONCATENATE(","&amp;K593))))))&amp;")","")&amp;" "&amp;F593)</f>
        <v/>
      </c>
    </row>
    <row r="594">
      <c r="A594" s="1" t="n">
        <v>693</v>
      </c>
      <c r="B594" s="1">
        <f>A594</f>
        <v/>
      </c>
      <c r="C594" s="1" t="inlineStr">
        <is>
          <t>vQ24g2</t>
        </is>
      </c>
      <c r="D594" s="1" t="inlineStr">
        <is>
          <t>數值</t>
        </is>
      </c>
      <c r="E594" s="1" t="n">
        <v>3</v>
      </c>
      <c r="G594" s="1" t="inlineStr">
        <is>
          <t>range</t>
        </is>
      </c>
      <c r="H594" s="1" t="inlineStr">
        <is>
          <t>0,59</t>
        </is>
      </c>
      <c r="I594" s="1" t="inlineStr">
        <is>
          <t>97</t>
        </is>
      </c>
      <c r="J594" s="1" t="inlineStr">
        <is>
          <t>98</t>
        </is>
      </c>
      <c r="L594" s="1">
        <f>CONCAT(IF(D594="數值",CONCATENATE(G594&amp;"("&amp;C594&amp;","&amp;IF(ISERROR(SEARCH(",",H594,1)),(H594&amp;","&amp;H594),H594)&amp;IF(ISBLANK(I594),"",IF(ISERROR(SEARCH(",",I594,1)),CONCATENATE(","&amp;I594&amp;","&amp;I594),CONCATENATE(","&amp;I594))&amp;IF(ISBLANK(J594),"",IF(ISERROR(SEARCH(",",J594,1)),CONCATENATE(","&amp;J594&amp;","&amp;J594),CONCATENATE(","&amp;J594))&amp;IF(ISBLANK(K594),"",IF(ISERROR(SEARCH(",",K594,1)),CONCATENATE(","&amp;K594&amp;","&amp;K594),CONCATENATE(","&amp;K594))))))&amp;")","")&amp;" "&amp;F594)</f>
        <v/>
      </c>
    </row>
    <row r="595">
      <c r="A595" s="1" t="n">
        <v>694</v>
      </c>
      <c r="B595" s="1">
        <f>A595</f>
        <v/>
      </c>
      <c r="C595" s="1" t="inlineStr">
        <is>
          <t>vCKQ24</t>
        </is>
      </c>
      <c r="D595" s="1" t="inlineStr">
        <is>
          <t>數值</t>
        </is>
      </c>
      <c r="E595" s="1" t="n">
        <v>2</v>
      </c>
      <c r="G595" s="1" t="inlineStr">
        <is>
          <t>range</t>
        </is>
      </c>
    </row>
    <row r="596">
      <c r="A596" s="1" t="n">
        <v>695</v>
      </c>
      <c r="B596" s="1">
        <f>A596</f>
        <v/>
      </c>
      <c r="C596" s="1" t="inlineStr">
        <is>
          <t>vQ25m01</t>
        </is>
      </c>
      <c r="D596" s="1" t="inlineStr">
        <is>
          <t>數值</t>
        </is>
      </c>
      <c r="E596" s="1" t="n">
        <v>2</v>
      </c>
      <c r="G596" s="1" t="inlineStr">
        <is>
          <t>range</t>
        </is>
      </c>
      <c r="H596" s="1" t="inlineStr">
        <is>
          <t>0,1</t>
        </is>
      </c>
      <c r="L596" s="1">
        <f>CONCAT(IF(D596="數值",CONCATENATE(G596&amp;"("&amp;C596&amp;","&amp;IF(ISERROR(SEARCH(",",H596,1)),(H596&amp;","&amp;H596),H596)&amp;IF(ISBLANK(I596),"",IF(ISERROR(SEARCH(",",I596,1)),CONCATENATE(","&amp;I596&amp;","&amp;I596),CONCATENATE(","&amp;I596))&amp;IF(ISBLANK(J596),"",IF(ISERROR(SEARCH(",",J596,1)),CONCATENATE(","&amp;J596&amp;","&amp;J596),CONCATENATE(","&amp;J596))&amp;IF(ISBLANK(K596),"",IF(ISERROR(SEARCH(",",K596,1)),CONCATENATE(","&amp;K596&amp;","&amp;K596),CONCATENATE(","&amp;K596))))))&amp;")","")&amp;" "&amp;F596)</f>
        <v/>
      </c>
    </row>
    <row r="597">
      <c r="A597" s="1" t="n">
        <v>696</v>
      </c>
      <c r="B597" s="1">
        <f>A597</f>
        <v/>
      </c>
      <c r="C597" s="1" t="inlineStr">
        <is>
          <t>vQ25m02</t>
        </is>
      </c>
      <c r="D597" s="1" t="inlineStr">
        <is>
          <t>數值</t>
        </is>
      </c>
      <c r="E597" s="1" t="n">
        <v>2</v>
      </c>
      <c r="G597" s="1" t="inlineStr">
        <is>
          <t>range</t>
        </is>
      </c>
      <c r="H597" s="1" t="inlineStr">
        <is>
          <t>0,1</t>
        </is>
      </c>
      <c r="L597" s="1">
        <f>CONCAT(IF(D597="數值",CONCATENATE(G597&amp;"("&amp;C597&amp;","&amp;IF(ISERROR(SEARCH(",",H597,1)),(H597&amp;","&amp;H597),H597)&amp;IF(ISBLANK(I597),"",IF(ISERROR(SEARCH(",",I597,1)),CONCATENATE(","&amp;I597&amp;","&amp;I597),CONCATENATE(","&amp;I597))&amp;IF(ISBLANK(J597),"",IF(ISERROR(SEARCH(",",J597,1)),CONCATENATE(","&amp;J597&amp;","&amp;J597),CONCATENATE(","&amp;J597))&amp;IF(ISBLANK(K597),"",IF(ISERROR(SEARCH(",",K597,1)),CONCATENATE(","&amp;K597&amp;","&amp;K597),CONCATENATE(","&amp;K597))))))&amp;")","")&amp;" "&amp;F597)</f>
        <v/>
      </c>
    </row>
    <row r="598">
      <c r="A598" s="1" t="n">
        <v>697</v>
      </c>
      <c r="B598" s="1">
        <f>A598</f>
        <v/>
      </c>
      <c r="C598" s="1" t="inlineStr">
        <is>
          <t>vQ25m03</t>
        </is>
      </c>
      <c r="D598" s="1" t="inlineStr">
        <is>
          <t>數值</t>
        </is>
      </c>
      <c r="E598" s="1" t="n">
        <v>2</v>
      </c>
      <c r="G598" s="1" t="inlineStr">
        <is>
          <t>range</t>
        </is>
      </c>
      <c r="H598" s="1" t="inlineStr">
        <is>
          <t>0,1</t>
        </is>
      </c>
      <c r="L598" s="1">
        <f>CONCAT(IF(D598="數值",CONCATENATE(G598&amp;"("&amp;C598&amp;","&amp;IF(ISERROR(SEARCH(",",H598,1)),(H598&amp;","&amp;H598),H598)&amp;IF(ISBLANK(I598),"",IF(ISERROR(SEARCH(",",I598,1)),CONCATENATE(","&amp;I598&amp;","&amp;I598),CONCATENATE(","&amp;I598))&amp;IF(ISBLANK(J598),"",IF(ISERROR(SEARCH(",",J598,1)),CONCATENATE(","&amp;J598&amp;","&amp;J598),CONCATENATE(","&amp;J598))&amp;IF(ISBLANK(K598),"",IF(ISERROR(SEARCH(",",K598,1)),CONCATENATE(","&amp;K598&amp;","&amp;K598),CONCATENATE(","&amp;K598))))))&amp;")","")&amp;" "&amp;F598)</f>
        <v/>
      </c>
    </row>
    <row r="599">
      <c r="A599" s="1" t="n">
        <v>698</v>
      </c>
      <c r="B599" s="1">
        <f>A599</f>
        <v/>
      </c>
      <c r="C599" s="1" t="inlineStr">
        <is>
          <t>vQ25m04</t>
        </is>
      </c>
      <c r="D599" s="1" t="inlineStr">
        <is>
          <t>數值</t>
        </is>
      </c>
      <c r="E599" s="1" t="n">
        <v>2</v>
      </c>
      <c r="G599" s="1" t="inlineStr">
        <is>
          <t>range</t>
        </is>
      </c>
      <c r="H599" s="1" t="inlineStr">
        <is>
          <t>0,1</t>
        </is>
      </c>
      <c r="L599" s="1">
        <f>CONCAT(IF(D599="數值",CONCATENATE(G599&amp;"("&amp;C599&amp;","&amp;IF(ISERROR(SEARCH(",",H599,1)),(H599&amp;","&amp;H599),H599)&amp;IF(ISBLANK(I599),"",IF(ISERROR(SEARCH(",",I599,1)),CONCATENATE(","&amp;I599&amp;","&amp;I599),CONCATENATE(","&amp;I599))&amp;IF(ISBLANK(J599),"",IF(ISERROR(SEARCH(",",J599,1)),CONCATENATE(","&amp;J599&amp;","&amp;J599),CONCATENATE(","&amp;J599))&amp;IF(ISBLANK(K599),"",IF(ISERROR(SEARCH(",",K599,1)),CONCATENATE(","&amp;K599&amp;","&amp;K599),CONCATENATE(","&amp;K599))))))&amp;")","")&amp;" "&amp;F599)</f>
        <v/>
      </c>
    </row>
    <row r="600">
      <c r="A600" s="1" t="n">
        <v>699</v>
      </c>
      <c r="B600" s="1">
        <f>A600</f>
        <v/>
      </c>
      <c r="C600" s="1" t="inlineStr">
        <is>
          <t>vQ25m05</t>
        </is>
      </c>
      <c r="D600" s="1" t="inlineStr">
        <is>
          <t>數值</t>
        </is>
      </c>
      <c r="E600" s="1" t="n">
        <v>2</v>
      </c>
      <c r="G600" s="1" t="inlineStr">
        <is>
          <t>range</t>
        </is>
      </c>
      <c r="H600" s="1" t="inlineStr">
        <is>
          <t>0,1</t>
        </is>
      </c>
      <c r="L600" s="1">
        <f>CONCAT(IF(D600="數值",CONCATENATE(G600&amp;"("&amp;C600&amp;","&amp;IF(ISERROR(SEARCH(",",H600,1)),(H600&amp;","&amp;H600),H600)&amp;IF(ISBLANK(I600),"",IF(ISERROR(SEARCH(",",I600,1)),CONCATENATE(","&amp;I600&amp;","&amp;I600),CONCATENATE(","&amp;I600))&amp;IF(ISBLANK(J600),"",IF(ISERROR(SEARCH(",",J600,1)),CONCATENATE(","&amp;J600&amp;","&amp;J600),CONCATENATE(","&amp;J600))&amp;IF(ISBLANK(K600),"",IF(ISERROR(SEARCH(",",K600,1)),CONCATENATE(","&amp;K600&amp;","&amp;K600),CONCATENATE(","&amp;K600))))))&amp;")","")&amp;" "&amp;F600)</f>
        <v/>
      </c>
    </row>
    <row r="601">
      <c r="A601" s="1" t="n">
        <v>700</v>
      </c>
      <c r="B601" s="1">
        <f>A601</f>
        <v/>
      </c>
      <c r="C601" s="1" t="inlineStr">
        <is>
          <t>vQ25m06</t>
        </is>
      </c>
      <c r="D601" s="1" t="inlineStr">
        <is>
          <t>數值</t>
        </is>
      </c>
      <c r="E601" s="1" t="n">
        <v>2</v>
      </c>
      <c r="G601" s="1" t="inlineStr">
        <is>
          <t>range</t>
        </is>
      </c>
      <c r="H601" s="1" t="inlineStr">
        <is>
          <t>0,1</t>
        </is>
      </c>
      <c r="L601" s="1">
        <f>CONCAT(IF(D601="數值",CONCATENATE(G601&amp;"("&amp;C601&amp;","&amp;IF(ISERROR(SEARCH(",",H601,1)),(H601&amp;","&amp;H601),H601)&amp;IF(ISBLANK(I601),"",IF(ISERROR(SEARCH(",",I601,1)),CONCATENATE(","&amp;I601&amp;","&amp;I601),CONCATENATE(","&amp;I601))&amp;IF(ISBLANK(J601),"",IF(ISERROR(SEARCH(",",J601,1)),CONCATENATE(","&amp;J601&amp;","&amp;J601),CONCATENATE(","&amp;J601))&amp;IF(ISBLANK(K601),"",IF(ISERROR(SEARCH(",",K601,1)),CONCATENATE(","&amp;K601&amp;","&amp;K601),CONCATENATE(","&amp;K601))))))&amp;")","")&amp;" "&amp;F601)</f>
        <v/>
      </c>
    </row>
    <row r="602">
      <c r="A602" s="1" t="n">
        <v>701</v>
      </c>
      <c r="B602" s="1">
        <f>A602</f>
        <v/>
      </c>
      <c r="C602" s="1" t="inlineStr">
        <is>
          <t>vQ25m07</t>
        </is>
      </c>
      <c r="D602" s="1" t="inlineStr">
        <is>
          <t>數值</t>
        </is>
      </c>
      <c r="E602" s="1" t="n">
        <v>2</v>
      </c>
      <c r="G602" s="1" t="inlineStr">
        <is>
          <t>range</t>
        </is>
      </c>
      <c r="H602" s="1" t="inlineStr">
        <is>
          <t>0,1</t>
        </is>
      </c>
      <c r="L602" s="1">
        <f>CONCAT(IF(D602="數值",CONCATENATE(G602&amp;"("&amp;C602&amp;","&amp;IF(ISERROR(SEARCH(",",H602,1)),(H602&amp;","&amp;H602),H602)&amp;IF(ISBLANK(I602),"",IF(ISERROR(SEARCH(",",I602,1)),CONCATENATE(","&amp;I602&amp;","&amp;I602),CONCATENATE(","&amp;I602))&amp;IF(ISBLANK(J602),"",IF(ISERROR(SEARCH(",",J602,1)),CONCATENATE(","&amp;J602&amp;","&amp;J602),CONCATENATE(","&amp;J602))&amp;IF(ISBLANK(K602),"",IF(ISERROR(SEARCH(",",K602,1)),CONCATENATE(","&amp;K602&amp;","&amp;K602),CONCATENATE(","&amp;K602))))))&amp;")","")&amp;" "&amp;F602)</f>
        <v/>
      </c>
    </row>
    <row r="603">
      <c r="A603" s="1" t="n">
        <v>702</v>
      </c>
      <c r="B603" s="1">
        <f>A603</f>
        <v/>
      </c>
      <c r="C603" s="1" t="inlineStr">
        <is>
          <t>vQ25m08</t>
        </is>
      </c>
      <c r="D603" s="1" t="inlineStr">
        <is>
          <t>數值</t>
        </is>
      </c>
      <c r="E603" s="1" t="n">
        <v>2</v>
      </c>
      <c r="G603" s="1" t="inlineStr">
        <is>
          <t>range</t>
        </is>
      </c>
      <c r="H603" s="1" t="inlineStr">
        <is>
          <t>0,1</t>
        </is>
      </c>
      <c r="L603" s="1">
        <f>CONCAT(IF(D603="數值",CONCATENATE(G603&amp;"("&amp;C603&amp;","&amp;IF(ISERROR(SEARCH(",",H603,1)),(H603&amp;","&amp;H603),H603)&amp;IF(ISBLANK(I603),"",IF(ISERROR(SEARCH(",",I603,1)),CONCATENATE(","&amp;I603&amp;","&amp;I603),CONCATENATE(","&amp;I603))&amp;IF(ISBLANK(J603),"",IF(ISERROR(SEARCH(",",J603,1)),CONCATENATE(","&amp;J603&amp;","&amp;J603),CONCATENATE(","&amp;J603))&amp;IF(ISBLANK(K603),"",IF(ISERROR(SEARCH(",",K603,1)),CONCATENATE(","&amp;K603&amp;","&amp;K603),CONCATENATE(","&amp;K603))))))&amp;")","")&amp;" "&amp;F603)</f>
        <v/>
      </c>
    </row>
    <row r="604">
      <c r="A604" s="1" t="n">
        <v>703</v>
      </c>
      <c r="B604" s="1">
        <f>A604</f>
        <v/>
      </c>
      <c r="C604" s="1" t="inlineStr">
        <is>
          <t>vQ25m09</t>
        </is>
      </c>
      <c r="D604" s="1" t="inlineStr">
        <is>
          <t>數值</t>
        </is>
      </c>
      <c r="E604" s="1" t="n">
        <v>2</v>
      </c>
      <c r="G604" s="1" t="inlineStr">
        <is>
          <t>range</t>
        </is>
      </c>
      <c r="H604" s="1" t="inlineStr">
        <is>
          <t>0,1</t>
        </is>
      </c>
      <c r="L604" s="1">
        <f>CONCAT(IF(D604="數值",CONCATENATE(G604&amp;"("&amp;C604&amp;","&amp;IF(ISERROR(SEARCH(",",H604,1)),(H604&amp;","&amp;H604),H604)&amp;IF(ISBLANK(I604),"",IF(ISERROR(SEARCH(",",I604,1)),CONCATENATE(","&amp;I604&amp;","&amp;I604),CONCATENATE(","&amp;I604))&amp;IF(ISBLANK(J604),"",IF(ISERROR(SEARCH(",",J604,1)),CONCATENATE(","&amp;J604&amp;","&amp;J604),CONCATENATE(","&amp;J604))&amp;IF(ISBLANK(K604),"",IF(ISERROR(SEARCH(",",K604,1)),CONCATENATE(","&amp;K604&amp;","&amp;K604),CONCATENATE(","&amp;K604))))))&amp;")","")&amp;" "&amp;F604)</f>
        <v/>
      </c>
    </row>
    <row r="605">
      <c r="A605" s="1" t="n">
        <v>704</v>
      </c>
      <c r="B605" s="1">
        <f>A605</f>
        <v/>
      </c>
      <c r="C605" s="1" t="inlineStr">
        <is>
          <t>vQ25m10</t>
        </is>
      </c>
      <c r="D605" s="1" t="inlineStr">
        <is>
          <t>數值</t>
        </is>
      </c>
      <c r="E605" s="1" t="n">
        <v>2</v>
      </c>
      <c r="G605" s="1" t="inlineStr">
        <is>
          <t>range</t>
        </is>
      </c>
      <c r="H605" s="1" t="inlineStr">
        <is>
          <t>0,1</t>
        </is>
      </c>
      <c r="I605" s="1" t="inlineStr">
        <is>
          <t>96</t>
        </is>
      </c>
      <c r="L605" s="1">
        <f>CONCAT(IF(D605="數值",CONCATENATE(G605&amp;"("&amp;C605&amp;","&amp;IF(ISERROR(SEARCH(",",H605,1)),(H605&amp;","&amp;H605),H605)&amp;IF(ISBLANK(I605),"",IF(ISERROR(SEARCH(",",I605,1)),CONCATENATE(","&amp;I605&amp;","&amp;I605),CONCATENATE(","&amp;I605))&amp;IF(ISBLANK(J605),"",IF(ISERROR(SEARCH(",",J605,1)),CONCATENATE(","&amp;J605&amp;","&amp;J605),CONCATENATE(","&amp;J605))&amp;IF(ISBLANK(K605),"",IF(ISERROR(SEARCH(",",K605,1)),CONCATENATE(","&amp;K605&amp;","&amp;K605),CONCATENATE(","&amp;K605))))))&amp;")","")&amp;" "&amp;F605)</f>
        <v/>
      </c>
    </row>
    <row r="606">
      <c r="A606" s="1" t="n">
        <v>705</v>
      </c>
      <c r="B606" s="1">
        <f>A606</f>
        <v/>
      </c>
      <c r="C606" s="1" t="inlineStr">
        <is>
          <t>vQ25m11</t>
        </is>
      </c>
      <c r="D606" s="1" t="inlineStr">
        <is>
          <t>數值</t>
        </is>
      </c>
      <c r="E606" s="1" t="n">
        <v>2</v>
      </c>
      <c r="G606" s="1" t="inlineStr">
        <is>
          <t>range</t>
        </is>
      </c>
      <c r="H606" s="1" t="inlineStr">
        <is>
          <t>0,1</t>
        </is>
      </c>
      <c r="I606" s="1" t="inlineStr">
        <is>
          <t>96</t>
        </is>
      </c>
      <c r="L606" s="1">
        <f>CONCAT(IF(D606="數值",CONCATENATE(G606&amp;"("&amp;C606&amp;","&amp;IF(ISERROR(SEARCH(",",H606,1)),(H606&amp;","&amp;H606),H606)&amp;IF(ISBLANK(I606),"",IF(ISERROR(SEARCH(",",I606,1)),CONCATENATE(","&amp;I606&amp;","&amp;I606),CONCATENATE(","&amp;I606))&amp;IF(ISBLANK(J606),"",IF(ISERROR(SEARCH(",",J606,1)),CONCATENATE(","&amp;J606&amp;","&amp;J606),CONCATENATE(","&amp;J606))&amp;IF(ISBLANK(K606),"",IF(ISERROR(SEARCH(",",K606,1)),CONCATENATE(","&amp;K606&amp;","&amp;K606),CONCATENATE(","&amp;K606))))))&amp;")","")&amp;" "&amp;F606)</f>
        <v/>
      </c>
    </row>
    <row r="607">
      <c r="A607" s="1" t="n">
        <v>706</v>
      </c>
      <c r="B607" s="1">
        <f>A607</f>
        <v/>
      </c>
      <c r="C607" s="1" t="inlineStr">
        <is>
          <t>vQ25m12</t>
        </is>
      </c>
      <c r="D607" s="1" t="inlineStr">
        <is>
          <t>數值</t>
        </is>
      </c>
      <c r="E607" s="1" t="n">
        <v>2</v>
      </c>
      <c r="G607" s="1" t="inlineStr">
        <is>
          <t>range</t>
        </is>
      </c>
      <c r="H607" s="1" t="inlineStr">
        <is>
          <t>0,1</t>
        </is>
      </c>
      <c r="I607" s="1" t="inlineStr">
        <is>
          <t>96</t>
        </is>
      </c>
      <c r="L607" s="1">
        <f>CONCAT(IF(D607="數值",CONCATENATE(G607&amp;"("&amp;C607&amp;","&amp;IF(ISERROR(SEARCH(",",H607,1)),(H607&amp;","&amp;H607),H607)&amp;IF(ISBLANK(I607),"",IF(ISERROR(SEARCH(",",I607,1)),CONCATENATE(","&amp;I607&amp;","&amp;I607),CONCATENATE(","&amp;I607))&amp;IF(ISBLANK(J607),"",IF(ISERROR(SEARCH(",",J607,1)),CONCATENATE(","&amp;J607&amp;","&amp;J607),CONCATENATE(","&amp;J607))&amp;IF(ISBLANK(K607),"",IF(ISERROR(SEARCH(",",K607,1)),CONCATENATE(","&amp;K607&amp;","&amp;K607),CONCATENATE(","&amp;K607))))))&amp;")","")&amp;" "&amp;F607)</f>
        <v/>
      </c>
    </row>
    <row r="608">
      <c r="A608" s="1" t="n">
        <v>707</v>
      </c>
      <c r="B608" s="1">
        <f>A608</f>
        <v/>
      </c>
      <c r="C608" s="1" t="inlineStr">
        <is>
          <t>vQ25m13</t>
        </is>
      </c>
      <c r="D608" s="1" t="inlineStr">
        <is>
          <t>數值</t>
        </is>
      </c>
      <c r="E608" s="1" t="n">
        <v>2</v>
      </c>
      <c r="G608" s="1" t="inlineStr">
        <is>
          <t>range</t>
        </is>
      </c>
      <c r="H608" s="1" t="inlineStr">
        <is>
          <t>0,1</t>
        </is>
      </c>
      <c r="I608" s="1" t="inlineStr">
        <is>
          <t>96</t>
        </is>
      </c>
      <c r="L608" s="1">
        <f>CONCAT(IF(D608="數值",CONCATENATE(G608&amp;"("&amp;C608&amp;","&amp;IF(ISERROR(SEARCH(",",H608,1)),(H608&amp;","&amp;H608),H608)&amp;IF(ISBLANK(I608),"",IF(ISERROR(SEARCH(",",I608,1)),CONCATENATE(","&amp;I608&amp;","&amp;I608),CONCATENATE(","&amp;I608))&amp;IF(ISBLANK(J608),"",IF(ISERROR(SEARCH(",",J608,1)),CONCATENATE(","&amp;J608&amp;","&amp;J608),CONCATENATE(","&amp;J608))&amp;IF(ISBLANK(K608),"",IF(ISERROR(SEARCH(",",K608,1)),CONCATENATE(","&amp;K608&amp;","&amp;K608),CONCATENATE(","&amp;K608))))))&amp;")","")&amp;" "&amp;F608)</f>
        <v/>
      </c>
    </row>
    <row r="609">
      <c r="A609" s="1" t="n">
        <v>708</v>
      </c>
      <c r="B609" s="1">
        <f>A609</f>
        <v/>
      </c>
      <c r="C609" s="1" t="inlineStr">
        <is>
          <t>vQ25m14</t>
        </is>
      </c>
      <c r="D609" s="1" t="inlineStr">
        <is>
          <t>數值</t>
        </is>
      </c>
      <c r="E609" s="1" t="n">
        <v>2</v>
      </c>
      <c r="G609" s="1" t="inlineStr">
        <is>
          <t>range</t>
        </is>
      </c>
      <c r="H609" s="1" t="inlineStr">
        <is>
          <t>0,1</t>
        </is>
      </c>
      <c r="I609" s="1" t="inlineStr">
        <is>
          <t>96</t>
        </is>
      </c>
      <c r="L609" s="1">
        <f>CONCAT(IF(D609="數值",CONCATENATE(G609&amp;"("&amp;C609&amp;","&amp;IF(ISERROR(SEARCH(",",H609,1)),(H609&amp;","&amp;H609),H609)&amp;IF(ISBLANK(I609),"",IF(ISERROR(SEARCH(",",I609,1)),CONCATENATE(","&amp;I609&amp;","&amp;I609),CONCATENATE(","&amp;I609))&amp;IF(ISBLANK(J609),"",IF(ISERROR(SEARCH(",",J609,1)),CONCATENATE(","&amp;J609&amp;","&amp;J609),CONCATENATE(","&amp;J609))&amp;IF(ISBLANK(K609),"",IF(ISERROR(SEARCH(",",K609,1)),CONCATENATE(","&amp;K609&amp;","&amp;K609),CONCATENATE(","&amp;K609))))))&amp;")","")&amp;" "&amp;F609)</f>
        <v/>
      </c>
    </row>
    <row r="610">
      <c r="A610" s="1" t="n">
        <v>709</v>
      </c>
      <c r="B610" s="1">
        <f>A610</f>
        <v/>
      </c>
      <c r="C610" s="1" t="inlineStr">
        <is>
          <t>vQ25m15</t>
        </is>
      </c>
      <c r="D610" s="1" t="inlineStr">
        <is>
          <t>數值</t>
        </is>
      </c>
      <c r="E610" s="1" t="n">
        <v>2</v>
      </c>
      <c r="G610" s="1" t="inlineStr">
        <is>
          <t>range</t>
        </is>
      </c>
      <c r="H610" s="1" t="inlineStr">
        <is>
          <t>0,1</t>
        </is>
      </c>
      <c r="I610" s="1" t="inlineStr">
        <is>
          <t>96</t>
        </is>
      </c>
      <c r="L610" s="1">
        <f>CONCAT(IF(D610="數值",CONCATENATE(G610&amp;"("&amp;C610&amp;","&amp;IF(ISERROR(SEARCH(",",H610,1)),(H610&amp;","&amp;H610),H610)&amp;IF(ISBLANK(I610),"",IF(ISERROR(SEARCH(",",I610,1)),CONCATENATE(","&amp;I610&amp;","&amp;I610),CONCATENATE(","&amp;I610))&amp;IF(ISBLANK(J610),"",IF(ISERROR(SEARCH(",",J610,1)),CONCATENATE(","&amp;J610&amp;","&amp;J610),CONCATENATE(","&amp;J610))&amp;IF(ISBLANK(K610),"",IF(ISERROR(SEARCH(",",K610,1)),CONCATENATE(","&amp;K610&amp;","&amp;K610),CONCATENATE(","&amp;K610))))))&amp;")","")&amp;" "&amp;F610)</f>
        <v/>
      </c>
    </row>
    <row r="611">
      <c r="A611" s="1" t="n">
        <v>710</v>
      </c>
      <c r="B611" s="1">
        <f>A611</f>
        <v/>
      </c>
      <c r="C611" s="1" t="inlineStr">
        <is>
          <t>vQ25m16</t>
        </is>
      </c>
      <c r="D611" s="1" t="inlineStr">
        <is>
          <t>數值</t>
        </is>
      </c>
      <c r="E611" s="1" t="n">
        <v>2</v>
      </c>
      <c r="G611" s="1" t="inlineStr">
        <is>
          <t>range</t>
        </is>
      </c>
      <c r="H611" s="1" t="inlineStr">
        <is>
          <t>0,1</t>
        </is>
      </c>
      <c r="I611" s="1" t="inlineStr">
        <is>
          <t>96</t>
        </is>
      </c>
      <c r="L611" s="1">
        <f>CONCAT(IF(D611="數值",CONCATENATE(G611&amp;"("&amp;C611&amp;","&amp;IF(ISERROR(SEARCH(",",H611,1)),(H611&amp;","&amp;H611),H611)&amp;IF(ISBLANK(I611),"",IF(ISERROR(SEARCH(",",I611,1)),CONCATENATE(","&amp;I611&amp;","&amp;I611),CONCATENATE(","&amp;I611))&amp;IF(ISBLANK(J611),"",IF(ISERROR(SEARCH(",",J611,1)),CONCATENATE(","&amp;J611&amp;","&amp;J611),CONCATENATE(","&amp;J611))&amp;IF(ISBLANK(K611),"",IF(ISERROR(SEARCH(",",K611,1)),CONCATENATE(","&amp;K611&amp;","&amp;K611),CONCATENATE(","&amp;K611))))))&amp;")","")&amp;" "&amp;F611)</f>
        <v/>
      </c>
    </row>
    <row r="612">
      <c r="A612" s="1" t="n">
        <v>711</v>
      </c>
      <c r="B612" s="1">
        <f>A612</f>
        <v/>
      </c>
      <c r="C612" s="1" t="inlineStr">
        <is>
          <t>vQ25m17</t>
        </is>
      </c>
      <c r="D612" s="1" t="inlineStr">
        <is>
          <t>數值</t>
        </is>
      </c>
      <c r="E612" s="1" t="n">
        <v>2</v>
      </c>
      <c r="G612" s="1" t="inlineStr">
        <is>
          <t>range</t>
        </is>
      </c>
      <c r="H612" s="1" t="inlineStr">
        <is>
          <t>0,1</t>
        </is>
      </c>
      <c r="I612" s="1" t="inlineStr">
        <is>
          <t>96</t>
        </is>
      </c>
      <c r="L612" s="1">
        <f>CONCAT(IF(D612="數值",CONCATENATE(G612&amp;"("&amp;C612&amp;","&amp;IF(ISERROR(SEARCH(",",H612,1)),(H612&amp;","&amp;H612),H612)&amp;IF(ISBLANK(I612),"",IF(ISERROR(SEARCH(",",I612,1)),CONCATENATE(","&amp;I612&amp;","&amp;I612),CONCATENATE(","&amp;I612))&amp;IF(ISBLANK(J612),"",IF(ISERROR(SEARCH(",",J612,1)),CONCATENATE(","&amp;J612&amp;","&amp;J612),CONCATENATE(","&amp;J612))&amp;IF(ISBLANK(K612),"",IF(ISERROR(SEARCH(",",K612,1)),CONCATENATE(","&amp;K612&amp;","&amp;K612),CONCATENATE(","&amp;K612))))))&amp;")","")&amp;" "&amp;F612)</f>
        <v/>
      </c>
    </row>
    <row r="613">
      <c r="A613" s="1" t="n">
        <v>712</v>
      </c>
      <c r="B613" s="1">
        <f>A613</f>
        <v/>
      </c>
      <c r="C613" s="1" t="inlineStr">
        <is>
          <t>vQ25m18</t>
        </is>
      </c>
      <c r="D613" s="1" t="inlineStr">
        <is>
          <t>數值</t>
        </is>
      </c>
      <c r="E613" s="1" t="n">
        <v>2</v>
      </c>
      <c r="G613" s="1" t="inlineStr">
        <is>
          <t>range</t>
        </is>
      </c>
      <c r="H613" s="1" t="inlineStr">
        <is>
          <t>0,1</t>
        </is>
      </c>
      <c r="I613" s="1" t="inlineStr">
        <is>
          <t>96</t>
        </is>
      </c>
      <c r="L613" s="1">
        <f>CONCAT(IF(D613="數值",CONCATENATE(G613&amp;"("&amp;C613&amp;","&amp;IF(ISERROR(SEARCH(",",H613,1)),(H613&amp;","&amp;H613),H613)&amp;IF(ISBLANK(I613),"",IF(ISERROR(SEARCH(",",I613,1)),CONCATENATE(","&amp;I613&amp;","&amp;I613),CONCATENATE(","&amp;I613))&amp;IF(ISBLANK(J613),"",IF(ISERROR(SEARCH(",",J613,1)),CONCATENATE(","&amp;J613&amp;","&amp;J613),CONCATENATE(","&amp;J613))&amp;IF(ISBLANK(K613),"",IF(ISERROR(SEARCH(",",K613,1)),CONCATENATE(","&amp;K613&amp;","&amp;K613),CONCATENATE(","&amp;K613))))))&amp;")","")&amp;" "&amp;F613)</f>
        <v/>
      </c>
    </row>
    <row r="614">
      <c r="A614" s="1" t="n">
        <v>713</v>
      </c>
      <c r="B614" s="1">
        <f>A614</f>
        <v/>
      </c>
      <c r="C614" s="1" t="inlineStr">
        <is>
          <t>vQ25m19</t>
        </is>
      </c>
      <c r="D614" s="1" t="inlineStr">
        <is>
          <t>數值</t>
        </is>
      </c>
      <c r="E614" s="1" t="n">
        <v>2</v>
      </c>
      <c r="G614" s="1" t="inlineStr">
        <is>
          <t>range</t>
        </is>
      </c>
      <c r="H614" s="1" t="inlineStr">
        <is>
          <t>0,1</t>
        </is>
      </c>
      <c r="I614" s="1" t="inlineStr">
        <is>
          <t>96</t>
        </is>
      </c>
      <c r="L614" s="1">
        <f>CONCAT(IF(D614="數值",CONCATENATE(G614&amp;"("&amp;C614&amp;","&amp;IF(ISERROR(SEARCH(",",H614,1)),(H614&amp;","&amp;H614),H614)&amp;IF(ISBLANK(I614),"",IF(ISERROR(SEARCH(",",I614,1)),CONCATENATE(","&amp;I614&amp;","&amp;I614),CONCATENATE(","&amp;I614))&amp;IF(ISBLANK(J614),"",IF(ISERROR(SEARCH(",",J614,1)),CONCATENATE(","&amp;J614&amp;","&amp;J614),CONCATENATE(","&amp;J614))&amp;IF(ISBLANK(K614),"",IF(ISERROR(SEARCH(",",K614,1)),CONCATENATE(","&amp;K614&amp;","&amp;K614),CONCATENATE(","&amp;K614))))))&amp;")","")&amp;" "&amp;F614)</f>
        <v/>
      </c>
    </row>
    <row r="615">
      <c r="A615" s="1" t="n">
        <v>714</v>
      </c>
      <c r="B615" s="1">
        <f>A615</f>
        <v/>
      </c>
      <c r="C615" s="1" t="inlineStr">
        <is>
          <t>vQ25m20</t>
        </is>
      </c>
      <c r="D615" s="1" t="inlineStr">
        <is>
          <t>數值</t>
        </is>
      </c>
      <c r="E615" s="1" t="n">
        <v>2</v>
      </c>
      <c r="G615" s="1" t="inlineStr">
        <is>
          <t>range</t>
        </is>
      </c>
      <c r="H615" s="1" t="inlineStr">
        <is>
          <t>0,1</t>
        </is>
      </c>
      <c r="I615" s="1" t="inlineStr">
        <is>
          <t>96</t>
        </is>
      </c>
      <c r="L615" s="1">
        <f>CONCAT(IF(D615="數值",CONCATENATE(G615&amp;"("&amp;C615&amp;","&amp;IF(ISERROR(SEARCH(",",H615,1)),(H615&amp;","&amp;H615),H615)&amp;IF(ISBLANK(I615),"",IF(ISERROR(SEARCH(",",I615,1)),CONCATENATE(","&amp;I615&amp;","&amp;I615),CONCATENATE(","&amp;I615))&amp;IF(ISBLANK(J615),"",IF(ISERROR(SEARCH(",",J615,1)),CONCATENATE(","&amp;J615&amp;","&amp;J615),CONCATENATE(","&amp;J615))&amp;IF(ISBLANK(K615),"",IF(ISERROR(SEARCH(",",K615,1)),CONCATENATE(","&amp;K615&amp;","&amp;K615),CONCATENATE(","&amp;K615))))))&amp;")","")&amp;" "&amp;F615)</f>
        <v/>
      </c>
    </row>
    <row r="616">
      <c r="A616" s="1" t="n">
        <v>715</v>
      </c>
      <c r="B616" s="1">
        <f>A616</f>
        <v/>
      </c>
      <c r="C616" s="1" t="inlineStr">
        <is>
          <t>vQ25m21</t>
        </is>
      </c>
      <c r="D616" s="1" t="inlineStr">
        <is>
          <t>數值</t>
        </is>
      </c>
      <c r="E616" s="1" t="n">
        <v>2</v>
      </c>
      <c r="G616" s="1" t="inlineStr">
        <is>
          <t>range</t>
        </is>
      </c>
      <c r="H616" s="1" t="inlineStr">
        <is>
          <t>0,1</t>
        </is>
      </c>
      <c r="I616" s="1" t="inlineStr">
        <is>
          <t>96</t>
        </is>
      </c>
      <c r="L616" s="1">
        <f>CONCAT(IF(D616="數值",CONCATENATE(G616&amp;"("&amp;C616&amp;","&amp;IF(ISERROR(SEARCH(",",H616,1)),(H616&amp;","&amp;H616),H616)&amp;IF(ISBLANK(I616),"",IF(ISERROR(SEARCH(",",I616,1)),CONCATENATE(","&amp;I616&amp;","&amp;I616),CONCATENATE(","&amp;I616))&amp;IF(ISBLANK(J616),"",IF(ISERROR(SEARCH(",",J616,1)),CONCATENATE(","&amp;J616&amp;","&amp;J616),CONCATENATE(","&amp;J616))&amp;IF(ISBLANK(K616),"",IF(ISERROR(SEARCH(",",K616,1)),CONCATENATE(","&amp;K616&amp;","&amp;K616),CONCATENATE(","&amp;K616))))))&amp;")","")&amp;" "&amp;F616)</f>
        <v/>
      </c>
    </row>
    <row r="617">
      <c r="A617" s="1" t="n">
        <v>716</v>
      </c>
      <c r="B617" s="1">
        <f>A617</f>
        <v/>
      </c>
      <c r="C617" s="1" t="inlineStr">
        <is>
          <t>vQ25m22</t>
        </is>
      </c>
      <c r="D617" s="1" t="inlineStr">
        <is>
          <t>數值</t>
        </is>
      </c>
      <c r="E617" s="1" t="n">
        <v>2</v>
      </c>
      <c r="G617" s="1" t="inlineStr">
        <is>
          <t>range</t>
        </is>
      </c>
      <c r="H617" s="1" t="inlineStr">
        <is>
          <t>0,1</t>
        </is>
      </c>
      <c r="I617" s="1" t="inlineStr">
        <is>
          <t>96</t>
        </is>
      </c>
      <c r="L617" s="1">
        <f>CONCAT(IF(D617="數值",CONCATENATE(G617&amp;"("&amp;C617&amp;","&amp;IF(ISERROR(SEARCH(",",H617,1)),(H617&amp;","&amp;H617),H617)&amp;IF(ISBLANK(I617),"",IF(ISERROR(SEARCH(",",I617,1)),CONCATENATE(","&amp;I617&amp;","&amp;I617),CONCATENATE(","&amp;I617))&amp;IF(ISBLANK(J617),"",IF(ISERROR(SEARCH(",",J617,1)),CONCATENATE(","&amp;J617&amp;","&amp;J617),CONCATENATE(","&amp;J617))&amp;IF(ISBLANK(K617),"",IF(ISERROR(SEARCH(",",K617,1)),CONCATENATE(","&amp;K617&amp;","&amp;K617),CONCATENATE(","&amp;K617))))))&amp;")","")&amp;" "&amp;F617)</f>
        <v/>
      </c>
    </row>
    <row r="618">
      <c r="A618" s="1" t="n">
        <v>717</v>
      </c>
      <c r="B618" s="1">
        <f>A618</f>
        <v/>
      </c>
      <c r="C618" s="1" t="inlineStr">
        <is>
          <t>vQ25m23</t>
        </is>
      </c>
      <c r="D618" s="1" t="inlineStr">
        <is>
          <t>數值</t>
        </is>
      </c>
      <c r="E618" s="1" t="n">
        <v>2</v>
      </c>
      <c r="G618" s="1" t="inlineStr">
        <is>
          <t>range</t>
        </is>
      </c>
      <c r="H618" s="1" t="inlineStr">
        <is>
          <t>0,1</t>
        </is>
      </c>
      <c r="I618" s="1" t="inlineStr">
        <is>
          <t>96</t>
        </is>
      </c>
      <c r="L618" s="1">
        <f>CONCAT(IF(D618="數值",CONCATENATE(G618&amp;"("&amp;C618&amp;","&amp;IF(ISERROR(SEARCH(",",H618,1)),(H618&amp;","&amp;H618),H618)&amp;IF(ISBLANK(I618),"",IF(ISERROR(SEARCH(",",I618,1)),CONCATENATE(","&amp;I618&amp;","&amp;I618),CONCATENATE(","&amp;I618))&amp;IF(ISBLANK(J618),"",IF(ISERROR(SEARCH(",",J618,1)),CONCATENATE(","&amp;J618&amp;","&amp;J618),CONCATENATE(","&amp;J618))&amp;IF(ISBLANK(K618),"",IF(ISERROR(SEARCH(",",K618,1)),CONCATENATE(","&amp;K618&amp;","&amp;K618),CONCATENATE(","&amp;K618))))))&amp;")","")&amp;" "&amp;F618)</f>
        <v/>
      </c>
    </row>
    <row r="619">
      <c r="A619" s="1" t="n">
        <v>718</v>
      </c>
      <c r="B619" s="1">
        <f>A619</f>
        <v/>
      </c>
      <c r="C619" s="1" t="inlineStr">
        <is>
          <t>vQ25m24</t>
        </is>
      </c>
      <c r="D619" s="1" t="inlineStr">
        <is>
          <t>數值</t>
        </is>
      </c>
      <c r="E619" s="1" t="n">
        <v>2</v>
      </c>
      <c r="G619" s="1" t="inlineStr">
        <is>
          <t>range</t>
        </is>
      </c>
      <c r="H619" s="1" t="inlineStr">
        <is>
          <t>0,1</t>
        </is>
      </c>
      <c r="I619" s="1" t="inlineStr">
        <is>
          <t>96</t>
        </is>
      </c>
      <c r="L619" s="1">
        <f>CONCAT(IF(D619="數值",CONCATENATE(G619&amp;"("&amp;C619&amp;","&amp;IF(ISERROR(SEARCH(",",H619,1)),(H619&amp;","&amp;H619),H619)&amp;IF(ISBLANK(I619),"",IF(ISERROR(SEARCH(",",I619,1)),CONCATENATE(","&amp;I619&amp;","&amp;I619),CONCATENATE(","&amp;I619))&amp;IF(ISBLANK(J619),"",IF(ISERROR(SEARCH(",",J619,1)),CONCATENATE(","&amp;J619&amp;","&amp;J619),CONCATENATE(","&amp;J619))&amp;IF(ISBLANK(K619),"",IF(ISERROR(SEARCH(",",K619,1)),CONCATENATE(","&amp;K619&amp;","&amp;K619),CONCATENATE(","&amp;K619))))))&amp;")","")&amp;" "&amp;F619)</f>
        <v/>
      </c>
    </row>
    <row r="620">
      <c r="A620" s="1" t="n">
        <v>719</v>
      </c>
      <c r="B620" s="1">
        <f>A620</f>
        <v/>
      </c>
      <c r="C620" s="1" t="inlineStr">
        <is>
          <t>vQ25m25</t>
        </is>
      </c>
      <c r="D620" s="1" t="inlineStr">
        <is>
          <t>數值</t>
        </is>
      </c>
      <c r="E620" s="1" t="n">
        <v>2</v>
      </c>
      <c r="G620" s="1" t="inlineStr">
        <is>
          <t>range</t>
        </is>
      </c>
      <c r="H620" s="1" t="inlineStr">
        <is>
          <t>0,1</t>
        </is>
      </c>
      <c r="I620" s="1" t="inlineStr">
        <is>
          <t>96</t>
        </is>
      </c>
      <c r="L620" s="1">
        <f>CONCAT(IF(D620="數值",CONCATENATE(G620&amp;"("&amp;C620&amp;","&amp;IF(ISERROR(SEARCH(",",H620,1)),(H620&amp;","&amp;H620),H620)&amp;IF(ISBLANK(I620),"",IF(ISERROR(SEARCH(",",I620,1)),CONCATENATE(","&amp;I620&amp;","&amp;I620),CONCATENATE(","&amp;I620))&amp;IF(ISBLANK(J620),"",IF(ISERROR(SEARCH(",",J620,1)),CONCATENATE(","&amp;J620&amp;","&amp;J620),CONCATENATE(","&amp;J620))&amp;IF(ISBLANK(K620),"",IF(ISERROR(SEARCH(",",K620,1)),CONCATENATE(","&amp;K620&amp;","&amp;K620),CONCATENATE(","&amp;K620))))))&amp;")","")&amp;" "&amp;F620)</f>
        <v/>
      </c>
    </row>
    <row r="621">
      <c r="A621" s="1" t="n">
        <v>720</v>
      </c>
      <c r="B621" s="1">
        <f>A621</f>
        <v/>
      </c>
      <c r="C621" s="1" t="inlineStr">
        <is>
          <t>vQ25m26</t>
        </is>
      </c>
      <c r="D621" s="1" t="inlineStr">
        <is>
          <t>數值</t>
        </is>
      </c>
      <c r="E621" s="1" t="n">
        <v>2</v>
      </c>
      <c r="G621" s="1" t="inlineStr">
        <is>
          <t>range</t>
        </is>
      </c>
      <c r="H621" s="1" t="inlineStr">
        <is>
          <t>0,1</t>
        </is>
      </c>
      <c r="I621" s="1" t="inlineStr">
        <is>
          <t>96</t>
        </is>
      </c>
      <c r="L621" s="1">
        <f>CONCAT(IF(D621="數值",CONCATENATE(G621&amp;"("&amp;C621&amp;","&amp;IF(ISERROR(SEARCH(",",H621,1)),(H621&amp;","&amp;H621),H621)&amp;IF(ISBLANK(I621),"",IF(ISERROR(SEARCH(",",I621,1)),CONCATENATE(","&amp;I621&amp;","&amp;I621),CONCATENATE(","&amp;I621))&amp;IF(ISBLANK(J621),"",IF(ISERROR(SEARCH(",",J621,1)),CONCATENATE(","&amp;J621&amp;","&amp;J621),CONCATENATE(","&amp;J621))&amp;IF(ISBLANK(K621),"",IF(ISERROR(SEARCH(",",K621,1)),CONCATENATE(","&amp;K621&amp;","&amp;K621),CONCATENATE(","&amp;K621))))))&amp;")","")&amp;" "&amp;F621)</f>
        <v/>
      </c>
    </row>
    <row r="622">
      <c r="A622" s="1" t="n">
        <v>721</v>
      </c>
      <c r="B622" s="1">
        <f>A622</f>
        <v/>
      </c>
      <c r="C622" s="1" t="inlineStr">
        <is>
          <t>vQ25m27</t>
        </is>
      </c>
      <c r="D622" s="1" t="inlineStr">
        <is>
          <t>數值</t>
        </is>
      </c>
      <c r="E622" s="1" t="n">
        <v>2</v>
      </c>
      <c r="G622" s="1" t="inlineStr">
        <is>
          <t>range</t>
        </is>
      </c>
      <c r="H622" s="1" t="inlineStr">
        <is>
          <t>0,1</t>
        </is>
      </c>
      <c r="I622" s="1" t="inlineStr">
        <is>
          <t>96</t>
        </is>
      </c>
      <c r="L622" s="1">
        <f>CONCAT(IF(D622="數值",CONCATENATE(G622&amp;"("&amp;C622&amp;","&amp;IF(ISERROR(SEARCH(",",H622,1)),(H622&amp;","&amp;H622),H622)&amp;IF(ISBLANK(I622),"",IF(ISERROR(SEARCH(",",I622,1)),CONCATENATE(","&amp;I622&amp;","&amp;I622),CONCATENATE(","&amp;I622))&amp;IF(ISBLANK(J622),"",IF(ISERROR(SEARCH(",",J622,1)),CONCATENATE(","&amp;J622&amp;","&amp;J622),CONCATENATE(","&amp;J622))&amp;IF(ISBLANK(K622),"",IF(ISERROR(SEARCH(",",K622,1)),CONCATENATE(","&amp;K622&amp;","&amp;K622),CONCATENATE(","&amp;K622))))))&amp;")","")&amp;" "&amp;F622)</f>
        <v/>
      </c>
    </row>
    <row r="623">
      <c r="A623" s="1" t="n">
        <v>722</v>
      </c>
      <c r="B623" s="1">
        <f>A623</f>
        <v/>
      </c>
      <c r="C623" s="1" t="inlineStr">
        <is>
          <t>vQ25m28</t>
        </is>
      </c>
      <c r="D623" s="1" t="inlineStr">
        <is>
          <t>數值</t>
        </is>
      </c>
      <c r="E623" s="1" t="n">
        <v>2</v>
      </c>
      <c r="G623" s="1" t="inlineStr">
        <is>
          <t>range</t>
        </is>
      </c>
      <c r="H623" s="1" t="inlineStr">
        <is>
          <t>0,1</t>
        </is>
      </c>
      <c r="I623" s="1" t="inlineStr">
        <is>
          <t>96</t>
        </is>
      </c>
      <c r="L623" s="1">
        <f>CONCAT(IF(D623="數值",CONCATENATE(G623&amp;"("&amp;C623&amp;","&amp;IF(ISERROR(SEARCH(",",H623,1)),(H623&amp;","&amp;H623),H623)&amp;IF(ISBLANK(I623),"",IF(ISERROR(SEARCH(",",I623,1)),CONCATENATE(","&amp;I623&amp;","&amp;I623),CONCATENATE(","&amp;I623))&amp;IF(ISBLANK(J623),"",IF(ISERROR(SEARCH(",",J623,1)),CONCATENATE(","&amp;J623&amp;","&amp;J623),CONCATENATE(","&amp;J623))&amp;IF(ISBLANK(K623),"",IF(ISERROR(SEARCH(",",K623,1)),CONCATENATE(","&amp;K623&amp;","&amp;K623),CONCATENATE(","&amp;K623))))))&amp;")","")&amp;" "&amp;F623)</f>
        <v/>
      </c>
    </row>
    <row r="624">
      <c r="A624" s="1" t="n">
        <v>723</v>
      </c>
      <c r="B624" s="1">
        <f>A624</f>
        <v/>
      </c>
      <c r="C624" s="1" t="inlineStr">
        <is>
          <t>vQ25m29</t>
        </is>
      </c>
      <c r="D624" s="1" t="inlineStr">
        <is>
          <t>數值</t>
        </is>
      </c>
      <c r="E624" s="1" t="n">
        <v>2</v>
      </c>
      <c r="G624" s="1" t="inlineStr">
        <is>
          <t>range</t>
        </is>
      </c>
      <c r="H624" s="1" t="inlineStr">
        <is>
          <t>0,1</t>
        </is>
      </c>
      <c r="I624" s="1" t="inlineStr">
        <is>
          <t>96</t>
        </is>
      </c>
      <c r="L624" s="1">
        <f>CONCAT(IF(D624="數值",CONCATENATE(G624&amp;"("&amp;C624&amp;","&amp;IF(ISERROR(SEARCH(",",H624,1)),(H624&amp;","&amp;H624),H624)&amp;IF(ISBLANK(I624),"",IF(ISERROR(SEARCH(",",I624,1)),CONCATENATE(","&amp;I624&amp;","&amp;I624),CONCATENATE(","&amp;I624))&amp;IF(ISBLANK(J624),"",IF(ISERROR(SEARCH(",",J624,1)),CONCATENATE(","&amp;J624&amp;","&amp;J624),CONCATENATE(","&amp;J624))&amp;IF(ISBLANK(K624),"",IF(ISERROR(SEARCH(",",K624,1)),CONCATENATE(","&amp;K624&amp;","&amp;K624),CONCATENATE(","&amp;K624))))))&amp;")","")&amp;" "&amp;F624)</f>
        <v/>
      </c>
    </row>
    <row r="625">
      <c r="A625" s="1" t="n">
        <v>724</v>
      </c>
      <c r="B625" s="1">
        <f>A625</f>
        <v/>
      </c>
      <c r="C625" s="1" t="inlineStr">
        <is>
          <t>vQ25m30</t>
        </is>
      </c>
      <c r="D625" s="1" t="inlineStr">
        <is>
          <t>數值</t>
        </is>
      </c>
      <c r="E625" s="1" t="n">
        <v>2</v>
      </c>
      <c r="G625" s="1" t="inlineStr">
        <is>
          <t>range</t>
        </is>
      </c>
      <c r="H625" s="1" t="inlineStr">
        <is>
          <t>0,1</t>
        </is>
      </c>
      <c r="I625" s="1" t="inlineStr">
        <is>
          <t>96</t>
        </is>
      </c>
      <c r="L625" s="1">
        <f>CONCAT(IF(D625="數值",CONCATENATE(G625&amp;"("&amp;C625&amp;","&amp;IF(ISERROR(SEARCH(",",H625,1)),(H625&amp;","&amp;H625),H625)&amp;IF(ISBLANK(I625),"",IF(ISERROR(SEARCH(",",I625,1)),CONCATENATE(","&amp;I625&amp;","&amp;I625),CONCATENATE(","&amp;I625))&amp;IF(ISBLANK(J625),"",IF(ISERROR(SEARCH(",",J625,1)),CONCATENATE(","&amp;J625&amp;","&amp;J625),CONCATENATE(","&amp;J625))&amp;IF(ISBLANK(K625),"",IF(ISERROR(SEARCH(",",K625,1)),CONCATENATE(","&amp;K625&amp;","&amp;K625),CONCATENATE(","&amp;K625))))))&amp;")","")&amp;" "&amp;F625)</f>
        <v/>
      </c>
    </row>
    <row r="626">
      <c r="A626" s="1" t="n">
        <v>725</v>
      </c>
      <c r="B626" s="1">
        <f>A626</f>
        <v/>
      </c>
      <c r="C626" s="1" t="inlineStr">
        <is>
          <t>vQ25m31</t>
        </is>
      </c>
      <c r="D626" s="1" t="inlineStr">
        <is>
          <t>數值</t>
        </is>
      </c>
      <c r="E626" s="1" t="n">
        <v>2</v>
      </c>
      <c r="G626" s="1" t="inlineStr">
        <is>
          <t>range</t>
        </is>
      </c>
      <c r="H626" s="1" t="inlineStr">
        <is>
          <t>0,1</t>
        </is>
      </c>
      <c r="I626" s="1" t="inlineStr">
        <is>
          <t>96</t>
        </is>
      </c>
      <c r="L626" s="1">
        <f>CONCAT(IF(D626="數值",CONCATENATE(G626&amp;"("&amp;C626&amp;","&amp;IF(ISERROR(SEARCH(",",H626,1)),(H626&amp;","&amp;H626),H626)&amp;IF(ISBLANK(I626),"",IF(ISERROR(SEARCH(",",I626,1)),CONCATENATE(","&amp;I626&amp;","&amp;I626),CONCATENATE(","&amp;I626))&amp;IF(ISBLANK(J626),"",IF(ISERROR(SEARCH(",",J626,1)),CONCATENATE(","&amp;J626&amp;","&amp;J626),CONCATENATE(","&amp;J626))&amp;IF(ISBLANK(K626),"",IF(ISERROR(SEARCH(",",K626,1)),CONCATENATE(","&amp;K626&amp;","&amp;K626),CONCATENATE(","&amp;K626))))))&amp;")","")&amp;" "&amp;F626)</f>
        <v/>
      </c>
    </row>
    <row r="627">
      <c r="A627" s="1" t="n">
        <v>726</v>
      </c>
      <c r="B627" s="1">
        <f>A627</f>
        <v/>
      </c>
      <c r="C627" s="1" t="inlineStr">
        <is>
          <t>vQ25m88</t>
        </is>
      </c>
      <c r="D627" s="1" t="inlineStr">
        <is>
          <t>數值</t>
        </is>
      </c>
      <c r="E627" s="1" t="n">
        <v>2</v>
      </c>
      <c r="G627" s="1" t="inlineStr">
        <is>
          <t>range</t>
        </is>
      </c>
      <c r="H627" s="1" t="inlineStr">
        <is>
          <t>0,1</t>
        </is>
      </c>
      <c r="I627" s="1" t="inlineStr">
        <is>
          <t>96</t>
        </is>
      </c>
      <c r="L627" s="1">
        <f>CONCAT(IF(D627="數值",CONCATENATE(G627&amp;"("&amp;C627&amp;","&amp;IF(ISERROR(SEARCH(",",H627,1)),(H627&amp;","&amp;H627),H627)&amp;IF(ISBLANK(I627),"",IF(ISERROR(SEARCH(",",I627,1)),CONCATENATE(","&amp;I627&amp;","&amp;I627),CONCATENATE(","&amp;I627))&amp;IF(ISBLANK(J627),"",IF(ISERROR(SEARCH(",",J627,1)),CONCATENATE(","&amp;J627&amp;","&amp;J627),CONCATENATE(","&amp;J627))&amp;IF(ISBLANK(K627),"",IF(ISERROR(SEARCH(",",K627,1)),CONCATENATE(","&amp;K627&amp;","&amp;K627),CONCATENATE(","&amp;K627))))))&amp;")","")&amp;" "&amp;F627)</f>
        <v/>
      </c>
    </row>
    <row r="628">
      <c r="A628" s="1" t="n">
        <v>727</v>
      </c>
      <c r="B628" s="1">
        <f>A628</f>
        <v/>
      </c>
      <c r="C628" s="1" t="inlineStr">
        <is>
          <t>vQ21g1</t>
        </is>
      </c>
      <c r="D628" s="1" t="inlineStr">
        <is>
          <t>數值</t>
        </is>
      </c>
      <c r="E628" s="1" t="n">
        <v>4</v>
      </c>
      <c r="G628" s="1" t="inlineStr">
        <is>
          <t>range</t>
        </is>
      </c>
      <c r="H628" s="1" t="inlineStr">
        <is>
          <t>0,140</t>
        </is>
      </c>
      <c r="I628" s="1" t="inlineStr">
        <is>
          <t>997</t>
        </is>
      </c>
      <c r="J628" s="1" t="inlineStr">
        <is>
          <t>998</t>
        </is>
      </c>
      <c r="L628" s="1">
        <f>CONCAT(IF(D628="數值",CONCATENATE(G628&amp;"("&amp;C628&amp;","&amp;IF(ISERROR(SEARCH(",",H628,1)),(H628&amp;","&amp;H628),H628)&amp;IF(ISBLANK(I628),"",IF(ISERROR(SEARCH(",",I628,1)),CONCATENATE(","&amp;I628&amp;","&amp;I628),CONCATENATE(","&amp;I628))&amp;IF(ISBLANK(J628),"",IF(ISERROR(SEARCH(",",J628,1)),CONCATENATE(","&amp;J628&amp;","&amp;J628),CONCATENATE(","&amp;J628))&amp;IF(ISBLANK(K628),"",IF(ISERROR(SEARCH(",",K628,1)),CONCATENATE(","&amp;K628&amp;","&amp;K628),CONCATENATE(","&amp;K628))))))&amp;")","")&amp;" "&amp;F628)</f>
        <v/>
      </c>
    </row>
    <row r="629">
      <c r="A629" s="1" t="n">
        <v>728</v>
      </c>
      <c r="B629" s="1">
        <f>A629</f>
        <v/>
      </c>
      <c r="C629" s="1" t="inlineStr">
        <is>
          <t>vQ21g2</t>
        </is>
      </c>
      <c r="D629" s="1" t="inlineStr">
        <is>
          <t>數值</t>
        </is>
      </c>
      <c r="E629" s="1" t="n">
        <v>3</v>
      </c>
      <c r="G629" s="1" t="inlineStr">
        <is>
          <t>range</t>
        </is>
      </c>
      <c r="H629" s="1" t="inlineStr">
        <is>
          <t>0,59</t>
        </is>
      </c>
      <c r="I629" s="1" t="inlineStr">
        <is>
          <t>97</t>
        </is>
      </c>
      <c r="J629" s="1" t="inlineStr">
        <is>
          <t>98</t>
        </is>
      </c>
      <c r="L629" s="1">
        <f>CONCAT(IF(D629="數值",CONCATENATE(G629&amp;"("&amp;C629&amp;","&amp;IF(ISERROR(SEARCH(",",H629,1)),(H629&amp;","&amp;H629),H629)&amp;IF(ISBLANK(I629),"",IF(ISERROR(SEARCH(",",I629,1)),CONCATENATE(","&amp;I629&amp;","&amp;I629),CONCATENATE(","&amp;I629))&amp;IF(ISBLANK(J629),"",IF(ISERROR(SEARCH(",",J629,1)),CONCATENATE(","&amp;J629&amp;","&amp;J629),CONCATENATE(","&amp;J629))&amp;IF(ISBLANK(K629),"",IF(ISERROR(SEARCH(",",K629,1)),CONCATENATE(","&amp;K629&amp;","&amp;K629),CONCATENATE(","&amp;K629))))))&amp;")","")&amp;" "&amp;F629)</f>
        <v/>
      </c>
    </row>
    <row r="630">
      <c r="A630" s="1" t="n">
        <v>729</v>
      </c>
      <c r="B630" s="1">
        <f>A630</f>
        <v/>
      </c>
      <c r="C630" s="1" t="inlineStr">
        <is>
          <t>vCKQ21</t>
        </is>
      </c>
      <c r="D630" s="1" t="inlineStr">
        <is>
          <t>數值</t>
        </is>
      </c>
      <c r="E630" s="1" t="n">
        <v>2</v>
      </c>
      <c r="G630" s="1" t="inlineStr">
        <is>
          <t>range</t>
        </is>
      </c>
    </row>
    <row r="631">
      <c r="A631" s="1" t="n">
        <v>730</v>
      </c>
      <c r="B631" s="1">
        <f>A631</f>
        <v/>
      </c>
      <c r="C631" s="1" t="inlineStr">
        <is>
          <t>vQ22m01</t>
        </is>
      </c>
      <c r="D631" s="1" t="inlineStr">
        <is>
          <t>數值</t>
        </is>
      </c>
      <c r="E631" s="1" t="n">
        <v>2</v>
      </c>
      <c r="G631" s="1" t="inlineStr">
        <is>
          <t>range</t>
        </is>
      </c>
      <c r="H631" s="1" t="inlineStr">
        <is>
          <t>0,1</t>
        </is>
      </c>
      <c r="L631" s="1">
        <f>CONCAT(IF(D631="數值",CONCATENATE(G631&amp;"("&amp;C631&amp;","&amp;IF(ISERROR(SEARCH(",",H631,1)),(H631&amp;","&amp;H631),H631)&amp;IF(ISBLANK(I631),"",IF(ISERROR(SEARCH(",",I631,1)),CONCATENATE(","&amp;I631&amp;","&amp;I631),CONCATENATE(","&amp;I631))&amp;IF(ISBLANK(J631),"",IF(ISERROR(SEARCH(",",J631,1)),CONCATENATE(","&amp;J631&amp;","&amp;J631),CONCATENATE(","&amp;J631))&amp;IF(ISBLANK(K631),"",IF(ISERROR(SEARCH(",",K631,1)),CONCATENATE(","&amp;K631&amp;","&amp;K631),CONCATENATE(","&amp;K631))))))&amp;")","")&amp;" "&amp;F631)</f>
        <v/>
      </c>
    </row>
    <row r="632">
      <c r="A632" s="1" t="n">
        <v>731</v>
      </c>
      <c r="B632" s="1">
        <f>A632</f>
        <v/>
      </c>
      <c r="C632" s="1" t="inlineStr">
        <is>
          <t>vQ22m02</t>
        </is>
      </c>
      <c r="D632" s="1" t="inlineStr">
        <is>
          <t>數值</t>
        </is>
      </c>
      <c r="E632" s="1" t="n">
        <v>2</v>
      </c>
      <c r="G632" s="1" t="inlineStr">
        <is>
          <t>range</t>
        </is>
      </c>
      <c r="H632" s="1" t="inlineStr">
        <is>
          <t>0,1</t>
        </is>
      </c>
      <c r="L632" s="1">
        <f>CONCAT(IF(D632="數值",CONCATENATE(G632&amp;"("&amp;C632&amp;","&amp;IF(ISERROR(SEARCH(",",H632,1)),(H632&amp;","&amp;H632),H632)&amp;IF(ISBLANK(I632),"",IF(ISERROR(SEARCH(",",I632,1)),CONCATENATE(","&amp;I632&amp;","&amp;I632),CONCATENATE(","&amp;I632))&amp;IF(ISBLANK(J632),"",IF(ISERROR(SEARCH(",",J632,1)),CONCATENATE(","&amp;J632&amp;","&amp;J632),CONCATENATE(","&amp;J632))&amp;IF(ISBLANK(K632),"",IF(ISERROR(SEARCH(",",K632,1)),CONCATENATE(","&amp;K632&amp;","&amp;K632),CONCATENATE(","&amp;K632))))))&amp;")","")&amp;" "&amp;F632)</f>
        <v/>
      </c>
    </row>
    <row r="633">
      <c r="A633" s="1" t="n">
        <v>732</v>
      </c>
      <c r="B633" s="1">
        <f>A633</f>
        <v/>
      </c>
      <c r="C633" s="1" t="inlineStr">
        <is>
          <t>vQ22m03</t>
        </is>
      </c>
      <c r="D633" s="1" t="inlineStr">
        <is>
          <t>數值</t>
        </is>
      </c>
      <c r="E633" s="1" t="n">
        <v>2</v>
      </c>
      <c r="G633" s="1" t="inlineStr">
        <is>
          <t>range</t>
        </is>
      </c>
      <c r="H633" s="1" t="inlineStr">
        <is>
          <t>0,1</t>
        </is>
      </c>
      <c r="L633" s="1">
        <f>CONCAT(IF(D633="數值",CONCATENATE(G633&amp;"("&amp;C633&amp;","&amp;IF(ISERROR(SEARCH(",",H633,1)),(H633&amp;","&amp;H633),H633)&amp;IF(ISBLANK(I633),"",IF(ISERROR(SEARCH(",",I633,1)),CONCATENATE(","&amp;I633&amp;","&amp;I633),CONCATENATE(","&amp;I633))&amp;IF(ISBLANK(J633),"",IF(ISERROR(SEARCH(",",J633,1)),CONCATENATE(","&amp;J633&amp;","&amp;J633),CONCATENATE(","&amp;J633))&amp;IF(ISBLANK(K633),"",IF(ISERROR(SEARCH(",",K633,1)),CONCATENATE(","&amp;K633&amp;","&amp;K633),CONCATENATE(","&amp;K633))))))&amp;")","")&amp;" "&amp;F633)</f>
        <v/>
      </c>
    </row>
    <row r="634">
      <c r="A634" s="1" t="n">
        <v>733</v>
      </c>
      <c r="B634" s="1">
        <f>A634</f>
        <v/>
      </c>
      <c r="C634" s="1" t="inlineStr">
        <is>
          <t>vQ22m04</t>
        </is>
      </c>
      <c r="D634" s="1" t="inlineStr">
        <is>
          <t>數值</t>
        </is>
      </c>
      <c r="E634" s="1" t="n">
        <v>2</v>
      </c>
      <c r="G634" s="1" t="inlineStr">
        <is>
          <t>range</t>
        </is>
      </c>
      <c r="H634" s="1" t="inlineStr">
        <is>
          <t>0,1</t>
        </is>
      </c>
      <c r="L634" s="1">
        <f>CONCAT(IF(D634="數值",CONCATENATE(G634&amp;"("&amp;C634&amp;","&amp;IF(ISERROR(SEARCH(",",H634,1)),(H634&amp;","&amp;H634),H634)&amp;IF(ISBLANK(I634),"",IF(ISERROR(SEARCH(",",I634,1)),CONCATENATE(","&amp;I634&amp;","&amp;I634),CONCATENATE(","&amp;I634))&amp;IF(ISBLANK(J634),"",IF(ISERROR(SEARCH(",",J634,1)),CONCATENATE(","&amp;J634&amp;","&amp;J634),CONCATENATE(","&amp;J634))&amp;IF(ISBLANK(K634),"",IF(ISERROR(SEARCH(",",K634,1)),CONCATENATE(","&amp;K634&amp;","&amp;K634),CONCATENATE(","&amp;K634))))))&amp;")","")&amp;" "&amp;F634)</f>
        <v/>
      </c>
    </row>
    <row r="635">
      <c r="A635" s="1" t="n">
        <v>734</v>
      </c>
      <c r="B635" s="1">
        <f>A635</f>
        <v/>
      </c>
      <c r="C635" s="1" t="inlineStr">
        <is>
          <t>vQ22m05</t>
        </is>
      </c>
      <c r="D635" s="1" t="inlineStr">
        <is>
          <t>數值</t>
        </is>
      </c>
      <c r="E635" s="1" t="n">
        <v>2</v>
      </c>
      <c r="G635" s="1" t="inlineStr">
        <is>
          <t>range</t>
        </is>
      </c>
      <c r="H635" s="1" t="inlineStr">
        <is>
          <t>0,1</t>
        </is>
      </c>
      <c r="L635" s="1">
        <f>CONCAT(IF(D635="數值",CONCATENATE(G635&amp;"("&amp;C635&amp;","&amp;IF(ISERROR(SEARCH(",",H635,1)),(H635&amp;","&amp;H635),H635)&amp;IF(ISBLANK(I635),"",IF(ISERROR(SEARCH(",",I635,1)),CONCATENATE(","&amp;I635&amp;","&amp;I635),CONCATENATE(","&amp;I635))&amp;IF(ISBLANK(J635),"",IF(ISERROR(SEARCH(",",J635,1)),CONCATENATE(","&amp;J635&amp;","&amp;J635),CONCATENATE(","&amp;J635))&amp;IF(ISBLANK(K635),"",IF(ISERROR(SEARCH(",",K635,1)),CONCATENATE(","&amp;K635&amp;","&amp;K635),CONCATENATE(","&amp;K635))))))&amp;")","")&amp;" "&amp;F635)</f>
        <v/>
      </c>
    </row>
    <row r="636">
      <c r="A636" s="1" t="n">
        <v>735</v>
      </c>
      <c r="B636" s="1">
        <f>A636</f>
        <v/>
      </c>
      <c r="C636" s="1" t="inlineStr">
        <is>
          <t>vQ22m06</t>
        </is>
      </c>
      <c r="D636" s="1" t="inlineStr">
        <is>
          <t>數值</t>
        </is>
      </c>
      <c r="E636" s="1" t="n">
        <v>2</v>
      </c>
      <c r="G636" s="1" t="inlineStr">
        <is>
          <t>range</t>
        </is>
      </c>
      <c r="H636" s="1" t="inlineStr">
        <is>
          <t>0,1</t>
        </is>
      </c>
      <c r="L636" s="1">
        <f>CONCAT(IF(D636="數值",CONCATENATE(G636&amp;"("&amp;C636&amp;","&amp;IF(ISERROR(SEARCH(",",H636,1)),(H636&amp;","&amp;H636),H636)&amp;IF(ISBLANK(I636),"",IF(ISERROR(SEARCH(",",I636,1)),CONCATENATE(","&amp;I636&amp;","&amp;I636),CONCATENATE(","&amp;I636))&amp;IF(ISBLANK(J636),"",IF(ISERROR(SEARCH(",",J636,1)),CONCATENATE(","&amp;J636&amp;","&amp;J636),CONCATENATE(","&amp;J636))&amp;IF(ISBLANK(K636),"",IF(ISERROR(SEARCH(",",K636,1)),CONCATENATE(","&amp;K636&amp;","&amp;K636),CONCATENATE(","&amp;K636))))))&amp;")","")&amp;" "&amp;F636)</f>
        <v/>
      </c>
    </row>
    <row r="637">
      <c r="A637" s="1" t="n">
        <v>736</v>
      </c>
      <c r="B637" s="1">
        <f>A637</f>
        <v/>
      </c>
      <c r="C637" s="1" t="inlineStr">
        <is>
          <t>vQ22m07</t>
        </is>
      </c>
      <c r="D637" s="1" t="inlineStr">
        <is>
          <t>數值</t>
        </is>
      </c>
      <c r="E637" s="1" t="n">
        <v>2</v>
      </c>
      <c r="G637" s="1" t="inlineStr">
        <is>
          <t>range</t>
        </is>
      </c>
      <c r="H637" s="1" t="inlineStr">
        <is>
          <t>0,1</t>
        </is>
      </c>
      <c r="L637" s="1">
        <f>CONCAT(IF(D637="數值",CONCATENATE(G637&amp;"("&amp;C637&amp;","&amp;IF(ISERROR(SEARCH(",",H637,1)),(H637&amp;","&amp;H637),H637)&amp;IF(ISBLANK(I637),"",IF(ISERROR(SEARCH(",",I637,1)),CONCATENATE(","&amp;I637&amp;","&amp;I637),CONCATENATE(","&amp;I637))&amp;IF(ISBLANK(J637),"",IF(ISERROR(SEARCH(",",J637,1)),CONCATENATE(","&amp;J637&amp;","&amp;J637),CONCATENATE(","&amp;J637))&amp;IF(ISBLANK(K637),"",IF(ISERROR(SEARCH(",",K637,1)),CONCATENATE(","&amp;K637&amp;","&amp;K637),CONCATENATE(","&amp;K637))))))&amp;")","")&amp;" "&amp;F637)</f>
        <v/>
      </c>
    </row>
    <row r="638">
      <c r="A638" s="1" t="n">
        <v>737</v>
      </c>
      <c r="B638" s="1">
        <f>A638</f>
        <v/>
      </c>
      <c r="C638" s="1" t="inlineStr">
        <is>
          <t>vQ22m08</t>
        </is>
      </c>
      <c r="D638" s="1" t="inlineStr">
        <is>
          <t>數值</t>
        </is>
      </c>
      <c r="E638" s="1" t="n">
        <v>2</v>
      </c>
      <c r="G638" s="1" t="inlineStr">
        <is>
          <t>range</t>
        </is>
      </c>
      <c r="H638" s="1" t="inlineStr">
        <is>
          <t>0,1</t>
        </is>
      </c>
      <c r="L638" s="1">
        <f>CONCAT(IF(D638="數值",CONCATENATE(G638&amp;"("&amp;C638&amp;","&amp;IF(ISERROR(SEARCH(",",H638,1)),(H638&amp;","&amp;H638),H638)&amp;IF(ISBLANK(I638),"",IF(ISERROR(SEARCH(",",I638,1)),CONCATENATE(","&amp;I638&amp;","&amp;I638),CONCATENATE(","&amp;I638))&amp;IF(ISBLANK(J638),"",IF(ISERROR(SEARCH(",",J638,1)),CONCATENATE(","&amp;J638&amp;","&amp;J638),CONCATENATE(","&amp;J638))&amp;IF(ISBLANK(K638),"",IF(ISERROR(SEARCH(",",K638,1)),CONCATENATE(","&amp;K638&amp;","&amp;K638),CONCATENATE(","&amp;K638))))))&amp;")","")&amp;" "&amp;F638)</f>
        <v/>
      </c>
    </row>
    <row r="639">
      <c r="A639" s="1" t="n">
        <v>738</v>
      </c>
      <c r="B639" s="1">
        <f>A639</f>
        <v/>
      </c>
      <c r="C639" s="1" t="inlineStr">
        <is>
          <t>vQ22m09</t>
        </is>
      </c>
      <c r="D639" s="1" t="inlineStr">
        <is>
          <t>數值</t>
        </is>
      </c>
      <c r="E639" s="1" t="n">
        <v>2</v>
      </c>
      <c r="G639" s="1" t="inlineStr">
        <is>
          <t>range</t>
        </is>
      </c>
      <c r="H639" s="1" t="inlineStr">
        <is>
          <t>0,1</t>
        </is>
      </c>
      <c r="L639" s="1">
        <f>CONCAT(IF(D639="數值",CONCATENATE(G639&amp;"("&amp;C639&amp;","&amp;IF(ISERROR(SEARCH(",",H639,1)),(H639&amp;","&amp;H639),H639)&amp;IF(ISBLANK(I639),"",IF(ISERROR(SEARCH(",",I639,1)),CONCATENATE(","&amp;I639&amp;","&amp;I639),CONCATENATE(","&amp;I639))&amp;IF(ISBLANK(J639),"",IF(ISERROR(SEARCH(",",J639,1)),CONCATENATE(","&amp;J639&amp;","&amp;J639),CONCATENATE(","&amp;J639))&amp;IF(ISBLANK(K639),"",IF(ISERROR(SEARCH(",",K639,1)),CONCATENATE(","&amp;K639&amp;","&amp;K639),CONCATENATE(","&amp;K639))))))&amp;")","")&amp;" "&amp;F639)</f>
        <v/>
      </c>
    </row>
    <row r="640">
      <c r="A640" s="1" t="n">
        <v>739</v>
      </c>
      <c r="B640" s="1">
        <f>A640</f>
        <v/>
      </c>
      <c r="C640" s="1" t="inlineStr">
        <is>
          <t>vQ22m10</t>
        </is>
      </c>
      <c r="D640" s="1" t="inlineStr">
        <is>
          <t>數值</t>
        </is>
      </c>
      <c r="E640" s="1" t="n">
        <v>2</v>
      </c>
      <c r="G640" s="1" t="inlineStr">
        <is>
          <t>range</t>
        </is>
      </c>
      <c r="H640" s="1" t="inlineStr">
        <is>
          <t>0,1</t>
        </is>
      </c>
      <c r="I640" s="1" t="inlineStr">
        <is>
          <t>96</t>
        </is>
      </c>
      <c r="L640" s="1">
        <f>CONCAT(IF(D640="數值",CONCATENATE(G640&amp;"("&amp;C640&amp;","&amp;IF(ISERROR(SEARCH(",",H640,1)),(H640&amp;","&amp;H640),H640)&amp;IF(ISBLANK(I640),"",IF(ISERROR(SEARCH(",",I640,1)),CONCATENATE(","&amp;I640&amp;","&amp;I640),CONCATENATE(","&amp;I640))&amp;IF(ISBLANK(J640),"",IF(ISERROR(SEARCH(",",J640,1)),CONCATENATE(","&amp;J640&amp;","&amp;J640),CONCATENATE(","&amp;J640))&amp;IF(ISBLANK(K640),"",IF(ISERROR(SEARCH(",",K640,1)),CONCATENATE(","&amp;K640&amp;","&amp;K640),CONCATENATE(","&amp;K640))))))&amp;")","")&amp;" "&amp;F640)</f>
        <v/>
      </c>
    </row>
    <row r="641">
      <c r="A641" s="1" t="n">
        <v>740</v>
      </c>
      <c r="B641" s="1">
        <f>A641</f>
        <v/>
      </c>
      <c r="C641" s="1" t="inlineStr">
        <is>
          <t>vQ22m11</t>
        </is>
      </c>
      <c r="D641" s="1" t="inlineStr">
        <is>
          <t>數值</t>
        </is>
      </c>
      <c r="E641" s="1" t="n">
        <v>2</v>
      </c>
      <c r="G641" s="1" t="inlineStr">
        <is>
          <t>range</t>
        </is>
      </c>
      <c r="H641" s="1" t="inlineStr">
        <is>
          <t>0,1</t>
        </is>
      </c>
      <c r="I641" s="1" t="inlineStr">
        <is>
          <t>96</t>
        </is>
      </c>
      <c r="L641" s="1">
        <f>CONCAT(IF(D641="數值",CONCATENATE(G641&amp;"("&amp;C641&amp;","&amp;IF(ISERROR(SEARCH(",",H641,1)),(H641&amp;","&amp;H641),H641)&amp;IF(ISBLANK(I641),"",IF(ISERROR(SEARCH(",",I641,1)),CONCATENATE(","&amp;I641&amp;","&amp;I641),CONCATENATE(","&amp;I641))&amp;IF(ISBLANK(J641),"",IF(ISERROR(SEARCH(",",J641,1)),CONCATENATE(","&amp;J641&amp;","&amp;J641),CONCATENATE(","&amp;J641))&amp;IF(ISBLANK(K641),"",IF(ISERROR(SEARCH(",",K641,1)),CONCATENATE(","&amp;K641&amp;","&amp;K641),CONCATENATE(","&amp;K641))))))&amp;")","")&amp;" "&amp;F641)</f>
        <v/>
      </c>
    </row>
    <row r="642">
      <c r="A642" s="1" t="n">
        <v>741</v>
      </c>
      <c r="B642" s="1">
        <f>A642</f>
        <v/>
      </c>
      <c r="C642" s="1" t="inlineStr">
        <is>
          <t>vQ22m12</t>
        </is>
      </c>
      <c r="D642" s="1" t="inlineStr">
        <is>
          <t>數值</t>
        </is>
      </c>
      <c r="E642" s="1" t="n">
        <v>2</v>
      </c>
      <c r="G642" s="1" t="inlineStr">
        <is>
          <t>range</t>
        </is>
      </c>
      <c r="H642" s="1" t="inlineStr">
        <is>
          <t>0,1</t>
        </is>
      </c>
      <c r="I642" s="1" t="inlineStr">
        <is>
          <t>96</t>
        </is>
      </c>
      <c r="L642" s="1">
        <f>CONCAT(IF(D642="數值",CONCATENATE(G642&amp;"("&amp;C642&amp;","&amp;IF(ISERROR(SEARCH(",",H642,1)),(H642&amp;","&amp;H642),H642)&amp;IF(ISBLANK(I642),"",IF(ISERROR(SEARCH(",",I642,1)),CONCATENATE(","&amp;I642&amp;","&amp;I642),CONCATENATE(","&amp;I642))&amp;IF(ISBLANK(J642),"",IF(ISERROR(SEARCH(",",J642,1)),CONCATENATE(","&amp;J642&amp;","&amp;J642),CONCATENATE(","&amp;J642))&amp;IF(ISBLANK(K642),"",IF(ISERROR(SEARCH(",",K642,1)),CONCATENATE(","&amp;K642&amp;","&amp;K642),CONCATENATE(","&amp;K642))))))&amp;")","")&amp;" "&amp;F642)</f>
        <v/>
      </c>
    </row>
    <row r="643">
      <c r="A643" s="1" t="n">
        <v>742</v>
      </c>
      <c r="B643" s="1">
        <f>A643</f>
        <v/>
      </c>
      <c r="C643" s="1" t="inlineStr">
        <is>
          <t>vQ22m13</t>
        </is>
      </c>
      <c r="D643" s="1" t="inlineStr">
        <is>
          <t>數值</t>
        </is>
      </c>
      <c r="E643" s="1" t="n">
        <v>2</v>
      </c>
      <c r="G643" s="1" t="inlineStr">
        <is>
          <t>range</t>
        </is>
      </c>
      <c r="H643" s="1" t="inlineStr">
        <is>
          <t>0,1</t>
        </is>
      </c>
      <c r="I643" s="1" t="inlineStr">
        <is>
          <t>96</t>
        </is>
      </c>
      <c r="L643" s="1">
        <f>CONCAT(IF(D643="數值",CONCATENATE(G643&amp;"("&amp;C643&amp;","&amp;IF(ISERROR(SEARCH(",",H643,1)),(H643&amp;","&amp;H643),H643)&amp;IF(ISBLANK(I643),"",IF(ISERROR(SEARCH(",",I643,1)),CONCATENATE(","&amp;I643&amp;","&amp;I643),CONCATENATE(","&amp;I643))&amp;IF(ISBLANK(J643),"",IF(ISERROR(SEARCH(",",J643,1)),CONCATENATE(","&amp;J643&amp;","&amp;J643),CONCATENATE(","&amp;J643))&amp;IF(ISBLANK(K643),"",IF(ISERROR(SEARCH(",",K643,1)),CONCATENATE(","&amp;K643&amp;","&amp;K643),CONCATENATE(","&amp;K643))))))&amp;")","")&amp;" "&amp;F643)</f>
        <v/>
      </c>
    </row>
    <row r="644">
      <c r="A644" s="1" t="n">
        <v>743</v>
      </c>
      <c r="B644" s="1">
        <f>A644</f>
        <v/>
      </c>
      <c r="C644" s="1" t="inlineStr">
        <is>
          <t>vQ22m14</t>
        </is>
      </c>
      <c r="D644" s="1" t="inlineStr">
        <is>
          <t>數值</t>
        </is>
      </c>
      <c r="E644" s="1" t="n">
        <v>2</v>
      </c>
      <c r="G644" s="1" t="inlineStr">
        <is>
          <t>range</t>
        </is>
      </c>
      <c r="H644" s="1" t="inlineStr">
        <is>
          <t>0,1</t>
        </is>
      </c>
      <c r="I644" s="1" t="inlineStr">
        <is>
          <t>96</t>
        </is>
      </c>
      <c r="L644" s="1">
        <f>CONCAT(IF(D644="數值",CONCATENATE(G644&amp;"("&amp;C644&amp;","&amp;IF(ISERROR(SEARCH(",",H644,1)),(H644&amp;","&amp;H644),H644)&amp;IF(ISBLANK(I644),"",IF(ISERROR(SEARCH(",",I644,1)),CONCATENATE(","&amp;I644&amp;","&amp;I644),CONCATENATE(","&amp;I644))&amp;IF(ISBLANK(J644),"",IF(ISERROR(SEARCH(",",J644,1)),CONCATENATE(","&amp;J644&amp;","&amp;J644),CONCATENATE(","&amp;J644))&amp;IF(ISBLANK(K644),"",IF(ISERROR(SEARCH(",",K644,1)),CONCATENATE(","&amp;K644&amp;","&amp;K644),CONCATENATE(","&amp;K644))))))&amp;")","")&amp;" "&amp;F644)</f>
        <v/>
      </c>
    </row>
    <row r="645">
      <c r="A645" s="1" t="n">
        <v>744</v>
      </c>
      <c r="B645" s="1">
        <f>A645</f>
        <v/>
      </c>
      <c r="C645" s="1" t="inlineStr">
        <is>
          <t>vQ22m15</t>
        </is>
      </c>
      <c r="D645" s="1" t="inlineStr">
        <is>
          <t>數值</t>
        </is>
      </c>
      <c r="E645" s="1" t="n">
        <v>2</v>
      </c>
      <c r="G645" s="1" t="inlineStr">
        <is>
          <t>range</t>
        </is>
      </c>
      <c r="H645" s="1" t="inlineStr">
        <is>
          <t>0,1</t>
        </is>
      </c>
      <c r="I645" s="1" t="inlineStr">
        <is>
          <t>96</t>
        </is>
      </c>
      <c r="L645" s="1">
        <f>CONCAT(IF(D645="數值",CONCATENATE(G645&amp;"("&amp;C645&amp;","&amp;IF(ISERROR(SEARCH(",",H645,1)),(H645&amp;","&amp;H645),H645)&amp;IF(ISBLANK(I645),"",IF(ISERROR(SEARCH(",",I645,1)),CONCATENATE(","&amp;I645&amp;","&amp;I645),CONCATENATE(","&amp;I645))&amp;IF(ISBLANK(J645),"",IF(ISERROR(SEARCH(",",J645,1)),CONCATENATE(","&amp;J645&amp;","&amp;J645),CONCATENATE(","&amp;J645))&amp;IF(ISBLANK(K645),"",IF(ISERROR(SEARCH(",",K645,1)),CONCATENATE(","&amp;K645&amp;","&amp;K645),CONCATENATE(","&amp;K645))))))&amp;")","")&amp;" "&amp;F645)</f>
        <v/>
      </c>
    </row>
    <row r="646">
      <c r="A646" s="1" t="n">
        <v>745</v>
      </c>
      <c r="B646" s="1">
        <f>A646</f>
        <v/>
      </c>
      <c r="C646" s="1" t="inlineStr">
        <is>
          <t>vQ22m16</t>
        </is>
      </c>
      <c r="D646" s="1" t="inlineStr">
        <is>
          <t>數值</t>
        </is>
      </c>
      <c r="E646" s="1" t="n">
        <v>2</v>
      </c>
      <c r="G646" s="1" t="inlineStr">
        <is>
          <t>range</t>
        </is>
      </c>
      <c r="H646" s="1" t="inlineStr">
        <is>
          <t>0,1</t>
        </is>
      </c>
      <c r="I646" s="1" t="inlineStr">
        <is>
          <t>96</t>
        </is>
      </c>
      <c r="L646" s="1">
        <f>CONCAT(IF(D646="數值",CONCATENATE(G646&amp;"("&amp;C646&amp;","&amp;IF(ISERROR(SEARCH(",",H646,1)),(H646&amp;","&amp;H646),H646)&amp;IF(ISBLANK(I646),"",IF(ISERROR(SEARCH(",",I646,1)),CONCATENATE(","&amp;I646&amp;","&amp;I646),CONCATENATE(","&amp;I646))&amp;IF(ISBLANK(J646),"",IF(ISERROR(SEARCH(",",J646,1)),CONCATENATE(","&amp;J646&amp;","&amp;J646),CONCATENATE(","&amp;J646))&amp;IF(ISBLANK(K646),"",IF(ISERROR(SEARCH(",",K646,1)),CONCATENATE(","&amp;K646&amp;","&amp;K646),CONCATENATE(","&amp;K646))))))&amp;")","")&amp;" "&amp;F646)</f>
        <v/>
      </c>
    </row>
    <row r="647">
      <c r="A647" s="1" t="n">
        <v>746</v>
      </c>
      <c r="B647" s="1">
        <f>A647</f>
        <v/>
      </c>
      <c r="C647" s="1" t="inlineStr">
        <is>
          <t>vQ22m17</t>
        </is>
      </c>
      <c r="D647" s="1" t="inlineStr">
        <is>
          <t>數值</t>
        </is>
      </c>
      <c r="E647" s="1" t="n">
        <v>2</v>
      </c>
      <c r="G647" s="1" t="inlineStr">
        <is>
          <t>range</t>
        </is>
      </c>
      <c r="H647" s="1" t="inlineStr">
        <is>
          <t>0,1</t>
        </is>
      </c>
      <c r="I647" s="1" t="inlineStr">
        <is>
          <t>96</t>
        </is>
      </c>
      <c r="L647" s="1">
        <f>CONCAT(IF(D647="數值",CONCATENATE(G647&amp;"("&amp;C647&amp;","&amp;IF(ISERROR(SEARCH(",",H647,1)),(H647&amp;","&amp;H647),H647)&amp;IF(ISBLANK(I647),"",IF(ISERROR(SEARCH(",",I647,1)),CONCATENATE(","&amp;I647&amp;","&amp;I647),CONCATENATE(","&amp;I647))&amp;IF(ISBLANK(J647),"",IF(ISERROR(SEARCH(",",J647,1)),CONCATENATE(","&amp;J647&amp;","&amp;J647),CONCATENATE(","&amp;J647))&amp;IF(ISBLANK(K647),"",IF(ISERROR(SEARCH(",",K647,1)),CONCATENATE(","&amp;K647&amp;","&amp;K647),CONCATENATE(","&amp;K647))))))&amp;")","")&amp;" "&amp;F647)</f>
        <v/>
      </c>
    </row>
    <row r="648">
      <c r="A648" s="1" t="n">
        <v>747</v>
      </c>
      <c r="B648" s="1">
        <f>A648</f>
        <v/>
      </c>
      <c r="C648" s="1" t="inlineStr">
        <is>
          <t>vQ22m18</t>
        </is>
      </c>
      <c r="D648" s="1" t="inlineStr">
        <is>
          <t>數值</t>
        </is>
      </c>
      <c r="E648" s="1" t="n">
        <v>2</v>
      </c>
      <c r="G648" s="1" t="inlineStr">
        <is>
          <t>range</t>
        </is>
      </c>
      <c r="H648" s="1" t="inlineStr">
        <is>
          <t>0,1</t>
        </is>
      </c>
      <c r="I648" s="1" t="inlineStr">
        <is>
          <t>96</t>
        </is>
      </c>
      <c r="L648" s="1">
        <f>CONCAT(IF(D648="數值",CONCATENATE(G648&amp;"("&amp;C648&amp;","&amp;IF(ISERROR(SEARCH(",",H648,1)),(H648&amp;","&amp;H648),H648)&amp;IF(ISBLANK(I648),"",IF(ISERROR(SEARCH(",",I648,1)),CONCATENATE(","&amp;I648&amp;","&amp;I648),CONCATENATE(","&amp;I648))&amp;IF(ISBLANK(J648),"",IF(ISERROR(SEARCH(",",J648,1)),CONCATENATE(","&amp;J648&amp;","&amp;J648),CONCATENATE(","&amp;J648))&amp;IF(ISBLANK(K648),"",IF(ISERROR(SEARCH(",",K648,1)),CONCATENATE(","&amp;K648&amp;","&amp;K648),CONCATENATE(","&amp;K648))))))&amp;")","")&amp;" "&amp;F648)</f>
        <v/>
      </c>
    </row>
    <row r="649">
      <c r="A649" s="1" t="n">
        <v>748</v>
      </c>
      <c r="B649" s="1">
        <f>A649</f>
        <v/>
      </c>
      <c r="C649" s="1" t="inlineStr">
        <is>
          <t>vQ22m19</t>
        </is>
      </c>
      <c r="D649" s="1" t="inlineStr">
        <is>
          <t>數值</t>
        </is>
      </c>
      <c r="E649" s="1" t="n">
        <v>2</v>
      </c>
      <c r="G649" s="1" t="inlineStr">
        <is>
          <t>range</t>
        </is>
      </c>
      <c r="H649" s="1" t="inlineStr">
        <is>
          <t>0,1</t>
        </is>
      </c>
      <c r="I649" s="1" t="inlineStr">
        <is>
          <t>96</t>
        </is>
      </c>
      <c r="L649" s="1">
        <f>CONCAT(IF(D649="數值",CONCATENATE(G649&amp;"("&amp;C649&amp;","&amp;IF(ISERROR(SEARCH(",",H649,1)),(H649&amp;","&amp;H649),H649)&amp;IF(ISBLANK(I649),"",IF(ISERROR(SEARCH(",",I649,1)),CONCATENATE(","&amp;I649&amp;","&amp;I649),CONCATENATE(","&amp;I649))&amp;IF(ISBLANK(J649),"",IF(ISERROR(SEARCH(",",J649,1)),CONCATENATE(","&amp;J649&amp;","&amp;J649),CONCATENATE(","&amp;J649))&amp;IF(ISBLANK(K649),"",IF(ISERROR(SEARCH(",",K649,1)),CONCATENATE(","&amp;K649&amp;","&amp;K649),CONCATENATE(","&amp;K649))))))&amp;")","")&amp;" "&amp;F649)</f>
        <v/>
      </c>
    </row>
    <row r="650">
      <c r="A650" s="1" t="n">
        <v>749</v>
      </c>
      <c r="B650" s="1">
        <f>A650</f>
        <v/>
      </c>
      <c r="C650" s="1" t="inlineStr">
        <is>
          <t>vQ22m20</t>
        </is>
      </c>
      <c r="D650" s="1" t="inlineStr">
        <is>
          <t>數值</t>
        </is>
      </c>
      <c r="E650" s="1" t="n">
        <v>2</v>
      </c>
      <c r="G650" s="1" t="inlineStr">
        <is>
          <t>range</t>
        </is>
      </c>
      <c r="H650" s="1" t="inlineStr">
        <is>
          <t>0,1</t>
        </is>
      </c>
      <c r="I650" s="1" t="inlineStr">
        <is>
          <t>96</t>
        </is>
      </c>
      <c r="L650" s="1">
        <f>CONCAT(IF(D650="數值",CONCATENATE(G650&amp;"("&amp;C650&amp;","&amp;IF(ISERROR(SEARCH(",",H650,1)),(H650&amp;","&amp;H650),H650)&amp;IF(ISBLANK(I650),"",IF(ISERROR(SEARCH(",",I650,1)),CONCATENATE(","&amp;I650&amp;","&amp;I650),CONCATENATE(","&amp;I650))&amp;IF(ISBLANK(J650),"",IF(ISERROR(SEARCH(",",J650,1)),CONCATENATE(","&amp;J650&amp;","&amp;J650),CONCATENATE(","&amp;J650))&amp;IF(ISBLANK(K650),"",IF(ISERROR(SEARCH(",",K650,1)),CONCATENATE(","&amp;K650&amp;","&amp;K650),CONCATENATE(","&amp;K650))))))&amp;")","")&amp;" "&amp;F650)</f>
        <v/>
      </c>
    </row>
    <row r="651">
      <c r="A651" s="1" t="n">
        <v>750</v>
      </c>
      <c r="B651" s="1">
        <f>A651</f>
        <v/>
      </c>
      <c r="C651" s="1" t="inlineStr">
        <is>
          <t>vQ22m21</t>
        </is>
      </c>
      <c r="D651" s="1" t="inlineStr">
        <is>
          <t>數值</t>
        </is>
      </c>
      <c r="E651" s="1" t="n">
        <v>2</v>
      </c>
      <c r="G651" s="1" t="inlineStr">
        <is>
          <t>range</t>
        </is>
      </c>
      <c r="H651" s="1" t="inlineStr">
        <is>
          <t>0,1</t>
        </is>
      </c>
      <c r="I651" s="1" t="inlineStr">
        <is>
          <t>96</t>
        </is>
      </c>
      <c r="L651" s="1">
        <f>CONCAT(IF(D651="數值",CONCATENATE(G651&amp;"("&amp;C651&amp;","&amp;IF(ISERROR(SEARCH(",",H651,1)),(H651&amp;","&amp;H651),H651)&amp;IF(ISBLANK(I651),"",IF(ISERROR(SEARCH(",",I651,1)),CONCATENATE(","&amp;I651&amp;","&amp;I651),CONCATENATE(","&amp;I651))&amp;IF(ISBLANK(J651),"",IF(ISERROR(SEARCH(",",J651,1)),CONCATENATE(","&amp;J651&amp;","&amp;J651),CONCATENATE(","&amp;J651))&amp;IF(ISBLANK(K651),"",IF(ISERROR(SEARCH(",",K651,1)),CONCATENATE(","&amp;K651&amp;","&amp;K651),CONCATENATE(","&amp;K651))))))&amp;")","")&amp;" "&amp;F651)</f>
        <v/>
      </c>
    </row>
    <row r="652">
      <c r="A652" s="1" t="n">
        <v>751</v>
      </c>
      <c r="B652" s="1">
        <f>A652</f>
        <v/>
      </c>
      <c r="C652" s="1" t="inlineStr">
        <is>
          <t>vQ22m22</t>
        </is>
      </c>
      <c r="D652" s="1" t="inlineStr">
        <is>
          <t>數值</t>
        </is>
      </c>
      <c r="E652" s="1" t="n">
        <v>2</v>
      </c>
      <c r="G652" s="1" t="inlineStr">
        <is>
          <t>range</t>
        </is>
      </c>
      <c r="H652" s="1" t="inlineStr">
        <is>
          <t>0,1</t>
        </is>
      </c>
      <c r="I652" s="1" t="inlineStr">
        <is>
          <t>96</t>
        </is>
      </c>
      <c r="L652" s="1">
        <f>CONCAT(IF(D652="數值",CONCATENATE(G652&amp;"("&amp;C652&amp;","&amp;IF(ISERROR(SEARCH(",",H652,1)),(H652&amp;","&amp;H652),H652)&amp;IF(ISBLANK(I652),"",IF(ISERROR(SEARCH(",",I652,1)),CONCATENATE(","&amp;I652&amp;","&amp;I652),CONCATENATE(","&amp;I652))&amp;IF(ISBLANK(J652),"",IF(ISERROR(SEARCH(",",J652,1)),CONCATENATE(","&amp;J652&amp;","&amp;J652),CONCATENATE(","&amp;J652))&amp;IF(ISBLANK(K652),"",IF(ISERROR(SEARCH(",",K652,1)),CONCATENATE(","&amp;K652&amp;","&amp;K652),CONCATENATE(","&amp;K652))))))&amp;")","")&amp;" "&amp;F652)</f>
        <v/>
      </c>
    </row>
    <row r="653">
      <c r="A653" s="1" t="n">
        <v>752</v>
      </c>
      <c r="B653" s="1">
        <f>A653</f>
        <v/>
      </c>
      <c r="C653" s="1" t="inlineStr">
        <is>
          <t>vQ22m23</t>
        </is>
      </c>
      <c r="D653" s="1" t="inlineStr">
        <is>
          <t>數值</t>
        </is>
      </c>
      <c r="E653" s="1" t="n">
        <v>2</v>
      </c>
      <c r="G653" s="1" t="inlineStr">
        <is>
          <t>range</t>
        </is>
      </c>
      <c r="H653" s="1" t="inlineStr">
        <is>
          <t>0,1</t>
        </is>
      </c>
      <c r="I653" s="1" t="inlineStr">
        <is>
          <t>96</t>
        </is>
      </c>
      <c r="L653" s="1">
        <f>CONCAT(IF(D653="數值",CONCATENATE(G653&amp;"("&amp;C653&amp;","&amp;IF(ISERROR(SEARCH(",",H653,1)),(H653&amp;","&amp;H653),H653)&amp;IF(ISBLANK(I653),"",IF(ISERROR(SEARCH(",",I653,1)),CONCATENATE(","&amp;I653&amp;","&amp;I653),CONCATENATE(","&amp;I653))&amp;IF(ISBLANK(J653),"",IF(ISERROR(SEARCH(",",J653,1)),CONCATENATE(","&amp;J653&amp;","&amp;J653),CONCATENATE(","&amp;J653))&amp;IF(ISBLANK(K653),"",IF(ISERROR(SEARCH(",",K653,1)),CONCATENATE(","&amp;K653&amp;","&amp;K653),CONCATENATE(","&amp;K653))))))&amp;")","")&amp;" "&amp;F653)</f>
        <v/>
      </c>
    </row>
    <row r="654">
      <c r="A654" s="1" t="n">
        <v>753</v>
      </c>
      <c r="B654" s="1">
        <f>A654</f>
        <v/>
      </c>
      <c r="C654" s="1" t="inlineStr">
        <is>
          <t>vQ22m24</t>
        </is>
      </c>
      <c r="D654" s="1" t="inlineStr">
        <is>
          <t>數值</t>
        </is>
      </c>
      <c r="E654" s="1" t="n">
        <v>2</v>
      </c>
      <c r="G654" s="1" t="inlineStr">
        <is>
          <t>range</t>
        </is>
      </c>
      <c r="H654" s="1" t="inlineStr">
        <is>
          <t>0,1</t>
        </is>
      </c>
      <c r="I654" s="1" t="inlineStr">
        <is>
          <t>96</t>
        </is>
      </c>
      <c r="L654" s="1">
        <f>CONCAT(IF(D654="數值",CONCATENATE(G654&amp;"("&amp;C654&amp;","&amp;IF(ISERROR(SEARCH(",",H654,1)),(H654&amp;","&amp;H654),H654)&amp;IF(ISBLANK(I654),"",IF(ISERROR(SEARCH(",",I654,1)),CONCATENATE(","&amp;I654&amp;","&amp;I654),CONCATENATE(","&amp;I654))&amp;IF(ISBLANK(J654),"",IF(ISERROR(SEARCH(",",J654,1)),CONCATENATE(","&amp;J654&amp;","&amp;J654),CONCATENATE(","&amp;J654))&amp;IF(ISBLANK(K654),"",IF(ISERROR(SEARCH(",",K654,1)),CONCATENATE(","&amp;K654&amp;","&amp;K654),CONCATENATE(","&amp;K654))))))&amp;")","")&amp;" "&amp;F654)</f>
        <v/>
      </c>
    </row>
    <row r="655">
      <c r="A655" s="1" t="n">
        <v>754</v>
      </c>
      <c r="B655" s="1">
        <f>A655</f>
        <v/>
      </c>
      <c r="C655" s="1" t="inlineStr">
        <is>
          <t>vQ22m25</t>
        </is>
      </c>
      <c r="D655" s="1" t="inlineStr">
        <is>
          <t>數值</t>
        </is>
      </c>
      <c r="E655" s="1" t="n">
        <v>2</v>
      </c>
      <c r="G655" s="1" t="inlineStr">
        <is>
          <t>range</t>
        </is>
      </c>
      <c r="H655" s="1" t="inlineStr">
        <is>
          <t>0,1</t>
        </is>
      </c>
      <c r="I655" s="1" t="inlineStr">
        <is>
          <t>96</t>
        </is>
      </c>
      <c r="L655" s="1">
        <f>CONCAT(IF(D655="數值",CONCATENATE(G655&amp;"("&amp;C655&amp;","&amp;IF(ISERROR(SEARCH(",",H655,1)),(H655&amp;","&amp;H655),H655)&amp;IF(ISBLANK(I655),"",IF(ISERROR(SEARCH(",",I655,1)),CONCATENATE(","&amp;I655&amp;","&amp;I655),CONCATENATE(","&amp;I655))&amp;IF(ISBLANK(J655),"",IF(ISERROR(SEARCH(",",J655,1)),CONCATENATE(","&amp;J655&amp;","&amp;J655),CONCATENATE(","&amp;J655))&amp;IF(ISBLANK(K655),"",IF(ISERROR(SEARCH(",",K655,1)),CONCATENATE(","&amp;K655&amp;","&amp;K655),CONCATENATE(","&amp;K655))))))&amp;")","")&amp;" "&amp;F655)</f>
        <v/>
      </c>
    </row>
    <row r="656">
      <c r="A656" s="1" t="n">
        <v>755</v>
      </c>
      <c r="B656" s="1">
        <f>A656</f>
        <v/>
      </c>
      <c r="C656" s="1" t="inlineStr">
        <is>
          <t>vQ22m26</t>
        </is>
      </c>
      <c r="D656" s="1" t="inlineStr">
        <is>
          <t>數值</t>
        </is>
      </c>
      <c r="E656" s="1" t="n">
        <v>2</v>
      </c>
      <c r="G656" s="1" t="inlineStr">
        <is>
          <t>range</t>
        </is>
      </c>
      <c r="H656" s="1" t="inlineStr">
        <is>
          <t>0,1</t>
        </is>
      </c>
      <c r="I656" s="1" t="inlineStr">
        <is>
          <t>96</t>
        </is>
      </c>
      <c r="L656" s="1">
        <f>CONCAT(IF(D656="數值",CONCATENATE(G656&amp;"("&amp;C656&amp;","&amp;IF(ISERROR(SEARCH(",",H656,1)),(H656&amp;","&amp;H656),H656)&amp;IF(ISBLANK(I656),"",IF(ISERROR(SEARCH(",",I656,1)),CONCATENATE(","&amp;I656&amp;","&amp;I656),CONCATENATE(","&amp;I656))&amp;IF(ISBLANK(J656),"",IF(ISERROR(SEARCH(",",J656,1)),CONCATENATE(","&amp;J656&amp;","&amp;J656),CONCATENATE(","&amp;J656))&amp;IF(ISBLANK(K656),"",IF(ISERROR(SEARCH(",",K656,1)),CONCATENATE(","&amp;K656&amp;","&amp;K656),CONCATENATE(","&amp;K656))))))&amp;")","")&amp;" "&amp;F656)</f>
        <v/>
      </c>
    </row>
    <row r="657">
      <c r="A657" s="1" t="n">
        <v>756</v>
      </c>
      <c r="B657" s="1">
        <f>A657</f>
        <v/>
      </c>
      <c r="C657" s="1" t="inlineStr">
        <is>
          <t>vQ22m27</t>
        </is>
      </c>
      <c r="D657" s="1" t="inlineStr">
        <is>
          <t>數值</t>
        </is>
      </c>
      <c r="E657" s="1" t="n">
        <v>2</v>
      </c>
      <c r="G657" s="1" t="inlineStr">
        <is>
          <t>range</t>
        </is>
      </c>
      <c r="H657" s="1" t="inlineStr">
        <is>
          <t>0,1</t>
        </is>
      </c>
      <c r="I657" s="1" t="inlineStr">
        <is>
          <t>96</t>
        </is>
      </c>
      <c r="L657" s="1">
        <f>CONCAT(IF(D657="數值",CONCATENATE(G657&amp;"("&amp;C657&amp;","&amp;IF(ISERROR(SEARCH(",",H657,1)),(H657&amp;","&amp;H657),H657)&amp;IF(ISBLANK(I657),"",IF(ISERROR(SEARCH(",",I657,1)),CONCATENATE(","&amp;I657&amp;","&amp;I657),CONCATENATE(","&amp;I657))&amp;IF(ISBLANK(J657),"",IF(ISERROR(SEARCH(",",J657,1)),CONCATENATE(","&amp;J657&amp;","&amp;J657),CONCATENATE(","&amp;J657))&amp;IF(ISBLANK(K657),"",IF(ISERROR(SEARCH(",",K657,1)),CONCATENATE(","&amp;K657&amp;","&amp;K657),CONCATENATE(","&amp;K657))))))&amp;")","")&amp;" "&amp;F657)</f>
        <v/>
      </c>
    </row>
    <row r="658">
      <c r="A658" s="1" t="n">
        <v>757</v>
      </c>
      <c r="B658" s="1">
        <f>A658</f>
        <v/>
      </c>
      <c r="C658" s="1" t="inlineStr">
        <is>
          <t>vQ22m28</t>
        </is>
      </c>
      <c r="D658" s="1" t="inlineStr">
        <is>
          <t>數值</t>
        </is>
      </c>
      <c r="E658" s="1" t="n">
        <v>2</v>
      </c>
      <c r="G658" s="1" t="inlineStr">
        <is>
          <t>range</t>
        </is>
      </c>
      <c r="H658" s="1" t="inlineStr">
        <is>
          <t>0,1</t>
        </is>
      </c>
      <c r="I658" s="1" t="inlineStr">
        <is>
          <t>96</t>
        </is>
      </c>
      <c r="L658" s="1">
        <f>CONCAT(IF(D658="數值",CONCATENATE(G658&amp;"("&amp;C658&amp;","&amp;IF(ISERROR(SEARCH(",",H658,1)),(H658&amp;","&amp;H658),H658)&amp;IF(ISBLANK(I658),"",IF(ISERROR(SEARCH(",",I658,1)),CONCATENATE(","&amp;I658&amp;","&amp;I658),CONCATENATE(","&amp;I658))&amp;IF(ISBLANK(J658),"",IF(ISERROR(SEARCH(",",J658,1)),CONCATENATE(","&amp;J658&amp;","&amp;J658),CONCATENATE(","&amp;J658))&amp;IF(ISBLANK(K658),"",IF(ISERROR(SEARCH(",",K658,1)),CONCATENATE(","&amp;K658&amp;","&amp;K658),CONCATENATE(","&amp;K658))))))&amp;")","")&amp;" "&amp;F658)</f>
        <v/>
      </c>
    </row>
    <row r="659">
      <c r="A659" s="1" t="n">
        <v>758</v>
      </c>
      <c r="B659" s="1">
        <f>A659</f>
        <v/>
      </c>
      <c r="C659" s="1" t="inlineStr">
        <is>
          <t>vQ22m29</t>
        </is>
      </c>
      <c r="D659" s="1" t="inlineStr">
        <is>
          <t>數值</t>
        </is>
      </c>
      <c r="E659" s="1" t="n">
        <v>2</v>
      </c>
      <c r="G659" s="1" t="inlineStr">
        <is>
          <t>range</t>
        </is>
      </c>
      <c r="H659" s="1" t="inlineStr">
        <is>
          <t>0,1</t>
        </is>
      </c>
      <c r="I659" s="1" t="inlineStr">
        <is>
          <t>96</t>
        </is>
      </c>
      <c r="L659" s="1">
        <f>CONCAT(IF(D659="數值",CONCATENATE(G659&amp;"("&amp;C659&amp;","&amp;IF(ISERROR(SEARCH(",",H659,1)),(H659&amp;","&amp;H659),H659)&amp;IF(ISBLANK(I659),"",IF(ISERROR(SEARCH(",",I659,1)),CONCATENATE(","&amp;I659&amp;","&amp;I659),CONCATENATE(","&amp;I659))&amp;IF(ISBLANK(J659),"",IF(ISERROR(SEARCH(",",J659,1)),CONCATENATE(","&amp;J659&amp;","&amp;J659),CONCATENATE(","&amp;J659))&amp;IF(ISBLANK(K659),"",IF(ISERROR(SEARCH(",",K659,1)),CONCATENATE(","&amp;K659&amp;","&amp;K659),CONCATENATE(","&amp;K659))))))&amp;")","")&amp;" "&amp;F659)</f>
        <v/>
      </c>
    </row>
    <row r="660">
      <c r="A660" s="1" t="n">
        <v>759</v>
      </c>
      <c r="B660" s="1">
        <f>A660</f>
        <v/>
      </c>
      <c r="C660" s="1" t="inlineStr">
        <is>
          <t>vQ22m30</t>
        </is>
      </c>
      <c r="D660" s="1" t="inlineStr">
        <is>
          <t>數值</t>
        </is>
      </c>
      <c r="E660" s="1" t="n">
        <v>2</v>
      </c>
      <c r="G660" s="1" t="inlineStr">
        <is>
          <t>range</t>
        </is>
      </c>
      <c r="H660" s="1" t="inlineStr">
        <is>
          <t>0,1</t>
        </is>
      </c>
      <c r="I660" s="1" t="inlineStr">
        <is>
          <t>96</t>
        </is>
      </c>
      <c r="L660" s="1">
        <f>CONCAT(IF(D660="數值",CONCATENATE(G660&amp;"("&amp;C660&amp;","&amp;IF(ISERROR(SEARCH(",",H660,1)),(H660&amp;","&amp;H660),H660)&amp;IF(ISBLANK(I660),"",IF(ISERROR(SEARCH(",",I660,1)),CONCATENATE(","&amp;I660&amp;","&amp;I660),CONCATENATE(","&amp;I660))&amp;IF(ISBLANK(J660),"",IF(ISERROR(SEARCH(",",J660,1)),CONCATENATE(","&amp;J660&amp;","&amp;J660),CONCATENATE(","&amp;J660))&amp;IF(ISBLANK(K660),"",IF(ISERROR(SEARCH(",",K660,1)),CONCATENATE(","&amp;K660&amp;","&amp;K660),CONCATENATE(","&amp;K660))))))&amp;")","")&amp;" "&amp;F660)</f>
        <v/>
      </c>
    </row>
    <row r="661">
      <c r="A661" s="1" t="n">
        <v>760</v>
      </c>
      <c r="B661" s="1">
        <f>A661</f>
        <v/>
      </c>
      <c r="C661" s="1" t="inlineStr">
        <is>
          <t>vQ22m31</t>
        </is>
      </c>
      <c r="D661" s="1" t="inlineStr">
        <is>
          <t>數值</t>
        </is>
      </c>
      <c r="E661" s="1" t="n">
        <v>2</v>
      </c>
      <c r="G661" s="1" t="inlineStr">
        <is>
          <t>range</t>
        </is>
      </c>
      <c r="H661" s="1" t="inlineStr">
        <is>
          <t>0,1</t>
        </is>
      </c>
      <c r="I661" s="1" t="inlineStr">
        <is>
          <t>96</t>
        </is>
      </c>
      <c r="L661" s="1">
        <f>CONCAT(IF(D661="數值",CONCATENATE(G661&amp;"("&amp;C661&amp;","&amp;IF(ISERROR(SEARCH(",",H661,1)),(H661&amp;","&amp;H661),H661)&amp;IF(ISBLANK(I661),"",IF(ISERROR(SEARCH(",",I661,1)),CONCATENATE(","&amp;I661&amp;","&amp;I661),CONCATENATE(","&amp;I661))&amp;IF(ISBLANK(J661),"",IF(ISERROR(SEARCH(",",J661,1)),CONCATENATE(","&amp;J661&amp;","&amp;J661),CONCATENATE(","&amp;J661))&amp;IF(ISBLANK(K661),"",IF(ISERROR(SEARCH(",",K661,1)),CONCATENATE(","&amp;K661&amp;","&amp;K661),CONCATENATE(","&amp;K661))))))&amp;")","")&amp;" "&amp;F661)</f>
        <v/>
      </c>
    </row>
    <row r="662">
      <c r="A662" s="1" t="n">
        <v>761</v>
      </c>
      <c r="B662" s="1">
        <f>A662</f>
        <v/>
      </c>
      <c r="C662" s="1" t="inlineStr">
        <is>
          <t>vQ22m32</t>
        </is>
      </c>
      <c r="D662" s="1" t="inlineStr">
        <is>
          <t>數值</t>
        </is>
      </c>
      <c r="E662" s="1" t="n">
        <v>2</v>
      </c>
      <c r="G662" s="1" t="inlineStr">
        <is>
          <t>range</t>
        </is>
      </c>
      <c r="H662" s="1" t="inlineStr">
        <is>
          <t>0,1</t>
        </is>
      </c>
      <c r="I662" s="1" t="inlineStr">
        <is>
          <t>96</t>
        </is>
      </c>
      <c r="L662" s="1">
        <f>CONCAT(IF(D662="數值",CONCATENATE(G662&amp;"("&amp;C662&amp;","&amp;IF(ISERROR(SEARCH(",",H662,1)),(H662&amp;","&amp;H662),H662)&amp;IF(ISBLANK(I662),"",IF(ISERROR(SEARCH(",",I662,1)),CONCATENATE(","&amp;I662&amp;","&amp;I662),CONCATENATE(","&amp;I662))&amp;IF(ISBLANK(J662),"",IF(ISERROR(SEARCH(",",J662,1)),CONCATENATE(","&amp;J662&amp;","&amp;J662),CONCATENATE(","&amp;J662))&amp;IF(ISBLANK(K662),"",IF(ISERROR(SEARCH(",",K662,1)),CONCATENATE(","&amp;K662&amp;","&amp;K662),CONCATENATE(","&amp;K662))))))&amp;")","")&amp;" "&amp;F662)</f>
        <v/>
      </c>
    </row>
    <row r="663">
      <c r="A663" s="1" t="n">
        <v>762</v>
      </c>
      <c r="B663" s="1">
        <f>A663</f>
        <v/>
      </c>
      <c r="C663" s="1" t="inlineStr">
        <is>
          <t>vQ22m33</t>
        </is>
      </c>
      <c r="D663" s="1" t="inlineStr">
        <is>
          <t>數值</t>
        </is>
      </c>
      <c r="E663" s="1" t="n">
        <v>2</v>
      </c>
      <c r="G663" s="1" t="inlineStr">
        <is>
          <t>range</t>
        </is>
      </c>
      <c r="H663" s="1" t="inlineStr">
        <is>
          <t>0,1</t>
        </is>
      </c>
      <c r="I663" s="1" t="inlineStr">
        <is>
          <t>96</t>
        </is>
      </c>
      <c r="L663" s="1">
        <f>CONCAT(IF(D663="數值",CONCATENATE(G663&amp;"("&amp;C663&amp;","&amp;IF(ISERROR(SEARCH(",",H663,1)),(H663&amp;","&amp;H663),H663)&amp;IF(ISBLANK(I663),"",IF(ISERROR(SEARCH(",",I663,1)),CONCATENATE(","&amp;I663&amp;","&amp;I663),CONCATENATE(","&amp;I663))&amp;IF(ISBLANK(J663),"",IF(ISERROR(SEARCH(",",J663,1)),CONCATENATE(","&amp;J663&amp;","&amp;J663),CONCATENATE(","&amp;J663))&amp;IF(ISBLANK(K663),"",IF(ISERROR(SEARCH(",",K663,1)),CONCATENATE(","&amp;K663&amp;","&amp;K663),CONCATENATE(","&amp;K663))))))&amp;")","")&amp;" "&amp;F663)</f>
        <v/>
      </c>
    </row>
    <row r="664">
      <c r="A664" s="1" t="n">
        <v>763</v>
      </c>
      <c r="B664" s="1">
        <f>A664</f>
        <v/>
      </c>
      <c r="C664" s="1" t="inlineStr">
        <is>
          <t>vQ22m34</t>
        </is>
      </c>
      <c r="D664" s="1" t="inlineStr">
        <is>
          <t>數值</t>
        </is>
      </c>
      <c r="E664" s="1" t="n">
        <v>2</v>
      </c>
      <c r="G664" s="1" t="inlineStr">
        <is>
          <t>range</t>
        </is>
      </c>
      <c r="H664" s="1" t="inlineStr">
        <is>
          <t>0,1</t>
        </is>
      </c>
      <c r="I664" s="1" t="inlineStr">
        <is>
          <t>96</t>
        </is>
      </c>
      <c r="L664" s="1">
        <f>CONCAT(IF(D664="數值",CONCATENATE(G664&amp;"("&amp;C664&amp;","&amp;IF(ISERROR(SEARCH(",",H664,1)),(H664&amp;","&amp;H664),H664)&amp;IF(ISBLANK(I664),"",IF(ISERROR(SEARCH(",",I664,1)),CONCATENATE(","&amp;I664&amp;","&amp;I664),CONCATENATE(","&amp;I664))&amp;IF(ISBLANK(J664),"",IF(ISERROR(SEARCH(",",J664,1)),CONCATENATE(","&amp;J664&amp;","&amp;J664),CONCATENATE(","&amp;J664))&amp;IF(ISBLANK(K664),"",IF(ISERROR(SEARCH(",",K664,1)),CONCATENATE(","&amp;K664&amp;","&amp;K664),CONCATENATE(","&amp;K664))))))&amp;")","")&amp;" "&amp;F664)</f>
        <v/>
      </c>
    </row>
    <row r="665">
      <c r="A665" s="1" t="n">
        <v>764</v>
      </c>
      <c r="B665" s="1">
        <f>A665</f>
        <v/>
      </c>
      <c r="C665" s="1" t="inlineStr">
        <is>
          <t>vQ22m35</t>
        </is>
      </c>
      <c r="D665" s="1" t="inlineStr">
        <is>
          <t>數值</t>
        </is>
      </c>
      <c r="E665" s="1" t="n">
        <v>2</v>
      </c>
      <c r="G665" s="1" t="inlineStr">
        <is>
          <t>range</t>
        </is>
      </c>
      <c r="H665" s="1" t="inlineStr">
        <is>
          <t>0,1</t>
        </is>
      </c>
      <c r="I665" s="1" t="inlineStr">
        <is>
          <t>96</t>
        </is>
      </c>
      <c r="L665" s="1">
        <f>CONCAT(IF(D665="數值",CONCATENATE(G665&amp;"("&amp;C665&amp;","&amp;IF(ISERROR(SEARCH(",",H665,1)),(H665&amp;","&amp;H665),H665)&amp;IF(ISBLANK(I665),"",IF(ISERROR(SEARCH(",",I665,1)),CONCATENATE(","&amp;I665&amp;","&amp;I665),CONCATENATE(","&amp;I665))&amp;IF(ISBLANK(J665),"",IF(ISERROR(SEARCH(",",J665,1)),CONCATENATE(","&amp;J665&amp;","&amp;J665),CONCATENATE(","&amp;J665))&amp;IF(ISBLANK(K665),"",IF(ISERROR(SEARCH(",",K665,1)),CONCATENATE(","&amp;K665&amp;","&amp;K665),CONCATENATE(","&amp;K665))))))&amp;")","")&amp;" "&amp;F665)</f>
        <v/>
      </c>
    </row>
    <row r="666">
      <c r="A666" s="1" t="n">
        <v>765</v>
      </c>
      <c r="B666" s="1">
        <f>A666</f>
        <v/>
      </c>
      <c r="C666" s="1" t="inlineStr">
        <is>
          <t>vQ22m36</t>
        </is>
      </c>
      <c r="D666" s="1" t="inlineStr">
        <is>
          <t>數值</t>
        </is>
      </c>
      <c r="E666" s="1" t="n">
        <v>2</v>
      </c>
      <c r="G666" s="1" t="inlineStr">
        <is>
          <t>range</t>
        </is>
      </c>
      <c r="H666" s="1" t="inlineStr">
        <is>
          <t>0,1</t>
        </is>
      </c>
      <c r="I666" s="1" t="inlineStr">
        <is>
          <t>96</t>
        </is>
      </c>
      <c r="L666" s="1">
        <f>CONCAT(IF(D666="數值",CONCATENATE(G666&amp;"("&amp;C666&amp;","&amp;IF(ISERROR(SEARCH(",",H666,1)),(H666&amp;","&amp;H666),H666)&amp;IF(ISBLANK(I666),"",IF(ISERROR(SEARCH(",",I666,1)),CONCATENATE(","&amp;I666&amp;","&amp;I666),CONCATENATE(","&amp;I666))&amp;IF(ISBLANK(J666),"",IF(ISERROR(SEARCH(",",J666,1)),CONCATENATE(","&amp;J666&amp;","&amp;J666),CONCATENATE(","&amp;J666))&amp;IF(ISBLANK(K666),"",IF(ISERROR(SEARCH(",",K666,1)),CONCATENATE(","&amp;K666&amp;","&amp;K666),CONCATENATE(","&amp;K666))))))&amp;")","")&amp;" "&amp;F666)</f>
        <v/>
      </c>
    </row>
    <row r="667">
      <c r="A667" s="1" t="n">
        <v>766</v>
      </c>
      <c r="B667" s="1">
        <f>A667</f>
        <v/>
      </c>
      <c r="C667" s="1" t="inlineStr">
        <is>
          <t>vQ22m37</t>
        </is>
      </c>
      <c r="D667" s="1" t="inlineStr">
        <is>
          <t>數值</t>
        </is>
      </c>
      <c r="E667" s="1" t="n">
        <v>2</v>
      </c>
      <c r="G667" s="1" t="inlineStr">
        <is>
          <t>range</t>
        </is>
      </c>
      <c r="H667" s="1" t="inlineStr">
        <is>
          <t>0,1</t>
        </is>
      </c>
      <c r="I667" s="1" t="inlineStr">
        <is>
          <t>96</t>
        </is>
      </c>
      <c r="L667" s="1">
        <f>CONCAT(IF(D667="數值",CONCATENATE(G667&amp;"("&amp;C667&amp;","&amp;IF(ISERROR(SEARCH(",",H667,1)),(H667&amp;","&amp;H667),H667)&amp;IF(ISBLANK(I667),"",IF(ISERROR(SEARCH(",",I667,1)),CONCATENATE(","&amp;I667&amp;","&amp;I667),CONCATENATE(","&amp;I667))&amp;IF(ISBLANK(J667),"",IF(ISERROR(SEARCH(",",J667,1)),CONCATENATE(","&amp;J667&amp;","&amp;J667),CONCATENATE(","&amp;J667))&amp;IF(ISBLANK(K667),"",IF(ISERROR(SEARCH(",",K667,1)),CONCATENATE(","&amp;K667&amp;","&amp;K667),CONCATENATE(","&amp;K667))))))&amp;")","")&amp;" "&amp;F667)</f>
        <v/>
      </c>
    </row>
    <row r="668">
      <c r="A668" s="1" t="n">
        <v>767</v>
      </c>
      <c r="B668" s="1">
        <f>A668</f>
        <v/>
      </c>
      <c r="C668" s="1" t="inlineStr">
        <is>
          <t>vQ22m38</t>
        </is>
      </c>
      <c r="D668" s="1" t="inlineStr">
        <is>
          <t>數值</t>
        </is>
      </c>
      <c r="E668" s="1" t="n">
        <v>2</v>
      </c>
      <c r="G668" s="1" t="inlineStr">
        <is>
          <t>range</t>
        </is>
      </c>
      <c r="H668" s="1" t="inlineStr">
        <is>
          <t>0,1</t>
        </is>
      </c>
      <c r="I668" s="1" t="inlineStr">
        <is>
          <t>96</t>
        </is>
      </c>
      <c r="L668" s="1">
        <f>CONCAT(IF(D668="數值",CONCATENATE(G668&amp;"("&amp;C668&amp;","&amp;IF(ISERROR(SEARCH(",",H668,1)),(H668&amp;","&amp;H668),H668)&amp;IF(ISBLANK(I668),"",IF(ISERROR(SEARCH(",",I668,1)),CONCATENATE(","&amp;I668&amp;","&amp;I668),CONCATENATE(","&amp;I668))&amp;IF(ISBLANK(J668),"",IF(ISERROR(SEARCH(",",J668,1)),CONCATENATE(","&amp;J668&amp;","&amp;J668),CONCATENATE(","&amp;J668))&amp;IF(ISBLANK(K668),"",IF(ISERROR(SEARCH(",",K668,1)),CONCATENATE(","&amp;K668&amp;","&amp;K668),CONCATENATE(","&amp;K668))))))&amp;")","")&amp;" "&amp;F668)</f>
        <v/>
      </c>
    </row>
    <row r="669">
      <c r="A669" s="1" t="n">
        <v>768</v>
      </c>
      <c r="B669" s="1">
        <f>A669</f>
        <v/>
      </c>
      <c r="C669" s="1" t="inlineStr">
        <is>
          <t>vQ22m39</t>
        </is>
      </c>
      <c r="D669" s="1" t="inlineStr">
        <is>
          <t>數值</t>
        </is>
      </c>
      <c r="E669" s="1" t="n">
        <v>2</v>
      </c>
      <c r="G669" s="1" t="inlineStr">
        <is>
          <t>range</t>
        </is>
      </c>
      <c r="H669" s="1" t="inlineStr">
        <is>
          <t>0,1</t>
        </is>
      </c>
      <c r="I669" s="1" t="inlineStr">
        <is>
          <t>96</t>
        </is>
      </c>
      <c r="L669" s="1">
        <f>CONCAT(IF(D669="數值",CONCATENATE(G669&amp;"("&amp;C669&amp;","&amp;IF(ISERROR(SEARCH(",",H669,1)),(H669&amp;","&amp;H669),H669)&amp;IF(ISBLANK(I669),"",IF(ISERROR(SEARCH(",",I669,1)),CONCATENATE(","&amp;I669&amp;","&amp;I669),CONCATENATE(","&amp;I669))&amp;IF(ISBLANK(J669),"",IF(ISERROR(SEARCH(",",J669,1)),CONCATENATE(","&amp;J669&amp;","&amp;J669),CONCATENATE(","&amp;J669))&amp;IF(ISBLANK(K669),"",IF(ISERROR(SEARCH(",",K669,1)),CONCATENATE(","&amp;K669&amp;","&amp;K669),CONCATENATE(","&amp;K669))))))&amp;")","")&amp;" "&amp;F669)</f>
        <v/>
      </c>
    </row>
    <row r="670">
      <c r="A670" s="1" t="n">
        <v>769</v>
      </c>
      <c r="B670" s="1">
        <f>A670</f>
        <v/>
      </c>
      <c r="C670" s="1" t="inlineStr">
        <is>
          <t>vQ22m40</t>
        </is>
      </c>
      <c r="D670" s="1" t="inlineStr">
        <is>
          <t>數值</t>
        </is>
      </c>
      <c r="E670" s="1" t="n">
        <v>2</v>
      </c>
      <c r="G670" s="1" t="inlineStr">
        <is>
          <t>range</t>
        </is>
      </c>
      <c r="H670" s="1" t="inlineStr">
        <is>
          <t>0,1</t>
        </is>
      </c>
      <c r="I670" s="1" t="inlineStr">
        <is>
          <t>96</t>
        </is>
      </c>
      <c r="L670" s="1">
        <f>CONCAT(IF(D670="數值",CONCATENATE(G670&amp;"("&amp;C670&amp;","&amp;IF(ISERROR(SEARCH(",",H670,1)),(H670&amp;","&amp;H670),H670)&amp;IF(ISBLANK(I670),"",IF(ISERROR(SEARCH(",",I670,1)),CONCATENATE(","&amp;I670&amp;","&amp;I670),CONCATENATE(","&amp;I670))&amp;IF(ISBLANK(J670),"",IF(ISERROR(SEARCH(",",J670,1)),CONCATENATE(","&amp;J670&amp;","&amp;J670),CONCATENATE(","&amp;J670))&amp;IF(ISBLANK(K670),"",IF(ISERROR(SEARCH(",",K670,1)),CONCATENATE(","&amp;K670&amp;","&amp;K670),CONCATENATE(","&amp;K670))))))&amp;")","")&amp;" "&amp;F670)</f>
        <v/>
      </c>
    </row>
    <row r="671">
      <c r="A671" s="1" t="n">
        <v>770</v>
      </c>
      <c r="B671" s="1">
        <f>A671</f>
        <v/>
      </c>
      <c r="C671" s="1" t="inlineStr">
        <is>
          <t>vQ22m88</t>
        </is>
      </c>
      <c r="D671" s="1" t="inlineStr">
        <is>
          <t>數值</t>
        </is>
      </c>
      <c r="E671" s="1" t="n">
        <v>2</v>
      </c>
      <c r="G671" s="1" t="inlineStr">
        <is>
          <t>range</t>
        </is>
      </c>
      <c r="H671" s="1" t="inlineStr">
        <is>
          <t>0,1</t>
        </is>
      </c>
      <c r="I671" s="1" t="inlineStr">
        <is>
          <t>96</t>
        </is>
      </c>
      <c r="L671" s="1">
        <f>CONCAT(IF(D671="數值",CONCATENATE(G671&amp;"("&amp;C671&amp;","&amp;IF(ISERROR(SEARCH(",",H671,1)),(H671&amp;","&amp;H671),H671)&amp;IF(ISBLANK(I671),"",IF(ISERROR(SEARCH(",",I671,1)),CONCATENATE(","&amp;I671&amp;","&amp;I671),CONCATENATE(","&amp;I671))&amp;IF(ISBLANK(J671),"",IF(ISERROR(SEARCH(",",J671,1)),CONCATENATE(","&amp;J671&amp;","&amp;J671),CONCATENATE(","&amp;J671))&amp;IF(ISBLANK(K671),"",IF(ISERROR(SEARCH(",",K671,1)),CONCATENATE(","&amp;K671&amp;","&amp;K671),CONCATENATE(","&amp;K671))))))&amp;")","")&amp;" "&amp;F671)</f>
        <v/>
      </c>
    </row>
    <row r="672">
      <c r="A672" s="1" t="n">
        <v>771</v>
      </c>
      <c r="B672" s="1">
        <f>A672</f>
        <v/>
      </c>
      <c r="C672" s="1" t="inlineStr">
        <is>
          <t>vQ23m01</t>
        </is>
      </c>
      <c r="D672" s="1" t="inlineStr">
        <is>
          <t>數值</t>
        </is>
      </c>
      <c r="E672" s="1" t="n">
        <v>2</v>
      </c>
      <c r="G672" s="1" t="inlineStr">
        <is>
          <t>range</t>
        </is>
      </c>
      <c r="H672" s="1" t="inlineStr">
        <is>
          <t>0,1</t>
        </is>
      </c>
      <c r="L672" s="1">
        <f>CONCAT(IF(D672="數值",CONCATENATE(G672&amp;"("&amp;C672&amp;","&amp;IF(ISERROR(SEARCH(",",H672,1)),(H672&amp;","&amp;H672),H672)&amp;IF(ISBLANK(I672),"",IF(ISERROR(SEARCH(",",I672,1)),CONCATENATE(","&amp;I672&amp;","&amp;I672),CONCATENATE(","&amp;I672))&amp;IF(ISBLANK(J672),"",IF(ISERROR(SEARCH(",",J672,1)),CONCATENATE(","&amp;J672&amp;","&amp;J672),CONCATENATE(","&amp;J672))&amp;IF(ISBLANK(K672),"",IF(ISERROR(SEARCH(",",K672,1)),CONCATENATE(","&amp;K672&amp;","&amp;K672),CONCATENATE(","&amp;K672))))))&amp;")","")&amp;" "&amp;F672)</f>
        <v/>
      </c>
    </row>
    <row r="673">
      <c r="A673" s="1" t="n">
        <v>772</v>
      </c>
      <c r="B673" s="1">
        <f>A673</f>
        <v/>
      </c>
      <c r="C673" s="1" t="inlineStr">
        <is>
          <t>vQ23m02</t>
        </is>
      </c>
      <c r="D673" s="1" t="inlineStr">
        <is>
          <t>數值</t>
        </is>
      </c>
      <c r="E673" s="1" t="n">
        <v>2</v>
      </c>
      <c r="G673" s="1" t="inlineStr">
        <is>
          <t>range</t>
        </is>
      </c>
      <c r="H673" s="1" t="inlineStr">
        <is>
          <t>0,1</t>
        </is>
      </c>
      <c r="L673" s="1">
        <f>CONCAT(IF(D673="數值",CONCATENATE(G673&amp;"("&amp;C673&amp;","&amp;IF(ISERROR(SEARCH(",",H673,1)),(H673&amp;","&amp;H673),H673)&amp;IF(ISBLANK(I673),"",IF(ISERROR(SEARCH(",",I673,1)),CONCATENATE(","&amp;I673&amp;","&amp;I673),CONCATENATE(","&amp;I673))&amp;IF(ISBLANK(J673),"",IF(ISERROR(SEARCH(",",J673,1)),CONCATENATE(","&amp;J673&amp;","&amp;J673),CONCATENATE(","&amp;J673))&amp;IF(ISBLANK(K673),"",IF(ISERROR(SEARCH(",",K673,1)),CONCATENATE(","&amp;K673&amp;","&amp;K673),CONCATENATE(","&amp;K673))))))&amp;")","")&amp;" "&amp;F673)</f>
        <v/>
      </c>
    </row>
    <row r="674">
      <c r="A674" s="1" t="n">
        <v>773</v>
      </c>
      <c r="B674" s="1">
        <f>A674</f>
        <v/>
      </c>
      <c r="C674" s="1" t="inlineStr">
        <is>
          <t>vQ23m03</t>
        </is>
      </c>
      <c r="D674" s="1" t="inlineStr">
        <is>
          <t>數值</t>
        </is>
      </c>
      <c r="E674" s="1" t="n">
        <v>2</v>
      </c>
      <c r="G674" s="1" t="inlineStr">
        <is>
          <t>range</t>
        </is>
      </c>
      <c r="H674" s="1" t="inlineStr">
        <is>
          <t>0,1</t>
        </is>
      </c>
      <c r="L674" s="1">
        <f>CONCAT(IF(D674="數值",CONCATENATE(G674&amp;"("&amp;C674&amp;","&amp;IF(ISERROR(SEARCH(",",H674,1)),(H674&amp;","&amp;H674),H674)&amp;IF(ISBLANK(I674),"",IF(ISERROR(SEARCH(",",I674,1)),CONCATENATE(","&amp;I674&amp;","&amp;I674),CONCATENATE(","&amp;I674))&amp;IF(ISBLANK(J674),"",IF(ISERROR(SEARCH(",",J674,1)),CONCATENATE(","&amp;J674&amp;","&amp;J674),CONCATENATE(","&amp;J674))&amp;IF(ISBLANK(K674),"",IF(ISERROR(SEARCH(",",K674,1)),CONCATENATE(","&amp;K674&amp;","&amp;K674),CONCATENATE(","&amp;K674))))))&amp;")","")&amp;" "&amp;F674)</f>
        <v/>
      </c>
    </row>
    <row r="675">
      <c r="A675" s="1" t="n">
        <v>774</v>
      </c>
      <c r="B675" s="1">
        <f>A675</f>
        <v/>
      </c>
      <c r="C675" s="1" t="inlineStr">
        <is>
          <t>vQ23m04</t>
        </is>
      </c>
      <c r="D675" s="1" t="inlineStr">
        <is>
          <t>數值</t>
        </is>
      </c>
      <c r="E675" s="1" t="n">
        <v>2</v>
      </c>
      <c r="G675" s="1" t="inlineStr">
        <is>
          <t>range</t>
        </is>
      </c>
      <c r="H675" s="1" t="inlineStr">
        <is>
          <t>0,1</t>
        </is>
      </c>
      <c r="L675" s="1">
        <f>CONCAT(IF(D675="數值",CONCATENATE(G675&amp;"("&amp;C675&amp;","&amp;IF(ISERROR(SEARCH(",",H675,1)),(H675&amp;","&amp;H675),H675)&amp;IF(ISBLANK(I675),"",IF(ISERROR(SEARCH(",",I675,1)),CONCATENATE(","&amp;I675&amp;","&amp;I675),CONCATENATE(","&amp;I675))&amp;IF(ISBLANK(J675),"",IF(ISERROR(SEARCH(",",J675,1)),CONCATENATE(","&amp;J675&amp;","&amp;J675),CONCATENATE(","&amp;J675))&amp;IF(ISBLANK(K675),"",IF(ISERROR(SEARCH(",",K675,1)),CONCATENATE(","&amp;K675&amp;","&amp;K675),CONCATENATE(","&amp;K675))))))&amp;")","")&amp;" "&amp;F675)</f>
        <v/>
      </c>
    </row>
    <row r="676">
      <c r="A676" s="1" t="n">
        <v>775</v>
      </c>
      <c r="B676" s="1">
        <f>A676</f>
        <v/>
      </c>
      <c r="C676" s="1" t="inlineStr">
        <is>
          <t>vQ23m05</t>
        </is>
      </c>
      <c r="D676" s="1" t="inlineStr">
        <is>
          <t>數值</t>
        </is>
      </c>
      <c r="E676" s="1" t="n">
        <v>2</v>
      </c>
      <c r="G676" s="1" t="inlineStr">
        <is>
          <t>range</t>
        </is>
      </c>
      <c r="H676" s="1" t="inlineStr">
        <is>
          <t>0,1</t>
        </is>
      </c>
      <c r="L676" s="1">
        <f>CONCAT(IF(D676="數值",CONCATENATE(G676&amp;"("&amp;C676&amp;","&amp;IF(ISERROR(SEARCH(",",H676,1)),(H676&amp;","&amp;H676),H676)&amp;IF(ISBLANK(I676),"",IF(ISERROR(SEARCH(",",I676,1)),CONCATENATE(","&amp;I676&amp;","&amp;I676),CONCATENATE(","&amp;I676))&amp;IF(ISBLANK(J676),"",IF(ISERROR(SEARCH(",",J676,1)),CONCATENATE(","&amp;J676&amp;","&amp;J676),CONCATENATE(","&amp;J676))&amp;IF(ISBLANK(K676),"",IF(ISERROR(SEARCH(",",K676,1)),CONCATENATE(","&amp;K676&amp;","&amp;K676),CONCATENATE(","&amp;K676))))))&amp;")","")&amp;" "&amp;F676)</f>
        <v/>
      </c>
    </row>
    <row r="677">
      <c r="A677" s="1" t="n">
        <v>776</v>
      </c>
      <c r="B677" s="1">
        <f>A677</f>
        <v/>
      </c>
      <c r="C677" s="1" t="inlineStr">
        <is>
          <t>vQ23m06</t>
        </is>
      </c>
      <c r="D677" s="1" t="inlineStr">
        <is>
          <t>數值</t>
        </is>
      </c>
      <c r="E677" s="1" t="n">
        <v>2</v>
      </c>
      <c r="G677" s="1" t="inlineStr">
        <is>
          <t>range</t>
        </is>
      </c>
      <c r="H677" s="1" t="inlineStr">
        <is>
          <t>0,1</t>
        </is>
      </c>
      <c r="L677" s="1">
        <f>CONCAT(IF(D677="數值",CONCATENATE(G677&amp;"("&amp;C677&amp;","&amp;IF(ISERROR(SEARCH(",",H677,1)),(H677&amp;","&amp;H677),H677)&amp;IF(ISBLANK(I677),"",IF(ISERROR(SEARCH(",",I677,1)),CONCATENATE(","&amp;I677&amp;","&amp;I677),CONCATENATE(","&amp;I677))&amp;IF(ISBLANK(J677),"",IF(ISERROR(SEARCH(",",J677,1)),CONCATENATE(","&amp;J677&amp;","&amp;J677),CONCATENATE(","&amp;J677))&amp;IF(ISBLANK(K677),"",IF(ISERROR(SEARCH(",",K677,1)),CONCATENATE(","&amp;K677&amp;","&amp;K677),CONCATENATE(","&amp;K677))))))&amp;")","")&amp;" "&amp;F677)</f>
        <v/>
      </c>
    </row>
    <row r="678">
      <c r="A678" s="1" t="n">
        <v>777</v>
      </c>
      <c r="B678" s="1">
        <f>A678</f>
        <v/>
      </c>
      <c r="C678" s="1" t="inlineStr">
        <is>
          <t>vQ23m07</t>
        </is>
      </c>
      <c r="D678" s="1" t="inlineStr">
        <is>
          <t>數值</t>
        </is>
      </c>
      <c r="E678" s="1" t="n">
        <v>2</v>
      </c>
      <c r="G678" s="1" t="inlineStr">
        <is>
          <t>range</t>
        </is>
      </c>
      <c r="H678" s="1" t="inlineStr">
        <is>
          <t>0,1</t>
        </is>
      </c>
      <c r="L678" s="1">
        <f>CONCAT(IF(D678="數值",CONCATENATE(G678&amp;"("&amp;C678&amp;","&amp;IF(ISERROR(SEARCH(",",H678,1)),(H678&amp;","&amp;H678),H678)&amp;IF(ISBLANK(I678),"",IF(ISERROR(SEARCH(",",I678,1)),CONCATENATE(","&amp;I678&amp;","&amp;I678),CONCATENATE(","&amp;I678))&amp;IF(ISBLANK(J678),"",IF(ISERROR(SEARCH(",",J678,1)),CONCATENATE(","&amp;J678&amp;","&amp;J678),CONCATENATE(","&amp;J678))&amp;IF(ISBLANK(K678),"",IF(ISERROR(SEARCH(",",K678,1)),CONCATENATE(","&amp;K678&amp;","&amp;K678),CONCATENATE(","&amp;K678))))))&amp;")","")&amp;" "&amp;F678)</f>
        <v/>
      </c>
    </row>
    <row r="679">
      <c r="A679" s="1" t="n">
        <v>778</v>
      </c>
      <c r="B679" s="1">
        <f>A679</f>
        <v/>
      </c>
      <c r="C679" s="1" t="inlineStr">
        <is>
          <t>vQ23m08</t>
        </is>
      </c>
      <c r="D679" s="1" t="inlineStr">
        <is>
          <t>數值</t>
        </is>
      </c>
      <c r="E679" s="1" t="n">
        <v>2</v>
      </c>
      <c r="G679" s="1" t="inlineStr">
        <is>
          <t>range</t>
        </is>
      </c>
      <c r="H679" s="1" t="inlineStr">
        <is>
          <t>0,1</t>
        </is>
      </c>
      <c r="L679" s="1">
        <f>CONCAT(IF(D679="數值",CONCATENATE(G679&amp;"("&amp;C679&amp;","&amp;IF(ISERROR(SEARCH(",",H679,1)),(H679&amp;","&amp;H679),H679)&amp;IF(ISBLANK(I679),"",IF(ISERROR(SEARCH(",",I679,1)),CONCATENATE(","&amp;I679&amp;","&amp;I679),CONCATENATE(","&amp;I679))&amp;IF(ISBLANK(J679),"",IF(ISERROR(SEARCH(",",J679,1)),CONCATENATE(","&amp;J679&amp;","&amp;J679),CONCATENATE(","&amp;J679))&amp;IF(ISBLANK(K679),"",IF(ISERROR(SEARCH(",",K679,1)),CONCATENATE(","&amp;K679&amp;","&amp;K679),CONCATENATE(","&amp;K679))))))&amp;")","")&amp;" "&amp;F679)</f>
        <v/>
      </c>
    </row>
    <row r="680">
      <c r="A680" s="1" t="n">
        <v>779</v>
      </c>
      <c r="B680" s="1">
        <f>A680</f>
        <v/>
      </c>
      <c r="C680" s="1" t="inlineStr">
        <is>
          <t>vQ23m09</t>
        </is>
      </c>
      <c r="D680" s="1" t="inlineStr">
        <is>
          <t>數值</t>
        </is>
      </c>
      <c r="E680" s="1" t="n">
        <v>2</v>
      </c>
      <c r="G680" s="1" t="inlineStr">
        <is>
          <t>range</t>
        </is>
      </c>
      <c r="H680" s="1" t="inlineStr">
        <is>
          <t>0,1</t>
        </is>
      </c>
      <c r="L680" s="1">
        <f>CONCAT(IF(D680="數值",CONCATENATE(G680&amp;"("&amp;C680&amp;","&amp;IF(ISERROR(SEARCH(",",H680,1)),(H680&amp;","&amp;H680),H680)&amp;IF(ISBLANK(I680),"",IF(ISERROR(SEARCH(",",I680,1)),CONCATENATE(","&amp;I680&amp;","&amp;I680),CONCATENATE(","&amp;I680))&amp;IF(ISBLANK(J680),"",IF(ISERROR(SEARCH(",",J680,1)),CONCATENATE(","&amp;J680&amp;","&amp;J680),CONCATENATE(","&amp;J680))&amp;IF(ISBLANK(K680),"",IF(ISERROR(SEARCH(",",K680,1)),CONCATENATE(","&amp;K680&amp;","&amp;K680),CONCATENATE(","&amp;K680))))))&amp;")","")&amp;" "&amp;F680)</f>
        <v/>
      </c>
    </row>
    <row r="681">
      <c r="A681" s="1" t="n">
        <v>780</v>
      </c>
      <c r="B681" s="1">
        <f>A681</f>
        <v/>
      </c>
      <c r="C681" s="1" t="inlineStr">
        <is>
          <t>vQ23m10</t>
        </is>
      </c>
      <c r="D681" s="1" t="inlineStr">
        <is>
          <t>數值</t>
        </is>
      </c>
      <c r="E681" s="1" t="n">
        <v>2</v>
      </c>
      <c r="G681" s="1" t="inlineStr">
        <is>
          <t>range</t>
        </is>
      </c>
      <c r="H681" s="1" t="inlineStr">
        <is>
          <t>0,1</t>
        </is>
      </c>
      <c r="I681" s="1" t="inlineStr">
        <is>
          <t>96</t>
        </is>
      </c>
      <c r="L681" s="1">
        <f>CONCAT(IF(D681="數值",CONCATENATE(G681&amp;"("&amp;C681&amp;","&amp;IF(ISERROR(SEARCH(",",H681,1)),(H681&amp;","&amp;H681),H681)&amp;IF(ISBLANK(I681),"",IF(ISERROR(SEARCH(",",I681,1)),CONCATENATE(","&amp;I681&amp;","&amp;I681),CONCATENATE(","&amp;I681))&amp;IF(ISBLANK(J681),"",IF(ISERROR(SEARCH(",",J681,1)),CONCATENATE(","&amp;J681&amp;","&amp;J681),CONCATENATE(","&amp;J681))&amp;IF(ISBLANK(K681),"",IF(ISERROR(SEARCH(",",K681,1)),CONCATENATE(","&amp;K681&amp;","&amp;K681),CONCATENATE(","&amp;K681))))))&amp;")","")&amp;" "&amp;F681)</f>
        <v/>
      </c>
    </row>
    <row r="682">
      <c r="A682" s="1" t="n">
        <v>781</v>
      </c>
      <c r="B682" s="1">
        <f>A682</f>
        <v/>
      </c>
      <c r="C682" s="1" t="inlineStr">
        <is>
          <t>vQ23m11</t>
        </is>
      </c>
      <c r="D682" s="1" t="inlineStr">
        <is>
          <t>數值</t>
        </is>
      </c>
      <c r="E682" s="1" t="n">
        <v>2</v>
      </c>
      <c r="G682" s="1" t="inlineStr">
        <is>
          <t>range</t>
        </is>
      </c>
      <c r="H682" s="1" t="inlineStr">
        <is>
          <t>0,1</t>
        </is>
      </c>
      <c r="I682" s="1" t="inlineStr">
        <is>
          <t>96</t>
        </is>
      </c>
      <c r="L682" s="1">
        <f>CONCAT(IF(D682="數值",CONCATENATE(G682&amp;"("&amp;C682&amp;","&amp;IF(ISERROR(SEARCH(",",H682,1)),(H682&amp;","&amp;H682),H682)&amp;IF(ISBLANK(I682),"",IF(ISERROR(SEARCH(",",I682,1)),CONCATENATE(","&amp;I682&amp;","&amp;I682),CONCATENATE(","&amp;I682))&amp;IF(ISBLANK(J682),"",IF(ISERROR(SEARCH(",",J682,1)),CONCATENATE(","&amp;J682&amp;","&amp;J682),CONCATENATE(","&amp;J682))&amp;IF(ISBLANK(K682),"",IF(ISERROR(SEARCH(",",K682,1)),CONCATENATE(","&amp;K682&amp;","&amp;K682),CONCATENATE(","&amp;K682))))))&amp;")","")&amp;" "&amp;F682)</f>
        <v/>
      </c>
    </row>
    <row r="683">
      <c r="A683" s="1" t="n">
        <v>782</v>
      </c>
      <c r="B683" s="1">
        <f>A683</f>
        <v/>
      </c>
      <c r="C683" s="1" t="inlineStr">
        <is>
          <t>vQ23m12</t>
        </is>
      </c>
      <c r="D683" s="1" t="inlineStr">
        <is>
          <t>數值</t>
        </is>
      </c>
      <c r="E683" s="1" t="n">
        <v>2</v>
      </c>
      <c r="G683" s="1" t="inlineStr">
        <is>
          <t>range</t>
        </is>
      </c>
      <c r="H683" s="1" t="inlineStr">
        <is>
          <t>0,1</t>
        </is>
      </c>
      <c r="I683" s="1" t="inlineStr">
        <is>
          <t>96</t>
        </is>
      </c>
      <c r="L683" s="1">
        <f>CONCAT(IF(D683="數值",CONCATENATE(G683&amp;"("&amp;C683&amp;","&amp;IF(ISERROR(SEARCH(",",H683,1)),(H683&amp;","&amp;H683),H683)&amp;IF(ISBLANK(I683),"",IF(ISERROR(SEARCH(",",I683,1)),CONCATENATE(","&amp;I683&amp;","&amp;I683),CONCATENATE(","&amp;I683))&amp;IF(ISBLANK(J683),"",IF(ISERROR(SEARCH(",",J683,1)),CONCATENATE(","&amp;J683&amp;","&amp;J683),CONCATENATE(","&amp;J683))&amp;IF(ISBLANK(K683),"",IF(ISERROR(SEARCH(",",K683,1)),CONCATENATE(","&amp;K683&amp;","&amp;K683),CONCATENATE(","&amp;K683))))))&amp;")","")&amp;" "&amp;F683)</f>
        <v/>
      </c>
    </row>
    <row r="684">
      <c r="A684" s="1" t="n">
        <v>783</v>
      </c>
      <c r="B684" s="1">
        <f>A684</f>
        <v/>
      </c>
      <c r="C684" s="1" t="inlineStr">
        <is>
          <t>vQ23m13</t>
        </is>
      </c>
      <c r="D684" s="1" t="inlineStr">
        <is>
          <t>數值</t>
        </is>
      </c>
      <c r="E684" s="1" t="n">
        <v>2</v>
      </c>
      <c r="G684" s="1" t="inlineStr">
        <is>
          <t>range</t>
        </is>
      </c>
      <c r="H684" s="1" t="inlineStr">
        <is>
          <t>0,1</t>
        </is>
      </c>
      <c r="I684" s="1" t="inlineStr">
        <is>
          <t>96</t>
        </is>
      </c>
      <c r="L684" s="1">
        <f>CONCAT(IF(D684="數值",CONCATENATE(G684&amp;"("&amp;C684&amp;","&amp;IF(ISERROR(SEARCH(",",H684,1)),(H684&amp;","&amp;H684),H684)&amp;IF(ISBLANK(I684),"",IF(ISERROR(SEARCH(",",I684,1)),CONCATENATE(","&amp;I684&amp;","&amp;I684),CONCATENATE(","&amp;I684))&amp;IF(ISBLANK(J684),"",IF(ISERROR(SEARCH(",",J684,1)),CONCATENATE(","&amp;J684&amp;","&amp;J684),CONCATENATE(","&amp;J684))&amp;IF(ISBLANK(K684),"",IF(ISERROR(SEARCH(",",K684,1)),CONCATENATE(","&amp;K684&amp;","&amp;K684),CONCATENATE(","&amp;K684))))))&amp;")","")&amp;" "&amp;F684)</f>
        <v/>
      </c>
    </row>
    <row r="685">
      <c r="A685" s="1" t="n">
        <v>784</v>
      </c>
      <c r="B685" s="1">
        <f>A685</f>
        <v/>
      </c>
      <c r="C685" s="1" t="inlineStr">
        <is>
          <t>vQ23m14</t>
        </is>
      </c>
      <c r="D685" s="1" t="inlineStr">
        <is>
          <t>數值</t>
        </is>
      </c>
      <c r="E685" s="1" t="n">
        <v>2</v>
      </c>
      <c r="G685" s="1" t="inlineStr">
        <is>
          <t>range</t>
        </is>
      </c>
      <c r="H685" s="1" t="inlineStr">
        <is>
          <t>0,1</t>
        </is>
      </c>
      <c r="I685" s="1" t="inlineStr">
        <is>
          <t>96</t>
        </is>
      </c>
      <c r="L685" s="1">
        <f>CONCAT(IF(D685="數值",CONCATENATE(G685&amp;"("&amp;C685&amp;","&amp;IF(ISERROR(SEARCH(",",H685,1)),(H685&amp;","&amp;H685),H685)&amp;IF(ISBLANK(I685),"",IF(ISERROR(SEARCH(",",I685,1)),CONCATENATE(","&amp;I685&amp;","&amp;I685),CONCATENATE(","&amp;I685))&amp;IF(ISBLANK(J685),"",IF(ISERROR(SEARCH(",",J685,1)),CONCATENATE(","&amp;J685&amp;","&amp;J685),CONCATENATE(","&amp;J685))&amp;IF(ISBLANK(K685),"",IF(ISERROR(SEARCH(",",K685,1)),CONCATENATE(","&amp;K685&amp;","&amp;K685),CONCATENATE(","&amp;K685))))))&amp;")","")&amp;" "&amp;F685)</f>
        <v/>
      </c>
    </row>
    <row r="686">
      <c r="A686" s="1" t="n">
        <v>785</v>
      </c>
      <c r="B686" s="1">
        <f>A686</f>
        <v/>
      </c>
      <c r="C686" s="1" t="inlineStr">
        <is>
          <t>vQ23m15</t>
        </is>
      </c>
      <c r="D686" s="1" t="inlineStr">
        <is>
          <t>數值</t>
        </is>
      </c>
      <c r="E686" s="1" t="n">
        <v>2</v>
      </c>
      <c r="G686" s="1" t="inlineStr">
        <is>
          <t>range</t>
        </is>
      </c>
      <c r="H686" s="1" t="inlineStr">
        <is>
          <t>0,1</t>
        </is>
      </c>
      <c r="I686" s="1" t="inlineStr">
        <is>
          <t>96</t>
        </is>
      </c>
      <c r="L686" s="1">
        <f>CONCAT(IF(D686="數值",CONCATENATE(G686&amp;"("&amp;C686&amp;","&amp;IF(ISERROR(SEARCH(",",H686,1)),(H686&amp;","&amp;H686),H686)&amp;IF(ISBLANK(I686),"",IF(ISERROR(SEARCH(",",I686,1)),CONCATENATE(","&amp;I686&amp;","&amp;I686),CONCATENATE(","&amp;I686))&amp;IF(ISBLANK(J686),"",IF(ISERROR(SEARCH(",",J686,1)),CONCATENATE(","&amp;J686&amp;","&amp;J686),CONCATENATE(","&amp;J686))&amp;IF(ISBLANK(K686),"",IF(ISERROR(SEARCH(",",K686,1)),CONCATENATE(","&amp;K686&amp;","&amp;K686),CONCATENATE(","&amp;K686))))))&amp;")","")&amp;" "&amp;F686)</f>
        <v/>
      </c>
    </row>
    <row r="687">
      <c r="A687" s="1" t="n">
        <v>786</v>
      </c>
      <c r="B687" s="1">
        <f>A687</f>
        <v/>
      </c>
      <c r="C687" s="1" t="inlineStr">
        <is>
          <t>vQ23m16</t>
        </is>
      </c>
      <c r="D687" s="1" t="inlineStr">
        <is>
          <t>數值</t>
        </is>
      </c>
      <c r="E687" s="1" t="n">
        <v>2</v>
      </c>
      <c r="G687" s="1" t="inlineStr">
        <is>
          <t>range</t>
        </is>
      </c>
      <c r="H687" s="1" t="inlineStr">
        <is>
          <t>0,1</t>
        </is>
      </c>
      <c r="I687" s="1" t="inlineStr">
        <is>
          <t>96</t>
        </is>
      </c>
      <c r="L687" s="1">
        <f>CONCAT(IF(D687="數值",CONCATENATE(G687&amp;"("&amp;C687&amp;","&amp;IF(ISERROR(SEARCH(",",H687,1)),(H687&amp;","&amp;H687),H687)&amp;IF(ISBLANK(I687),"",IF(ISERROR(SEARCH(",",I687,1)),CONCATENATE(","&amp;I687&amp;","&amp;I687),CONCATENATE(","&amp;I687))&amp;IF(ISBLANK(J687),"",IF(ISERROR(SEARCH(",",J687,1)),CONCATENATE(","&amp;J687&amp;","&amp;J687),CONCATENATE(","&amp;J687))&amp;IF(ISBLANK(K687),"",IF(ISERROR(SEARCH(",",K687,1)),CONCATENATE(","&amp;K687&amp;","&amp;K687),CONCATENATE(","&amp;K687))))))&amp;")","")&amp;" "&amp;F687)</f>
        <v/>
      </c>
    </row>
    <row r="688">
      <c r="A688" s="1" t="n">
        <v>787</v>
      </c>
      <c r="B688" s="1">
        <f>A688</f>
        <v/>
      </c>
      <c r="C688" s="1" t="inlineStr">
        <is>
          <t>vQ23m17</t>
        </is>
      </c>
      <c r="D688" s="1" t="inlineStr">
        <is>
          <t>數值</t>
        </is>
      </c>
      <c r="E688" s="1" t="n">
        <v>2</v>
      </c>
      <c r="G688" s="1" t="inlineStr">
        <is>
          <t>range</t>
        </is>
      </c>
      <c r="H688" s="1" t="inlineStr">
        <is>
          <t>0,1</t>
        </is>
      </c>
      <c r="I688" s="1" t="inlineStr">
        <is>
          <t>96</t>
        </is>
      </c>
      <c r="L688" s="1">
        <f>CONCAT(IF(D688="數值",CONCATENATE(G688&amp;"("&amp;C688&amp;","&amp;IF(ISERROR(SEARCH(",",H688,1)),(H688&amp;","&amp;H688),H688)&amp;IF(ISBLANK(I688),"",IF(ISERROR(SEARCH(",",I688,1)),CONCATENATE(","&amp;I688&amp;","&amp;I688),CONCATENATE(","&amp;I688))&amp;IF(ISBLANK(J688),"",IF(ISERROR(SEARCH(",",J688,1)),CONCATENATE(","&amp;J688&amp;","&amp;J688),CONCATENATE(","&amp;J688))&amp;IF(ISBLANK(K688),"",IF(ISERROR(SEARCH(",",K688,1)),CONCATENATE(","&amp;K688&amp;","&amp;K688),CONCATENATE(","&amp;K688))))))&amp;")","")&amp;" "&amp;F688)</f>
        <v/>
      </c>
    </row>
    <row r="689">
      <c r="A689" s="1" t="n">
        <v>788</v>
      </c>
      <c r="B689" s="1">
        <f>A689</f>
        <v/>
      </c>
      <c r="C689" s="1" t="inlineStr">
        <is>
          <t>vQ23m18</t>
        </is>
      </c>
      <c r="D689" s="1" t="inlineStr">
        <is>
          <t>數值</t>
        </is>
      </c>
      <c r="E689" s="1" t="n">
        <v>2</v>
      </c>
      <c r="G689" s="1" t="inlineStr">
        <is>
          <t>range</t>
        </is>
      </c>
      <c r="H689" s="1" t="inlineStr">
        <is>
          <t>0,1</t>
        </is>
      </c>
      <c r="I689" s="1" t="inlineStr">
        <is>
          <t>96</t>
        </is>
      </c>
      <c r="L689" s="1">
        <f>CONCAT(IF(D689="數值",CONCATENATE(G689&amp;"("&amp;C689&amp;","&amp;IF(ISERROR(SEARCH(",",H689,1)),(H689&amp;","&amp;H689),H689)&amp;IF(ISBLANK(I689),"",IF(ISERROR(SEARCH(",",I689,1)),CONCATENATE(","&amp;I689&amp;","&amp;I689),CONCATENATE(","&amp;I689))&amp;IF(ISBLANK(J689),"",IF(ISERROR(SEARCH(",",J689,1)),CONCATENATE(","&amp;J689&amp;","&amp;J689),CONCATENATE(","&amp;J689))&amp;IF(ISBLANK(K689),"",IF(ISERROR(SEARCH(",",K689,1)),CONCATENATE(","&amp;K689&amp;","&amp;K689),CONCATENATE(","&amp;K689))))))&amp;")","")&amp;" "&amp;F689)</f>
        <v/>
      </c>
    </row>
    <row r="690">
      <c r="A690" s="1" t="n">
        <v>789</v>
      </c>
      <c r="B690" s="1">
        <f>A690</f>
        <v/>
      </c>
      <c r="C690" s="1" t="inlineStr">
        <is>
          <t>vQ23m19</t>
        </is>
      </c>
      <c r="D690" s="1" t="inlineStr">
        <is>
          <t>數值</t>
        </is>
      </c>
      <c r="E690" s="1" t="n">
        <v>2</v>
      </c>
      <c r="G690" s="1" t="inlineStr">
        <is>
          <t>range</t>
        </is>
      </c>
      <c r="H690" s="1" t="inlineStr">
        <is>
          <t>0,1</t>
        </is>
      </c>
      <c r="I690" s="1" t="inlineStr">
        <is>
          <t>96</t>
        </is>
      </c>
      <c r="L690" s="1">
        <f>CONCAT(IF(D690="數值",CONCATENATE(G690&amp;"("&amp;C690&amp;","&amp;IF(ISERROR(SEARCH(",",H690,1)),(H690&amp;","&amp;H690),H690)&amp;IF(ISBLANK(I690),"",IF(ISERROR(SEARCH(",",I690,1)),CONCATENATE(","&amp;I690&amp;","&amp;I690),CONCATENATE(","&amp;I690))&amp;IF(ISBLANK(J690),"",IF(ISERROR(SEARCH(",",J690,1)),CONCATENATE(","&amp;J690&amp;","&amp;J690),CONCATENATE(","&amp;J690))&amp;IF(ISBLANK(K690),"",IF(ISERROR(SEARCH(",",K690,1)),CONCATENATE(","&amp;K690&amp;","&amp;K690),CONCATENATE(","&amp;K690))))))&amp;")","")&amp;" "&amp;F690)</f>
        <v/>
      </c>
    </row>
    <row r="691">
      <c r="A691" s="1" t="n">
        <v>790</v>
      </c>
      <c r="B691" s="1">
        <f>A691</f>
        <v/>
      </c>
      <c r="C691" s="1" t="inlineStr">
        <is>
          <t>vQ23m20</t>
        </is>
      </c>
      <c r="D691" s="1" t="inlineStr">
        <is>
          <t>數值</t>
        </is>
      </c>
      <c r="E691" s="1" t="n">
        <v>2</v>
      </c>
      <c r="G691" s="1" t="inlineStr">
        <is>
          <t>range</t>
        </is>
      </c>
      <c r="H691" s="1" t="inlineStr">
        <is>
          <t>0,1</t>
        </is>
      </c>
      <c r="I691" s="1" t="inlineStr">
        <is>
          <t>96</t>
        </is>
      </c>
      <c r="L691" s="1">
        <f>CONCAT(IF(D691="數值",CONCATENATE(G691&amp;"("&amp;C691&amp;","&amp;IF(ISERROR(SEARCH(",",H691,1)),(H691&amp;","&amp;H691),H691)&amp;IF(ISBLANK(I691),"",IF(ISERROR(SEARCH(",",I691,1)),CONCATENATE(","&amp;I691&amp;","&amp;I691),CONCATENATE(","&amp;I691))&amp;IF(ISBLANK(J691),"",IF(ISERROR(SEARCH(",",J691,1)),CONCATENATE(","&amp;J691&amp;","&amp;J691),CONCATENATE(","&amp;J691))&amp;IF(ISBLANK(K691),"",IF(ISERROR(SEARCH(",",K691,1)),CONCATENATE(","&amp;K691&amp;","&amp;K691),CONCATENATE(","&amp;K691))))))&amp;")","")&amp;" "&amp;F691)</f>
        <v/>
      </c>
    </row>
    <row r="692">
      <c r="A692" s="1" t="n">
        <v>791</v>
      </c>
      <c r="B692" s="1">
        <f>A692</f>
        <v/>
      </c>
      <c r="C692" s="1" t="inlineStr">
        <is>
          <t>vQ23m21</t>
        </is>
      </c>
      <c r="D692" s="1" t="inlineStr">
        <is>
          <t>數值</t>
        </is>
      </c>
      <c r="E692" s="1" t="n">
        <v>2</v>
      </c>
      <c r="G692" s="1" t="inlineStr">
        <is>
          <t>range</t>
        </is>
      </c>
      <c r="H692" s="1" t="inlineStr">
        <is>
          <t>0,1</t>
        </is>
      </c>
      <c r="I692" s="1" t="inlineStr">
        <is>
          <t>96</t>
        </is>
      </c>
      <c r="L692" s="1">
        <f>CONCAT(IF(D692="數值",CONCATENATE(G692&amp;"("&amp;C692&amp;","&amp;IF(ISERROR(SEARCH(",",H692,1)),(H692&amp;","&amp;H692),H692)&amp;IF(ISBLANK(I692),"",IF(ISERROR(SEARCH(",",I692,1)),CONCATENATE(","&amp;I692&amp;","&amp;I692),CONCATENATE(","&amp;I692))&amp;IF(ISBLANK(J692),"",IF(ISERROR(SEARCH(",",J692,1)),CONCATENATE(","&amp;J692&amp;","&amp;J692),CONCATENATE(","&amp;J692))&amp;IF(ISBLANK(K692),"",IF(ISERROR(SEARCH(",",K692,1)),CONCATENATE(","&amp;K692&amp;","&amp;K692),CONCATENATE(","&amp;K692))))))&amp;")","")&amp;" "&amp;F692)</f>
        <v/>
      </c>
    </row>
    <row r="693">
      <c r="A693" s="1" t="n">
        <v>792</v>
      </c>
      <c r="B693" s="1">
        <f>A693</f>
        <v/>
      </c>
      <c r="C693" s="1" t="inlineStr">
        <is>
          <t>vQ23m22</t>
        </is>
      </c>
      <c r="D693" s="1" t="inlineStr">
        <is>
          <t>數值</t>
        </is>
      </c>
      <c r="E693" s="1" t="n">
        <v>2</v>
      </c>
      <c r="G693" s="1" t="inlineStr">
        <is>
          <t>range</t>
        </is>
      </c>
      <c r="H693" s="1" t="inlineStr">
        <is>
          <t>0,1</t>
        </is>
      </c>
      <c r="I693" s="1" t="inlineStr">
        <is>
          <t>96</t>
        </is>
      </c>
      <c r="L693" s="1">
        <f>CONCAT(IF(D693="數值",CONCATENATE(G693&amp;"("&amp;C693&amp;","&amp;IF(ISERROR(SEARCH(",",H693,1)),(H693&amp;","&amp;H693),H693)&amp;IF(ISBLANK(I693),"",IF(ISERROR(SEARCH(",",I693,1)),CONCATENATE(","&amp;I693&amp;","&amp;I693),CONCATENATE(","&amp;I693))&amp;IF(ISBLANK(J693),"",IF(ISERROR(SEARCH(",",J693,1)),CONCATENATE(","&amp;J693&amp;","&amp;J693),CONCATENATE(","&amp;J693))&amp;IF(ISBLANK(K693),"",IF(ISERROR(SEARCH(",",K693,1)),CONCATENATE(","&amp;K693&amp;","&amp;K693),CONCATENATE(","&amp;K693))))))&amp;")","")&amp;" "&amp;F693)</f>
        <v/>
      </c>
    </row>
    <row r="694">
      <c r="A694" s="1" t="n">
        <v>793</v>
      </c>
      <c r="B694" s="1">
        <f>A694</f>
        <v/>
      </c>
      <c r="C694" s="1" t="inlineStr">
        <is>
          <t>vQ23m23</t>
        </is>
      </c>
      <c r="D694" s="1" t="inlineStr">
        <is>
          <t>數值</t>
        </is>
      </c>
      <c r="E694" s="1" t="n">
        <v>2</v>
      </c>
      <c r="G694" s="1" t="inlineStr">
        <is>
          <t>range</t>
        </is>
      </c>
      <c r="H694" s="1" t="inlineStr">
        <is>
          <t>0,1</t>
        </is>
      </c>
      <c r="I694" s="1" t="inlineStr">
        <is>
          <t>96</t>
        </is>
      </c>
      <c r="L694" s="1">
        <f>CONCAT(IF(D694="數值",CONCATENATE(G694&amp;"("&amp;C694&amp;","&amp;IF(ISERROR(SEARCH(",",H694,1)),(H694&amp;","&amp;H694),H694)&amp;IF(ISBLANK(I694),"",IF(ISERROR(SEARCH(",",I694,1)),CONCATENATE(","&amp;I694&amp;","&amp;I694),CONCATENATE(","&amp;I694))&amp;IF(ISBLANK(J694),"",IF(ISERROR(SEARCH(",",J694,1)),CONCATENATE(","&amp;J694&amp;","&amp;J694),CONCATENATE(","&amp;J694))&amp;IF(ISBLANK(K694),"",IF(ISERROR(SEARCH(",",K694,1)),CONCATENATE(","&amp;K694&amp;","&amp;K694),CONCATENATE(","&amp;K694))))))&amp;")","")&amp;" "&amp;F694)</f>
        <v/>
      </c>
    </row>
    <row r="695">
      <c r="A695" s="1" t="n">
        <v>794</v>
      </c>
      <c r="B695" s="1">
        <f>A695</f>
        <v/>
      </c>
      <c r="C695" s="1" t="inlineStr">
        <is>
          <t>vQ23m24</t>
        </is>
      </c>
      <c r="D695" s="1" t="inlineStr">
        <is>
          <t>數值</t>
        </is>
      </c>
      <c r="E695" s="1" t="n">
        <v>2</v>
      </c>
      <c r="G695" s="1" t="inlineStr">
        <is>
          <t>range</t>
        </is>
      </c>
      <c r="H695" s="1" t="inlineStr">
        <is>
          <t>0,1</t>
        </is>
      </c>
      <c r="I695" s="1" t="inlineStr">
        <is>
          <t>96</t>
        </is>
      </c>
      <c r="L695" s="1">
        <f>CONCAT(IF(D695="數值",CONCATENATE(G695&amp;"("&amp;C695&amp;","&amp;IF(ISERROR(SEARCH(",",H695,1)),(H695&amp;","&amp;H695),H695)&amp;IF(ISBLANK(I695),"",IF(ISERROR(SEARCH(",",I695,1)),CONCATENATE(","&amp;I695&amp;","&amp;I695),CONCATENATE(","&amp;I695))&amp;IF(ISBLANK(J695),"",IF(ISERROR(SEARCH(",",J695,1)),CONCATENATE(","&amp;J695&amp;","&amp;J695),CONCATENATE(","&amp;J695))&amp;IF(ISBLANK(K695),"",IF(ISERROR(SEARCH(",",K695,1)),CONCATENATE(","&amp;K695&amp;","&amp;K695),CONCATENATE(","&amp;K695))))))&amp;")","")&amp;" "&amp;F695)</f>
        <v/>
      </c>
    </row>
    <row r="696">
      <c r="A696" s="1" t="n">
        <v>795</v>
      </c>
      <c r="B696" s="1">
        <f>A696</f>
        <v/>
      </c>
      <c r="C696" s="1" t="inlineStr">
        <is>
          <t>vQ23m25</t>
        </is>
      </c>
      <c r="D696" s="1" t="inlineStr">
        <is>
          <t>數值</t>
        </is>
      </c>
      <c r="E696" s="1" t="n">
        <v>2</v>
      </c>
      <c r="G696" s="1" t="inlineStr">
        <is>
          <t>range</t>
        </is>
      </c>
      <c r="H696" s="1" t="inlineStr">
        <is>
          <t>0,1</t>
        </is>
      </c>
      <c r="I696" s="1" t="inlineStr">
        <is>
          <t>96</t>
        </is>
      </c>
      <c r="L696" s="1">
        <f>CONCAT(IF(D696="數值",CONCATENATE(G696&amp;"("&amp;C696&amp;","&amp;IF(ISERROR(SEARCH(",",H696,1)),(H696&amp;","&amp;H696),H696)&amp;IF(ISBLANK(I696),"",IF(ISERROR(SEARCH(",",I696,1)),CONCATENATE(","&amp;I696&amp;","&amp;I696),CONCATENATE(","&amp;I696))&amp;IF(ISBLANK(J696),"",IF(ISERROR(SEARCH(",",J696,1)),CONCATENATE(","&amp;J696&amp;","&amp;J696),CONCATENATE(","&amp;J696))&amp;IF(ISBLANK(K696),"",IF(ISERROR(SEARCH(",",K696,1)),CONCATENATE(","&amp;K696&amp;","&amp;K696),CONCATENATE(","&amp;K696))))))&amp;")","")&amp;" "&amp;F696)</f>
        <v/>
      </c>
    </row>
    <row r="697">
      <c r="A697" s="1" t="n">
        <v>796</v>
      </c>
      <c r="B697" s="1">
        <f>A697</f>
        <v/>
      </c>
      <c r="C697" s="1" t="inlineStr">
        <is>
          <t>vQ23m26</t>
        </is>
      </c>
      <c r="D697" s="1" t="inlineStr">
        <is>
          <t>數值</t>
        </is>
      </c>
      <c r="E697" s="1" t="n">
        <v>2</v>
      </c>
      <c r="G697" s="1" t="inlineStr">
        <is>
          <t>range</t>
        </is>
      </c>
      <c r="H697" s="1" t="inlineStr">
        <is>
          <t>0,1</t>
        </is>
      </c>
      <c r="I697" s="1" t="inlineStr">
        <is>
          <t>96</t>
        </is>
      </c>
      <c r="L697" s="1">
        <f>CONCAT(IF(D697="數值",CONCATENATE(G697&amp;"("&amp;C697&amp;","&amp;IF(ISERROR(SEARCH(",",H697,1)),(H697&amp;","&amp;H697),H697)&amp;IF(ISBLANK(I697),"",IF(ISERROR(SEARCH(",",I697,1)),CONCATENATE(","&amp;I697&amp;","&amp;I697),CONCATENATE(","&amp;I697))&amp;IF(ISBLANK(J697),"",IF(ISERROR(SEARCH(",",J697,1)),CONCATENATE(","&amp;J697&amp;","&amp;J697),CONCATENATE(","&amp;J697))&amp;IF(ISBLANK(K697),"",IF(ISERROR(SEARCH(",",K697,1)),CONCATENATE(","&amp;K697&amp;","&amp;K697),CONCATENATE(","&amp;K697))))))&amp;")","")&amp;" "&amp;F697)</f>
        <v/>
      </c>
    </row>
    <row r="698">
      <c r="A698" s="1" t="n">
        <v>797</v>
      </c>
      <c r="B698" s="1">
        <f>A698</f>
        <v/>
      </c>
      <c r="C698" s="1" t="inlineStr">
        <is>
          <t>vQ23m27</t>
        </is>
      </c>
      <c r="D698" s="1" t="inlineStr">
        <is>
          <t>數值</t>
        </is>
      </c>
      <c r="E698" s="1" t="n">
        <v>2</v>
      </c>
      <c r="G698" s="1" t="inlineStr">
        <is>
          <t>range</t>
        </is>
      </c>
      <c r="H698" s="1" t="inlineStr">
        <is>
          <t>0,1</t>
        </is>
      </c>
      <c r="I698" s="1" t="inlineStr">
        <is>
          <t>96</t>
        </is>
      </c>
      <c r="L698" s="1">
        <f>CONCAT(IF(D698="數值",CONCATENATE(G698&amp;"("&amp;C698&amp;","&amp;IF(ISERROR(SEARCH(",",H698,1)),(H698&amp;","&amp;H698),H698)&amp;IF(ISBLANK(I698),"",IF(ISERROR(SEARCH(",",I698,1)),CONCATENATE(","&amp;I698&amp;","&amp;I698),CONCATENATE(","&amp;I698))&amp;IF(ISBLANK(J698),"",IF(ISERROR(SEARCH(",",J698,1)),CONCATENATE(","&amp;J698&amp;","&amp;J698),CONCATENATE(","&amp;J698))&amp;IF(ISBLANK(K698),"",IF(ISERROR(SEARCH(",",K698,1)),CONCATENATE(","&amp;K698&amp;","&amp;K698),CONCATENATE(","&amp;K698))))))&amp;")","")&amp;" "&amp;F698)</f>
        <v/>
      </c>
    </row>
    <row r="699">
      <c r="A699" s="1" t="n">
        <v>798</v>
      </c>
      <c r="B699" s="1">
        <f>A699</f>
        <v/>
      </c>
      <c r="C699" s="1" t="inlineStr">
        <is>
          <t>vQ23m88</t>
        </is>
      </c>
      <c r="D699" s="1" t="inlineStr">
        <is>
          <t>數值</t>
        </is>
      </c>
      <c r="E699" s="1" t="n">
        <v>2</v>
      </c>
      <c r="G699" s="1" t="inlineStr">
        <is>
          <t>range</t>
        </is>
      </c>
      <c r="H699" s="1" t="inlineStr">
        <is>
          <t>0,1</t>
        </is>
      </c>
      <c r="I699" s="1" t="inlineStr">
        <is>
          <t>96</t>
        </is>
      </c>
      <c r="L699" s="1">
        <f>CONCAT(IF(D699="數值",CONCATENATE(G699&amp;"("&amp;C699&amp;","&amp;IF(ISERROR(SEARCH(",",H699,1)),(H699&amp;","&amp;H699),H699)&amp;IF(ISBLANK(I699),"",IF(ISERROR(SEARCH(",",I699,1)),CONCATENATE(","&amp;I699&amp;","&amp;I699),CONCATENATE(","&amp;I699))&amp;IF(ISBLANK(J699),"",IF(ISERROR(SEARCH(",",J699,1)),CONCATENATE(","&amp;J699&amp;","&amp;J699),CONCATENATE(","&amp;J699))&amp;IF(ISBLANK(K699),"",IF(ISERROR(SEARCH(",",K699,1)),CONCATENATE(","&amp;K699&amp;","&amp;K699),CONCATENATE(","&amp;K699))))))&amp;")","")&amp;" "&amp;F699)</f>
        <v/>
      </c>
    </row>
    <row r="700">
      <c r="A700" s="1" t="n">
        <v>799</v>
      </c>
      <c r="B700" s="1">
        <f>A700</f>
        <v/>
      </c>
      <c r="C700" s="1" t="inlineStr">
        <is>
          <t>vQ26Ag1</t>
        </is>
      </c>
      <c r="D700" s="1" t="inlineStr">
        <is>
          <t>數值</t>
        </is>
      </c>
      <c r="E700" s="1" t="n">
        <v>4</v>
      </c>
      <c r="G700" s="1" t="inlineStr">
        <is>
          <t>range</t>
        </is>
      </c>
      <c r="H700" s="1" t="inlineStr">
        <is>
          <t>0,140</t>
        </is>
      </c>
      <c r="I700" s="1" t="inlineStr">
        <is>
          <t>997</t>
        </is>
      </c>
      <c r="J700" s="1" t="inlineStr">
        <is>
          <t>998</t>
        </is>
      </c>
      <c r="L700" s="1">
        <f>CONCAT(IF(D700="數值",CONCATENATE(G700&amp;"("&amp;C700&amp;","&amp;IF(ISERROR(SEARCH(",",H700,1)),(H700&amp;","&amp;H700),H700)&amp;IF(ISBLANK(I700),"",IF(ISERROR(SEARCH(",",I700,1)),CONCATENATE(","&amp;I700&amp;","&amp;I700),CONCATENATE(","&amp;I700))&amp;IF(ISBLANK(J700),"",IF(ISERROR(SEARCH(",",J700,1)),CONCATENATE(","&amp;J700&amp;","&amp;J700),CONCATENATE(","&amp;J700))&amp;IF(ISBLANK(K700),"",IF(ISERROR(SEARCH(",",K700,1)),CONCATENATE(","&amp;K700&amp;","&amp;K700),CONCATENATE(","&amp;K700))))))&amp;")","")&amp;" "&amp;F700)</f>
        <v/>
      </c>
    </row>
    <row r="701">
      <c r="A701" s="1" t="n">
        <v>800</v>
      </c>
      <c r="B701" s="1">
        <f>A701</f>
        <v/>
      </c>
      <c r="C701" s="1" t="inlineStr">
        <is>
          <t>vQ26Ag2</t>
        </is>
      </c>
      <c r="D701" s="1" t="inlineStr">
        <is>
          <t>數值</t>
        </is>
      </c>
      <c r="E701" s="1" t="n">
        <v>3</v>
      </c>
      <c r="G701" s="1" t="inlineStr">
        <is>
          <t>range</t>
        </is>
      </c>
      <c r="H701" s="1" t="inlineStr">
        <is>
          <t>0,59</t>
        </is>
      </c>
      <c r="I701" s="1" t="inlineStr">
        <is>
          <t>97</t>
        </is>
      </c>
      <c r="J701" s="1" t="inlineStr">
        <is>
          <t>98</t>
        </is>
      </c>
      <c r="L701" s="1">
        <f>CONCAT(IF(D701="數值",CONCATENATE(G701&amp;"("&amp;C701&amp;","&amp;IF(ISERROR(SEARCH(",",H701,1)),(H701&amp;","&amp;H701),H701)&amp;IF(ISBLANK(I701),"",IF(ISERROR(SEARCH(",",I701,1)),CONCATENATE(","&amp;I701&amp;","&amp;I701),CONCATENATE(","&amp;I701))&amp;IF(ISBLANK(J701),"",IF(ISERROR(SEARCH(",",J701,1)),CONCATENATE(","&amp;J701&amp;","&amp;J701),CONCATENATE(","&amp;J701))&amp;IF(ISBLANK(K701),"",IF(ISERROR(SEARCH(",",K701,1)),CONCATENATE(","&amp;K701&amp;","&amp;K701),CONCATENATE(","&amp;K701))))))&amp;")","")&amp;" "&amp;F701)</f>
        <v/>
      </c>
    </row>
    <row r="702">
      <c r="A702" s="1" t="n">
        <v>801</v>
      </c>
      <c r="B702" s="1">
        <f>A702</f>
        <v/>
      </c>
      <c r="C702" s="1" t="inlineStr">
        <is>
          <t>vCKQ26A</t>
        </is>
      </c>
      <c r="D702" s="1" t="inlineStr">
        <is>
          <t>數值</t>
        </is>
      </c>
      <c r="E702" s="1" t="n">
        <v>2</v>
      </c>
      <c r="G702" s="1" t="inlineStr">
        <is>
          <t>range</t>
        </is>
      </c>
    </row>
    <row r="703">
      <c r="A703" s="1" t="n">
        <v>802</v>
      </c>
      <c r="B703" s="1">
        <f>A703</f>
        <v/>
      </c>
      <c r="C703" s="1" t="inlineStr">
        <is>
          <t>vQ26m01</t>
        </is>
      </c>
      <c r="D703" s="1" t="inlineStr">
        <is>
          <t>數值</t>
        </is>
      </c>
      <c r="E703" s="1" t="n">
        <v>2</v>
      </c>
      <c r="G703" s="1" t="inlineStr">
        <is>
          <t>range</t>
        </is>
      </c>
      <c r="H703" s="1" t="inlineStr">
        <is>
          <t>0,1</t>
        </is>
      </c>
      <c r="L703" s="1">
        <f>CONCAT(IF(D703="數值",CONCATENATE(G703&amp;"("&amp;C703&amp;","&amp;IF(ISERROR(SEARCH(",",H703,1)),(H703&amp;","&amp;H703),H703)&amp;IF(ISBLANK(I703),"",IF(ISERROR(SEARCH(",",I703,1)),CONCATENATE(","&amp;I703&amp;","&amp;I703),CONCATENATE(","&amp;I703))&amp;IF(ISBLANK(J703),"",IF(ISERROR(SEARCH(",",J703,1)),CONCATENATE(","&amp;J703&amp;","&amp;J703),CONCATENATE(","&amp;J703))&amp;IF(ISBLANK(K703),"",IF(ISERROR(SEARCH(",",K703,1)),CONCATENATE(","&amp;K703&amp;","&amp;K703),CONCATENATE(","&amp;K703))))))&amp;")","")&amp;" "&amp;F703)</f>
        <v/>
      </c>
    </row>
    <row r="704">
      <c r="A704" s="1" t="n">
        <v>803</v>
      </c>
      <c r="B704" s="1">
        <f>A704</f>
        <v/>
      </c>
      <c r="C704" s="1" t="inlineStr">
        <is>
          <t>vQ26m02</t>
        </is>
      </c>
      <c r="D704" s="1" t="inlineStr">
        <is>
          <t>數值</t>
        </is>
      </c>
      <c r="E704" s="1" t="n">
        <v>2</v>
      </c>
      <c r="G704" s="1" t="inlineStr">
        <is>
          <t>range</t>
        </is>
      </c>
      <c r="H704" s="1" t="inlineStr">
        <is>
          <t>0,1</t>
        </is>
      </c>
      <c r="L704" s="1">
        <f>CONCAT(IF(D704="數值",CONCATENATE(G704&amp;"("&amp;C704&amp;","&amp;IF(ISERROR(SEARCH(",",H704,1)),(H704&amp;","&amp;H704),H704)&amp;IF(ISBLANK(I704),"",IF(ISERROR(SEARCH(",",I704,1)),CONCATENATE(","&amp;I704&amp;","&amp;I704),CONCATENATE(","&amp;I704))&amp;IF(ISBLANK(J704),"",IF(ISERROR(SEARCH(",",J704,1)),CONCATENATE(","&amp;J704&amp;","&amp;J704),CONCATENATE(","&amp;J704))&amp;IF(ISBLANK(K704),"",IF(ISERROR(SEARCH(",",K704,1)),CONCATENATE(","&amp;K704&amp;","&amp;K704),CONCATENATE(","&amp;K704))))))&amp;")","")&amp;" "&amp;F704)</f>
        <v/>
      </c>
    </row>
    <row r="705">
      <c r="A705" s="1" t="n">
        <v>804</v>
      </c>
      <c r="B705" s="1">
        <f>A705</f>
        <v/>
      </c>
      <c r="C705" s="1" t="inlineStr">
        <is>
          <t>vQ26m03</t>
        </is>
      </c>
      <c r="D705" s="1" t="inlineStr">
        <is>
          <t>數值</t>
        </is>
      </c>
      <c r="E705" s="1" t="n">
        <v>2</v>
      </c>
      <c r="G705" s="1" t="inlineStr">
        <is>
          <t>range</t>
        </is>
      </c>
      <c r="H705" s="1" t="inlineStr">
        <is>
          <t>0,1</t>
        </is>
      </c>
      <c r="L705" s="1">
        <f>CONCAT(IF(D705="數值",CONCATENATE(G705&amp;"("&amp;C705&amp;","&amp;IF(ISERROR(SEARCH(",",H705,1)),(H705&amp;","&amp;H705),H705)&amp;IF(ISBLANK(I705),"",IF(ISERROR(SEARCH(",",I705,1)),CONCATENATE(","&amp;I705&amp;","&amp;I705),CONCATENATE(","&amp;I705))&amp;IF(ISBLANK(J705),"",IF(ISERROR(SEARCH(",",J705,1)),CONCATENATE(","&amp;J705&amp;","&amp;J705),CONCATENATE(","&amp;J705))&amp;IF(ISBLANK(K705),"",IF(ISERROR(SEARCH(",",K705,1)),CONCATENATE(","&amp;K705&amp;","&amp;K705),CONCATENATE(","&amp;K705))))))&amp;")","")&amp;" "&amp;F705)</f>
        <v/>
      </c>
    </row>
    <row r="706">
      <c r="A706" s="1" t="n">
        <v>805</v>
      </c>
      <c r="B706" s="1">
        <f>A706</f>
        <v/>
      </c>
      <c r="C706" s="1" t="inlineStr">
        <is>
          <t>vQ26m04</t>
        </is>
      </c>
      <c r="D706" s="1" t="inlineStr">
        <is>
          <t>數值</t>
        </is>
      </c>
      <c r="E706" s="1" t="n">
        <v>2</v>
      </c>
      <c r="G706" s="1" t="inlineStr">
        <is>
          <t>range</t>
        </is>
      </c>
      <c r="H706" s="1" t="inlineStr">
        <is>
          <t>0,1</t>
        </is>
      </c>
      <c r="L706" s="1">
        <f>CONCAT(IF(D706="數值",CONCATENATE(G706&amp;"("&amp;C706&amp;","&amp;IF(ISERROR(SEARCH(",",H706,1)),(H706&amp;","&amp;H706),H706)&amp;IF(ISBLANK(I706),"",IF(ISERROR(SEARCH(",",I706,1)),CONCATENATE(","&amp;I706&amp;","&amp;I706),CONCATENATE(","&amp;I706))&amp;IF(ISBLANK(J706),"",IF(ISERROR(SEARCH(",",J706,1)),CONCATENATE(","&amp;J706&amp;","&amp;J706),CONCATENATE(","&amp;J706))&amp;IF(ISBLANK(K706),"",IF(ISERROR(SEARCH(",",K706,1)),CONCATENATE(","&amp;K706&amp;","&amp;K706),CONCATENATE(","&amp;K706))))))&amp;")","")&amp;" "&amp;F706)</f>
        <v/>
      </c>
    </row>
    <row r="707">
      <c r="A707" s="1" t="n">
        <v>806</v>
      </c>
      <c r="B707" s="1">
        <f>A707</f>
        <v/>
      </c>
      <c r="C707" s="1" t="inlineStr">
        <is>
          <t>vQ26m05</t>
        </is>
      </c>
      <c r="D707" s="1" t="inlineStr">
        <is>
          <t>數值</t>
        </is>
      </c>
      <c r="E707" s="1" t="n">
        <v>2</v>
      </c>
      <c r="G707" s="1" t="inlineStr">
        <is>
          <t>range</t>
        </is>
      </c>
      <c r="H707" s="1" t="inlineStr">
        <is>
          <t>0,1</t>
        </is>
      </c>
      <c r="L707" s="1">
        <f>CONCAT(IF(D707="數值",CONCATENATE(G707&amp;"("&amp;C707&amp;","&amp;IF(ISERROR(SEARCH(",",H707,1)),(H707&amp;","&amp;H707),H707)&amp;IF(ISBLANK(I707),"",IF(ISERROR(SEARCH(",",I707,1)),CONCATENATE(","&amp;I707&amp;","&amp;I707),CONCATENATE(","&amp;I707))&amp;IF(ISBLANK(J707),"",IF(ISERROR(SEARCH(",",J707,1)),CONCATENATE(","&amp;J707&amp;","&amp;J707),CONCATENATE(","&amp;J707))&amp;IF(ISBLANK(K707),"",IF(ISERROR(SEARCH(",",K707,1)),CONCATENATE(","&amp;K707&amp;","&amp;K707),CONCATENATE(","&amp;K707))))))&amp;")","")&amp;" "&amp;F707)</f>
        <v/>
      </c>
    </row>
    <row r="708">
      <c r="A708" s="1" t="n">
        <v>807</v>
      </c>
      <c r="B708" s="1">
        <f>A708</f>
        <v/>
      </c>
      <c r="C708" s="1" t="inlineStr">
        <is>
          <t>vQ26m06</t>
        </is>
      </c>
      <c r="D708" s="1" t="inlineStr">
        <is>
          <t>數值</t>
        </is>
      </c>
      <c r="E708" s="1" t="n">
        <v>2</v>
      </c>
      <c r="G708" s="1" t="inlineStr">
        <is>
          <t>range</t>
        </is>
      </c>
      <c r="H708" s="1" t="inlineStr">
        <is>
          <t>0,1</t>
        </is>
      </c>
      <c r="L708" s="1">
        <f>CONCAT(IF(D708="數值",CONCATENATE(G708&amp;"("&amp;C708&amp;","&amp;IF(ISERROR(SEARCH(",",H708,1)),(H708&amp;","&amp;H708),H708)&amp;IF(ISBLANK(I708),"",IF(ISERROR(SEARCH(",",I708,1)),CONCATENATE(","&amp;I708&amp;","&amp;I708),CONCATENATE(","&amp;I708))&amp;IF(ISBLANK(J708),"",IF(ISERROR(SEARCH(",",J708,1)),CONCATENATE(","&amp;J708&amp;","&amp;J708),CONCATENATE(","&amp;J708))&amp;IF(ISBLANK(K708),"",IF(ISERROR(SEARCH(",",K708,1)),CONCATENATE(","&amp;K708&amp;","&amp;K708),CONCATENATE(","&amp;K708))))))&amp;")","")&amp;" "&amp;F708)</f>
        <v/>
      </c>
    </row>
    <row r="709">
      <c r="A709" s="1" t="n">
        <v>808</v>
      </c>
      <c r="B709" s="1">
        <f>A709</f>
        <v/>
      </c>
      <c r="C709" s="1" t="inlineStr">
        <is>
          <t>vQ26m07</t>
        </is>
      </c>
      <c r="D709" s="1" t="inlineStr">
        <is>
          <t>數值</t>
        </is>
      </c>
      <c r="E709" s="1" t="n">
        <v>2</v>
      </c>
      <c r="G709" s="1" t="inlineStr">
        <is>
          <t>range</t>
        </is>
      </c>
      <c r="H709" s="1" t="inlineStr">
        <is>
          <t>0,1</t>
        </is>
      </c>
      <c r="L709" s="1">
        <f>CONCAT(IF(D709="數值",CONCATENATE(G709&amp;"("&amp;C709&amp;","&amp;IF(ISERROR(SEARCH(",",H709,1)),(H709&amp;","&amp;H709),H709)&amp;IF(ISBLANK(I709),"",IF(ISERROR(SEARCH(",",I709,1)),CONCATENATE(","&amp;I709&amp;","&amp;I709),CONCATENATE(","&amp;I709))&amp;IF(ISBLANK(J709),"",IF(ISERROR(SEARCH(",",J709,1)),CONCATENATE(","&amp;J709&amp;","&amp;J709),CONCATENATE(","&amp;J709))&amp;IF(ISBLANK(K709),"",IF(ISERROR(SEARCH(",",K709,1)),CONCATENATE(","&amp;K709&amp;","&amp;K709),CONCATENATE(","&amp;K709))))))&amp;")","")&amp;" "&amp;F709)</f>
        <v/>
      </c>
    </row>
    <row r="710">
      <c r="A710" s="1" t="n">
        <v>809</v>
      </c>
      <c r="B710" s="1">
        <f>A710</f>
        <v/>
      </c>
      <c r="C710" s="1" t="inlineStr">
        <is>
          <t>vQ26m08</t>
        </is>
      </c>
      <c r="D710" s="1" t="inlineStr">
        <is>
          <t>數值</t>
        </is>
      </c>
      <c r="E710" s="1" t="n">
        <v>2</v>
      </c>
      <c r="G710" s="1" t="inlineStr">
        <is>
          <t>range</t>
        </is>
      </c>
      <c r="H710" s="1" t="inlineStr">
        <is>
          <t>0,1</t>
        </is>
      </c>
      <c r="L710" s="1">
        <f>CONCAT(IF(D710="數值",CONCATENATE(G710&amp;"("&amp;C710&amp;","&amp;IF(ISERROR(SEARCH(",",H710,1)),(H710&amp;","&amp;H710),H710)&amp;IF(ISBLANK(I710),"",IF(ISERROR(SEARCH(",",I710,1)),CONCATENATE(","&amp;I710&amp;","&amp;I710),CONCATENATE(","&amp;I710))&amp;IF(ISBLANK(J710),"",IF(ISERROR(SEARCH(",",J710,1)),CONCATENATE(","&amp;J710&amp;","&amp;J710),CONCATENATE(","&amp;J710))&amp;IF(ISBLANK(K710),"",IF(ISERROR(SEARCH(",",K710,1)),CONCATENATE(","&amp;K710&amp;","&amp;K710),CONCATENATE(","&amp;K710))))))&amp;")","")&amp;" "&amp;F710)</f>
        <v/>
      </c>
    </row>
    <row r="711">
      <c r="A711" s="1" t="n">
        <v>810</v>
      </c>
      <c r="B711" s="1">
        <f>A711</f>
        <v/>
      </c>
      <c r="C711" s="1" t="inlineStr">
        <is>
          <t>vQ26m09</t>
        </is>
      </c>
      <c r="D711" s="1" t="inlineStr">
        <is>
          <t>數值</t>
        </is>
      </c>
      <c r="E711" s="1" t="n">
        <v>2</v>
      </c>
      <c r="G711" s="1" t="inlineStr">
        <is>
          <t>range</t>
        </is>
      </c>
      <c r="H711" s="1" t="inlineStr">
        <is>
          <t>0,1</t>
        </is>
      </c>
      <c r="L711" s="1">
        <f>CONCAT(IF(D711="數值",CONCATENATE(G711&amp;"("&amp;C711&amp;","&amp;IF(ISERROR(SEARCH(",",H711,1)),(H711&amp;","&amp;H711),H711)&amp;IF(ISBLANK(I711),"",IF(ISERROR(SEARCH(",",I711,1)),CONCATENATE(","&amp;I711&amp;","&amp;I711),CONCATENATE(","&amp;I711))&amp;IF(ISBLANK(J711),"",IF(ISERROR(SEARCH(",",J711,1)),CONCATENATE(","&amp;J711&amp;","&amp;J711),CONCATENATE(","&amp;J711))&amp;IF(ISBLANK(K711),"",IF(ISERROR(SEARCH(",",K711,1)),CONCATENATE(","&amp;K711&amp;","&amp;K711),CONCATENATE(","&amp;K711))))))&amp;")","")&amp;" "&amp;F711)</f>
        <v/>
      </c>
    </row>
    <row r="712">
      <c r="A712" s="1" t="n">
        <v>811</v>
      </c>
      <c r="B712" s="1">
        <f>A712</f>
        <v/>
      </c>
      <c r="C712" s="1" t="inlineStr">
        <is>
          <t>vQ26m10</t>
        </is>
      </c>
      <c r="D712" s="1" t="inlineStr">
        <is>
          <t>數值</t>
        </is>
      </c>
      <c r="E712" s="1" t="n">
        <v>2</v>
      </c>
      <c r="G712" s="1" t="inlineStr">
        <is>
          <t>range</t>
        </is>
      </c>
      <c r="H712" s="1" t="inlineStr">
        <is>
          <t>0,1</t>
        </is>
      </c>
      <c r="I712" s="1" t="inlineStr">
        <is>
          <t>96</t>
        </is>
      </c>
      <c r="L712" s="1">
        <f>CONCAT(IF(D712="數值",CONCATENATE(G712&amp;"("&amp;C712&amp;","&amp;IF(ISERROR(SEARCH(",",H712,1)),(H712&amp;","&amp;H712),H712)&amp;IF(ISBLANK(I712),"",IF(ISERROR(SEARCH(",",I712,1)),CONCATENATE(","&amp;I712&amp;","&amp;I712),CONCATENATE(","&amp;I712))&amp;IF(ISBLANK(J712),"",IF(ISERROR(SEARCH(",",J712,1)),CONCATENATE(","&amp;J712&amp;","&amp;J712),CONCATENATE(","&amp;J712))&amp;IF(ISBLANK(K712),"",IF(ISERROR(SEARCH(",",K712,1)),CONCATENATE(","&amp;K712&amp;","&amp;K712),CONCATENATE(","&amp;K712))))))&amp;")","")&amp;" "&amp;F712)</f>
        <v/>
      </c>
    </row>
    <row r="713">
      <c r="A713" s="1" t="n">
        <v>812</v>
      </c>
      <c r="B713" s="1">
        <f>A713</f>
        <v/>
      </c>
      <c r="C713" s="1" t="inlineStr">
        <is>
          <t>vQ26m11</t>
        </is>
      </c>
      <c r="D713" s="1" t="inlineStr">
        <is>
          <t>數值</t>
        </is>
      </c>
      <c r="E713" s="1" t="n">
        <v>2</v>
      </c>
      <c r="G713" s="1" t="inlineStr">
        <is>
          <t>range</t>
        </is>
      </c>
      <c r="H713" s="1" t="inlineStr">
        <is>
          <t>0,1</t>
        </is>
      </c>
      <c r="I713" s="1" t="inlineStr">
        <is>
          <t>96</t>
        </is>
      </c>
      <c r="L713" s="1">
        <f>CONCAT(IF(D713="數值",CONCATENATE(G713&amp;"("&amp;C713&amp;","&amp;IF(ISERROR(SEARCH(",",H713,1)),(H713&amp;","&amp;H713),H713)&amp;IF(ISBLANK(I713),"",IF(ISERROR(SEARCH(",",I713,1)),CONCATENATE(","&amp;I713&amp;","&amp;I713),CONCATENATE(","&amp;I713))&amp;IF(ISBLANK(J713),"",IF(ISERROR(SEARCH(",",J713,1)),CONCATENATE(","&amp;J713&amp;","&amp;J713),CONCATENATE(","&amp;J713))&amp;IF(ISBLANK(K713),"",IF(ISERROR(SEARCH(",",K713,1)),CONCATENATE(","&amp;K713&amp;","&amp;K713),CONCATENATE(","&amp;K713))))))&amp;")","")&amp;" "&amp;F713)</f>
        <v/>
      </c>
    </row>
    <row r="714">
      <c r="A714" s="1" t="n">
        <v>813</v>
      </c>
      <c r="B714" s="1">
        <f>A714</f>
        <v/>
      </c>
      <c r="C714" s="1" t="inlineStr">
        <is>
          <t>vQ26m12</t>
        </is>
      </c>
      <c r="D714" s="1" t="inlineStr">
        <is>
          <t>數值</t>
        </is>
      </c>
      <c r="E714" s="1" t="n">
        <v>2</v>
      </c>
      <c r="G714" s="1" t="inlineStr">
        <is>
          <t>range</t>
        </is>
      </c>
      <c r="H714" s="1" t="inlineStr">
        <is>
          <t>0,1</t>
        </is>
      </c>
      <c r="I714" s="1" t="inlineStr">
        <is>
          <t>96</t>
        </is>
      </c>
      <c r="L714" s="1">
        <f>CONCAT(IF(D714="數值",CONCATENATE(G714&amp;"("&amp;C714&amp;","&amp;IF(ISERROR(SEARCH(",",H714,1)),(H714&amp;","&amp;H714),H714)&amp;IF(ISBLANK(I714),"",IF(ISERROR(SEARCH(",",I714,1)),CONCATENATE(","&amp;I714&amp;","&amp;I714),CONCATENATE(","&amp;I714))&amp;IF(ISBLANK(J714),"",IF(ISERROR(SEARCH(",",J714,1)),CONCATENATE(","&amp;J714&amp;","&amp;J714),CONCATENATE(","&amp;J714))&amp;IF(ISBLANK(K714),"",IF(ISERROR(SEARCH(",",K714,1)),CONCATENATE(","&amp;K714&amp;","&amp;K714),CONCATENATE(","&amp;K714))))))&amp;")","")&amp;" "&amp;F714)</f>
        <v/>
      </c>
    </row>
    <row r="715">
      <c r="A715" s="1" t="n">
        <v>814</v>
      </c>
      <c r="B715" s="1">
        <f>A715</f>
        <v/>
      </c>
      <c r="C715" s="1" t="inlineStr">
        <is>
          <t>vQ26m13</t>
        </is>
      </c>
      <c r="D715" s="1" t="inlineStr">
        <is>
          <t>數值</t>
        </is>
      </c>
      <c r="E715" s="1" t="n">
        <v>2</v>
      </c>
      <c r="G715" s="1" t="inlineStr">
        <is>
          <t>range</t>
        </is>
      </c>
      <c r="H715" s="1" t="inlineStr">
        <is>
          <t>0,1</t>
        </is>
      </c>
      <c r="I715" s="1" t="inlineStr">
        <is>
          <t>96</t>
        </is>
      </c>
      <c r="L715" s="1">
        <f>CONCAT(IF(D715="數值",CONCATENATE(G715&amp;"("&amp;C715&amp;","&amp;IF(ISERROR(SEARCH(",",H715,1)),(H715&amp;","&amp;H715),H715)&amp;IF(ISBLANK(I715),"",IF(ISERROR(SEARCH(",",I715,1)),CONCATENATE(","&amp;I715&amp;","&amp;I715),CONCATENATE(","&amp;I715))&amp;IF(ISBLANK(J715),"",IF(ISERROR(SEARCH(",",J715,1)),CONCATENATE(","&amp;J715&amp;","&amp;J715),CONCATENATE(","&amp;J715))&amp;IF(ISBLANK(K715),"",IF(ISERROR(SEARCH(",",K715,1)),CONCATENATE(","&amp;K715&amp;","&amp;K715),CONCATENATE(","&amp;K715))))))&amp;")","")&amp;" "&amp;F715)</f>
        <v/>
      </c>
    </row>
    <row r="716">
      <c r="A716" s="1" t="n">
        <v>815</v>
      </c>
      <c r="B716" s="1">
        <f>A716</f>
        <v/>
      </c>
      <c r="C716" s="1" t="inlineStr">
        <is>
          <t>vQ26m14</t>
        </is>
      </c>
      <c r="D716" s="1" t="inlineStr">
        <is>
          <t>數值</t>
        </is>
      </c>
      <c r="E716" s="1" t="n">
        <v>2</v>
      </c>
      <c r="G716" s="1" t="inlineStr">
        <is>
          <t>range</t>
        </is>
      </c>
      <c r="H716" s="1" t="inlineStr">
        <is>
          <t>0,1</t>
        </is>
      </c>
      <c r="I716" s="1" t="inlineStr">
        <is>
          <t>96</t>
        </is>
      </c>
      <c r="L716" s="1">
        <f>CONCAT(IF(D716="數值",CONCATENATE(G716&amp;"("&amp;C716&amp;","&amp;IF(ISERROR(SEARCH(",",H716,1)),(H716&amp;","&amp;H716),H716)&amp;IF(ISBLANK(I716),"",IF(ISERROR(SEARCH(",",I716,1)),CONCATENATE(","&amp;I716&amp;","&amp;I716),CONCATENATE(","&amp;I716))&amp;IF(ISBLANK(J716),"",IF(ISERROR(SEARCH(",",J716,1)),CONCATENATE(","&amp;J716&amp;","&amp;J716),CONCATENATE(","&amp;J716))&amp;IF(ISBLANK(K716),"",IF(ISERROR(SEARCH(",",K716,1)),CONCATENATE(","&amp;K716&amp;","&amp;K716),CONCATENATE(","&amp;K716))))))&amp;")","")&amp;" "&amp;F716)</f>
        <v/>
      </c>
    </row>
    <row r="717">
      <c r="A717" s="1" t="n">
        <v>816</v>
      </c>
      <c r="B717" s="1">
        <f>A717</f>
        <v/>
      </c>
      <c r="C717" s="1" t="inlineStr">
        <is>
          <t>vQ26m15</t>
        </is>
      </c>
      <c r="D717" s="1" t="inlineStr">
        <is>
          <t>數值</t>
        </is>
      </c>
      <c r="E717" s="1" t="n">
        <v>2</v>
      </c>
      <c r="G717" s="1" t="inlineStr">
        <is>
          <t>range</t>
        </is>
      </c>
      <c r="H717" s="1" t="inlineStr">
        <is>
          <t>0,1</t>
        </is>
      </c>
      <c r="I717" s="1" t="inlineStr">
        <is>
          <t>96</t>
        </is>
      </c>
      <c r="L717" s="1">
        <f>CONCAT(IF(D717="數值",CONCATENATE(G717&amp;"("&amp;C717&amp;","&amp;IF(ISERROR(SEARCH(",",H717,1)),(H717&amp;","&amp;H717),H717)&amp;IF(ISBLANK(I717),"",IF(ISERROR(SEARCH(",",I717,1)),CONCATENATE(","&amp;I717&amp;","&amp;I717),CONCATENATE(","&amp;I717))&amp;IF(ISBLANK(J717),"",IF(ISERROR(SEARCH(",",J717,1)),CONCATENATE(","&amp;J717&amp;","&amp;J717),CONCATENATE(","&amp;J717))&amp;IF(ISBLANK(K717),"",IF(ISERROR(SEARCH(",",K717,1)),CONCATENATE(","&amp;K717&amp;","&amp;K717),CONCATENATE(","&amp;K717))))))&amp;")","")&amp;" "&amp;F717)</f>
        <v/>
      </c>
    </row>
    <row r="718">
      <c r="A718" s="1" t="n">
        <v>817</v>
      </c>
      <c r="B718" s="1">
        <f>A718</f>
        <v/>
      </c>
      <c r="C718" s="1" t="inlineStr">
        <is>
          <t>vQ26m16</t>
        </is>
      </c>
      <c r="D718" s="1" t="inlineStr">
        <is>
          <t>數值</t>
        </is>
      </c>
      <c r="E718" s="1" t="n">
        <v>2</v>
      </c>
      <c r="G718" s="1" t="inlineStr">
        <is>
          <t>range</t>
        </is>
      </c>
      <c r="H718" s="1" t="inlineStr">
        <is>
          <t>0,1</t>
        </is>
      </c>
      <c r="I718" s="1" t="inlineStr">
        <is>
          <t>96</t>
        </is>
      </c>
      <c r="L718" s="1">
        <f>CONCAT(IF(D718="數值",CONCATENATE(G718&amp;"("&amp;C718&amp;","&amp;IF(ISERROR(SEARCH(",",H718,1)),(H718&amp;","&amp;H718),H718)&amp;IF(ISBLANK(I718),"",IF(ISERROR(SEARCH(",",I718,1)),CONCATENATE(","&amp;I718&amp;","&amp;I718),CONCATENATE(","&amp;I718))&amp;IF(ISBLANK(J718),"",IF(ISERROR(SEARCH(",",J718,1)),CONCATENATE(","&amp;J718&amp;","&amp;J718),CONCATENATE(","&amp;J718))&amp;IF(ISBLANK(K718),"",IF(ISERROR(SEARCH(",",K718,1)),CONCATENATE(","&amp;K718&amp;","&amp;K718),CONCATENATE(","&amp;K718))))))&amp;")","")&amp;" "&amp;F718)</f>
        <v/>
      </c>
    </row>
    <row r="719">
      <c r="A719" s="1" t="n">
        <v>818</v>
      </c>
      <c r="B719" s="1">
        <f>A719</f>
        <v/>
      </c>
      <c r="C719" s="1" t="inlineStr">
        <is>
          <t>vQ26m17</t>
        </is>
      </c>
      <c r="D719" s="1" t="inlineStr">
        <is>
          <t>數值</t>
        </is>
      </c>
      <c r="E719" s="1" t="n">
        <v>2</v>
      </c>
      <c r="G719" s="1" t="inlineStr">
        <is>
          <t>range</t>
        </is>
      </c>
      <c r="H719" s="1" t="inlineStr">
        <is>
          <t>0,1</t>
        </is>
      </c>
      <c r="I719" s="1" t="inlineStr">
        <is>
          <t>96</t>
        </is>
      </c>
      <c r="L719" s="1">
        <f>CONCAT(IF(D719="數值",CONCATENATE(G719&amp;"("&amp;C719&amp;","&amp;IF(ISERROR(SEARCH(",",H719,1)),(H719&amp;","&amp;H719),H719)&amp;IF(ISBLANK(I719),"",IF(ISERROR(SEARCH(",",I719,1)),CONCATENATE(","&amp;I719&amp;","&amp;I719),CONCATENATE(","&amp;I719))&amp;IF(ISBLANK(J719),"",IF(ISERROR(SEARCH(",",J719,1)),CONCATENATE(","&amp;J719&amp;","&amp;J719),CONCATENATE(","&amp;J719))&amp;IF(ISBLANK(K719),"",IF(ISERROR(SEARCH(",",K719,1)),CONCATENATE(","&amp;K719&amp;","&amp;K719),CONCATENATE(","&amp;K719))))))&amp;")","")&amp;" "&amp;F719)</f>
        <v/>
      </c>
    </row>
    <row r="720">
      <c r="A720" s="1" t="n">
        <v>819</v>
      </c>
      <c r="B720" s="1">
        <f>A720</f>
        <v/>
      </c>
      <c r="C720" s="1" t="inlineStr">
        <is>
          <t>vQ26m18</t>
        </is>
      </c>
      <c r="D720" s="1" t="inlineStr">
        <is>
          <t>數值</t>
        </is>
      </c>
      <c r="E720" s="1" t="n">
        <v>2</v>
      </c>
      <c r="G720" s="1" t="inlineStr">
        <is>
          <t>range</t>
        </is>
      </c>
      <c r="H720" s="1" t="inlineStr">
        <is>
          <t>0,1</t>
        </is>
      </c>
      <c r="I720" s="1" t="inlineStr">
        <is>
          <t>96</t>
        </is>
      </c>
      <c r="L720" s="1">
        <f>CONCAT(IF(D720="數值",CONCATENATE(G720&amp;"("&amp;C720&amp;","&amp;IF(ISERROR(SEARCH(",",H720,1)),(H720&amp;","&amp;H720),H720)&amp;IF(ISBLANK(I720),"",IF(ISERROR(SEARCH(",",I720,1)),CONCATENATE(","&amp;I720&amp;","&amp;I720),CONCATENATE(","&amp;I720))&amp;IF(ISBLANK(J720),"",IF(ISERROR(SEARCH(",",J720,1)),CONCATENATE(","&amp;J720&amp;","&amp;J720),CONCATENATE(","&amp;J720))&amp;IF(ISBLANK(K720),"",IF(ISERROR(SEARCH(",",K720,1)),CONCATENATE(","&amp;K720&amp;","&amp;K720),CONCATENATE(","&amp;K720))))))&amp;")","")&amp;" "&amp;F720)</f>
        <v/>
      </c>
    </row>
    <row r="721">
      <c r="A721" s="1" t="n">
        <v>820</v>
      </c>
      <c r="B721" s="1">
        <f>A721</f>
        <v/>
      </c>
      <c r="C721" s="1" t="inlineStr">
        <is>
          <t>vQ26m19</t>
        </is>
      </c>
      <c r="D721" s="1" t="inlineStr">
        <is>
          <t>數值</t>
        </is>
      </c>
      <c r="E721" s="1" t="n">
        <v>2</v>
      </c>
      <c r="G721" s="1" t="inlineStr">
        <is>
          <t>range</t>
        </is>
      </c>
      <c r="H721" s="1" t="inlineStr">
        <is>
          <t>0,1</t>
        </is>
      </c>
      <c r="I721" s="1" t="inlineStr">
        <is>
          <t>96</t>
        </is>
      </c>
      <c r="L721" s="1">
        <f>CONCAT(IF(D721="數值",CONCATENATE(G721&amp;"("&amp;C721&amp;","&amp;IF(ISERROR(SEARCH(",",H721,1)),(H721&amp;","&amp;H721),H721)&amp;IF(ISBLANK(I721),"",IF(ISERROR(SEARCH(",",I721,1)),CONCATENATE(","&amp;I721&amp;","&amp;I721),CONCATENATE(","&amp;I721))&amp;IF(ISBLANK(J721),"",IF(ISERROR(SEARCH(",",J721,1)),CONCATENATE(","&amp;J721&amp;","&amp;J721),CONCATENATE(","&amp;J721))&amp;IF(ISBLANK(K721),"",IF(ISERROR(SEARCH(",",K721,1)),CONCATENATE(","&amp;K721&amp;","&amp;K721),CONCATENATE(","&amp;K721))))))&amp;")","")&amp;" "&amp;F721)</f>
        <v/>
      </c>
    </row>
    <row r="722">
      <c r="A722" s="1" t="n">
        <v>821</v>
      </c>
      <c r="B722" s="1">
        <f>A722</f>
        <v/>
      </c>
      <c r="C722" s="1" t="inlineStr">
        <is>
          <t>vQ26m20</t>
        </is>
      </c>
      <c r="D722" s="1" t="inlineStr">
        <is>
          <t>數值</t>
        </is>
      </c>
      <c r="E722" s="1" t="n">
        <v>2</v>
      </c>
      <c r="G722" s="1" t="inlineStr">
        <is>
          <t>range</t>
        </is>
      </c>
      <c r="H722" s="1" t="inlineStr">
        <is>
          <t>0,1</t>
        </is>
      </c>
      <c r="I722" s="1" t="inlineStr">
        <is>
          <t>96</t>
        </is>
      </c>
      <c r="L722" s="1">
        <f>CONCAT(IF(D722="數值",CONCATENATE(G722&amp;"("&amp;C722&amp;","&amp;IF(ISERROR(SEARCH(",",H722,1)),(H722&amp;","&amp;H722),H722)&amp;IF(ISBLANK(I722),"",IF(ISERROR(SEARCH(",",I722,1)),CONCATENATE(","&amp;I722&amp;","&amp;I722),CONCATENATE(","&amp;I722))&amp;IF(ISBLANK(J722),"",IF(ISERROR(SEARCH(",",J722,1)),CONCATENATE(","&amp;J722&amp;","&amp;J722),CONCATENATE(","&amp;J722))&amp;IF(ISBLANK(K722),"",IF(ISERROR(SEARCH(",",K722,1)),CONCATENATE(","&amp;K722&amp;","&amp;K722),CONCATENATE(","&amp;K722))))))&amp;")","")&amp;" "&amp;F722)</f>
        <v/>
      </c>
    </row>
    <row r="723">
      <c r="A723" s="1" t="n">
        <v>822</v>
      </c>
      <c r="B723" s="1">
        <f>A723</f>
        <v/>
      </c>
      <c r="C723" s="1" t="inlineStr">
        <is>
          <t>vQ26m21</t>
        </is>
      </c>
      <c r="D723" s="1" t="inlineStr">
        <is>
          <t>數值</t>
        </is>
      </c>
      <c r="E723" s="1" t="n">
        <v>2</v>
      </c>
      <c r="G723" s="1" t="inlineStr">
        <is>
          <t>range</t>
        </is>
      </c>
      <c r="H723" s="1" t="inlineStr">
        <is>
          <t>0,1</t>
        </is>
      </c>
      <c r="I723" s="1" t="inlineStr">
        <is>
          <t>96</t>
        </is>
      </c>
      <c r="L723" s="1">
        <f>CONCAT(IF(D723="數值",CONCATENATE(G723&amp;"("&amp;C723&amp;","&amp;IF(ISERROR(SEARCH(",",H723,1)),(H723&amp;","&amp;H723),H723)&amp;IF(ISBLANK(I723),"",IF(ISERROR(SEARCH(",",I723,1)),CONCATENATE(","&amp;I723&amp;","&amp;I723),CONCATENATE(","&amp;I723))&amp;IF(ISBLANK(J723),"",IF(ISERROR(SEARCH(",",J723,1)),CONCATENATE(","&amp;J723&amp;","&amp;J723),CONCATENATE(","&amp;J723))&amp;IF(ISBLANK(K723),"",IF(ISERROR(SEARCH(",",K723,1)),CONCATENATE(","&amp;K723&amp;","&amp;K723),CONCATENATE(","&amp;K723))))))&amp;")","")&amp;" "&amp;F723)</f>
        <v/>
      </c>
    </row>
    <row r="724">
      <c r="A724" s="1" t="n">
        <v>823</v>
      </c>
      <c r="B724" s="1">
        <f>A724</f>
        <v/>
      </c>
      <c r="C724" s="1" t="inlineStr">
        <is>
          <t>vQ26m22</t>
        </is>
      </c>
      <c r="D724" s="1" t="inlineStr">
        <is>
          <t>數值</t>
        </is>
      </c>
      <c r="E724" s="1" t="n">
        <v>2</v>
      </c>
      <c r="G724" s="1" t="inlineStr">
        <is>
          <t>range</t>
        </is>
      </c>
      <c r="H724" s="1" t="inlineStr">
        <is>
          <t>0,1</t>
        </is>
      </c>
      <c r="I724" s="1" t="inlineStr">
        <is>
          <t>96</t>
        </is>
      </c>
      <c r="L724" s="1">
        <f>CONCAT(IF(D724="數值",CONCATENATE(G724&amp;"("&amp;C724&amp;","&amp;IF(ISERROR(SEARCH(",",H724,1)),(H724&amp;","&amp;H724),H724)&amp;IF(ISBLANK(I724),"",IF(ISERROR(SEARCH(",",I724,1)),CONCATENATE(","&amp;I724&amp;","&amp;I724),CONCATENATE(","&amp;I724))&amp;IF(ISBLANK(J724),"",IF(ISERROR(SEARCH(",",J724,1)),CONCATENATE(","&amp;J724&amp;","&amp;J724),CONCATENATE(","&amp;J724))&amp;IF(ISBLANK(K724),"",IF(ISERROR(SEARCH(",",K724,1)),CONCATENATE(","&amp;K724&amp;","&amp;K724),CONCATENATE(","&amp;K724))))))&amp;")","")&amp;" "&amp;F724)</f>
        <v/>
      </c>
    </row>
    <row r="725">
      <c r="A725" s="1" t="n">
        <v>824</v>
      </c>
      <c r="B725" s="1">
        <f>A725</f>
        <v/>
      </c>
      <c r="C725" s="1" t="inlineStr">
        <is>
          <t>vQ26m23</t>
        </is>
      </c>
      <c r="D725" s="1" t="inlineStr">
        <is>
          <t>數值</t>
        </is>
      </c>
      <c r="E725" s="1" t="n">
        <v>2</v>
      </c>
      <c r="G725" s="1" t="inlineStr">
        <is>
          <t>range</t>
        </is>
      </c>
      <c r="H725" s="1" t="inlineStr">
        <is>
          <t>0,1</t>
        </is>
      </c>
      <c r="I725" s="1" t="inlineStr">
        <is>
          <t>96</t>
        </is>
      </c>
      <c r="L725" s="1">
        <f>CONCAT(IF(D725="數值",CONCATENATE(G725&amp;"("&amp;C725&amp;","&amp;IF(ISERROR(SEARCH(",",H725,1)),(H725&amp;","&amp;H725),H725)&amp;IF(ISBLANK(I725),"",IF(ISERROR(SEARCH(",",I725,1)),CONCATENATE(","&amp;I725&amp;","&amp;I725),CONCATENATE(","&amp;I725))&amp;IF(ISBLANK(J725),"",IF(ISERROR(SEARCH(",",J725,1)),CONCATENATE(","&amp;J725&amp;","&amp;J725),CONCATENATE(","&amp;J725))&amp;IF(ISBLANK(K725),"",IF(ISERROR(SEARCH(",",K725,1)),CONCATENATE(","&amp;K725&amp;","&amp;K725),CONCATENATE(","&amp;K725))))))&amp;")","")&amp;" "&amp;F725)</f>
        <v/>
      </c>
    </row>
    <row r="726">
      <c r="A726" s="1" t="n">
        <v>825</v>
      </c>
      <c r="B726" s="1">
        <f>A726</f>
        <v/>
      </c>
      <c r="C726" s="1" t="inlineStr">
        <is>
          <t>vQ26m24</t>
        </is>
      </c>
      <c r="D726" s="1" t="inlineStr">
        <is>
          <t>數值</t>
        </is>
      </c>
      <c r="E726" s="1" t="n">
        <v>2</v>
      </c>
      <c r="G726" s="1" t="inlineStr">
        <is>
          <t>range</t>
        </is>
      </c>
      <c r="H726" s="1" t="inlineStr">
        <is>
          <t>0,1</t>
        </is>
      </c>
      <c r="I726" s="1" t="inlineStr">
        <is>
          <t>96</t>
        </is>
      </c>
      <c r="L726" s="1">
        <f>CONCAT(IF(D726="數值",CONCATENATE(G726&amp;"("&amp;C726&amp;","&amp;IF(ISERROR(SEARCH(",",H726,1)),(H726&amp;","&amp;H726),H726)&amp;IF(ISBLANK(I726),"",IF(ISERROR(SEARCH(",",I726,1)),CONCATENATE(","&amp;I726&amp;","&amp;I726),CONCATENATE(","&amp;I726))&amp;IF(ISBLANK(J726),"",IF(ISERROR(SEARCH(",",J726,1)),CONCATENATE(","&amp;J726&amp;","&amp;J726),CONCATENATE(","&amp;J726))&amp;IF(ISBLANK(K726),"",IF(ISERROR(SEARCH(",",K726,1)),CONCATENATE(","&amp;K726&amp;","&amp;K726),CONCATENATE(","&amp;K726))))))&amp;")","")&amp;" "&amp;F726)</f>
        <v/>
      </c>
    </row>
    <row r="727">
      <c r="A727" s="1" t="n">
        <v>826</v>
      </c>
      <c r="B727" s="1">
        <f>A727</f>
        <v/>
      </c>
      <c r="C727" s="1" t="inlineStr">
        <is>
          <t>vQ26m25</t>
        </is>
      </c>
      <c r="D727" s="1" t="inlineStr">
        <is>
          <t>數值</t>
        </is>
      </c>
      <c r="E727" s="1" t="n">
        <v>2</v>
      </c>
      <c r="G727" s="1" t="inlineStr">
        <is>
          <t>range</t>
        </is>
      </c>
      <c r="H727" s="1" t="inlineStr">
        <is>
          <t>0,1</t>
        </is>
      </c>
      <c r="I727" s="1" t="inlineStr">
        <is>
          <t>96</t>
        </is>
      </c>
      <c r="L727" s="1">
        <f>CONCAT(IF(D727="數值",CONCATENATE(G727&amp;"("&amp;C727&amp;","&amp;IF(ISERROR(SEARCH(",",H727,1)),(H727&amp;","&amp;H727),H727)&amp;IF(ISBLANK(I727),"",IF(ISERROR(SEARCH(",",I727,1)),CONCATENATE(","&amp;I727&amp;","&amp;I727),CONCATENATE(","&amp;I727))&amp;IF(ISBLANK(J727),"",IF(ISERROR(SEARCH(",",J727,1)),CONCATENATE(","&amp;J727&amp;","&amp;J727),CONCATENATE(","&amp;J727))&amp;IF(ISBLANK(K727),"",IF(ISERROR(SEARCH(",",K727,1)),CONCATENATE(","&amp;K727&amp;","&amp;K727),CONCATENATE(","&amp;K727))))))&amp;")","")&amp;" "&amp;F727)</f>
        <v/>
      </c>
    </row>
    <row r="728">
      <c r="A728" s="1" t="n">
        <v>827</v>
      </c>
      <c r="B728" s="1">
        <f>A728</f>
        <v/>
      </c>
      <c r="C728" s="1" t="inlineStr">
        <is>
          <t>vQ26m26</t>
        </is>
      </c>
      <c r="D728" s="1" t="inlineStr">
        <is>
          <t>數值</t>
        </is>
      </c>
      <c r="E728" s="1" t="n">
        <v>2</v>
      </c>
      <c r="G728" s="1" t="inlineStr">
        <is>
          <t>range</t>
        </is>
      </c>
      <c r="H728" s="1" t="inlineStr">
        <is>
          <t>0,1</t>
        </is>
      </c>
      <c r="I728" s="1" t="inlineStr">
        <is>
          <t>96</t>
        </is>
      </c>
      <c r="L728" s="1">
        <f>CONCAT(IF(D728="數值",CONCATENATE(G728&amp;"("&amp;C728&amp;","&amp;IF(ISERROR(SEARCH(",",H728,1)),(H728&amp;","&amp;H728),H728)&amp;IF(ISBLANK(I728),"",IF(ISERROR(SEARCH(",",I728,1)),CONCATENATE(","&amp;I728&amp;","&amp;I728),CONCATENATE(","&amp;I728))&amp;IF(ISBLANK(J728),"",IF(ISERROR(SEARCH(",",J728,1)),CONCATENATE(","&amp;J728&amp;","&amp;J728),CONCATENATE(","&amp;J728))&amp;IF(ISBLANK(K728),"",IF(ISERROR(SEARCH(",",K728,1)),CONCATENATE(","&amp;K728&amp;","&amp;K728),CONCATENATE(","&amp;K728))))))&amp;")","")&amp;" "&amp;F728)</f>
        <v/>
      </c>
    </row>
    <row r="729">
      <c r="A729" s="1" t="n">
        <v>828</v>
      </c>
      <c r="B729" s="1">
        <f>A729</f>
        <v/>
      </c>
      <c r="C729" s="1" t="inlineStr">
        <is>
          <t>vQ26m27</t>
        </is>
      </c>
      <c r="D729" s="1" t="inlineStr">
        <is>
          <t>數值</t>
        </is>
      </c>
      <c r="E729" s="1" t="n">
        <v>2</v>
      </c>
      <c r="G729" s="1" t="inlineStr">
        <is>
          <t>range</t>
        </is>
      </c>
      <c r="H729" s="1" t="inlineStr">
        <is>
          <t>0,1</t>
        </is>
      </c>
      <c r="I729" s="1" t="inlineStr">
        <is>
          <t>96</t>
        </is>
      </c>
      <c r="L729" s="1">
        <f>CONCAT(IF(D729="數值",CONCATENATE(G729&amp;"("&amp;C729&amp;","&amp;IF(ISERROR(SEARCH(",",H729,1)),(H729&amp;","&amp;H729),H729)&amp;IF(ISBLANK(I729),"",IF(ISERROR(SEARCH(",",I729,1)),CONCATENATE(","&amp;I729&amp;","&amp;I729),CONCATENATE(","&amp;I729))&amp;IF(ISBLANK(J729),"",IF(ISERROR(SEARCH(",",J729,1)),CONCATENATE(","&amp;J729&amp;","&amp;J729),CONCATENATE(","&amp;J729))&amp;IF(ISBLANK(K729),"",IF(ISERROR(SEARCH(",",K729,1)),CONCATENATE(","&amp;K729&amp;","&amp;K729),CONCATENATE(","&amp;K729))))))&amp;")","")&amp;" "&amp;F729)</f>
        <v/>
      </c>
    </row>
    <row r="730">
      <c r="A730" s="1" t="n">
        <v>829</v>
      </c>
      <c r="B730" s="1">
        <f>A730</f>
        <v/>
      </c>
      <c r="C730" s="1" t="inlineStr">
        <is>
          <t>vQ26m28</t>
        </is>
      </c>
      <c r="D730" s="1" t="inlineStr">
        <is>
          <t>數值</t>
        </is>
      </c>
      <c r="E730" s="1" t="n">
        <v>2</v>
      </c>
      <c r="G730" s="1" t="inlineStr">
        <is>
          <t>range</t>
        </is>
      </c>
      <c r="H730" s="1" t="inlineStr">
        <is>
          <t>0,1</t>
        </is>
      </c>
      <c r="I730" s="1" t="inlineStr">
        <is>
          <t>96</t>
        </is>
      </c>
      <c r="L730" s="1">
        <f>CONCAT(IF(D730="數值",CONCATENATE(G730&amp;"("&amp;C730&amp;","&amp;IF(ISERROR(SEARCH(",",H730,1)),(H730&amp;","&amp;H730),H730)&amp;IF(ISBLANK(I730),"",IF(ISERROR(SEARCH(",",I730,1)),CONCATENATE(","&amp;I730&amp;","&amp;I730),CONCATENATE(","&amp;I730))&amp;IF(ISBLANK(J730),"",IF(ISERROR(SEARCH(",",J730,1)),CONCATENATE(","&amp;J730&amp;","&amp;J730),CONCATENATE(","&amp;J730))&amp;IF(ISBLANK(K730),"",IF(ISERROR(SEARCH(",",K730,1)),CONCATENATE(","&amp;K730&amp;","&amp;K730),CONCATENATE(","&amp;K730))))))&amp;")","")&amp;" "&amp;F730)</f>
        <v/>
      </c>
    </row>
    <row r="731">
      <c r="A731" s="1" t="n">
        <v>830</v>
      </c>
      <c r="B731" s="1">
        <f>A731</f>
        <v/>
      </c>
      <c r="C731" s="1" t="inlineStr">
        <is>
          <t>vQ26m29</t>
        </is>
      </c>
      <c r="D731" s="1" t="inlineStr">
        <is>
          <t>數值</t>
        </is>
      </c>
      <c r="E731" s="1" t="n">
        <v>2</v>
      </c>
      <c r="G731" s="1" t="inlineStr">
        <is>
          <t>range</t>
        </is>
      </c>
      <c r="H731" s="1" t="inlineStr">
        <is>
          <t>0,1</t>
        </is>
      </c>
      <c r="I731" s="1" t="inlineStr">
        <is>
          <t>96</t>
        </is>
      </c>
      <c r="L731" s="1">
        <f>CONCAT(IF(D731="數值",CONCATENATE(G731&amp;"("&amp;C731&amp;","&amp;IF(ISERROR(SEARCH(",",H731,1)),(H731&amp;","&amp;H731),H731)&amp;IF(ISBLANK(I731),"",IF(ISERROR(SEARCH(",",I731,1)),CONCATENATE(","&amp;I731&amp;","&amp;I731),CONCATENATE(","&amp;I731))&amp;IF(ISBLANK(J731),"",IF(ISERROR(SEARCH(",",J731,1)),CONCATENATE(","&amp;J731&amp;","&amp;J731),CONCATENATE(","&amp;J731))&amp;IF(ISBLANK(K731),"",IF(ISERROR(SEARCH(",",K731,1)),CONCATENATE(","&amp;K731&amp;","&amp;K731),CONCATENATE(","&amp;K731))))))&amp;")","")&amp;" "&amp;F731)</f>
        <v/>
      </c>
    </row>
    <row r="732">
      <c r="A732" s="1" t="n">
        <v>831</v>
      </c>
      <c r="B732" s="1">
        <f>A732</f>
        <v/>
      </c>
      <c r="C732" s="1" t="inlineStr">
        <is>
          <t>vQ26m88</t>
        </is>
      </c>
      <c r="D732" s="1" t="inlineStr">
        <is>
          <t>數值</t>
        </is>
      </c>
      <c r="E732" s="1" t="n">
        <v>2</v>
      </c>
      <c r="G732" s="1" t="inlineStr">
        <is>
          <t>range</t>
        </is>
      </c>
      <c r="H732" s="1" t="inlineStr">
        <is>
          <t>0,1</t>
        </is>
      </c>
      <c r="I732" s="1" t="inlineStr">
        <is>
          <t>96</t>
        </is>
      </c>
      <c r="L732" s="1">
        <f>CONCAT(IF(D732="數值",CONCATENATE(G732&amp;"("&amp;C732&amp;","&amp;IF(ISERROR(SEARCH(",",H732,1)),(H732&amp;","&amp;H732),H732)&amp;IF(ISBLANK(I732),"",IF(ISERROR(SEARCH(",",I732,1)),CONCATENATE(","&amp;I732&amp;","&amp;I732),CONCATENATE(","&amp;I732))&amp;IF(ISBLANK(J732),"",IF(ISERROR(SEARCH(",",J732,1)),CONCATENATE(","&amp;J732&amp;","&amp;J732),CONCATENATE(","&amp;J732))&amp;IF(ISBLANK(K732),"",IF(ISERROR(SEARCH(",",K732,1)),CONCATENATE(","&amp;K732&amp;","&amp;K732),CONCATENATE(","&amp;K732))))))&amp;")","")&amp;" "&amp;F732)</f>
        <v/>
      </c>
    </row>
    <row r="733">
      <c r="A733" s="1" t="n">
        <v>832</v>
      </c>
      <c r="B733" s="1">
        <f>A733</f>
        <v/>
      </c>
      <c r="C733" s="1" t="inlineStr">
        <is>
          <t>vQ27m01</t>
        </is>
      </c>
      <c r="D733" s="1" t="inlineStr">
        <is>
          <t>數值</t>
        </is>
      </c>
      <c r="E733" s="1" t="n">
        <v>2</v>
      </c>
      <c r="G733" s="1" t="inlineStr">
        <is>
          <t>range</t>
        </is>
      </c>
      <c r="H733" s="1" t="inlineStr">
        <is>
          <t>0,1</t>
        </is>
      </c>
      <c r="L733" s="1">
        <f>CONCAT(IF(D733="數值",CONCATENATE(G733&amp;"("&amp;C733&amp;","&amp;IF(ISERROR(SEARCH(",",H733,1)),(H733&amp;","&amp;H733),H733)&amp;IF(ISBLANK(I733),"",IF(ISERROR(SEARCH(",",I733,1)),CONCATENATE(","&amp;I733&amp;","&amp;I733),CONCATENATE(","&amp;I733))&amp;IF(ISBLANK(J733),"",IF(ISERROR(SEARCH(",",J733,1)),CONCATENATE(","&amp;J733&amp;","&amp;J733),CONCATENATE(","&amp;J733))&amp;IF(ISBLANK(K733),"",IF(ISERROR(SEARCH(",",K733,1)),CONCATENATE(","&amp;K733&amp;","&amp;K733),CONCATENATE(","&amp;K733))))))&amp;")","")&amp;" "&amp;F733)</f>
        <v/>
      </c>
    </row>
    <row r="734">
      <c r="A734" s="1" t="n">
        <v>833</v>
      </c>
      <c r="B734" s="1">
        <f>A734</f>
        <v/>
      </c>
      <c r="C734" s="1" t="inlineStr">
        <is>
          <t>vQ27m02</t>
        </is>
      </c>
      <c r="D734" s="1" t="inlineStr">
        <is>
          <t>數值</t>
        </is>
      </c>
      <c r="E734" s="1" t="n">
        <v>2</v>
      </c>
      <c r="G734" s="1" t="inlineStr">
        <is>
          <t>range</t>
        </is>
      </c>
      <c r="H734" s="1" t="inlineStr">
        <is>
          <t>0,1</t>
        </is>
      </c>
      <c r="L734" s="1">
        <f>CONCAT(IF(D734="數值",CONCATENATE(G734&amp;"("&amp;C734&amp;","&amp;IF(ISERROR(SEARCH(",",H734,1)),(H734&amp;","&amp;H734),H734)&amp;IF(ISBLANK(I734),"",IF(ISERROR(SEARCH(",",I734,1)),CONCATENATE(","&amp;I734&amp;","&amp;I734),CONCATENATE(","&amp;I734))&amp;IF(ISBLANK(J734),"",IF(ISERROR(SEARCH(",",J734,1)),CONCATENATE(","&amp;J734&amp;","&amp;J734),CONCATENATE(","&amp;J734))&amp;IF(ISBLANK(K734),"",IF(ISERROR(SEARCH(",",K734,1)),CONCATENATE(","&amp;K734&amp;","&amp;K734),CONCATENATE(","&amp;K734))))))&amp;")","")&amp;" "&amp;F734)</f>
        <v/>
      </c>
    </row>
    <row r="735">
      <c r="A735" s="1" t="n">
        <v>834</v>
      </c>
      <c r="B735" s="1">
        <f>A735</f>
        <v/>
      </c>
      <c r="C735" s="1" t="inlineStr">
        <is>
          <t>vQ27m03</t>
        </is>
      </c>
      <c r="D735" s="1" t="inlineStr">
        <is>
          <t>數值</t>
        </is>
      </c>
      <c r="E735" s="1" t="n">
        <v>2</v>
      </c>
      <c r="G735" s="1" t="inlineStr">
        <is>
          <t>range</t>
        </is>
      </c>
      <c r="H735" s="1" t="inlineStr">
        <is>
          <t>0,1</t>
        </is>
      </c>
      <c r="L735" s="1">
        <f>CONCAT(IF(D735="數值",CONCATENATE(G735&amp;"("&amp;C735&amp;","&amp;IF(ISERROR(SEARCH(",",H735,1)),(H735&amp;","&amp;H735),H735)&amp;IF(ISBLANK(I735),"",IF(ISERROR(SEARCH(",",I735,1)),CONCATENATE(","&amp;I735&amp;","&amp;I735),CONCATENATE(","&amp;I735))&amp;IF(ISBLANK(J735),"",IF(ISERROR(SEARCH(",",J735,1)),CONCATENATE(","&amp;J735&amp;","&amp;J735),CONCATENATE(","&amp;J735))&amp;IF(ISBLANK(K735),"",IF(ISERROR(SEARCH(",",K735,1)),CONCATENATE(","&amp;K735&amp;","&amp;K735),CONCATENATE(","&amp;K735))))))&amp;")","")&amp;" "&amp;F735)</f>
        <v/>
      </c>
    </row>
    <row r="736">
      <c r="A736" s="1" t="n">
        <v>835</v>
      </c>
      <c r="B736" s="1">
        <f>A736</f>
        <v/>
      </c>
      <c r="C736" s="1" t="inlineStr">
        <is>
          <t>vQ27m04</t>
        </is>
      </c>
      <c r="D736" s="1" t="inlineStr">
        <is>
          <t>數值</t>
        </is>
      </c>
      <c r="E736" s="1" t="n">
        <v>2</v>
      </c>
      <c r="G736" s="1" t="inlineStr">
        <is>
          <t>range</t>
        </is>
      </c>
      <c r="H736" s="1" t="inlineStr">
        <is>
          <t>0,1</t>
        </is>
      </c>
      <c r="L736" s="1">
        <f>CONCAT(IF(D736="數值",CONCATENATE(G736&amp;"("&amp;C736&amp;","&amp;IF(ISERROR(SEARCH(",",H736,1)),(H736&amp;","&amp;H736),H736)&amp;IF(ISBLANK(I736),"",IF(ISERROR(SEARCH(",",I736,1)),CONCATENATE(","&amp;I736&amp;","&amp;I736),CONCATENATE(","&amp;I736))&amp;IF(ISBLANK(J736),"",IF(ISERROR(SEARCH(",",J736,1)),CONCATENATE(","&amp;J736&amp;","&amp;J736),CONCATENATE(","&amp;J736))&amp;IF(ISBLANK(K736),"",IF(ISERROR(SEARCH(",",K736,1)),CONCATENATE(","&amp;K736&amp;","&amp;K736),CONCATENATE(","&amp;K736))))))&amp;")","")&amp;" "&amp;F736)</f>
        <v/>
      </c>
    </row>
    <row r="737">
      <c r="A737" s="1" t="n">
        <v>836</v>
      </c>
      <c r="B737" s="1">
        <f>A737</f>
        <v/>
      </c>
      <c r="C737" s="1" t="inlineStr">
        <is>
          <t>vQ27m05</t>
        </is>
      </c>
      <c r="D737" s="1" t="inlineStr">
        <is>
          <t>數值</t>
        </is>
      </c>
      <c r="E737" s="1" t="n">
        <v>2</v>
      </c>
      <c r="G737" s="1" t="inlineStr">
        <is>
          <t>range</t>
        </is>
      </c>
      <c r="H737" s="1" t="inlineStr">
        <is>
          <t>0,1</t>
        </is>
      </c>
      <c r="L737" s="1">
        <f>CONCAT(IF(D737="數值",CONCATENATE(G737&amp;"("&amp;C737&amp;","&amp;IF(ISERROR(SEARCH(",",H737,1)),(H737&amp;","&amp;H737),H737)&amp;IF(ISBLANK(I737),"",IF(ISERROR(SEARCH(",",I737,1)),CONCATENATE(","&amp;I737&amp;","&amp;I737),CONCATENATE(","&amp;I737))&amp;IF(ISBLANK(J737),"",IF(ISERROR(SEARCH(",",J737,1)),CONCATENATE(","&amp;J737&amp;","&amp;J737),CONCATENATE(","&amp;J737))&amp;IF(ISBLANK(K737),"",IF(ISERROR(SEARCH(",",K737,1)),CONCATENATE(","&amp;K737&amp;","&amp;K737),CONCATENATE(","&amp;K737))))))&amp;")","")&amp;" "&amp;F737)</f>
        <v/>
      </c>
    </row>
    <row r="738">
      <c r="A738" s="1" t="n">
        <v>837</v>
      </c>
      <c r="B738" s="1">
        <f>A738</f>
        <v/>
      </c>
      <c r="C738" s="1" t="inlineStr">
        <is>
          <t>vQ27m06</t>
        </is>
      </c>
      <c r="D738" s="1" t="inlineStr">
        <is>
          <t>數值</t>
        </is>
      </c>
      <c r="E738" s="1" t="n">
        <v>2</v>
      </c>
      <c r="G738" s="1" t="inlineStr">
        <is>
          <t>range</t>
        </is>
      </c>
      <c r="H738" s="1" t="inlineStr">
        <is>
          <t>0,1</t>
        </is>
      </c>
      <c r="L738" s="1">
        <f>CONCAT(IF(D738="數值",CONCATENATE(G738&amp;"("&amp;C738&amp;","&amp;IF(ISERROR(SEARCH(",",H738,1)),(H738&amp;","&amp;H738),H738)&amp;IF(ISBLANK(I738),"",IF(ISERROR(SEARCH(",",I738,1)),CONCATENATE(","&amp;I738&amp;","&amp;I738),CONCATENATE(","&amp;I738))&amp;IF(ISBLANK(J738),"",IF(ISERROR(SEARCH(",",J738,1)),CONCATENATE(","&amp;J738&amp;","&amp;J738),CONCATENATE(","&amp;J738))&amp;IF(ISBLANK(K738),"",IF(ISERROR(SEARCH(",",K738,1)),CONCATENATE(","&amp;K738&amp;","&amp;K738),CONCATENATE(","&amp;K738))))))&amp;")","")&amp;" "&amp;F738)</f>
        <v/>
      </c>
    </row>
    <row r="739">
      <c r="A739" s="1" t="n">
        <v>838</v>
      </c>
      <c r="B739" s="1">
        <f>A739</f>
        <v/>
      </c>
      <c r="C739" s="1" t="inlineStr">
        <is>
          <t>vQ27m07</t>
        </is>
      </c>
      <c r="D739" s="1" t="inlineStr">
        <is>
          <t>數值</t>
        </is>
      </c>
      <c r="E739" s="1" t="n">
        <v>2</v>
      </c>
      <c r="G739" s="1" t="inlineStr">
        <is>
          <t>range</t>
        </is>
      </c>
      <c r="H739" s="1" t="inlineStr">
        <is>
          <t>0,1</t>
        </is>
      </c>
      <c r="L739" s="1">
        <f>CONCAT(IF(D739="數值",CONCATENATE(G739&amp;"("&amp;C739&amp;","&amp;IF(ISERROR(SEARCH(",",H739,1)),(H739&amp;","&amp;H739),H739)&amp;IF(ISBLANK(I739),"",IF(ISERROR(SEARCH(",",I739,1)),CONCATENATE(","&amp;I739&amp;","&amp;I739),CONCATENATE(","&amp;I739))&amp;IF(ISBLANK(J739),"",IF(ISERROR(SEARCH(",",J739,1)),CONCATENATE(","&amp;J739&amp;","&amp;J739),CONCATENATE(","&amp;J739))&amp;IF(ISBLANK(K739),"",IF(ISERROR(SEARCH(",",K739,1)),CONCATENATE(","&amp;K739&amp;","&amp;K739),CONCATENATE(","&amp;K739))))))&amp;")","")&amp;" "&amp;F739)</f>
        <v/>
      </c>
    </row>
    <row r="740">
      <c r="A740" s="1" t="n">
        <v>839</v>
      </c>
      <c r="B740" s="1">
        <f>A740</f>
        <v/>
      </c>
      <c r="C740" s="1" t="inlineStr">
        <is>
          <t>vQ27m88</t>
        </is>
      </c>
      <c r="D740" s="1" t="inlineStr">
        <is>
          <t>數值</t>
        </is>
      </c>
      <c r="E740" s="1" t="n">
        <v>2</v>
      </c>
      <c r="G740" s="1" t="inlineStr">
        <is>
          <t>range</t>
        </is>
      </c>
      <c r="H740" s="1" t="inlineStr">
        <is>
          <t>0,1</t>
        </is>
      </c>
      <c r="I740" s="1" t="inlineStr">
        <is>
          <t>96</t>
        </is>
      </c>
      <c r="L740" s="1">
        <f>CONCAT(IF(D740="數值",CONCATENATE(G740&amp;"("&amp;C740&amp;","&amp;IF(ISERROR(SEARCH(",",H740,1)),(H740&amp;","&amp;H740),H740)&amp;IF(ISBLANK(I740),"",IF(ISERROR(SEARCH(",",I740,1)),CONCATENATE(","&amp;I740&amp;","&amp;I740),CONCATENATE(","&amp;I740))&amp;IF(ISBLANK(J740),"",IF(ISERROR(SEARCH(",",J740,1)),CONCATENATE(","&amp;J740&amp;","&amp;J740),CONCATENATE(","&amp;J740))&amp;IF(ISBLANK(K740),"",IF(ISERROR(SEARCH(",",K740,1)),CONCATENATE(","&amp;K740&amp;","&amp;K740),CONCATENATE(","&amp;K740))))))&amp;")","")&amp;" "&amp;F740)</f>
        <v/>
      </c>
    </row>
    <row r="741">
      <c r="A741" s="1" t="n">
        <v>840</v>
      </c>
      <c r="B741" s="1">
        <f>A741</f>
        <v/>
      </c>
      <c r="C741" s="1" t="inlineStr">
        <is>
          <t>vP3_4</t>
        </is>
      </c>
      <c r="D741" s="1" t="inlineStr">
        <is>
          <t>數值</t>
        </is>
      </c>
      <c r="E741" s="1" t="n">
        <v>2</v>
      </c>
      <c r="G741" s="1" t="inlineStr">
        <is>
          <t>range</t>
        </is>
      </c>
    </row>
    <row r="742">
      <c r="A742" s="1" t="n">
        <v>841</v>
      </c>
      <c r="B742" s="1">
        <f>A742</f>
        <v/>
      </c>
      <c r="C742" s="1" t="inlineStr">
        <is>
          <t>vCKP3_4</t>
        </is>
      </c>
      <c r="D742" s="1" t="inlineStr">
        <is>
          <t>數值</t>
        </is>
      </c>
      <c r="E742" s="1" t="n">
        <v>2</v>
      </c>
      <c r="G742" s="1" t="inlineStr">
        <is>
          <t>range</t>
        </is>
      </c>
    </row>
    <row r="743">
      <c r="A743" s="1" t="n">
        <v>842</v>
      </c>
      <c r="B743" s="1">
        <f>A743</f>
        <v/>
      </c>
      <c r="C743" s="1" t="inlineStr">
        <is>
          <t>vP3_5</t>
        </is>
      </c>
      <c r="D743" s="1" t="inlineStr">
        <is>
          <t>數值</t>
        </is>
      </c>
      <c r="E743" s="1" t="n">
        <v>2</v>
      </c>
      <c r="G743" s="1" t="inlineStr">
        <is>
          <t>range</t>
        </is>
      </c>
    </row>
    <row r="744">
      <c r="A744" s="1" t="n">
        <v>843</v>
      </c>
      <c r="B744" s="1">
        <f>A744</f>
        <v/>
      </c>
      <c r="C744" s="1" t="inlineStr">
        <is>
          <t>vP3_6</t>
        </is>
      </c>
      <c r="D744" s="1" t="inlineStr">
        <is>
          <t>數值</t>
        </is>
      </c>
      <c r="E744" s="1" t="n">
        <v>2</v>
      </c>
      <c r="G744" s="1" t="inlineStr">
        <is>
          <t>range</t>
        </is>
      </c>
    </row>
    <row r="745">
      <c r="A745" s="1" t="n">
        <v>844</v>
      </c>
      <c r="B745" s="1">
        <f>A745</f>
        <v/>
      </c>
      <c r="C745" s="1" t="inlineStr">
        <is>
          <t>vP5_3R</t>
        </is>
      </c>
      <c r="D745" s="1" t="inlineStr">
        <is>
          <t>數值</t>
        </is>
      </c>
      <c r="E745" s="1" t="n">
        <v>2</v>
      </c>
      <c r="G745" s="1" t="inlineStr">
        <is>
          <t>range</t>
        </is>
      </c>
    </row>
    <row r="746">
      <c r="A746" s="1" t="n">
        <v>845</v>
      </c>
      <c r="B746" s="1">
        <f>A746</f>
        <v/>
      </c>
      <c r="C746" s="1" t="inlineStr">
        <is>
          <t>vP5_4R</t>
        </is>
      </c>
      <c r="D746" s="1" t="inlineStr">
        <is>
          <t>數值</t>
        </is>
      </c>
      <c r="E746" s="1" t="n">
        <v>2</v>
      </c>
      <c r="G746" s="1" t="inlineStr">
        <is>
          <t>range</t>
        </is>
      </c>
    </row>
    <row r="747">
      <c r="A747" s="1" t="n">
        <v>846</v>
      </c>
      <c r="B747" s="1">
        <f>A747</f>
        <v/>
      </c>
      <c r="C747" s="1" t="inlineStr">
        <is>
          <t>vP5_5</t>
        </is>
      </c>
      <c r="D747" s="1" t="inlineStr">
        <is>
          <t>數值</t>
        </is>
      </c>
      <c r="E747" s="1" t="n">
        <v>2</v>
      </c>
      <c r="G747" s="1" t="inlineStr">
        <is>
          <t>range</t>
        </is>
      </c>
    </row>
    <row r="748">
      <c r="A748" s="1" t="n">
        <v>847</v>
      </c>
      <c r="B748" s="1">
        <f>A748</f>
        <v/>
      </c>
      <c r="C748" s="1" t="inlineStr">
        <is>
          <t>vQ28</t>
        </is>
      </c>
      <c r="D748" s="1" t="inlineStr">
        <is>
          <t>數值</t>
        </is>
      </c>
      <c r="E748" s="1" t="n">
        <v>4</v>
      </c>
      <c r="G748" s="1" t="inlineStr">
        <is>
          <t>range</t>
        </is>
      </c>
    </row>
    <row r="749">
      <c r="A749" s="1" t="n">
        <v>848</v>
      </c>
      <c r="B749" s="1">
        <f>A749</f>
        <v/>
      </c>
      <c r="C749" s="1" t="inlineStr">
        <is>
          <t>vQ30m01</t>
        </is>
      </c>
      <c r="D749" s="1" t="inlineStr">
        <is>
          <t>數值</t>
        </is>
      </c>
      <c r="E749" s="1" t="n">
        <v>2</v>
      </c>
      <c r="G749" s="1" t="inlineStr">
        <is>
          <t>range</t>
        </is>
      </c>
      <c r="H749" s="1" t="inlineStr">
        <is>
          <t>0,1</t>
        </is>
      </c>
      <c r="L749" s="1">
        <f>CONCAT(IF(D749="數值",CONCATENATE(G749&amp;"("&amp;C749&amp;","&amp;IF(ISERROR(SEARCH(",",H749,1)),(H749&amp;","&amp;H749),H749)&amp;IF(ISBLANK(I749),"",IF(ISERROR(SEARCH(",",I749,1)),CONCATENATE(","&amp;I749&amp;","&amp;I749),CONCATENATE(","&amp;I749))&amp;IF(ISBLANK(J749),"",IF(ISERROR(SEARCH(",",J749,1)),CONCATENATE(","&amp;J749&amp;","&amp;J749),CONCATENATE(","&amp;J749))&amp;IF(ISBLANK(K749),"",IF(ISERROR(SEARCH(",",K749,1)),CONCATENATE(","&amp;K749&amp;","&amp;K749),CONCATENATE(","&amp;K749))))))&amp;")","")&amp;" "&amp;F749)</f>
        <v/>
      </c>
    </row>
    <row r="750">
      <c r="A750" s="1" t="n">
        <v>849</v>
      </c>
      <c r="B750" s="1">
        <f>A750</f>
        <v/>
      </c>
      <c r="C750" s="1" t="inlineStr">
        <is>
          <t>vQ30m02</t>
        </is>
      </c>
      <c r="D750" s="1" t="inlineStr">
        <is>
          <t>數值</t>
        </is>
      </c>
      <c r="E750" s="1" t="n">
        <v>2</v>
      </c>
      <c r="G750" s="1" t="inlineStr">
        <is>
          <t>range</t>
        </is>
      </c>
      <c r="H750" s="1" t="inlineStr">
        <is>
          <t>0,1</t>
        </is>
      </c>
      <c r="L750" s="1">
        <f>CONCAT(IF(D750="數值",CONCATENATE(G750&amp;"("&amp;C750&amp;","&amp;IF(ISERROR(SEARCH(",",H750,1)),(H750&amp;","&amp;H750),H750)&amp;IF(ISBLANK(I750),"",IF(ISERROR(SEARCH(",",I750,1)),CONCATENATE(","&amp;I750&amp;","&amp;I750),CONCATENATE(","&amp;I750))&amp;IF(ISBLANK(J750),"",IF(ISERROR(SEARCH(",",J750,1)),CONCATENATE(","&amp;J750&amp;","&amp;J750),CONCATENATE(","&amp;J750))&amp;IF(ISBLANK(K750),"",IF(ISERROR(SEARCH(",",K750,1)),CONCATENATE(","&amp;K750&amp;","&amp;K750),CONCATENATE(","&amp;K750))))))&amp;")","")&amp;" "&amp;F750)</f>
        <v/>
      </c>
    </row>
    <row r="751">
      <c r="A751" s="1" t="n">
        <v>850</v>
      </c>
      <c r="B751" s="1">
        <f>A751</f>
        <v/>
      </c>
      <c r="C751" s="1" t="inlineStr">
        <is>
          <t>vQ30m03</t>
        </is>
      </c>
      <c r="D751" s="1" t="inlineStr">
        <is>
          <t>數值</t>
        </is>
      </c>
      <c r="E751" s="1" t="n">
        <v>2</v>
      </c>
      <c r="G751" s="1" t="inlineStr">
        <is>
          <t>range</t>
        </is>
      </c>
      <c r="H751" s="1" t="inlineStr">
        <is>
          <t>0,1</t>
        </is>
      </c>
      <c r="L751" s="1">
        <f>CONCAT(IF(D751="數值",CONCATENATE(G751&amp;"("&amp;C751&amp;","&amp;IF(ISERROR(SEARCH(",",H751,1)),(H751&amp;","&amp;H751),H751)&amp;IF(ISBLANK(I751),"",IF(ISERROR(SEARCH(",",I751,1)),CONCATENATE(","&amp;I751&amp;","&amp;I751),CONCATENATE(","&amp;I751))&amp;IF(ISBLANK(J751),"",IF(ISERROR(SEARCH(",",J751,1)),CONCATENATE(","&amp;J751&amp;","&amp;J751),CONCATENATE(","&amp;J751))&amp;IF(ISBLANK(K751),"",IF(ISERROR(SEARCH(",",K751,1)),CONCATENATE(","&amp;K751&amp;","&amp;K751),CONCATENATE(","&amp;K751))))))&amp;")","")&amp;" "&amp;F751)</f>
        <v/>
      </c>
    </row>
    <row r="752">
      <c r="A752" s="1" t="n">
        <v>851</v>
      </c>
      <c r="B752" s="1">
        <f>A752</f>
        <v/>
      </c>
      <c r="C752" s="1" t="inlineStr">
        <is>
          <t>vQ30m04</t>
        </is>
      </c>
      <c r="D752" s="1" t="inlineStr">
        <is>
          <t>數值</t>
        </is>
      </c>
      <c r="E752" s="1" t="n">
        <v>2</v>
      </c>
      <c r="G752" s="1" t="inlineStr">
        <is>
          <t>range</t>
        </is>
      </c>
      <c r="H752" s="1" t="inlineStr">
        <is>
          <t>0,1</t>
        </is>
      </c>
      <c r="L752" s="1">
        <f>CONCAT(IF(D752="數值",CONCATENATE(G752&amp;"("&amp;C752&amp;","&amp;IF(ISERROR(SEARCH(",",H752,1)),(H752&amp;","&amp;H752),H752)&amp;IF(ISBLANK(I752),"",IF(ISERROR(SEARCH(",",I752,1)),CONCATENATE(","&amp;I752&amp;","&amp;I752),CONCATENATE(","&amp;I752))&amp;IF(ISBLANK(J752),"",IF(ISERROR(SEARCH(",",J752,1)),CONCATENATE(","&amp;J752&amp;","&amp;J752),CONCATENATE(","&amp;J752))&amp;IF(ISBLANK(K752),"",IF(ISERROR(SEARCH(",",K752,1)),CONCATENATE(","&amp;K752&amp;","&amp;K752),CONCATENATE(","&amp;K752))))))&amp;")","")&amp;" "&amp;F752)</f>
        <v/>
      </c>
    </row>
    <row r="753">
      <c r="A753" s="1" t="n">
        <v>852</v>
      </c>
      <c r="B753" s="1">
        <f>A753</f>
        <v/>
      </c>
      <c r="C753" s="1" t="inlineStr">
        <is>
          <t>vQ30m05</t>
        </is>
      </c>
      <c r="D753" s="1" t="inlineStr">
        <is>
          <t>數值</t>
        </is>
      </c>
      <c r="E753" s="1" t="n">
        <v>2</v>
      </c>
      <c r="G753" s="1" t="inlineStr">
        <is>
          <t>range</t>
        </is>
      </c>
      <c r="H753" s="1" t="inlineStr">
        <is>
          <t>0,1</t>
        </is>
      </c>
      <c r="L753" s="1">
        <f>CONCAT(IF(D753="數值",CONCATENATE(G753&amp;"("&amp;C753&amp;","&amp;IF(ISERROR(SEARCH(",",H753,1)),(H753&amp;","&amp;H753),H753)&amp;IF(ISBLANK(I753),"",IF(ISERROR(SEARCH(",",I753,1)),CONCATENATE(","&amp;I753&amp;","&amp;I753),CONCATENATE(","&amp;I753))&amp;IF(ISBLANK(J753),"",IF(ISERROR(SEARCH(",",J753,1)),CONCATENATE(","&amp;J753&amp;","&amp;J753),CONCATENATE(","&amp;J753))&amp;IF(ISBLANK(K753),"",IF(ISERROR(SEARCH(",",K753,1)),CONCATENATE(","&amp;K753&amp;","&amp;K753),CONCATENATE(","&amp;K753))))))&amp;")","")&amp;" "&amp;F753)</f>
        <v/>
      </c>
    </row>
    <row r="754">
      <c r="A754" s="1" t="n">
        <v>853</v>
      </c>
      <c r="B754" s="1">
        <f>A754</f>
        <v/>
      </c>
      <c r="C754" s="1" t="inlineStr">
        <is>
          <t>vQ30m06</t>
        </is>
      </c>
      <c r="D754" s="1" t="inlineStr">
        <is>
          <t>數值</t>
        </is>
      </c>
      <c r="E754" s="1" t="n">
        <v>2</v>
      </c>
      <c r="G754" s="1" t="inlineStr">
        <is>
          <t>range</t>
        </is>
      </c>
      <c r="H754" s="1" t="inlineStr">
        <is>
          <t>0,1</t>
        </is>
      </c>
      <c r="L754" s="1">
        <f>CONCAT(IF(D754="數值",CONCATENATE(G754&amp;"("&amp;C754&amp;","&amp;IF(ISERROR(SEARCH(",",H754,1)),(H754&amp;","&amp;H754),H754)&amp;IF(ISBLANK(I754),"",IF(ISERROR(SEARCH(",",I754,1)),CONCATENATE(","&amp;I754&amp;","&amp;I754),CONCATENATE(","&amp;I754))&amp;IF(ISBLANK(J754),"",IF(ISERROR(SEARCH(",",J754,1)),CONCATENATE(","&amp;J754&amp;","&amp;J754),CONCATENATE(","&amp;J754))&amp;IF(ISBLANK(K754),"",IF(ISERROR(SEARCH(",",K754,1)),CONCATENATE(","&amp;K754&amp;","&amp;K754),CONCATENATE(","&amp;K754))))))&amp;")","")&amp;" "&amp;F754)</f>
        <v/>
      </c>
    </row>
    <row r="755">
      <c r="A755" s="1" t="n">
        <v>854</v>
      </c>
      <c r="B755" s="1">
        <f>A755</f>
        <v/>
      </c>
      <c r="C755" s="1" t="inlineStr">
        <is>
          <t>vQ30m07</t>
        </is>
      </c>
      <c r="D755" s="1" t="inlineStr">
        <is>
          <t>數值</t>
        </is>
      </c>
      <c r="E755" s="1" t="n">
        <v>2</v>
      </c>
      <c r="G755" s="1" t="inlineStr">
        <is>
          <t>range</t>
        </is>
      </c>
      <c r="H755" s="1" t="inlineStr">
        <is>
          <t>0,1</t>
        </is>
      </c>
      <c r="L755" s="1">
        <f>CONCAT(IF(D755="數值",CONCATENATE(G755&amp;"("&amp;C755&amp;","&amp;IF(ISERROR(SEARCH(",",H755,1)),(H755&amp;","&amp;H755),H755)&amp;IF(ISBLANK(I755),"",IF(ISERROR(SEARCH(",",I755,1)),CONCATENATE(","&amp;I755&amp;","&amp;I755),CONCATENATE(","&amp;I755))&amp;IF(ISBLANK(J755),"",IF(ISERROR(SEARCH(",",J755,1)),CONCATENATE(","&amp;J755&amp;","&amp;J755),CONCATENATE(","&amp;J755))&amp;IF(ISBLANK(K755),"",IF(ISERROR(SEARCH(",",K755,1)),CONCATENATE(","&amp;K755&amp;","&amp;K755),CONCATENATE(","&amp;K755))))))&amp;")","")&amp;" "&amp;F755)</f>
        <v/>
      </c>
    </row>
    <row r="756">
      <c r="A756" s="1" t="n">
        <v>855</v>
      </c>
      <c r="B756" s="1">
        <f>A756</f>
        <v/>
      </c>
      <c r="C756" s="1" t="inlineStr">
        <is>
          <t>vQ30m08</t>
        </is>
      </c>
      <c r="D756" s="1" t="inlineStr">
        <is>
          <t>數值</t>
        </is>
      </c>
      <c r="E756" s="1" t="n">
        <v>2</v>
      </c>
      <c r="G756" s="1" t="inlineStr">
        <is>
          <t>range</t>
        </is>
      </c>
      <c r="H756" s="1" t="inlineStr">
        <is>
          <t>0,1</t>
        </is>
      </c>
      <c r="L756" s="1">
        <f>CONCAT(IF(D756="數值",CONCATENATE(G756&amp;"("&amp;C756&amp;","&amp;IF(ISERROR(SEARCH(",",H756,1)),(H756&amp;","&amp;H756),H756)&amp;IF(ISBLANK(I756),"",IF(ISERROR(SEARCH(",",I756,1)),CONCATENATE(","&amp;I756&amp;","&amp;I756),CONCATENATE(","&amp;I756))&amp;IF(ISBLANK(J756),"",IF(ISERROR(SEARCH(",",J756,1)),CONCATENATE(","&amp;J756&amp;","&amp;J756),CONCATENATE(","&amp;J756))&amp;IF(ISBLANK(K756),"",IF(ISERROR(SEARCH(",",K756,1)),CONCATENATE(","&amp;K756&amp;","&amp;K756),CONCATENATE(","&amp;K756))))))&amp;")","")&amp;" "&amp;F756)</f>
        <v/>
      </c>
    </row>
    <row r="757">
      <c r="A757" s="1" t="n">
        <v>856</v>
      </c>
      <c r="B757" s="1">
        <f>A757</f>
        <v/>
      </c>
      <c r="C757" s="1" t="inlineStr">
        <is>
          <t>vQ30m90</t>
        </is>
      </c>
      <c r="D757" s="1" t="inlineStr">
        <is>
          <t>數值</t>
        </is>
      </c>
      <c r="E757" s="1" t="n">
        <v>2</v>
      </c>
      <c r="G757" s="1" t="inlineStr">
        <is>
          <t>range</t>
        </is>
      </c>
      <c r="H757" s="1" t="inlineStr">
        <is>
          <t>0,1</t>
        </is>
      </c>
      <c r="I757" s="1" t="inlineStr">
        <is>
          <t>96</t>
        </is>
      </c>
      <c r="L757" s="1">
        <f>CONCAT(IF(D757="數值",CONCATENATE(G757&amp;"("&amp;C757&amp;","&amp;IF(ISERROR(SEARCH(",",H757,1)),(H757&amp;","&amp;H757),H757)&amp;IF(ISBLANK(I757),"",IF(ISERROR(SEARCH(",",I757,1)),CONCATENATE(","&amp;I757&amp;","&amp;I757),CONCATENATE(","&amp;I757))&amp;IF(ISBLANK(J757),"",IF(ISERROR(SEARCH(",",J757,1)),CONCATENATE(","&amp;J757&amp;","&amp;J757),CONCATENATE(","&amp;J757))&amp;IF(ISBLANK(K757),"",IF(ISERROR(SEARCH(",",K757,1)),CONCATENATE(","&amp;K757&amp;","&amp;K757),CONCATENATE(","&amp;K757))))))&amp;")","")&amp;" "&amp;F757)</f>
        <v/>
      </c>
    </row>
    <row r="758">
      <c r="A758" s="1" t="n">
        <v>857</v>
      </c>
      <c r="B758" s="1">
        <f>A758</f>
        <v/>
      </c>
      <c r="C758" s="1" t="inlineStr">
        <is>
          <t>vQ31m01</t>
        </is>
      </c>
      <c r="D758" s="1" t="inlineStr">
        <is>
          <t>數值</t>
        </is>
      </c>
      <c r="E758" s="1" t="n">
        <v>2</v>
      </c>
      <c r="G758" s="1" t="inlineStr">
        <is>
          <t>range</t>
        </is>
      </c>
      <c r="H758" s="1" t="inlineStr">
        <is>
          <t>0,1</t>
        </is>
      </c>
      <c r="L758" s="1">
        <f>CONCAT(IF(D758="數值",CONCATENATE(G758&amp;"("&amp;C758&amp;","&amp;IF(ISERROR(SEARCH(",",H758,1)),(H758&amp;","&amp;H758),H758)&amp;IF(ISBLANK(I758),"",IF(ISERROR(SEARCH(",",I758,1)),CONCATENATE(","&amp;I758&amp;","&amp;I758),CONCATENATE(","&amp;I758))&amp;IF(ISBLANK(J758),"",IF(ISERROR(SEARCH(",",J758,1)),CONCATENATE(","&amp;J758&amp;","&amp;J758),CONCATENATE(","&amp;J758))&amp;IF(ISBLANK(K758),"",IF(ISERROR(SEARCH(",",K758,1)),CONCATENATE(","&amp;K758&amp;","&amp;K758),CONCATENATE(","&amp;K758))))))&amp;")","")&amp;" "&amp;F758)</f>
        <v/>
      </c>
    </row>
    <row r="759">
      <c r="A759" s="1" t="n">
        <v>858</v>
      </c>
      <c r="B759" s="1">
        <f>A759</f>
        <v/>
      </c>
      <c r="C759" s="1" t="inlineStr">
        <is>
          <t>vQ31m02</t>
        </is>
      </c>
      <c r="D759" s="1" t="inlineStr">
        <is>
          <t>數值</t>
        </is>
      </c>
      <c r="E759" s="1" t="n">
        <v>2</v>
      </c>
      <c r="G759" s="1" t="inlineStr">
        <is>
          <t>range</t>
        </is>
      </c>
      <c r="H759" s="1" t="inlineStr">
        <is>
          <t>0,1</t>
        </is>
      </c>
      <c r="L759" s="1">
        <f>CONCAT(IF(D759="數值",CONCATENATE(G759&amp;"("&amp;C759&amp;","&amp;IF(ISERROR(SEARCH(",",H759,1)),(H759&amp;","&amp;H759),H759)&amp;IF(ISBLANK(I759),"",IF(ISERROR(SEARCH(",",I759,1)),CONCATENATE(","&amp;I759&amp;","&amp;I759),CONCATENATE(","&amp;I759))&amp;IF(ISBLANK(J759),"",IF(ISERROR(SEARCH(",",J759,1)),CONCATENATE(","&amp;J759&amp;","&amp;J759),CONCATENATE(","&amp;J759))&amp;IF(ISBLANK(K759),"",IF(ISERROR(SEARCH(",",K759,1)),CONCATENATE(","&amp;K759&amp;","&amp;K759),CONCATENATE(","&amp;K759))))))&amp;")","")&amp;" "&amp;F759)</f>
        <v/>
      </c>
    </row>
    <row r="760">
      <c r="A760" s="1" t="n">
        <v>859</v>
      </c>
      <c r="B760" s="1">
        <f>A760</f>
        <v/>
      </c>
      <c r="C760" s="1" t="inlineStr">
        <is>
          <t>vQ31m03</t>
        </is>
      </c>
      <c r="D760" s="1" t="inlineStr">
        <is>
          <t>數值</t>
        </is>
      </c>
      <c r="E760" s="1" t="n">
        <v>2</v>
      </c>
      <c r="G760" s="1" t="inlineStr">
        <is>
          <t>range</t>
        </is>
      </c>
      <c r="H760" s="1" t="inlineStr">
        <is>
          <t>0,1</t>
        </is>
      </c>
      <c r="L760" s="1">
        <f>CONCAT(IF(D760="數值",CONCATENATE(G760&amp;"("&amp;C760&amp;","&amp;IF(ISERROR(SEARCH(",",H760,1)),(H760&amp;","&amp;H760),H760)&amp;IF(ISBLANK(I760),"",IF(ISERROR(SEARCH(",",I760,1)),CONCATENATE(","&amp;I760&amp;","&amp;I760),CONCATENATE(","&amp;I760))&amp;IF(ISBLANK(J760),"",IF(ISERROR(SEARCH(",",J760,1)),CONCATENATE(","&amp;J760&amp;","&amp;J760),CONCATENATE(","&amp;J760))&amp;IF(ISBLANK(K760),"",IF(ISERROR(SEARCH(",",K760,1)),CONCATENATE(","&amp;K760&amp;","&amp;K760),CONCATENATE(","&amp;K760))))))&amp;")","")&amp;" "&amp;F760)</f>
        <v/>
      </c>
    </row>
    <row r="761">
      <c r="A761" s="1" t="n">
        <v>860</v>
      </c>
      <c r="B761" s="1">
        <f>A761</f>
        <v/>
      </c>
      <c r="C761" s="1" t="inlineStr">
        <is>
          <t>vQ31m04</t>
        </is>
      </c>
      <c r="D761" s="1" t="inlineStr">
        <is>
          <t>數值</t>
        </is>
      </c>
      <c r="E761" s="1" t="n">
        <v>2</v>
      </c>
      <c r="G761" s="1" t="inlineStr">
        <is>
          <t>range</t>
        </is>
      </c>
      <c r="H761" s="1" t="inlineStr">
        <is>
          <t>0,1</t>
        </is>
      </c>
      <c r="L761" s="1">
        <f>CONCAT(IF(D761="數值",CONCATENATE(G761&amp;"("&amp;C761&amp;","&amp;IF(ISERROR(SEARCH(",",H761,1)),(H761&amp;","&amp;H761),H761)&amp;IF(ISBLANK(I761),"",IF(ISERROR(SEARCH(",",I761,1)),CONCATENATE(","&amp;I761&amp;","&amp;I761),CONCATENATE(","&amp;I761))&amp;IF(ISBLANK(J761),"",IF(ISERROR(SEARCH(",",J761,1)),CONCATENATE(","&amp;J761&amp;","&amp;J761),CONCATENATE(","&amp;J761))&amp;IF(ISBLANK(K761),"",IF(ISERROR(SEARCH(",",K761,1)),CONCATENATE(","&amp;K761&amp;","&amp;K761),CONCATENATE(","&amp;K761))))))&amp;")","")&amp;" "&amp;F761)</f>
        <v/>
      </c>
    </row>
    <row r="762">
      <c r="A762" s="1" t="n">
        <v>861</v>
      </c>
      <c r="B762" s="1">
        <f>A762</f>
        <v/>
      </c>
      <c r="C762" s="1" t="inlineStr">
        <is>
          <t>vQ31m05</t>
        </is>
      </c>
      <c r="D762" s="1" t="inlineStr">
        <is>
          <t>數值</t>
        </is>
      </c>
      <c r="E762" s="1" t="n">
        <v>2</v>
      </c>
      <c r="G762" s="1" t="inlineStr">
        <is>
          <t>range</t>
        </is>
      </c>
      <c r="H762" s="1" t="inlineStr">
        <is>
          <t>0,1</t>
        </is>
      </c>
      <c r="L762" s="1">
        <f>CONCAT(IF(D762="數值",CONCATENATE(G762&amp;"("&amp;C762&amp;","&amp;IF(ISERROR(SEARCH(",",H762,1)),(H762&amp;","&amp;H762),H762)&amp;IF(ISBLANK(I762),"",IF(ISERROR(SEARCH(",",I762,1)),CONCATENATE(","&amp;I762&amp;","&amp;I762),CONCATENATE(","&amp;I762))&amp;IF(ISBLANK(J762),"",IF(ISERROR(SEARCH(",",J762,1)),CONCATENATE(","&amp;J762&amp;","&amp;J762),CONCATENATE(","&amp;J762))&amp;IF(ISBLANK(K762),"",IF(ISERROR(SEARCH(",",K762,1)),CONCATENATE(","&amp;K762&amp;","&amp;K762),CONCATENATE(","&amp;K762))))))&amp;")","")&amp;" "&amp;F762)</f>
        <v/>
      </c>
    </row>
    <row r="763">
      <c r="A763" s="1" t="n">
        <v>862</v>
      </c>
      <c r="B763" s="1">
        <f>A763</f>
        <v/>
      </c>
      <c r="C763" s="1" t="inlineStr">
        <is>
          <t>vQ31m06</t>
        </is>
      </c>
      <c r="D763" s="1" t="inlineStr">
        <is>
          <t>數值</t>
        </is>
      </c>
      <c r="E763" s="1" t="n">
        <v>2</v>
      </c>
      <c r="G763" s="1" t="inlineStr">
        <is>
          <t>range</t>
        </is>
      </c>
      <c r="H763" s="1" t="inlineStr">
        <is>
          <t>0,1</t>
        </is>
      </c>
      <c r="L763" s="1">
        <f>CONCAT(IF(D763="數值",CONCATENATE(G763&amp;"("&amp;C763&amp;","&amp;IF(ISERROR(SEARCH(",",H763,1)),(H763&amp;","&amp;H763),H763)&amp;IF(ISBLANK(I763),"",IF(ISERROR(SEARCH(",",I763,1)),CONCATENATE(","&amp;I763&amp;","&amp;I763),CONCATENATE(","&amp;I763))&amp;IF(ISBLANK(J763),"",IF(ISERROR(SEARCH(",",J763,1)),CONCATENATE(","&amp;J763&amp;","&amp;J763),CONCATENATE(","&amp;J763))&amp;IF(ISBLANK(K763),"",IF(ISERROR(SEARCH(",",K763,1)),CONCATENATE(","&amp;K763&amp;","&amp;K763),CONCATENATE(","&amp;K763))))))&amp;")","")&amp;" "&amp;F763)</f>
        <v/>
      </c>
    </row>
    <row r="764">
      <c r="A764" s="1" t="n">
        <v>863</v>
      </c>
      <c r="B764" s="1">
        <f>A764</f>
        <v/>
      </c>
      <c r="C764" s="1" t="inlineStr">
        <is>
          <t>vQ31m07</t>
        </is>
      </c>
      <c r="D764" s="1" t="inlineStr">
        <is>
          <t>數值</t>
        </is>
      </c>
      <c r="E764" s="1" t="n">
        <v>2</v>
      </c>
      <c r="G764" s="1" t="inlineStr">
        <is>
          <t>range</t>
        </is>
      </c>
      <c r="H764" s="1" t="inlineStr">
        <is>
          <t>0,1</t>
        </is>
      </c>
      <c r="L764" s="1">
        <f>CONCAT(IF(D764="數值",CONCATENATE(G764&amp;"("&amp;C764&amp;","&amp;IF(ISERROR(SEARCH(",",H764,1)),(H764&amp;","&amp;H764),H764)&amp;IF(ISBLANK(I764),"",IF(ISERROR(SEARCH(",",I764,1)),CONCATENATE(","&amp;I764&amp;","&amp;I764),CONCATENATE(","&amp;I764))&amp;IF(ISBLANK(J764),"",IF(ISERROR(SEARCH(",",J764,1)),CONCATENATE(","&amp;J764&amp;","&amp;J764),CONCATENATE(","&amp;J764))&amp;IF(ISBLANK(K764),"",IF(ISERROR(SEARCH(",",K764,1)),CONCATENATE(","&amp;K764&amp;","&amp;K764),CONCATENATE(","&amp;K764))))))&amp;")","")&amp;" "&amp;F764)</f>
        <v/>
      </c>
    </row>
    <row r="765">
      <c r="A765" s="1" t="n">
        <v>864</v>
      </c>
      <c r="B765" s="1">
        <f>A765</f>
        <v/>
      </c>
      <c r="C765" s="1" t="inlineStr">
        <is>
          <t>vQ31m08</t>
        </is>
      </c>
      <c r="D765" s="1" t="inlineStr">
        <is>
          <t>數值</t>
        </is>
      </c>
      <c r="E765" s="1" t="n">
        <v>2</v>
      </c>
      <c r="G765" s="1" t="inlineStr">
        <is>
          <t>range</t>
        </is>
      </c>
      <c r="H765" s="1" t="inlineStr">
        <is>
          <t>0,1</t>
        </is>
      </c>
      <c r="L765" s="1">
        <f>CONCAT(IF(D765="數值",CONCATENATE(G765&amp;"("&amp;C765&amp;","&amp;IF(ISERROR(SEARCH(",",H765,1)),(H765&amp;","&amp;H765),H765)&amp;IF(ISBLANK(I765),"",IF(ISERROR(SEARCH(",",I765,1)),CONCATENATE(","&amp;I765&amp;","&amp;I765),CONCATENATE(","&amp;I765))&amp;IF(ISBLANK(J765),"",IF(ISERROR(SEARCH(",",J765,1)),CONCATENATE(","&amp;J765&amp;","&amp;J765),CONCATENATE(","&amp;J765))&amp;IF(ISBLANK(K765),"",IF(ISERROR(SEARCH(",",K765,1)),CONCATENATE(","&amp;K765&amp;","&amp;K765),CONCATENATE(","&amp;K765))))))&amp;")","")&amp;" "&amp;F765)</f>
        <v/>
      </c>
    </row>
    <row r="766">
      <c r="A766" s="1" t="n">
        <v>865</v>
      </c>
      <c r="B766" s="1">
        <f>A766</f>
        <v/>
      </c>
      <c r="C766" s="1" t="inlineStr">
        <is>
          <t>vQ31m90</t>
        </is>
      </c>
      <c r="D766" s="1" t="inlineStr">
        <is>
          <t>數值</t>
        </is>
      </c>
      <c r="E766" s="1" t="n">
        <v>2</v>
      </c>
      <c r="G766" s="1" t="inlineStr">
        <is>
          <t>range</t>
        </is>
      </c>
      <c r="H766" s="1" t="inlineStr">
        <is>
          <t>0,1</t>
        </is>
      </c>
      <c r="I766" s="1" t="inlineStr">
        <is>
          <t>96</t>
        </is>
      </c>
      <c r="L766" s="1">
        <f>CONCAT(IF(D766="數值",CONCATENATE(G766&amp;"("&amp;C766&amp;","&amp;IF(ISERROR(SEARCH(",",H766,1)),(H766&amp;","&amp;H766),H766)&amp;IF(ISBLANK(I766),"",IF(ISERROR(SEARCH(",",I766,1)),CONCATENATE(","&amp;I766&amp;","&amp;I766),CONCATENATE(","&amp;I766))&amp;IF(ISBLANK(J766),"",IF(ISERROR(SEARCH(",",J766,1)),CONCATENATE(","&amp;J766&amp;","&amp;J766),CONCATENATE(","&amp;J766))&amp;IF(ISBLANK(K766),"",IF(ISERROR(SEARCH(",",K766,1)),CONCATENATE(","&amp;K766&amp;","&amp;K766),CONCATENATE(","&amp;K766))))))&amp;")","")&amp;" "&amp;F766)</f>
        <v/>
      </c>
    </row>
    <row r="767">
      <c r="A767" s="1" t="n">
        <v>866</v>
      </c>
      <c r="B767" s="1">
        <f>A767</f>
        <v/>
      </c>
      <c r="C767" s="1" t="inlineStr">
        <is>
          <t>vQ32sQ32</t>
        </is>
      </c>
      <c r="D767" s="1" t="inlineStr">
        <is>
          <t>數值</t>
        </is>
      </c>
      <c r="E767" s="1" t="n">
        <v>2</v>
      </c>
      <c r="G767" s="1" t="inlineStr">
        <is>
          <t>range</t>
        </is>
      </c>
      <c r="H767" s="1" t="inlineStr">
        <is>
          <t>1,5</t>
        </is>
      </c>
      <c r="I767" s="1" t="inlineStr">
        <is>
          <t>97,98</t>
        </is>
      </c>
      <c r="J767" s="1" t="n"/>
      <c r="L767" s="1">
        <f>CONCAT(IF(D767="數值",CONCATENATE(G767&amp;"("&amp;C767&amp;","&amp;IF(ISERROR(SEARCH(",",H767,1)),(H767&amp;","&amp;H767),H767)&amp;IF(ISBLANK(I767),"",IF(ISERROR(SEARCH(",",I767,1)),CONCATENATE(","&amp;I767&amp;","&amp;I767),CONCATENATE(","&amp;I767))&amp;IF(ISBLANK(J767),"",IF(ISERROR(SEARCH(",",J767,1)),CONCATENATE(","&amp;J767&amp;","&amp;J767),CONCATENATE(","&amp;J767))&amp;IF(ISBLANK(K767),"",IF(ISERROR(SEARCH(",",K767,1)),CONCATENATE(","&amp;K767&amp;","&amp;K767),CONCATENATE(","&amp;K767))))))&amp;")","")&amp;" "&amp;F767)</f>
        <v/>
      </c>
    </row>
    <row r="768">
      <c r="A768" s="1" t="n">
        <v>867</v>
      </c>
      <c r="B768" s="1">
        <f>A768</f>
        <v/>
      </c>
      <c r="C768" s="1" t="inlineStr">
        <is>
          <t>vQ32sQ33</t>
        </is>
      </c>
      <c r="D768" s="1" t="inlineStr">
        <is>
          <t>數值</t>
        </is>
      </c>
      <c r="E768" s="1" t="n">
        <v>2</v>
      </c>
      <c r="G768" s="1" t="inlineStr">
        <is>
          <t>range</t>
        </is>
      </c>
      <c r="H768" s="1" t="inlineStr">
        <is>
          <t>1,5</t>
        </is>
      </c>
      <c r="I768" s="1" t="inlineStr">
        <is>
          <t>97,98</t>
        </is>
      </c>
      <c r="J768" s="1" t="n"/>
      <c r="L768" s="1">
        <f>CONCAT(IF(D768="數值",CONCATENATE(G768&amp;"("&amp;C768&amp;","&amp;IF(ISERROR(SEARCH(",",H768,1)),(H768&amp;","&amp;H768),H768)&amp;IF(ISBLANK(I768),"",IF(ISERROR(SEARCH(",",I768,1)),CONCATENATE(","&amp;I768&amp;","&amp;I768),CONCATENATE(","&amp;I768))&amp;IF(ISBLANK(J768),"",IF(ISERROR(SEARCH(",",J768,1)),CONCATENATE(","&amp;J768&amp;","&amp;J768),CONCATENATE(","&amp;J768))&amp;IF(ISBLANK(K768),"",IF(ISERROR(SEARCH(",",K768,1)),CONCATENATE(","&amp;K768&amp;","&amp;K768),CONCATENATE(","&amp;K768))))))&amp;")","")&amp;" "&amp;F768)</f>
        <v/>
      </c>
    </row>
    <row r="769">
      <c r="A769" s="1" t="n">
        <v>868</v>
      </c>
      <c r="B769" s="1">
        <f>A769</f>
        <v/>
      </c>
      <c r="C769" s="1" t="inlineStr">
        <is>
          <t>vQ32sQ34</t>
        </is>
      </c>
      <c r="D769" s="1" t="inlineStr">
        <is>
          <t>數值</t>
        </is>
      </c>
      <c r="E769" s="1" t="n">
        <v>2</v>
      </c>
      <c r="G769" s="1" t="inlineStr">
        <is>
          <t>range</t>
        </is>
      </c>
      <c r="H769" s="1" t="inlineStr">
        <is>
          <t>1,5</t>
        </is>
      </c>
      <c r="I769" s="1" t="inlineStr">
        <is>
          <t>97,98</t>
        </is>
      </c>
      <c r="J769" s="1" t="n"/>
      <c r="L769" s="1">
        <f>CONCAT(IF(D769="數值",CONCATENATE(G769&amp;"("&amp;C769&amp;","&amp;IF(ISERROR(SEARCH(",",H769,1)),(H769&amp;","&amp;H769),H769)&amp;IF(ISBLANK(I769),"",IF(ISERROR(SEARCH(",",I769,1)),CONCATENATE(","&amp;I769&amp;","&amp;I769),CONCATENATE(","&amp;I769))&amp;IF(ISBLANK(J769),"",IF(ISERROR(SEARCH(",",J769,1)),CONCATENATE(","&amp;J769&amp;","&amp;J769),CONCATENATE(","&amp;J769))&amp;IF(ISBLANK(K769),"",IF(ISERROR(SEARCH(",",K769,1)),CONCATENATE(","&amp;K769&amp;","&amp;K769),CONCATENATE(","&amp;K769))))))&amp;")","")&amp;" "&amp;F769)</f>
        <v/>
      </c>
    </row>
    <row r="770">
      <c r="A770" s="1" t="n">
        <v>869</v>
      </c>
      <c r="B770" s="1">
        <f>A770</f>
        <v/>
      </c>
      <c r="C770" s="1" t="inlineStr">
        <is>
          <t>vQ58s58</t>
        </is>
      </c>
      <c r="D770" s="1" t="inlineStr">
        <is>
          <t>數值</t>
        </is>
      </c>
      <c r="E770" s="1" t="n">
        <v>2</v>
      </c>
      <c r="G770" s="1" t="inlineStr">
        <is>
          <t>range</t>
        </is>
      </c>
      <c r="H770" s="1" t="inlineStr">
        <is>
          <t>1,5</t>
        </is>
      </c>
      <c r="I770" s="1" t="inlineStr">
        <is>
          <t>97,98</t>
        </is>
      </c>
      <c r="J770" s="1" t="n"/>
      <c r="L770" s="1">
        <f>CONCAT(IF(D770="數值",CONCATENATE(G770&amp;"("&amp;C770&amp;","&amp;IF(ISERROR(SEARCH(",",H770,1)),(H770&amp;","&amp;H770),H770)&amp;IF(ISBLANK(I770),"",IF(ISERROR(SEARCH(",",I770,1)),CONCATENATE(","&amp;I770&amp;","&amp;I770),CONCATENATE(","&amp;I770))&amp;IF(ISBLANK(J770),"",IF(ISERROR(SEARCH(",",J770,1)),CONCATENATE(","&amp;J770&amp;","&amp;J770),CONCATENATE(","&amp;J770))&amp;IF(ISBLANK(K770),"",IF(ISERROR(SEARCH(",",K770,1)),CONCATENATE(","&amp;K770&amp;","&amp;K770),CONCATENATE(","&amp;K770))))))&amp;")","")&amp;" "&amp;F770)</f>
        <v/>
      </c>
    </row>
    <row r="771">
      <c r="A771" s="1" t="n">
        <v>870</v>
      </c>
      <c r="B771" s="1">
        <f>A771</f>
        <v/>
      </c>
      <c r="C771" s="1" t="inlineStr">
        <is>
          <t>vQ58s59</t>
        </is>
      </c>
      <c r="D771" s="1" t="inlineStr">
        <is>
          <t>數值</t>
        </is>
      </c>
      <c r="E771" s="1" t="n">
        <v>2</v>
      </c>
      <c r="G771" s="1" t="inlineStr">
        <is>
          <t>range</t>
        </is>
      </c>
      <c r="H771" s="1" t="inlineStr">
        <is>
          <t>1,5</t>
        </is>
      </c>
      <c r="I771" s="1" t="inlineStr">
        <is>
          <t>97,98</t>
        </is>
      </c>
      <c r="J771" s="1" t="n"/>
      <c r="L771" s="1">
        <f>CONCAT(IF(D771="數值",CONCATENATE(G771&amp;"("&amp;C771&amp;","&amp;IF(ISERROR(SEARCH(",",H771,1)),(H771&amp;","&amp;H771),H771)&amp;IF(ISBLANK(I771),"",IF(ISERROR(SEARCH(",",I771,1)),CONCATENATE(","&amp;I771&amp;","&amp;I771),CONCATENATE(","&amp;I771))&amp;IF(ISBLANK(J771),"",IF(ISERROR(SEARCH(",",J771,1)),CONCATENATE(","&amp;J771&amp;","&amp;J771),CONCATENATE(","&amp;J771))&amp;IF(ISBLANK(K771),"",IF(ISERROR(SEARCH(",",K771,1)),CONCATENATE(","&amp;K771&amp;","&amp;K771),CONCATENATE(","&amp;K771))))))&amp;")","")&amp;" "&amp;F771)</f>
        <v/>
      </c>
    </row>
    <row r="772">
      <c r="A772" s="1" t="n">
        <v>871</v>
      </c>
      <c r="B772" s="1">
        <f>A772</f>
        <v/>
      </c>
      <c r="C772" s="1" t="inlineStr">
        <is>
          <t>vQ58s60</t>
        </is>
      </c>
      <c r="D772" s="1" t="inlineStr">
        <is>
          <t>數值</t>
        </is>
      </c>
      <c r="E772" s="1" t="n">
        <v>2</v>
      </c>
      <c r="G772" s="1" t="inlineStr">
        <is>
          <t>range</t>
        </is>
      </c>
      <c r="H772" s="1" t="inlineStr">
        <is>
          <t>1,5</t>
        </is>
      </c>
      <c r="I772" s="1" t="inlineStr">
        <is>
          <t>97,98</t>
        </is>
      </c>
      <c r="J772" s="1" t="n"/>
      <c r="L772" s="1">
        <f>CONCAT(IF(D772="數值",CONCATENATE(G772&amp;"("&amp;C772&amp;","&amp;IF(ISERROR(SEARCH(",",H772,1)),(H772&amp;","&amp;H772),H772)&amp;IF(ISBLANK(I772),"",IF(ISERROR(SEARCH(",",I772,1)),CONCATENATE(","&amp;I772&amp;","&amp;I772),CONCATENATE(","&amp;I772))&amp;IF(ISBLANK(J772),"",IF(ISERROR(SEARCH(",",J772,1)),CONCATENATE(","&amp;J772&amp;","&amp;J772),CONCATENATE(","&amp;J772))&amp;IF(ISBLANK(K772),"",IF(ISERROR(SEARCH(",",K772,1)),CONCATENATE(","&amp;K772&amp;","&amp;K772),CONCATENATE(","&amp;K772))))))&amp;")","")&amp;" "&amp;F772)</f>
        <v/>
      </c>
    </row>
    <row r="773">
      <c r="A773" s="1" t="n">
        <v>872</v>
      </c>
      <c r="B773" s="1">
        <f>A773</f>
        <v/>
      </c>
      <c r="C773" s="1" t="inlineStr">
        <is>
          <t>vQ58s61</t>
        </is>
      </c>
      <c r="D773" s="1" t="inlineStr">
        <is>
          <t>數值</t>
        </is>
      </c>
      <c r="E773" s="1" t="n">
        <v>2</v>
      </c>
      <c r="G773" s="1" t="inlineStr">
        <is>
          <t>range</t>
        </is>
      </c>
      <c r="H773" s="1" t="inlineStr">
        <is>
          <t>1,5</t>
        </is>
      </c>
      <c r="I773" s="1" t="inlineStr">
        <is>
          <t>97,98</t>
        </is>
      </c>
      <c r="J773" s="1" t="n"/>
      <c r="L773" s="1">
        <f>CONCAT(IF(D773="數值",CONCATENATE(G773&amp;"("&amp;C773&amp;","&amp;IF(ISERROR(SEARCH(",",H773,1)),(H773&amp;","&amp;H773),H773)&amp;IF(ISBLANK(I773),"",IF(ISERROR(SEARCH(",",I773,1)),CONCATENATE(","&amp;I773&amp;","&amp;I773),CONCATENATE(","&amp;I773))&amp;IF(ISBLANK(J773),"",IF(ISERROR(SEARCH(",",J773,1)),CONCATENATE(","&amp;J773&amp;","&amp;J773),CONCATENATE(","&amp;J773))&amp;IF(ISBLANK(K773),"",IF(ISERROR(SEARCH(",",K773,1)),CONCATENATE(","&amp;K773&amp;","&amp;K773),CONCATENATE(","&amp;K773))))))&amp;")","")&amp;" "&amp;F773)</f>
        <v/>
      </c>
    </row>
    <row r="774">
      <c r="A774" s="1" t="n">
        <v>873</v>
      </c>
      <c r="B774" s="1">
        <f>A774</f>
        <v/>
      </c>
      <c r="C774" s="1" t="inlineStr">
        <is>
          <t>vQ46</t>
        </is>
      </c>
      <c r="D774" s="1" t="inlineStr">
        <is>
          <t>數值</t>
        </is>
      </c>
      <c r="E774" s="1" t="n">
        <v>2</v>
      </c>
      <c r="G774" s="1" t="inlineStr">
        <is>
          <t>range</t>
        </is>
      </c>
      <c r="H774" s="1" t="inlineStr">
        <is>
          <t>1,5</t>
        </is>
      </c>
      <c r="I774" s="1" t="inlineStr">
        <is>
          <t>97,98</t>
        </is>
      </c>
      <c r="J774" s="1" t="n"/>
      <c r="L774" s="1">
        <f>CONCAT(IF(D774="數值",CONCATENATE(G774&amp;"("&amp;C774&amp;","&amp;IF(ISERROR(SEARCH(",",H774,1)),(H774&amp;","&amp;H774),H774)&amp;IF(ISBLANK(I774),"",IF(ISERROR(SEARCH(",",I774,1)),CONCATENATE(","&amp;I774&amp;","&amp;I774),CONCATENATE(","&amp;I774))&amp;IF(ISBLANK(J774),"",IF(ISERROR(SEARCH(",",J774,1)),CONCATENATE(","&amp;J774&amp;","&amp;J774),CONCATENATE(","&amp;J774))&amp;IF(ISBLANK(K774),"",IF(ISERROR(SEARCH(",",K774,1)),CONCATENATE(","&amp;K774&amp;","&amp;K774),CONCATENATE(","&amp;K774))))))&amp;")","")&amp;" "&amp;F774)</f>
        <v/>
      </c>
    </row>
    <row r="775">
      <c r="A775" s="1" t="n">
        <v>874</v>
      </c>
      <c r="B775" s="1">
        <f>A775</f>
        <v/>
      </c>
      <c r="C775" s="1" t="inlineStr">
        <is>
          <t>vP3_2</t>
        </is>
      </c>
      <c r="D775" s="1" t="inlineStr">
        <is>
          <t>數值</t>
        </is>
      </c>
      <c r="E775" s="1" t="n">
        <v>2</v>
      </c>
      <c r="G775" s="1" t="inlineStr">
        <is>
          <t>range</t>
        </is>
      </c>
    </row>
    <row r="776">
      <c r="A776" s="1" t="n">
        <v>875</v>
      </c>
      <c r="B776" s="1">
        <f>A776</f>
        <v/>
      </c>
      <c r="C776" s="1" t="inlineStr">
        <is>
          <t>vP3_3</t>
        </is>
      </c>
      <c r="D776" s="1" t="inlineStr">
        <is>
          <t>數值</t>
        </is>
      </c>
      <c r="E776" s="1" t="n">
        <v>2</v>
      </c>
      <c r="G776" s="1" t="inlineStr">
        <is>
          <t>range</t>
        </is>
      </c>
    </row>
    <row r="777">
      <c r="A777" s="1" t="n">
        <v>876</v>
      </c>
      <c r="B777" s="1">
        <f>A777</f>
        <v/>
      </c>
      <c r="C777" s="1" t="inlineStr">
        <is>
          <t>vP2_1</t>
        </is>
      </c>
      <c r="D777" s="1" t="inlineStr">
        <is>
          <t>數值</t>
        </is>
      </c>
      <c r="E777" s="1" t="n">
        <v>2</v>
      </c>
      <c r="G777" s="1" t="inlineStr">
        <is>
          <t>range</t>
        </is>
      </c>
    </row>
    <row r="778">
      <c r="A778" s="1" t="n">
        <v>877</v>
      </c>
      <c r="B778" s="1">
        <f>A778</f>
        <v/>
      </c>
      <c r="C778" s="1" t="inlineStr">
        <is>
          <t>vP2_2</t>
        </is>
      </c>
      <c r="D778" s="1" t="inlineStr">
        <is>
          <t>數值</t>
        </is>
      </c>
      <c r="E778" s="1" t="n">
        <v>2</v>
      </c>
      <c r="G778" s="1" t="inlineStr">
        <is>
          <t>range</t>
        </is>
      </c>
    </row>
    <row r="779">
      <c r="A779" s="1" t="n">
        <v>878</v>
      </c>
      <c r="B779" s="1">
        <f>A779</f>
        <v/>
      </c>
      <c r="C779" s="1" t="inlineStr">
        <is>
          <t>vP2_3</t>
        </is>
      </c>
      <c r="D779" s="1" t="inlineStr">
        <is>
          <t>數值</t>
        </is>
      </c>
      <c r="E779" s="1" t="n">
        <v>2</v>
      </c>
      <c r="G779" s="1" t="inlineStr">
        <is>
          <t>range</t>
        </is>
      </c>
    </row>
    <row r="780">
      <c r="A780" s="1" t="n">
        <v>879</v>
      </c>
      <c r="B780" s="1">
        <f>A780</f>
        <v/>
      </c>
      <c r="C780" s="1" t="inlineStr">
        <is>
          <t>vP2_4</t>
        </is>
      </c>
      <c r="D780" s="1" t="inlineStr">
        <is>
          <t>數值</t>
        </is>
      </c>
      <c r="E780" s="1" t="n">
        <v>2</v>
      </c>
      <c r="G780" s="1" t="inlineStr">
        <is>
          <t>range</t>
        </is>
      </c>
    </row>
    <row r="781">
      <c r="A781" s="1" t="n">
        <v>880</v>
      </c>
      <c r="B781" s="1">
        <f>A781</f>
        <v/>
      </c>
      <c r="C781" s="1" t="inlineStr">
        <is>
          <t>vP2_5</t>
        </is>
      </c>
      <c r="D781" s="1" t="inlineStr">
        <is>
          <t>數值</t>
        </is>
      </c>
      <c r="E781" s="1" t="n">
        <v>2</v>
      </c>
      <c r="G781" s="1" t="inlineStr">
        <is>
          <t>range</t>
        </is>
      </c>
    </row>
    <row r="782">
      <c r="A782" s="1" t="n">
        <v>881</v>
      </c>
      <c r="B782" s="1">
        <f>A782</f>
        <v/>
      </c>
      <c r="C782" s="1" t="inlineStr">
        <is>
          <t>vP2_6</t>
        </is>
      </c>
      <c r="D782" s="1" t="inlineStr">
        <is>
          <t>數值</t>
        </is>
      </c>
      <c r="E782" s="1" t="n">
        <v>2</v>
      </c>
      <c r="G782" s="1" t="inlineStr">
        <is>
          <t>range</t>
        </is>
      </c>
    </row>
    <row r="783">
      <c r="A783" s="1" t="n">
        <v>882</v>
      </c>
      <c r="B783" s="1">
        <f>A783</f>
        <v/>
      </c>
      <c r="C783" s="1" t="inlineStr">
        <is>
          <t>vQ43</t>
        </is>
      </c>
      <c r="D783" s="1" t="inlineStr">
        <is>
          <t>數值</t>
        </is>
      </c>
      <c r="E783" s="1" t="n">
        <v>2</v>
      </c>
      <c r="G783" s="1" t="inlineStr">
        <is>
          <t>range</t>
        </is>
      </c>
      <c r="H783" s="1" t="inlineStr">
        <is>
          <t>1,8</t>
        </is>
      </c>
      <c r="I783" s="1" t="inlineStr">
        <is>
          <t>97,98</t>
        </is>
      </c>
      <c r="J783" s="1" t="n"/>
      <c r="L783" s="1">
        <f>CONCAT(IF(D783="數值",CONCATENATE(G783&amp;"("&amp;C783&amp;","&amp;IF(ISERROR(SEARCH(",",H783,1)),(H783&amp;","&amp;H783),H783)&amp;IF(ISBLANK(I783),"",IF(ISERROR(SEARCH(",",I783,1)),CONCATENATE(","&amp;I783&amp;","&amp;I783),CONCATENATE(","&amp;I783))&amp;IF(ISBLANK(J783),"",IF(ISERROR(SEARCH(",",J783,1)),CONCATENATE(","&amp;J783&amp;","&amp;J783),CONCATENATE(","&amp;J783))&amp;IF(ISBLANK(K783),"",IF(ISERROR(SEARCH(",",K783,1)),CONCATENATE(","&amp;K783&amp;","&amp;K783),CONCATENATE(","&amp;K783))))))&amp;")","")&amp;" "&amp;F783)</f>
        <v/>
      </c>
    </row>
    <row r="784">
      <c r="A784" s="1" t="n">
        <v>883</v>
      </c>
      <c r="B784" s="1">
        <f>A784</f>
        <v/>
      </c>
      <c r="C784" s="1" t="inlineStr">
        <is>
          <t>vQ44</t>
        </is>
      </c>
      <c r="D784" s="1" t="inlineStr">
        <is>
          <t>數值</t>
        </is>
      </c>
      <c r="E784" s="1" t="n">
        <v>2</v>
      </c>
      <c r="G784" s="1" t="inlineStr">
        <is>
          <t>range</t>
        </is>
      </c>
      <c r="H784" s="1" t="inlineStr">
        <is>
          <t>1,4</t>
        </is>
      </c>
      <c r="I784" s="1" t="inlineStr">
        <is>
          <t>88,95</t>
        </is>
      </c>
      <c r="J784" s="1" t="inlineStr">
        <is>
          <t>97,98</t>
        </is>
      </c>
      <c r="K784" s="1" t="n"/>
      <c r="L784" s="1">
        <f>CONCAT(IF(D784="數值",CONCATENATE(G784&amp;"("&amp;C784&amp;","&amp;IF(ISERROR(SEARCH(",",H784,1)),(H784&amp;","&amp;H784),H784)&amp;IF(ISBLANK(I784),"",IF(ISERROR(SEARCH(",",I784,1)),CONCATENATE(","&amp;I784&amp;","&amp;I784),CONCATENATE(","&amp;I784))&amp;IF(ISBLANK(J784),"",IF(ISERROR(SEARCH(",",J784,1)),CONCATENATE(","&amp;J784&amp;","&amp;J784),CONCATENATE(","&amp;J784))&amp;IF(ISBLANK(K784),"",IF(ISERROR(SEARCH(",",K784,1)),CONCATENATE(","&amp;K784&amp;","&amp;K784),CONCATENATE(","&amp;K784))))))&amp;")","")&amp;" "&amp;F784)</f>
        <v/>
      </c>
    </row>
    <row r="785">
      <c r="A785" s="1" t="n">
        <v>884</v>
      </c>
      <c r="B785" s="1">
        <f>A785</f>
        <v/>
      </c>
      <c r="C785" s="1" t="inlineStr">
        <is>
          <t>vQ45</t>
        </is>
      </c>
      <c r="D785" s="1" t="inlineStr">
        <is>
          <t>數值</t>
        </is>
      </c>
      <c r="E785" s="1" t="n">
        <v>2</v>
      </c>
      <c r="G785" s="1" t="inlineStr">
        <is>
          <t>range</t>
        </is>
      </c>
      <c r="H785" s="1" t="inlineStr">
        <is>
          <t>1,4</t>
        </is>
      </c>
      <c r="I785" s="1" t="inlineStr">
        <is>
          <t>88</t>
        </is>
      </c>
      <c r="J785" s="1" t="inlineStr">
        <is>
          <t>90,92</t>
        </is>
      </c>
      <c r="K785" s="1" t="inlineStr">
        <is>
          <t>94,95</t>
        </is>
      </c>
      <c r="L785" s="1">
        <f>CONCAT(IF(D785="數值",CONCATENATE(G785&amp;"("&amp;C785&amp;","&amp;IF(ISERROR(SEARCH(",",H785,1)),(H785&amp;","&amp;H785),H785)&amp;IF(ISBLANK(I785),"",IF(ISERROR(SEARCH(",",I785,1)),CONCATENATE(","&amp;I785&amp;","&amp;I785),CONCATENATE(","&amp;I785))&amp;IF(ISBLANK(J785),"",IF(ISERROR(SEARCH(",",J785,1)),CONCATENATE(","&amp;J785&amp;","&amp;J785),CONCATENATE(","&amp;J785))&amp;IF(ISBLANK(K785),"",IF(ISERROR(SEARCH(",",K785,1)),CONCATENATE(","&amp;K785&amp;","&amp;K785),CONCATENATE(","&amp;K785))))))&amp;")","")&amp;" "&amp;F785)</f>
        <v/>
      </c>
    </row>
    <row r="786">
      <c r="A786" s="1" t="n">
        <v>885</v>
      </c>
      <c r="B786" s="1">
        <f>A786</f>
        <v/>
      </c>
      <c r="C786" s="1" t="inlineStr">
        <is>
          <t>vQ47</t>
        </is>
      </c>
      <c r="D786" s="1" t="inlineStr">
        <is>
          <t>數值</t>
        </is>
      </c>
      <c r="E786" s="1" t="n">
        <v>4</v>
      </c>
      <c r="G786" s="1" t="inlineStr">
        <is>
          <t>range</t>
        </is>
      </c>
      <c r="H786" s="1" t="inlineStr">
        <is>
          <t>997,998</t>
        </is>
      </c>
      <c r="I786" s="1" t="n"/>
      <c r="L786" s="1">
        <f>CONCAT(IF(D786="數值",CONCATENATE(G786&amp;"("&amp;C786&amp;","&amp;IF(ISERROR(SEARCH(",",H786,1)),(H786&amp;","&amp;H786),H786)&amp;IF(ISBLANK(I786),"",IF(ISERROR(SEARCH(",",I786,1)),CONCATENATE(","&amp;I786&amp;","&amp;I786),CONCATENATE(","&amp;I786))&amp;IF(ISBLANK(J786),"",IF(ISERROR(SEARCH(",",J786,1)),CONCATENATE(","&amp;J786&amp;","&amp;J786),CONCATENATE(","&amp;J786))&amp;IF(ISBLANK(K786),"",IF(ISERROR(SEARCH(",",K786,1)),CONCATENATE(","&amp;K786&amp;","&amp;K786),CONCATENATE(","&amp;K786))))))&amp;")","")&amp;" "&amp;F786)</f>
        <v/>
      </c>
    </row>
    <row r="787">
      <c r="A787" s="1" t="n">
        <v>886</v>
      </c>
      <c r="B787" s="1">
        <f>A787</f>
        <v/>
      </c>
      <c r="C787" s="1" t="inlineStr">
        <is>
          <t>vQ48</t>
        </is>
      </c>
      <c r="D787" s="1" t="inlineStr">
        <is>
          <t>數值</t>
        </is>
      </c>
      <c r="E787" s="1" t="n">
        <v>4</v>
      </c>
      <c r="G787" s="1" t="inlineStr">
        <is>
          <t>range</t>
        </is>
      </c>
      <c r="H787" s="1" t="inlineStr">
        <is>
          <t>997,998</t>
        </is>
      </c>
      <c r="I787" s="1" t="n"/>
      <c r="L787" s="1">
        <f>CONCAT(IF(D787="數值",CONCATENATE(G787&amp;"("&amp;C787&amp;","&amp;IF(ISERROR(SEARCH(",",H787,1)),(H787&amp;","&amp;H787),H787)&amp;IF(ISBLANK(I787),"",IF(ISERROR(SEARCH(",",I787,1)),CONCATENATE(","&amp;I787&amp;","&amp;I787),CONCATENATE(","&amp;I787))&amp;IF(ISBLANK(J787),"",IF(ISERROR(SEARCH(",",J787,1)),CONCATENATE(","&amp;J787&amp;","&amp;J787),CONCATENATE(","&amp;J787))&amp;IF(ISBLANK(K787),"",IF(ISERROR(SEARCH(",",K787,1)),CONCATENATE(","&amp;K787&amp;","&amp;K787),CONCATENATE(","&amp;K787))))))&amp;")","")&amp;" "&amp;F787)</f>
        <v/>
      </c>
    </row>
    <row r="788">
      <c r="A788" s="1" t="n">
        <v>887</v>
      </c>
      <c r="B788" s="1">
        <f>A788</f>
        <v/>
      </c>
      <c r="C788" s="1" t="inlineStr">
        <is>
          <t>vQ62</t>
        </is>
      </c>
      <c r="D788" s="1" t="inlineStr">
        <is>
          <t>數值</t>
        </is>
      </c>
      <c r="E788" s="1" t="n">
        <v>4</v>
      </c>
      <c r="G788" s="1" t="inlineStr">
        <is>
          <t>range</t>
        </is>
      </c>
      <c r="H788" s="1" t="inlineStr">
        <is>
          <t>997,998</t>
        </is>
      </c>
      <c r="I788" s="1" t="n"/>
      <c r="L788" s="1">
        <f>CONCAT(IF(D788="數值",CONCATENATE(G788&amp;"("&amp;C788&amp;","&amp;IF(ISERROR(SEARCH(",",H788,1)),(H788&amp;","&amp;H788),H788)&amp;IF(ISBLANK(I788),"",IF(ISERROR(SEARCH(",",I788,1)),CONCATENATE(","&amp;I788&amp;","&amp;I788),CONCATENATE(","&amp;I788))&amp;IF(ISBLANK(J788),"",IF(ISERROR(SEARCH(",",J788,1)),CONCATENATE(","&amp;J788&amp;","&amp;J788),CONCATENATE(","&amp;J788))&amp;IF(ISBLANK(K788),"",IF(ISERROR(SEARCH(",",K788,1)),CONCATENATE(","&amp;K788&amp;","&amp;K788),CONCATENATE(","&amp;K788))))))&amp;")","")&amp;" "&amp;F788)</f>
        <v/>
      </c>
    </row>
    <row r="789">
      <c r="A789" s="1" t="n">
        <v>888</v>
      </c>
      <c r="B789" s="1">
        <f>A789</f>
        <v/>
      </c>
      <c r="C789" s="1" t="inlineStr">
        <is>
          <t>vQ49</t>
        </is>
      </c>
      <c r="D789" s="1" t="inlineStr">
        <is>
          <t>數值</t>
        </is>
      </c>
      <c r="E789" s="1" t="n">
        <v>2</v>
      </c>
      <c r="G789" s="1" t="inlineStr">
        <is>
          <t>range</t>
        </is>
      </c>
      <c r="H789" s="1" t="inlineStr">
        <is>
          <t>1,2</t>
        </is>
      </c>
      <c r="I789" s="1" t="inlineStr">
        <is>
          <t>97,98</t>
        </is>
      </c>
      <c r="J789" s="1" t="n"/>
      <c r="L789" s="1">
        <f>CONCAT(IF(D789="數值",CONCATENATE(G789&amp;"("&amp;C789&amp;","&amp;IF(ISERROR(SEARCH(",",H789,1)),(H789&amp;","&amp;H789),H789)&amp;IF(ISBLANK(I789),"",IF(ISERROR(SEARCH(",",I789,1)),CONCATENATE(","&amp;I789&amp;","&amp;I789),CONCATENATE(","&amp;I789))&amp;IF(ISBLANK(J789),"",IF(ISERROR(SEARCH(",",J789,1)),CONCATENATE(","&amp;J789&amp;","&amp;J789),CONCATENATE(","&amp;J789))&amp;IF(ISBLANK(K789),"",IF(ISERROR(SEARCH(",",K789,1)),CONCATENATE(","&amp;K789&amp;","&amp;K789),CONCATENATE(","&amp;K789))))))&amp;")","")&amp;" "&amp;F789)</f>
        <v/>
      </c>
    </row>
    <row r="790">
      <c r="A790" s="1" t="n">
        <v>889</v>
      </c>
      <c r="B790" s="1">
        <f>A790</f>
        <v/>
      </c>
      <c r="C790" s="1" t="inlineStr">
        <is>
          <t>vQ50</t>
        </is>
      </c>
      <c r="D790" s="1" t="inlineStr">
        <is>
          <t>數值</t>
        </is>
      </c>
      <c r="E790" s="1" t="n">
        <v>2</v>
      </c>
      <c r="G790" s="1" t="inlineStr">
        <is>
          <t>range</t>
        </is>
      </c>
      <c r="H790" s="1" t="inlineStr">
        <is>
          <t>1,2</t>
        </is>
      </c>
      <c r="I790" s="1" t="inlineStr">
        <is>
          <t>97,98</t>
        </is>
      </c>
      <c r="J790" s="1" t="n"/>
      <c r="L790" s="1">
        <f>CONCAT(IF(D790="數值",CONCATENATE(G790&amp;"("&amp;C790&amp;","&amp;IF(ISERROR(SEARCH(",",H790,1)),(H790&amp;","&amp;H790),H790)&amp;IF(ISBLANK(I790),"",IF(ISERROR(SEARCH(",",I790,1)),CONCATENATE(","&amp;I790&amp;","&amp;I790),CONCATENATE(","&amp;I790))&amp;IF(ISBLANK(J790),"",IF(ISERROR(SEARCH(",",J790,1)),CONCATENATE(","&amp;J790&amp;","&amp;J790),CONCATENATE(","&amp;J790))&amp;IF(ISBLANK(K790),"",IF(ISERROR(SEARCH(",",K790,1)),CONCATENATE(","&amp;K790&amp;","&amp;K790),CONCATENATE(","&amp;K790))))))&amp;")","")&amp;" "&amp;F790)</f>
        <v/>
      </c>
    </row>
    <row r="791">
      <c r="A791" s="1" t="n">
        <v>890</v>
      </c>
      <c r="B791" s="1">
        <f>A791</f>
        <v/>
      </c>
      <c r="C791" s="1" t="inlineStr">
        <is>
          <t>vQ51</t>
        </is>
      </c>
      <c r="D791" s="1" t="inlineStr">
        <is>
          <t>數值</t>
        </is>
      </c>
      <c r="E791" s="1" t="n">
        <v>2</v>
      </c>
      <c r="G791" s="1" t="inlineStr">
        <is>
          <t>range</t>
        </is>
      </c>
      <c r="H791" s="1" t="inlineStr">
        <is>
          <t>1,11</t>
        </is>
      </c>
      <c r="I791" s="1" t="inlineStr">
        <is>
          <t>88</t>
        </is>
      </c>
      <c r="J791" s="1" t="inlineStr">
        <is>
          <t>97,98</t>
        </is>
      </c>
      <c r="L791" s="1">
        <f>CONCAT(IF(D791="數值",CONCATENATE(G791&amp;"("&amp;C791&amp;","&amp;IF(ISERROR(SEARCH(",",H791,1)),(H791&amp;","&amp;H791),H791)&amp;IF(ISBLANK(I791),"",IF(ISERROR(SEARCH(",",I791,1)),CONCATENATE(","&amp;I791&amp;","&amp;I791),CONCATENATE(","&amp;I791))&amp;IF(ISBLANK(J791),"",IF(ISERROR(SEARCH(",",J791,1)),CONCATENATE(","&amp;J791&amp;","&amp;J791),CONCATENATE(","&amp;J791))&amp;IF(ISBLANK(K791),"",IF(ISERROR(SEARCH(",",K791,1)),CONCATENATE(","&amp;K791&amp;","&amp;K791),CONCATENATE(","&amp;K791))))))&amp;")","")&amp;" "&amp;F791)</f>
        <v/>
      </c>
    </row>
    <row r="792">
      <c r="A792" s="1" t="n">
        <v>891</v>
      </c>
      <c r="B792" s="1">
        <f>A792</f>
        <v/>
      </c>
      <c r="C792" s="1" t="inlineStr">
        <is>
          <t>vQ52</t>
        </is>
      </c>
      <c r="D792" s="1" t="inlineStr">
        <is>
          <t>數值</t>
        </is>
      </c>
      <c r="E792" s="1" t="n">
        <v>2</v>
      </c>
      <c r="G792" s="1" t="inlineStr">
        <is>
          <t>range</t>
        </is>
      </c>
      <c r="H792" s="1" t="inlineStr">
        <is>
          <t>1,3</t>
        </is>
      </c>
      <c r="I792" s="1" t="inlineStr">
        <is>
          <t>94,95</t>
        </is>
      </c>
      <c r="J792" s="1" t="inlineStr">
        <is>
          <t>97,98</t>
        </is>
      </c>
      <c r="K792" s="1" t="n"/>
      <c r="L792" s="1">
        <f>CONCAT(IF(D792="數值",CONCATENATE(G792&amp;"("&amp;C792&amp;","&amp;IF(ISERROR(SEARCH(",",H792,1)),(H792&amp;","&amp;H792),H792)&amp;IF(ISBLANK(I792),"",IF(ISERROR(SEARCH(",",I792,1)),CONCATENATE(","&amp;I792&amp;","&amp;I792),CONCATENATE(","&amp;I792))&amp;IF(ISBLANK(J792),"",IF(ISERROR(SEARCH(",",J792,1)),CONCATENATE(","&amp;J792&amp;","&amp;J792),CONCATENATE(","&amp;J792))&amp;IF(ISBLANK(K792),"",IF(ISERROR(SEARCH(",",K792,1)),CONCATENATE(","&amp;K792&amp;","&amp;K792),CONCATENATE(","&amp;K792))))))&amp;")","")&amp;" "&amp;F792)</f>
        <v/>
      </c>
    </row>
    <row r="793">
      <c r="A793" s="1" t="n">
        <v>892</v>
      </c>
      <c r="B793" s="1">
        <f>A793</f>
        <v/>
      </c>
      <c r="C793" s="1" t="inlineStr">
        <is>
          <t>vQ53</t>
        </is>
      </c>
      <c r="D793" s="1" t="inlineStr">
        <is>
          <t>數值</t>
        </is>
      </c>
      <c r="E793" s="1" t="n">
        <v>2</v>
      </c>
      <c r="G793" s="1" t="inlineStr">
        <is>
          <t>range</t>
        </is>
      </c>
      <c r="H793" s="1" t="inlineStr">
        <is>
          <t>1,6</t>
        </is>
      </c>
      <c r="I793" s="1" t="inlineStr">
        <is>
          <t>88</t>
        </is>
      </c>
      <c r="J793" s="1" t="inlineStr">
        <is>
          <t>93</t>
        </is>
      </c>
      <c r="K793" s="1" t="inlineStr">
        <is>
          <t>95</t>
        </is>
      </c>
      <c r="L793" s="1">
        <f>CONCAT(IF(D793="數值",CONCATENATE(G793&amp;"("&amp;C793&amp;","&amp;IF(ISERROR(SEARCH(",",H793,1)),(H793&amp;","&amp;H793),H793)&amp;IF(ISBLANK(I793),"",IF(ISERROR(SEARCH(",",I793,1)),CONCATENATE(","&amp;I793&amp;","&amp;I793),CONCATENATE(","&amp;I793))&amp;IF(ISBLANK(J793),"",IF(ISERROR(SEARCH(",",J793,1)),CONCATENATE(","&amp;J793&amp;","&amp;J793),CONCATENATE(","&amp;J793))&amp;IF(ISBLANK(K793),"",IF(ISERROR(SEARCH(",",K793,1)),CONCATENATE(","&amp;K793&amp;","&amp;K793),CONCATENATE(","&amp;K793))))))&amp;")","")&amp;" "&amp;F793)</f>
        <v/>
      </c>
    </row>
    <row r="794">
      <c r="A794" s="1" t="n">
        <v>893</v>
      </c>
      <c r="B794" s="1">
        <f>A794</f>
        <v/>
      </c>
      <c r="C794" s="1" t="inlineStr">
        <is>
          <t>vP3_1</t>
        </is>
      </c>
      <c r="D794" s="1" t="inlineStr">
        <is>
          <t>數值</t>
        </is>
      </c>
      <c r="E794" s="1" t="n">
        <v>3</v>
      </c>
      <c r="G794" s="1" t="inlineStr">
        <is>
          <t>range</t>
        </is>
      </c>
    </row>
    <row r="795">
      <c r="A795" s="1" t="n">
        <v>894</v>
      </c>
      <c r="B795" s="1">
        <f>A795</f>
        <v/>
      </c>
      <c r="C795" s="1" t="inlineStr">
        <is>
          <t>vQ54</t>
        </is>
      </c>
      <c r="D795" s="1" t="inlineStr">
        <is>
          <t>數值</t>
        </is>
      </c>
      <c r="E795" s="1" t="n">
        <v>2</v>
      </c>
      <c r="G795" s="1" t="inlineStr">
        <is>
          <t>range</t>
        </is>
      </c>
      <c r="H795" s="1" t="inlineStr">
        <is>
          <t>0,10</t>
        </is>
      </c>
      <c r="I795" s="1" t="inlineStr">
        <is>
          <t>88</t>
        </is>
      </c>
      <c r="J795" s="1" t="inlineStr">
        <is>
          <t>97,98</t>
        </is>
      </c>
      <c r="L795" s="1">
        <f>CONCAT(IF(D795="數值",CONCATENATE(G795&amp;"("&amp;C795&amp;","&amp;IF(ISERROR(SEARCH(",",H795,1)),(H795&amp;","&amp;H795),H795)&amp;IF(ISBLANK(I795),"",IF(ISERROR(SEARCH(",",I795,1)),CONCATENATE(","&amp;I795&amp;","&amp;I795),CONCATENATE(","&amp;I795))&amp;IF(ISBLANK(J795),"",IF(ISERROR(SEARCH(",",J795,1)),CONCATENATE(","&amp;J795&amp;","&amp;J795),CONCATENATE(","&amp;J795))&amp;IF(ISBLANK(K795),"",IF(ISERROR(SEARCH(",",K795,1)),CONCATENATE(","&amp;K795&amp;","&amp;K795),CONCATENATE(","&amp;K795))))))&amp;")","")&amp;" "&amp;F795)</f>
        <v/>
      </c>
    </row>
    <row r="796">
      <c r="A796" s="1" t="n">
        <v>895</v>
      </c>
      <c r="B796" s="1">
        <f>A796</f>
        <v/>
      </c>
      <c r="C796" s="1" t="inlineStr">
        <is>
          <t>vP5_6</t>
        </is>
      </c>
      <c r="D796" s="1" t="inlineStr">
        <is>
          <t>數值</t>
        </is>
      </c>
      <c r="E796" s="1" t="n">
        <v>2</v>
      </c>
      <c r="G796" s="1" t="inlineStr">
        <is>
          <t>range</t>
        </is>
      </c>
    </row>
    <row r="797">
      <c r="A797" s="1" t="n">
        <v>896</v>
      </c>
      <c r="B797" s="1">
        <f>A797</f>
        <v/>
      </c>
      <c r="C797" s="1" t="inlineStr">
        <is>
          <t>vQ55</t>
        </is>
      </c>
      <c r="D797" s="1" t="inlineStr">
        <is>
          <t>數值</t>
        </is>
      </c>
      <c r="E797" s="1" t="n">
        <v>2</v>
      </c>
      <c r="G797" s="1" t="inlineStr">
        <is>
          <t>range</t>
        </is>
      </c>
      <c r="H797" s="1" t="inlineStr">
        <is>
          <t>1,4</t>
        </is>
      </c>
      <c r="I797" s="1" t="inlineStr">
        <is>
          <t>97,98</t>
        </is>
      </c>
      <c r="J797" s="1" t="n"/>
      <c r="L797" s="1">
        <f>CONCAT(IF(D797="數值",CONCATENATE(G797&amp;"("&amp;C797&amp;","&amp;IF(ISERROR(SEARCH(",",H797,1)),(H797&amp;","&amp;H797),H797)&amp;IF(ISBLANK(I797),"",IF(ISERROR(SEARCH(",",I797,1)),CONCATENATE(","&amp;I797&amp;","&amp;I797),CONCATENATE(","&amp;I797))&amp;IF(ISBLANK(J797),"",IF(ISERROR(SEARCH(",",J797,1)),CONCATENATE(","&amp;J797&amp;","&amp;J797),CONCATENATE(","&amp;J797))&amp;IF(ISBLANK(K797),"",IF(ISERROR(SEARCH(",",K797,1)),CONCATENATE(","&amp;K797&amp;","&amp;K797),CONCATENATE(","&amp;K797))))))&amp;")","")&amp;" "&amp;F797)</f>
        <v/>
      </c>
    </row>
    <row r="798">
      <c r="A798" s="1" t="n">
        <v>897</v>
      </c>
      <c r="B798" s="1">
        <f>A798</f>
        <v/>
      </c>
      <c r="C798" s="1" t="inlineStr">
        <is>
          <t>vQ56</t>
        </is>
      </c>
      <c r="D798" s="1" t="inlineStr">
        <is>
          <t>數值</t>
        </is>
      </c>
      <c r="E798" s="1" t="n">
        <v>2</v>
      </c>
      <c r="G798" s="1" t="inlineStr">
        <is>
          <t>range</t>
        </is>
      </c>
      <c r="H798" s="1" t="inlineStr">
        <is>
          <t>1,4</t>
        </is>
      </c>
      <c r="I798" s="1" t="inlineStr">
        <is>
          <t>97,98</t>
        </is>
      </c>
      <c r="J798" s="1" t="n"/>
      <c r="L798" s="1">
        <f>CONCAT(IF(D798="數值",CONCATENATE(G798&amp;"("&amp;C798&amp;","&amp;IF(ISERROR(SEARCH(",",H798,1)),(H798&amp;","&amp;H798),H798)&amp;IF(ISBLANK(I798),"",IF(ISERROR(SEARCH(",",I798,1)),CONCATENATE(","&amp;I798&amp;","&amp;I798),CONCATENATE(","&amp;I798))&amp;IF(ISBLANK(J798),"",IF(ISERROR(SEARCH(",",J798,1)),CONCATENATE(","&amp;J798&amp;","&amp;J798),CONCATENATE(","&amp;J798))&amp;IF(ISBLANK(K798),"",IF(ISERROR(SEARCH(",",K798,1)),CONCATENATE(","&amp;K798&amp;","&amp;K798),CONCATENATE(","&amp;K798))))))&amp;")","")&amp;" "&amp;F798)</f>
        <v/>
      </c>
    </row>
    <row r="799">
      <c r="A799" s="1" t="n">
        <v>898</v>
      </c>
      <c r="B799" s="1">
        <f>A799</f>
        <v/>
      </c>
      <c r="C799" s="1" t="inlineStr">
        <is>
          <t>vQ57</t>
        </is>
      </c>
      <c r="D799" s="1" t="inlineStr">
        <is>
          <t>數值</t>
        </is>
      </c>
      <c r="E799" s="1" t="n">
        <v>2</v>
      </c>
      <c r="G799" s="1" t="inlineStr">
        <is>
          <t>range</t>
        </is>
      </c>
      <c r="H799" s="1" t="inlineStr">
        <is>
          <t>1,4</t>
        </is>
      </c>
      <c r="I799" s="1" t="inlineStr">
        <is>
          <t>97,98</t>
        </is>
      </c>
      <c r="J799" s="1" t="n"/>
      <c r="L799" s="1">
        <f>CONCAT(IF(D799="數值",CONCATENATE(G799&amp;"("&amp;C799&amp;","&amp;IF(ISERROR(SEARCH(",",H799,1)),(H799&amp;","&amp;H799),H799)&amp;IF(ISBLANK(I799),"",IF(ISERROR(SEARCH(",",I799,1)),CONCATENATE(","&amp;I799&amp;","&amp;I799),CONCATENATE(","&amp;I799))&amp;IF(ISBLANK(J799),"",IF(ISERROR(SEARCH(",",J799,1)),CONCATENATE(","&amp;J799&amp;","&amp;J799),CONCATENATE(","&amp;J799))&amp;IF(ISBLANK(K799),"",IF(ISERROR(SEARCH(",",K799,1)),CONCATENATE(","&amp;K799&amp;","&amp;K799),CONCATENATE(","&amp;K799))))))&amp;")","")&amp;" "&amp;F799)</f>
        <v/>
      </c>
    </row>
    <row r="800">
      <c r="A800" s="1" t="n">
        <v>899</v>
      </c>
      <c r="B800" s="1">
        <f>A800</f>
        <v/>
      </c>
      <c r="C800" s="1" t="inlineStr">
        <is>
          <t>vZE1</t>
        </is>
      </c>
      <c r="D800" s="1" t="inlineStr">
        <is>
          <t>數值</t>
        </is>
      </c>
      <c r="E800" s="1" t="n">
        <v>2</v>
      </c>
      <c r="G800" s="1" t="inlineStr">
        <is>
          <t>range</t>
        </is>
      </c>
    </row>
    <row r="801">
      <c r="A801" s="1" t="n">
        <v>900</v>
      </c>
      <c r="B801" s="1">
        <f>A801</f>
        <v/>
      </c>
      <c r="C801" s="1" t="inlineStr">
        <is>
          <t>vCkZE1</t>
        </is>
      </c>
      <c r="D801" s="1" t="inlineStr">
        <is>
          <t>數值</t>
        </is>
      </c>
      <c r="E801" s="1" t="n">
        <v>14</v>
      </c>
      <c r="G801" s="1" t="inlineStr">
        <is>
          <t>range</t>
        </is>
      </c>
      <c r="H801" s="1" t="inlineStr">
        <is>
          <t>20260615000000,20260915000000</t>
        </is>
      </c>
      <c r="L801" s="1">
        <f>CONCAT(IF(D801="數值",CONCATENATE(G801&amp;"("&amp;C801&amp;","&amp;IF(ISERROR(SEARCH(",",H801,1)),(H801&amp;","&amp;H801),H801)&amp;IF(ISBLANK(I801),"",IF(ISERROR(SEARCH(",",I801,1)),CONCATENATE(","&amp;I801&amp;","&amp;I801),CONCATENATE(","&amp;I801))&amp;IF(ISBLANK(J801),"",IF(ISERROR(SEARCH(",",J801,1)),CONCATENATE(","&amp;J801&amp;","&amp;J801),CONCATENATE(","&amp;J801))&amp;IF(ISBLANK(K801),"",IF(ISERROR(SEARCH(",",K801,1)),CONCATENATE(","&amp;K801&amp;","&amp;K801),CONCATENATE(","&amp;K801))))))&amp;")","")&amp;" "&amp;F801)</f>
        <v/>
      </c>
    </row>
    <row r="802">
      <c r="A802" s="1" t="n">
        <v>901</v>
      </c>
      <c r="B802" s="1">
        <f>A802</f>
        <v/>
      </c>
      <c r="C802" s="1" t="inlineStr">
        <is>
          <t>vZE2m01</t>
        </is>
      </c>
      <c r="D802" s="1" t="inlineStr">
        <is>
          <t>數值</t>
        </is>
      </c>
      <c r="E802" s="1" t="n">
        <v>2</v>
      </c>
      <c r="G802" s="1" t="inlineStr">
        <is>
          <t>range</t>
        </is>
      </c>
      <c r="H802" s="1" t="inlineStr">
        <is>
          <t>0,1</t>
        </is>
      </c>
      <c r="L802" s="1">
        <f>CONCAT(IF(D802="數值",CONCATENATE(G802&amp;"("&amp;C802&amp;","&amp;IF(ISERROR(SEARCH(",",H802,1)),(H802&amp;","&amp;H802),H802)&amp;IF(ISBLANK(I802),"",IF(ISERROR(SEARCH(",",I802,1)),CONCATENATE(","&amp;I802&amp;","&amp;I802),CONCATENATE(","&amp;I802))&amp;IF(ISBLANK(J802),"",IF(ISERROR(SEARCH(",",J802,1)),CONCATENATE(","&amp;J802&amp;","&amp;J802),CONCATENATE(","&amp;J802))&amp;IF(ISBLANK(K802),"",IF(ISERROR(SEARCH(",",K802,1)),CONCATENATE(","&amp;K802&amp;","&amp;K802),CONCATENATE(","&amp;K802))))))&amp;")","")&amp;" "&amp;F802)</f>
        <v/>
      </c>
    </row>
    <row r="803">
      <c r="A803" s="1" t="n">
        <v>902</v>
      </c>
      <c r="B803" s="1">
        <f>A803</f>
        <v/>
      </c>
      <c r="C803" s="1" t="inlineStr">
        <is>
          <t>vZE2m02</t>
        </is>
      </c>
      <c r="D803" s="1" t="inlineStr">
        <is>
          <t>數值</t>
        </is>
      </c>
      <c r="E803" s="1" t="n">
        <v>2</v>
      </c>
      <c r="G803" s="1" t="inlineStr">
        <is>
          <t>range</t>
        </is>
      </c>
      <c r="H803" s="1" t="inlineStr">
        <is>
          <t>0,1</t>
        </is>
      </c>
      <c r="L803" s="1">
        <f>CONCAT(IF(D803="數值",CONCATENATE(G803&amp;"("&amp;C803&amp;","&amp;IF(ISERROR(SEARCH(",",H803,1)),(H803&amp;","&amp;H803),H803)&amp;IF(ISBLANK(I803),"",IF(ISERROR(SEARCH(",",I803,1)),CONCATENATE(","&amp;I803&amp;","&amp;I803),CONCATENATE(","&amp;I803))&amp;IF(ISBLANK(J803),"",IF(ISERROR(SEARCH(",",J803,1)),CONCATENATE(","&amp;J803&amp;","&amp;J803),CONCATENATE(","&amp;J803))&amp;IF(ISBLANK(K803),"",IF(ISERROR(SEARCH(",",K803,1)),CONCATENATE(","&amp;K803&amp;","&amp;K803),CONCATENATE(","&amp;K803))))))&amp;")","")&amp;" "&amp;F803)</f>
        <v/>
      </c>
    </row>
    <row r="804">
      <c r="A804" s="1" t="n">
        <v>903</v>
      </c>
      <c r="B804" s="1">
        <f>A804</f>
        <v/>
      </c>
      <c r="C804" s="1" t="inlineStr">
        <is>
          <t>vZE2m03</t>
        </is>
      </c>
      <c r="D804" s="1" t="inlineStr">
        <is>
          <t>數值</t>
        </is>
      </c>
      <c r="E804" s="1" t="n">
        <v>2</v>
      </c>
      <c r="G804" s="1" t="inlineStr">
        <is>
          <t>range</t>
        </is>
      </c>
      <c r="H804" s="1" t="inlineStr">
        <is>
          <t>0,1</t>
        </is>
      </c>
      <c r="L804" s="1">
        <f>CONCAT(IF(D804="數值",CONCATENATE(G804&amp;"("&amp;C804&amp;","&amp;IF(ISERROR(SEARCH(",",H804,1)),(H804&amp;","&amp;H804),H804)&amp;IF(ISBLANK(I804),"",IF(ISERROR(SEARCH(",",I804,1)),CONCATENATE(","&amp;I804&amp;","&amp;I804),CONCATENATE(","&amp;I804))&amp;IF(ISBLANK(J804),"",IF(ISERROR(SEARCH(",",J804,1)),CONCATENATE(","&amp;J804&amp;","&amp;J804),CONCATENATE(","&amp;J804))&amp;IF(ISBLANK(K804),"",IF(ISERROR(SEARCH(",",K804,1)),CONCATENATE(","&amp;K804&amp;","&amp;K804),CONCATENATE(","&amp;K804))))))&amp;")","")&amp;" "&amp;F804)</f>
        <v/>
      </c>
    </row>
    <row r="805">
      <c r="A805" s="1" t="n">
        <v>904</v>
      </c>
      <c r="B805" s="1">
        <f>A805</f>
        <v/>
      </c>
      <c r="C805" s="1" t="inlineStr">
        <is>
          <t>vvckend</t>
        </is>
      </c>
      <c r="D805" s="1" t="inlineStr">
        <is>
          <t>數值</t>
        </is>
      </c>
      <c r="E805" s="1" t="n">
        <v>14</v>
      </c>
      <c r="G805" s="1" t="inlineStr">
        <is>
          <t>range</t>
        </is>
      </c>
      <c r="H805" s="1" t="inlineStr">
        <is>
          <t>20260615000000,20260915000000</t>
        </is>
      </c>
      <c r="L805" s="1">
        <f>CONCAT(IF(D805="數值",CONCATENATE(G805&amp;"("&amp;C805&amp;","&amp;IF(ISERROR(SEARCH(",",H805,1)),(H805&amp;","&amp;H805),H805)&amp;IF(ISBLANK(I805),"",IF(ISERROR(SEARCH(",",I805,1)),CONCATENATE(","&amp;I805&amp;","&amp;I805),CONCATENATE(","&amp;I805))&amp;IF(ISBLANK(J805),"",IF(ISERROR(SEARCH(",",J805,1)),CONCATENATE(","&amp;J805&amp;","&amp;J805),CONCATENATE(","&amp;J805))&amp;IF(ISBLANK(K805),"",IF(ISERROR(SEARCH(",",K805,1)),CONCATENATE(","&amp;K805&amp;","&amp;K805),CONCATENATE(","&amp;K805))))))&amp;")","")&amp;" "&amp;F805)</f>
        <v/>
      </c>
    </row>
  </sheetData>
  <autoFilter ref="A1:L19"/>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N61"/>
  <sheetViews>
    <sheetView tabSelected="1" topLeftCell="A49" zoomScale="110" zoomScaleNormal="110" workbookViewId="0">
      <selection activeCell="J61" sqref="J6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2" min="8" max="8"/>
    <col width="11.375" customWidth="1" style="1" min="9" max="9"/>
    <col width="10.625" customWidth="1" style="1" min="10" max="10"/>
    <col width="10.5" bestFit="1" customWidth="1" style="7" min="11" max="11"/>
    <col width="16.5" customWidth="1" style="7" min="12" max="12"/>
    <col width="8.875" customWidth="1" style="1" min="13" max="28"/>
    <col width="8.875" customWidth="1" style="1" min="29" max="16384"/>
  </cols>
  <sheetData>
    <row r="1">
      <c r="A1" s="1" t="inlineStr">
        <is>
          <t>m</t>
        </is>
      </c>
      <c r="B1" s="1" t="inlineStr">
        <is>
          <t>p</t>
        </is>
      </c>
      <c r="C1" s="1" t="inlineStr">
        <is>
          <t>var</t>
        </is>
      </c>
      <c r="D1" s="1" t="inlineStr">
        <is>
          <t>變項屬性</t>
        </is>
      </c>
      <c r="E1" s="1" t="inlineStr">
        <is>
          <t>寬度</t>
        </is>
      </c>
      <c r="F1" s="3" t="inlineStr">
        <is>
          <t>是否複選</t>
        </is>
      </c>
      <c r="G1" s="1" t="inlineStr">
        <is>
          <t>題號</t>
        </is>
      </c>
      <c r="H1" s="2" t="inlineStr">
        <is>
          <t>題號變項名稱</t>
        </is>
      </c>
      <c r="I1" s="1" t="inlineStr">
        <is>
          <t>選項數值</t>
        </is>
      </c>
      <c r="J1" s="4" t="inlineStr">
        <is>
          <t>var2_new</t>
        </is>
      </c>
      <c r="K1" s="5" t="inlineStr">
        <is>
          <t>range_new</t>
        </is>
      </c>
      <c r="L1" s="5" t="inlineStr">
        <is>
          <t>n</t>
        </is>
      </c>
      <c r="M1" s="1" t="inlineStr">
        <is>
          <t>s</t>
        </is>
      </c>
      <c r="N1" s="1" t="inlineStr">
        <is>
          <t>s=</t>
        </is>
      </c>
    </row>
    <row r="2">
      <c r="A2" s="1" t="n">
        <v>1000</v>
      </c>
      <c r="B2" s="1">
        <f>A2</f>
        <v/>
      </c>
      <c r="C2" s="1" t="inlineStr">
        <is>
          <t>vZAo03</t>
        </is>
      </c>
      <c r="D2" s="1" t="inlineStr">
        <is>
          <t>字串</t>
        </is>
      </c>
      <c r="E2" s="1" t="n">
        <v>150</v>
      </c>
      <c r="F2" s="1" t="n">
        <v>0</v>
      </c>
      <c r="G2" s="1" t="inlineStr">
        <is>
          <t>vZA</t>
        </is>
      </c>
      <c r="H2" s="1" t="inlineStr">
        <is>
          <t>vZA</t>
        </is>
      </c>
      <c r="I2" s="1" t="inlineStr">
        <is>
          <t>3</t>
        </is>
      </c>
      <c r="J2" s="1" t="inlineStr">
        <is>
          <t>vZA</t>
        </is>
      </c>
      <c r="K2" s="1" t="inlineStr">
        <is>
          <t>3</t>
        </is>
      </c>
      <c r="L2" s="1" t="inlineStr">
        <is>
          <t>2</t>
        </is>
      </c>
    </row>
    <row r="3">
      <c r="A3" s="1" t="n">
        <v>1001</v>
      </c>
      <c r="B3" s="1">
        <f>A3</f>
        <v/>
      </c>
      <c r="C3" s="1" t="inlineStr">
        <is>
          <t>vA3o88</t>
        </is>
      </c>
      <c r="D3" s="1" t="inlineStr">
        <is>
          <t>字串</t>
        </is>
      </c>
      <c r="E3" s="1" t="n">
        <v>150</v>
      </c>
      <c r="F3" s="1" t="n">
        <v>0</v>
      </c>
      <c r="G3" s="1" t="inlineStr">
        <is>
          <t>vA3</t>
        </is>
      </c>
      <c r="H3" s="1" t="inlineStr">
        <is>
          <t>vA3</t>
        </is>
      </c>
      <c r="I3" s="1" t="inlineStr">
        <is>
          <t>88</t>
        </is>
      </c>
      <c r="J3" s="1" t="inlineStr">
        <is>
          <t>vA3</t>
        </is>
      </c>
      <c r="K3" s="1" t="inlineStr">
        <is>
          <t>88</t>
        </is>
      </c>
      <c r="L3" s="1" t="inlineStr">
        <is>
          <t>2</t>
        </is>
      </c>
    </row>
    <row r="4">
      <c r="A4" s="1" t="n">
        <v>1002</v>
      </c>
      <c r="B4" s="1">
        <f>A4</f>
        <v/>
      </c>
      <c r="C4" s="1" t="inlineStr">
        <is>
          <t>vA5city_oth</t>
        </is>
      </c>
      <c r="D4" s="1" t="inlineStr">
        <is>
          <t>字串</t>
        </is>
      </c>
      <c r="E4" s="1" t="n">
        <v>150</v>
      </c>
      <c r="F4" s="1" t="n">
        <v>0</v>
      </c>
      <c r="G4" s="1" t="inlineStr">
        <is>
          <t>vA5city</t>
        </is>
      </c>
      <c r="H4" s="1" t="inlineStr">
        <is>
          <t>vA5city</t>
        </is>
      </c>
      <c r="I4" s="1" t="inlineStr">
        <is>
          <t>29</t>
        </is>
      </c>
      <c r="J4" s="1" t="inlineStr">
        <is>
          <t>vA5city</t>
        </is>
      </c>
      <c r="K4" s="1" t="inlineStr">
        <is>
          <t>29</t>
        </is>
      </c>
      <c r="L4" s="1" t="inlineStr">
        <is>
          <t>3</t>
        </is>
      </c>
    </row>
    <row r="5">
      <c r="A5" s="1" t="n">
        <v>1003</v>
      </c>
      <c r="B5" s="1">
        <f>A5</f>
        <v/>
      </c>
      <c r="C5" s="1" t="inlineStr">
        <is>
          <t>vA6o88</t>
        </is>
      </c>
      <c r="D5" s="1" t="inlineStr">
        <is>
          <t>字串</t>
        </is>
      </c>
      <c r="E5" s="1" t="n">
        <v>150</v>
      </c>
      <c r="F5" s="1" t="n">
        <v>0</v>
      </c>
      <c r="G5" s="1" t="inlineStr">
        <is>
          <t>vA6</t>
        </is>
      </c>
      <c r="H5" s="1" t="inlineStr">
        <is>
          <t>vA6</t>
        </is>
      </c>
      <c r="I5" s="1" t="inlineStr">
        <is>
          <t>88</t>
        </is>
      </c>
      <c r="J5" s="1" t="inlineStr">
        <is>
          <t>vA6</t>
        </is>
      </c>
      <c r="K5" s="1" t="inlineStr">
        <is>
          <t>88</t>
        </is>
      </c>
      <c r="L5" s="1" t="inlineStr">
        <is>
          <t>2</t>
        </is>
      </c>
    </row>
    <row r="6">
      <c r="A6" s="1" t="n">
        <v>1004</v>
      </c>
      <c r="B6" s="1">
        <f>A6</f>
        <v/>
      </c>
      <c r="C6" s="1" t="inlineStr">
        <is>
          <t>vA7o88</t>
        </is>
      </c>
      <c r="D6" s="1" t="inlineStr">
        <is>
          <t>字串</t>
        </is>
      </c>
      <c r="E6" s="1" t="n">
        <v>150</v>
      </c>
      <c r="F6" s="1" t="n">
        <v>0</v>
      </c>
      <c r="G6" s="1" t="inlineStr">
        <is>
          <t>vA7</t>
        </is>
      </c>
      <c r="H6" s="1" t="inlineStr">
        <is>
          <t>vA7</t>
        </is>
      </c>
      <c r="I6" s="1" t="inlineStr">
        <is>
          <t>88</t>
        </is>
      </c>
      <c r="J6" s="1" t="inlineStr">
        <is>
          <t>vA7</t>
        </is>
      </c>
      <c r="K6" s="1" t="inlineStr">
        <is>
          <t>88</t>
        </is>
      </c>
      <c r="L6" s="1" t="inlineStr">
        <is>
          <t>2</t>
        </is>
      </c>
    </row>
    <row r="7">
      <c r="A7" s="1" t="n">
        <v>1005</v>
      </c>
      <c r="B7" s="1">
        <f>A7</f>
        <v/>
      </c>
      <c r="C7" s="1" t="inlineStr">
        <is>
          <t>vA8o88</t>
        </is>
      </c>
      <c r="D7" s="1" t="inlineStr">
        <is>
          <t>字串</t>
        </is>
      </c>
      <c r="E7" s="1" t="n">
        <v>150</v>
      </c>
      <c r="F7" s="1" t="n">
        <v>0</v>
      </c>
      <c r="G7" s="1" t="inlineStr">
        <is>
          <t>vA8</t>
        </is>
      </c>
      <c r="H7" s="1" t="inlineStr">
        <is>
          <t>vA8</t>
        </is>
      </c>
      <c r="I7" s="1" t="inlineStr">
        <is>
          <t>88</t>
        </is>
      </c>
      <c r="J7" s="1" t="inlineStr">
        <is>
          <t>vA8</t>
        </is>
      </c>
      <c r="K7" s="1" t="inlineStr">
        <is>
          <t>88</t>
        </is>
      </c>
      <c r="L7" s="1" t="inlineStr">
        <is>
          <t>2</t>
        </is>
      </c>
    </row>
    <row r="8">
      <c r="A8" s="1" t="n">
        <v>1006</v>
      </c>
      <c r="B8" s="1">
        <f>A8</f>
        <v/>
      </c>
      <c r="C8" s="1" t="inlineStr">
        <is>
          <t>vA9o88</t>
        </is>
      </c>
      <c r="D8" s="1" t="inlineStr">
        <is>
          <t>字串</t>
        </is>
      </c>
      <c r="E8" s="1" t="n">
        <v>150</v>
      </c>
      <c r="F8" s="1" t="n">
        <v>0</v>
      </c>
      <c r="G8" s="1" t="inlineStr">
        <is>
          <t>vA9</t>
        </is>
      </c>
      <c r="H8" s="1" t="inlineStr">
        <is>
          <t>vA9</t>
        </is>
      </c>
      <c r="I8" s="1" t="inlineStr">
        <is>
          <t>88</t>
        </is>
      </c>
      <c r="J8" s="1" t="inlineStr">
        <is>
          <t>vA9</t>
        </is>
      </c>
      <c r="K8" s="1" t="inlineStr">
        <is>
          <t>88</t>
        </is>
      </c>
      <c r="L8" s="1" t="inlineStr">
        <is>
          <t>2</t>
        </is>
      </c>
    </row>
    <row r="9">
      <c r="A9" s="1" t="n">
        <v>1007</v>
      </c>
      <c r="B9" s="1">
        <f>A9</f>
        <v/>
      </c>
      <c r="C9" s="1" t="inlineStr">
        <is>
          <t>vO1_1o88</t>
        </is>
      </c>
      <c r="D9" s="1" t="inlineStr">
        <is>
          <t>字串</t>
        </is>
      </c>
      <c r="E9" s="1" t="n">
        <v>150</v>
      </c>
      <c r="F9" s="1" t="n">
        <v>0</v>
      </c>
      <c r="G9" s="1" t="inlineStr">
        <is>
          <t>vO1_1</t>
        </is>
      </c>
      <c r="H9" s="1" t="inlineStr">
        <is>
          <t>vO1_1</t>
        </is>
      </c>
      <c r="I9" s="1" t="inlineStr">
        <is>
          <t>88</t>
        </is>
      </c>
      <c r="J9" s="1" t="inlineStr">
        <is>
          <t>vO1_1</t>
        </is>
      </c>
      <c r="K9" s="1" t="inlineStr">
        <is>
          <t>88</t>
        </is>
      </c>
      <c r="L9" s="1" t="inlineStr">
        <is>
          <t>2</t>
        </is>
      </c>
    </row>
    <row r="10">
      <c r="A10" s="1" t="n">
        <v>1008</v>
      </c>
      <c r="B10" s="1">
        <f>A10</f>
        <v/>
      </c>
      <c r="C10" s="1" t="inlineStr">
        <is>
          <t>vO1o88</t>
        </is>
      </c>
      <c r="D10" s="1" t="inlineStr">
        <is>
          <t>字串</t>
        </is>
      </c>
      <c r="E10" s="1" t="n">
        <v>150</v>
      </c>
      <c r="F10" s="1" t="n">
        <v>0</v>
      </c>
      <c r="G10" s="1" t="inlineStr">
        <is>
          <t>vO1</t>
        </is>
      </c>
      <c r="H10" s="1" t="inlineStr">
        <is>
          <t>vO1</t>
        </is>
      </c>
      <c r="I10" s="1" t="inlineStr">
        <is>
          <t>88</t>
        </is>
      </c>
      <c r="J10" s="1" t="inlineStr">
        <is>
          <t>vO1</t>
        </is>
      </c>
      <c r="K10" s="1" t="inlineStr">
        <is>
          <t>88</t>
        </is>
      </c>
      <c r="L10" s="1" t="inlineStr">
        <is>
          <t>2</t>
        </is>
      </c>
    </row>
    <row r="11">
      <c r="A11" s="1" t="n">
        <v>1009</v>
      </c>
      <c r="B11" s="1">
        <f>A11</f>
        <v/>
      </c>
      <c r="C11" s="1" t="inlineStr">
        <is>
          <t>vO2o88</t>
        </is>
      </c>
      <c r="D11" s="1" t="inlineStr">
        <is>
          <t>字串</t>
        </is>
      </c>
      <c r="E11" s="1" t="n">
        <v>150</v>
      </c>
      <c r="F11" s="1" t="n">
        <v>0</v>
      </c>
      <c r="G11" s="1" t="inlineStr">
        <is>
          <t>vO2</t>
        </is>
      </c>
      <c r="H11" s="1" t="inlineStr">
        <is>
          <t>vO2</t>
        </is>
      </c>
      <c r="I11" s="1" t="inlineStr">
        <is>
          <t>88</t>
        </is>
      </c>
      <c r="J11" s="1" t="inlineStr">
        <is>
          <t>vO2</t>
        </is>
      </c>
      <c r="K11" s="1" t="inlineStr">
        <is>
          <t>88</t>
        </is>
      </c>
      <c r="L11" s="1" t="inlineStr">
        <is>
          <t>2</t>
        </is>
      </c>
    </row>
    <row r="12">
      <c r="A12" s="1" t="n">
        <v>1010</v>
      </c>
      <c r="B12" s="1">
        <f>A12</f>
        <v/>
      </c>
      <c r="C12" s="1" t="inlineStr">
        <is>
          <t>vO3o88</t>
        </is>
      </c>
      <c r="D12" s="1" t="inlineStr">
        <is>
          <t>字串</t>
        </is>
      </c>
      <c r="E12" s="1" t="n">
        <v>150</v>
      </c>
      <c r="F12" s="1" t="n">
        <v>0</v>
      </c>
      <c r="G12" s="1" t="inlineStr">
        <is>
          <t>vO3</t>
        </is>
      </c>
      <c r="H12" s="1" t="inlineStr">
        <is>
          <t>vO3</t>
        </is>
      </c>
      <c r="I12" s="1" t="inlineStr">
        <is>
          <t>88</t>
        </is>
      </c>
      <c r="J12" s="1" t="inlineStr">
        <is>
          <t>vO3</t>
        </is>
      </c>
      <c r="K12" s="1" t="inlineStr">
        <is>
          <t>88</t>
        </is>
      </c>
      <c r="L12" s="1" t="inlineStr">
        <is>
          <t>2</t>
        </is>
      </c>
    </row>
    <row r="13">
      <c r="A13" s="1" t="n">
        <v>1011</v>
      </c>
      <c r="B13" s="1">
        <f>A13</f>
        <v/>
      </c>
      <c r="C13" s="1" t="inlineStr">
        <is>
          <t>vK1o88</t>
        </is>
      </c>
      <c r="D13" s="1" t="inlineStr">
        <is>
          <t>字串</t>
        </is>
      </c>
      <c r="E13" s="1" t="n">
        <v>150</v>
      </c>
      <c r="F13" s="1" t="n">
        <v>1</v>
      </c>
      <c r="G13" s="1" t="inlineStr">
        <is>
          <t>vK1</t>
        </is>
      </c>
      <c r="H13" s="1" t="inlineStr">
        <is>
          <t>vK1m88</t>
        </is>
      </c>
      <c r="I13" s="1" t="inlineStr">
        <is>
          <t>88</t>
        </is>
      </c>
      <c r="J13" s="1" t="inlineStr">
        <is>
          <t>vK1m88</t>
        </is>
      </c>
      <c r="K13" s="1" t="inlineStr">
        <is>
          <t>1</t>
        </is>
      </c>
      <c r="L13" s="1" t="inlineStr">
        <is>
          <t>2</t>
        </is>
      </c>
    </row>
    <row r="14">
      <c r="A14" s="1" t="n">
        <v>1012</v>
      </c>
      <c r="B14" s="1">
        <f>A14</f>
        <v/>
      </c>
      <c r="C14" s="1" t="inlineStr">
        <is>
          <t>vK2o88</t>
        </is>
      </c>
      <c r="D14" s="1" t="inlineStr">
        <is>
          <t>字串</t>
        </is>
      </c>
      <c r="E14" s="1" t="n">
        <v>150</v>
      </c>
      <c r="F14" s="1" t="n">
        <v>1</v>
      </c>
      <c r="G14" s="1" t="inlineStr">
        <is>
          <t>vK2</t>
        </is>
      </c>
      <c r="H14" s="1" t="inlineStr">
        <is>
          <t>vK2m88</t>
        </is>
      </c>
      <c r="I14" s="1" t="inlineStr">
        <is>
          <t>88</t>
        </is>
      </c>
      <c r="J14" s="1" t="inlineStr">
        <is>
          <t>vK2m88</t>
        </is>
      </c>
      <c r="K14" s="1" t="inlineStr">
        <is>
          <t>1</t>
        </is>
      </c>
      <c r="L14" s="1" t="inlineStr">
        <is>
          <t>2</t>
        </is>
      </c>
    </row>
    <row r="15">
      <c r="A15" s="1" t="n">
        <v>1013</v>
      </c>
      <c r="B15" s="1">
        <f>A15</f>
        <v/>
      </c>
      <c r="C15" s="1" t="inlineStr">
        <is>
          <t>vE17o88</t>
        </is>
      </c>
      <c r="D15" s="1" t="inlineStr">
        <is>
          <t>字串</t>
        </is>
      </c>
      <c r="E15" s="1" t="n">
        <v>150</v>
      </c>
      <c r="F15" s="1" t="n">
        <v>0</v>
      </c>
      <c r="G15" s="1" t="inlineStr">
        <is>
          <t>vE17</t>
        </is>
      </c>
      <c r="H15" s="1" t="inlineStr">
        <is>
          <t>vE17</t>
        </is>
      </c>
      <c r="I15" s="1" t="inlineStr">
        <is>
          <t>88</t>
        </is>
      </c>
      <c r="J15" s="1" t="inlineStr">
        <is>
          <t>vE17</t>
        </is>
      </c>
      <c r="K15" s="1" t="inlineStr">
        <is>
          <t>88</t>
        </is>
      </c>
      <c r="L15" s="1" t="inlineStr">
        <is>
          <t>2</t>
        </is>
      </c>
    </row>
    <row r="16">
      <c r="A16" s="1" t="n">
        <v>1014</v>
      </c>
      <c r="B16" s="1">
        <f>A16</f>
        <v/>
      </c>
      <c r="C16" s="1" t="inlineStr">
        <is>
          <t>vKFB3o88</t>
        </is>
      </c>
      <c r="D16" s="1" t="inlineStr">
        <is>
          <t>字串</t>
        </is>
      </c>
      <c r="E16" s="1" t="n">
        <v>150</v>
      </c>
      <c r="F16" s="1" t="n">
        <v>1</v>
      </c>
      <c r="G16" s="1" t="inlineStr">
        <is>
          <t>vKFB3</t>
        </is>
      </c>
      <c r="H16" s="1" t="inlineStr">
        <is>
          <t>vKFB3m88</t>
        </is>
      </c>
      <c r="I16" s="1" t="inlineStr">
        <is>
          <t>88</t>
        </is>
      </c>
      <c r="J16" s="1" t="inlineStr">
        <is>
          <t>vKFB3m88</t>
        </is>
      </c>
      <c r="K16" s="1" t="inlineStr">
        <is>
          <t>1</t>
        </is>
      </c>
      <c r="L16" s="1" t="inlineStr">
        <is>
          <t>2</t>
        </is>
      </c>
    </row>
    <row r="17">
      <c r="A17" s="1" t="n">
        <v>1015</v>
      </c>
      <c r="B17" s="1">
        <f>A17</f>
        <v/>
      </c>
      <c r="C17" s="1" t="inlineStr">
        <is>
          <t>vKFB4o88</t>
        </is>
      </c>
      <c r="D17" s="1" t="inlineStr">
        <is>
          <t>字串</t>
        </is>
      </c>
      <c r="E17" s="1" t="n">
        <v>150</v>
      </c>
      <c r="F17" s="1" t="n">
        <v>1</v>
      </c>
      <c r="G17" s="1" t="inlineStr">
        <is>
          <t>vKFB4</t>
        </is>
      </c>
      <c r="H17" s="1" t="inlineStr">
        <is>
          <t>vKFB4m88</t>
        </is>
      </c>
      <c r="I17" s="1" t="inlineStr">
        <is>
          <t>88</t>
        </is>
      </c>
      <c r="J17" s="1" t="inlineStr">
        <is>
          <t>vKFB4m88</t>
        </is>
      </c>
      <c r="K17" s="1" t="inlineStr">
        <is>
          <t>1</t>
        </is>
      </c>
      <c r="L17" s="1" t="inlineStr">
        <is>
          <t>2</t>
        </is>
      </c>
    </row>
    <row r="18">
      <c r="A18" s="1" t="n">
        <v>1016</v>
      </c>
      <c r="B18" s="1">
        <f>A18</f>
        <v/>
      </c>
      <c r="C18" s="1" t="inlineStr">
        <is>
          <t>vKIG3o88</t>
        </is>
      </c>
      <c r="D18" s="1" t="inlineStr">
        <is>
          <t>字串</t>
        </is>
      </c>
      <c r="E18" s="1" t="n">
        <v>150</v>
      </c>
      <c r="F18" s="1" t="n">
        <v>1</v>
      </c>
      <c r="G18" s="1" t="inlineStr">
        <is>
          <t>vKIG3</t>
        </is>
      </c>
      <c r="H18" s="1" t="inlineStr">
        <is>
          <t>vKIG3m88</t>
        </is>
      </c>
      <c r="I18" s="1" t="inlineStr">
        <is>
          <t>88</t>
        </is>
      </c>
      <c r="J18" s="1" t="inlineStr">
        <is>
          <t>vKIG3m88</t>
        </is>
      </c>
      <c r="K18" s="1" t="inlineStr">
        <is>
          <t>1</t>
        </is>
      </c>
      <c r="L18" s="1" t="inlineStr">
        <is>
          <t>2</t>
        </is>
      </c>
    </row>
    <row r="19">
      <c r="A19" s="1" t="n">
        <v>1017</v>
      </c>
      <c r="B19" s="1">
        <f>A19</f>
        <v/>
      </c>
      <c r="C19" s="1" t="inlineStr">
        <is>
          <t>vKIG4o88</t>
        </is>
      </c>
      <c r="D19" s="1" t="inlineStr">
        <is>
          <t>字串</t>
        </is>
      </c>
      <c r="E19" s="1" t="n">
        <v>150</v>
      </c>
      <c r="F19" s="1" t="n">
        <v>1</v>
      </c>
      <c r="G19" s="1" t="inlineStr">
        <is>
          <t>vKIG4</t>
        </is>
      </c>
      <c r="H19" s="1" t="inlineStr">
        <is>
          <t>vKIG4m88</t>
        </is>
      </c>
      <c r="I19" s="1" t="inlineStr">
        <is>
          <t>88</t>
        </is>
      </c>
      <c r="J19" s="1" t="inlineStr">
        <is>
          <t>vKIG4m88</t>
        </is>
      </c>
      <c r="K19" s="1" t="inlineStr">
        <is>
          <t>1</t>
        </is>
      </c>
      <c r="L19" s="1" t="inlineStr">
        <is>
          <t>2</t>
        </is>
      </c>
    </row>
    <row r="20">
      <c r="A20" s="1" t="n">
        <v>1018</v>
      </c>
      <c r="B20" s="1">
        <f>A20</f>
        <v/>
      </c>
      <c r="C20" s="1" t="inlineStr">
        <is>
          <t>vKTT3o88</t>
        </is>
      </c>
      <c r="D20" s="1" t="inlineStr">
        <is>
          <t>字串</t>
        </is>
      </c>
      <c r="E20" s="1" t="n">
        <v>150</v>
      </c>
      <c r="F20" s="1" t="n">
        <v>1</v>
      </c>
      <c r="G20" s="1" t="inlineStr">
        <is>
          <t>vKTT3</t>
        </is>
      </c>
      <c r="H20" s="1" t="inlineStr">
        <is>
          <t>vKTT3m88</t>
        </is>
      </c>
      <c r="I20" s="1" t="inlineStr">
        <is>
          <t>88</t>
        </is>
      </c>
      <c r="J20" s="1" t="inlineStr">
        <is>
          <t>vKTT3m88</t>
        </is>
      </c>
      <c r="K20" s="1" t="inlineStr">
        <is>
          <t>1</t>
        </is>
      </c>
      <c r="L20" s="1" t="inlineStr">
        <is>
          <t>2</t>
        </is>
      </c>
    </row>
    <row r="21">
      <c r="A21" s="1" t="n">
        <v>1019</v>
      </c>
      <c r="B21" s="1">
        <f>A21</f>
        <v/>
      </c>
      <c r="C21" s="1" t="inlineStr">
        <is>
          <t>vKTT4o88</t>
        </is>
      </c>
      <c r="D21" s="1" t="inlineStr">
        <is>
          <t>字串</t>
        </is>
      </c>
      <c r="E21" s="1" t="n">
        <v>150</v>
      </c>
      <c r="F21" s="1" t="n">
        <v>1</v>
      </c>
      <c r="G21" s="1" t="inlineStr">
        <is>
          <t>vKTT4</t>
        </is>
      </c>
      <c r="H21" s="1" t="inlineStr">
        <is>
          <t>vKTT4m88</t>
        </is>
      </c>
      <c r="I21" s="1" t="inlineStr">
        <is>
          <t>88</t>
        </is>
      </c>
      <c r="J21" s="1" t="inlineStr">
        <is>
          <t>vKTT4m88</t>
        </is>
      </c>
      <c r="K21" s="1" t="inlineStr">
        <is>
          <t>1</t>
        </is>
      </c>
      <c r="L21" s="1" t="inlineStr">
        <is>
          <t>2</t>
        </is>
      </c>
    </row>
    <row r="22">
      <c r="A22" s="1" t="n">
        <v>1020</v>
      </c>
      <c r="B22" s="1">
        <f>A22</f>
        <v/>
      </c>
      <c r="C22" s="1" t="inlineStr">
        <is>
          <t>vKTT5o88</t>
        </is>
      </c>
      <c r="D22" s="1" t="inlineStr">
        <is>
          <t>字串</t>
        </is>
      </c>
      <c r="E22" s="1" t="n">
        <v>150</v>
      </c>
      <c r="F22" s="1" t="n">
        <v>1</v>
      </c>
      <c r="G22" s="1" t="inlineStr">
        <is>
          <t>vKTT5</t>
        </is>
      </c>
      <c r="H22" s="1" t="inlineStr">
        <is>
          <t>vKTT5m88</t>
        </is>
      </c>
      <c r="I22" s="1" t="inlineStr">
        <is>
          <t>88</t>
        </is>
      </c>
      <c r="J22" s="1" t="inlineStr">
        <is>
          <t>vKTT5m88</t>
        </is>
      </c>
      <c r="K22" s="1" t="inlineStr">
        <is>
          <t>1</t>
        </is>
      </c>
      <c r="L22" s="1" t="inlineStr">
        <is>
          <t>2</t>
        </is>
      </c>
    </row>
    <row r="23">
      <c r="A23" s="1" t="n">
        <v>1021</v>
      </c>
      <c r="B23" s="1">
        <f>A23</f>
        <v/>
      </c>
      <c r="C23" s="1" t="inlineStr">
        <is>
          <t>vK3o88</t>
        </is>
      </c>
      <c r="D23" s="1" t="inlineStr">
        <is>
          <t>字串</t>
        </is>
      </c>
      <c r="E23" s="1" t="n">
        <v>150</v>
      </c>
      <c r="F23" s="1" t="n">
        <v>1</v>
      </c>
      <c r="G23" s="1" t="inlineStr">
        <is>
          <t>vK3</t>
        </is>
      </c>
      <c r="H23" s="1" t="inlineStr">
        <is>
          <t>vK3m88</t>
        </is>
      </c>
      <c r="I23" s="1" t="inlineStr">
        <is>
          <t>88</t>
        </is>
      </c>
      <c r="J23" s="1" t="inlineStr">
        <is>
          <t>vK3m88</t>
        </is>
      </c>
      <c r="K23" s="1" t="inlineStr">
        <is>
          <t>1</t>
        </is>
      </c>
      <c r="L23" s="1" t="inlineStr">
        <is>
          <t>2</t>
        </is>
      </c>
    </row>
    <row r="24">
      <c r="A24" s="1" t="n">
        <v>1022</v>
      </c>
      <c r="B24" s="1">
        <f>A24</f>
        <v/>
      </c>
      <c r="C24" s="1" t="inlineStr">
        <is>
          <t>vE18o88</t>
        </is>
      </c>
      <c r="D24" s="1" t="inlineStr">
        <is>
          <t>字串</t>
        </is>
      </c>
      <c r="E24" s="1" t="n">
        <v>150</v>
      </c>
      <c r="F24" s="1" t="n">
        <v>0</v>
      </c>
      <c r="G24" s="1" t="inlineStr">
        <is>
          <t>vE18</t>
        </is>
      </c>
      <c r="H24" s="1" t="inlineStr">
        <is>
          <t>vE18</t>
        </is>
      </c>
      <c r="I24" s="1" t="inlineStr">
        <is>
          <t>88</t>
        </is>
      </c>
      <c r="J24" s="1" t="inlineStr">
        <is>
          <t>vE18</t>
        </is>
      </c>
      <c r="K24" s="1" t="inlineStr">
        <is>
          <t>88</t>
        </is>
      </c>
      <c r="L24" s="1" t="inlineStr">
        <is>
          <t>2</t>
        </is>
      </c>
    </row>
    <row r="25">
      <c r="A25" s="1" t="n">
        <v>1023</v>
      </c>
      <c r="B25" s="1">
        <f>A25</f>
        <v/>
      </c>
      <c r="C25" s="1" t="inlineStr">
        <is>
          <t>vE2o88</t>
        </is>
      </c>
      <c r="D25" s="1" t="inlineStr">
        <is>
          <t>字串</t>
        </is>
      </c>
      <c r="E25" s="1" t="n">
        <v>150</v>
      </c>
      <c r="F25" s="1" t="n">
        <v>1</v>
      </c>
      <c r="G25" s="1" t="inlineStr">
        <is>
          <t>vE2</t>
        </is>
      </c>
      <c r="H25" s="1" t="inlineStr">
        <is>
          <t>vE2m88</t>
        </is>
      </c>
      <c r="I25" s="1" t="inlineStr">
        <is>
          <t>88</t>
        </is>
      </c>
      <c r="J25" s="1" t="inlineStr">
        <is>
          <t>vE2m88</t>
        </is>
      </c>
      <c r="K25" s="1" t="inlineStr">
        <is>
          <t>1</t>
        </is>
      </c>
      <c r="L25" s="1" t="inlineStr">
        <is>
          <t>2</t>
        </is>
      </c>
    </row>
    <row r="26">
      <c r="A26" s="1" t="n">
        <v>1024</v>
      </c>
      <c r="B26" s="1">
        <f>A26</f>
        <v/>
      </c>
      <c r="C26" s="1" t="inlineStr">
        <is>
          <t>vE3_1</t>
        </is>
      </c>
      <c r="D26" s="1" t="inlineStr">
        <is>
          <t>字串</t>
        </is>
      </c>
      <c r="E26" s="1" t="n">
        <v>6000</v>
      </c>
      <c r="F26" s="1" t="n">
        <v>0</v>
      </c>
      <c r="G26" s="1" t="inlineStr">
        <is>
          <t>vE3_1</t>
        </is>
      </c>
      <c r="H26" s="1">
        <f>IF(ISNUMBER(SEARCH("oth",$C26,1)),MID($C26,1,SEARCH("_",$C26,1)-1),IF(AND($C26&lt;&gt;"vZ0city_oth",$F26=0),VALUE(MID($C26,SEARCH("o",$C26,1)+1,LEN($C26)-SEARCH("o",$C26,1))),CONCAT(MID($C26,1,SEARCH("o",$C26,1)-1),"m",I26)))</f>
        <v/>
      </c>
      <c r="I26" s="1">
        <f>MID($C26,LEN($G26)+2,2)</f>
        <v/>
      </c>
      <c r="J26" s="1" t="inlineStr">
        <is>
          <t>vE3_1</t>
        </is>
      </c>
      <c r="K26" s="1">
        <f>IF(F26=0,H26,1)</f>
        <v/>
      </c>
      <c r="L26" s="1">
        <f>IF(LEN(K26)=1,LEN(K26)+1,LEN(K26))</f>
        <v/>
      </c>
    </row>
    <row r="27">
      <c r="A27" s="1" t="n">
        <v>1025</v>
      </c>
      <c r="B27" s="1">
        <f>A27</f>
        <v/>
      </c>
      <c r="C27" s="1" t="inlineStr">
        <is>
          <t>vE13o88</t>
        </is>
      </c>
      <c r="D27" s="1" t="inlineStr">
        <is>
          <t>字串</t>
        </is>
      </c>
      <c r="E27" s="1" t="n">
        <v>150</v>
      </c>
      <c r="F27" s="1" t="n">
        <v>1</v>
      </c>
      <c r="G27" s="1" t="inlineStr">
        <is>
          <t>vE13</t>
        </is>
      </c>
      <c r="H27" s="1" t="inlineStr">
        <is>
          <t>vE13m88</t>
        </is>
      </c>
      <c r="I27" s="1" t="inlineStr">
        <is>
          <t>88</t>
        </is>
      </c>
      <c r="J27" s="1" t="inlineStr">
        <is>
          <t>vE13m88</t>
        </is>
      </c>
      <c r="K27" s="1" t="inlineStr">
        <is>
          <t>1</t>
        </is>
      </c>
      <c r="L27" s="1" t="inlineStr">
        <is>
          <t>2</t>
        </is>
      </c>
    </row>
    <row r="28">
      <c r="A28" s="1" t="n">
        <v>1026</v>
      </c>
      <c r="B28" s="1">
        <f>A28</f>
        <v/>
      </c>
      <c r="C28" s="1" t="inlineStr">
        <is>
          <t>vG7o88</t>
        </is>
      </c>
      <c r="D28" s="1" t="inlineStr">
        <is>
          <t>字串</t>
        </is>
      </c>
      <c r="E28" s="1" t="n">
        <v>150</v>
      </c>
      <c r="F28" s="1" t="n">
        <v>1</v>
      </c>
      <c r="G28" s="1" t="inlineStr">
        <is>
          <t>vG7</t>
        </is>
      </c>
      <c r="H28" s="1" t="inlineStr">
        <is>
          <t>vG7m88</t>
        </is>
      </c>
      <c r="I28" s="1" t="inlineStr">
        <is>
          <t>88</t>
        </is>
      </c>
      <c r="J28" s="1" t="inlineStr">
        <is>
          <t>vG7m88</t>
        </is>
      </c>
      <c r="K28" s="1" t="inlineStr">
        <is>
          <t>1</t>
        </is>
      </c>
      <c r="L28" s="1" t="inlineStr">
        <is>
          <t>2</t>
        </is>
      </c>
    </row>
    <row r="29">
      <c r="A29" s="1" t="n">
        <v>1027</v>
      </c>
      <c r="B29" s="1">
        <f>A29</f>
        <v/>
      </c>
      <c r="C29" s="1" t="inlineStr">
        <is>
          <t>vG8o88</t>
        </is>
      </c>
      <c r="D29" s="1" t="inlineStr">
        <is>
          <t>字串</t>
        </is>
      </c>
      <c r="E29" s="1" t="n">
        <v>150</v>
      </c>
      <c r="F29" s="1" t="n">
        <v>1</v>
      </c>
      <c r="G29" s="1" t="inlineStr">
        <is>
          <t>vG8</t>
        </is>
      </c>
      <c r="H29" s="1" t="inlineStr">
        <is>
          <t>vG8m88</t>
        </is>
      </c>
      <c r="I29" s="1" t="inlineStr">
        <is>
          <t>88</t>
        </is>
      </c>
      <c r="J29" s="1" t="inlineStr">
        <is>
          <t>vG8m88</t>
        </is>
      </c>
      <c r="K29" s="1" t="inlineStr">
        <is>
          <t>1</t>
        </is>
      </c>
      <c r="L29" s="1" t="inlineStr">
        <is>
          <t>2</t>
        </is>
      </c>
    </row>
    <row r="30">
      <c r="A30" s="1" t="n">
        <v>1028</v>
      </c>
      <c r="B30" s="1">
        <f>A30</f>
        <v/>
      </c>
      <c r="C30" s="1" t="inlineStr">
        <is>
          <t>vG9o88</t>
        </is>
      </c>
      <c r="D30" s="1" t="inlineStr">
        <is>
          <t>字串</t>
        </is>
      </c>
      <c r="E30" s="1" t="n">
        <v>150</v>
      </c>
      <c r="F30" s="1" t="n">
        <v>1</v>
      </c>
      <c r="G30" s="1" t="inlineStr">
        <is>
          <t>vG9</t>
        </is>
      </c>
      <c r="H30" s="1" t="inlineStr">
        <is>
          <t>vG9m88</t>
        </is>
      </c>
      <c r="I30" s="1" t="inlineStr">
        <is>
          <t>88</t>
        </is>
      </c>
      <c r="J30" s="1" t="inlineStr">
        <is>
          <t>vG9m88</t>
        </is>
      </c>
      <c r="K30" s="1" t="inlineStr">
        <is>
          <t>1</t>
        </is>
      </c>
      <c r="L30" s="1" t="inlineStr">
        <is>
          <t>2</t>
        </is>
      </c>
    </row>
    <row r="31">
      <c r="A31" s="1" t="n">
        <v>1029</v>
      </c>
      <c r="B31" s="1">
        <f>A31</f>
        <v/>
      </c>
      <c r="C31" s="1" t="inlineStr">
        <is>
          <t>vG10o88</t>
        </is>
      </c>
      <c r="D31" s="1" t="inlineStr">
        <is>
          <t>字串</t>
        </is>
      </c>
      <c r="E31" s="1" t="n">
        <v>150</v>
      </c>
      <c r="F31" s="1" t="n">
        <v>1</v>
      </c>
      <c r="G31" s="1" t="inlineStr">
        <is>
          <t>vG10</t>
        </is>
      </c>
      <c r="H31" s="1" t="inlineStr">
        <is>
          <t>vG10m88</t>
        </is>
      </c>
      <c r="I31" s="1" t="inlineStr">
        <is>
          <t>88</t>
        </is>
      </c>
      <c r="J31" s="1" t="inlineStr">
        <is>
          <t>vG10m88</t>
        </is>
      </c>
      <c r="K31" s="1" t="inlineStr">
        <is>
          <t>1</t>
        </is>
      </c>
      <c r="L31" s="1" t="inlineStr">
        <is>
          <t>2</t>
        </is>
      </c>
    </row>
    <row r="32">
      <c r="A32" s="1" t="n">
        <v>1030</v>
      </c>
      <c r="B32" s="1">
        <f>A32</f>
        <v/>
      </c>
      <c r="C32" s="1" t="inlineStr">
        <is>
          <t>vG11o88</t>
        </is>
      </c>
      <c r="D32" s="1" t="inlineStr">
        <is>
          <t>字串</t>
        </is>
      </c>
      <c r="E32" s="1" t="n">
        <v>150</v>
      </c>
      <c r="F32" s="1" t="n">
        <v>1</v>
      </c>
      <c r="G32" s="1" t="inlineStr">
        <is>
          <t>vG11</t>
        </is>
      </c>
      <c r="H32" s="1" t="inlineStr">
        <is>
          <t>vG11m88</t>
        </is>
      </c>
      <c r="I32" s="1" t="inlineStr">
        <is>
          <t>88</t>
        </is>
      </c>
      <c r="J32" s="1" t="inlineStr">
        <is>
          <t>vG11m88</t>
        </is>
      </c>
      <c r="K32" s="1" t="inlineStr">
        <is>
          <t>1</t>
        </is>
      </c>
      <c r="L32" s="1" t="inlineStr">
        <is>
          <t>2</t>
        </is>
      </c>
    </row>
    <row r="33">
      <c r="A33" s="1" t="n">
        <v>1031</v>
      </c>
      <c r="B33" s="1">
        <f>A33</f>
        <v/>
      </c>
      <c r="C33" s="1" t="inlineStr">
        <is>
          <t>vB7ao88</t>
        </is>
      </c>
      <c r="D33" s="1" t="inlineStr">
        <is>
          <t>字串</t>
        </is>
      </c>
      <c r="E33" s="1" t="n">
        <v>150</v>
      </c>
      <c r="F33" s="1" t="n">
        <v>1</v>
      </c>
      <c r="G33" s="1" t="inlineStr">
        <is>
          <t>vB7a</t>
        </is>
      </c>
      <c r="H33" s="1" t="inlineStr">
        <is>
          <t>vB7am88</t>
        </is>
      </c>
      <c r="I33" s="1" t="inlineStr">
        <is>
          <t>88</t>
        </is>
      </c>
      <c r="J33" s="1" t="inlineStr">
        <is>
          <t>vB7am88</t>
        </is>
      </c>
      <c r="K33" s="1" t="inlineStr">
        <is>
          <t>1</t>
        </is>
      </c>
      <c r="L33" s="1" t="inlineStr">
        <is>
          <t>2</t>
        </is>
      </c>
    </row>
    <row r="34">
      <c r="A34" s="1" t="n">
        <v>1032</v>
      </c>
      <c r="B34" s="1">
        <f>A34</f>
        <v/>
      </c>
      <c r="C34" s="1" t="inlineStr">
        <is>
          <t>vB7o88</t>
        </is>
      </c>
      <c r="D34" s="1" t="inlineStr">
        <is>
          <t>字串</t>
        </is>
      </c>
      <c r="E34" s="1" t="n">
        <v>150</v>
      </c>
      <c r="F34" s="1" t="n">
        <v>0</v>
      </c>
      <c r="G34" s="1" t="inlineStr">
        <is>
          <t>vB7</t>
        </is>
      </c>
      <c r="H34" s="1" t="inlineStr">
        <is>
          <t>vB7</t>
        </is>
      </c>
      <c r="I34" s="1" t="inlineStr">
        <is>
          <t>88</t>
        </is>
      </c>
      <c r="J34" s="1" t="inlineStr">
        <is>
          <t>vB7</t>
        </is>
      </c>
      <c r="K34" s="1" t="inlineStr">
        <is>
          <t>88</t>
        </is>
      </c>
      <c r="L34" s="1" t="inlineStr">
        <is>
          <t>2</t>
        </is>
      </c>
    </row>
    <row r="35">
      <c r="A35" s="1" t="n">
        <v>1033</v>
      </c>
      <c r="B35" s="1">
        <f>A35</f>
        <v/>
      </c>
      <c r="C35" s="1" t="inlineStr">
        <is>
          <t>vB8o88</t>
        </is>
      </c>
      <c r="D35" s="1" t="inlineStr">
        <is>
          <t>字串</t>
        </is>
      </c>
      <c r="E35" s="1" t="n">
        <v>150</v>
      </c>
      <c r="F35" s="1" t="n">
        <v>1</v>
      </c>
      <c r="G35" s="1" t="inlineStr">
        <is>
          <t>vB8</t>
        </is>
      </c>
      <c r="H35" s="1" t="inlineStr">
        <is>
          <t>vB8m88</t>
        </is>
      </c>
      <c r="I35" s="1" t="inlineStr">
        <is>
          <t>88</t>
        </is>
      </c>
      <c r="J35" s="1" t="inlineStr">
        <is>
          <t>vB8m88</t>
        </is>
      </c>
      <c r="K35" s="1" t="inlineStr">
        <is>
          <t>1</t>
        </is>
      </c>
      <c r="L35" s="1" t="inlineStr">
        <is>
          <t>2</t>
        </is>
      </c>
    </row>
    <row r="36">
      <c r="A36" s="1" t="n">
        <v>1034</v>
      </c>
      <c r="B36" s="1">
        <f>A36</f>
        <v/>
      </c>
      <c r="C36" s="1" t="inlineStr">
        <is>
          <t>vG3o88</t>
        </is>
      </c>
      <c r="D36" s="1" t="inlineStr">
        <is>
          <t>字串</t>
        </is>
      </c>
      <c r="E36" s="1" t="n">
        <v>150</v>
      </c>
      <c r="F36" s="1" t="n">
        <v>1</v>
      </c>
      <c r="G36" s="1" t="inlineStr">
        <is>
          <t>vG3</t>
        </is>
      </c>
      <c r="H36" s="1" t="inlineStr">
        <is>
          <t>vG3m88</t>
        </is>
      </c>
      <c r="I36" s="1" t="inlineStr">
        <is>
          <t>88</t>
        </is>
      </c>
      <c r="J36" s="1" t="inlineStr">
        <is>
          <t>vG3m88</t>
        </is>
      </c>
      <c r="K36" s="1" t="inlineStr">
        <is>
          <t>1</t>
        </is>
      </c>
      <c r="L36" s="1" t="inlineStr">
        <is>
          <t>2</t>
        </is>
      </c>
    </row>
    <row r="37">
      <c r="A37" s="1" t="n">
        <v>1035</v>
      </c>
      <c r="B37" s="1">
        <f>A37</f>
        <v/>
      </c>
      <c r="C37" s="1" t="inlineStr">
        <is>
          <t>vF5o88</t>
        </is>
      </c>
      <c r="D37" s="1" t="inlineStr">
        <is>
          <t>字串</t>
        </is>
      </c>
      <c r="E37" s="1" t="n">
        <v>150</v>
      </c>
      <c r="F37" s="1" t="n">
        <v>1</v>
      </c>
      <c r="G37" s="1" t="inlineStr">
        <is>
          <t>vF5</t>
        </is>
      </c>
      <c r="H37" s="1" t="inlineStr">
        <is>
          <t>vF5m88</t>
        </is>
      </c>
      <c r="I37" s="1" t="inlineStr">
        <is>
          <t>88</t>
        </is>
      </c>
      <c r="J37" s="1" t="inlineStr">
        <is>
          <t>vF5m88</t>
        </is>
      </c>
      <c r="K37" s="1" t="inlineStr">
        <is>
          <t>1</t>
        </is>
      </c>
      <c r="L37" s="1" t="inlineStr">
        <is>
          <t>2</t>
        </is>
      </c>
    </row>
    <row r="38">
      <c r="A38" s="1" t="n">
        <v>1036</v>
      </c>
      <c r="B38" s="1">
        <f>A38</f>
        <v/>
      </c>
      <c r="C38" s="1" t="inlineStr">
        <is>
          <t>vC3o88</t>
        </is>
      </c>
      <c r="D38" s="1" t="inlineStr">
        <is>
          <t>字串</t>
        </is>
      </c>
      <c r="E38" s="1" t="n">
        <v>150</v>
      </c>
      <c r="F38" s="1" t="n">
        <v>1</v>
      </c>
      <c r="G38" s="1" t="inlineStr">
        <is>
          <t>vC3</t>
        </is>
      </c>
      <c r="H38" s="1" t="inlineStr">
        <is>
          <t>vC3m88</t>
        </is>
      </c>
      <c r="I38" s="1" t="inlineStr">
        <is>
          <t>88</t>
        </is>
      </c>
      <c r="J38" s="1" t="inlineStr">
        <is>
          <t>vC3m88</t>
        </is>
      </c>
      <c r="K38" s="1" t="inlineStr">
        <is>
          <t>1</t>
        </is>
      </c>
      <c r="L38" s="1" t="inlineStr">
        <is>
          <t>2</t>
        </is>
      </c>
    </row>
    <row r="39">
      <c r="A39" s="1" t="n">
        <v>1037</v>
      </c>
      <c r="B39" s="1">
        <f>A39</f>
        <v/>
      </c>
      <c r="C39" s="1" t="inlineStr">
        <is>
          <t>vJB1o88</t>
        </is>
      </c>
      <c r="D39" s="1" t="inlineStr">
        <is>
          <t>字串</t>
        </is>
      </c>
      <c r="E39" s="1" t="n">
        <v>150</v>
      </c>
      <c r="F39" s="1" t="n">
        <v>1</v>
      </c>
      <c r="G39" s="1" t="inlineStr">
        <is>
          <t>vJB1</t>
        </is>
      </c>
      <c r="H39" s="1" t="inlineStr">
        <is>
          <t>vJB1m88</t>
        </is>
      </c>
      <c r="I39" s="1" t="inlineStr">
        <is>
          <t>88</t>
        </is>
      </c>
      <c r="J39" s="1" t="inlineStr">
        <is>
          <t>vJB1m88</t>
        </is>
      </c>
      <c r="K39" s="1" t="inlineStr">
        <is>
          <t>1</t>
        </is>
      </c>
      <c r="L39" s="1" t="inlineStr">
        <is>
          <t>2</t>
        </is>
      </c>
    </row>
    <row r="40">
      <c r="A40" s="1" t="n">
        <v>1038</v>
      </c>
      <c r="B40" s="1">
        <f>A40</f>
        <v/>
      </c>
      <c r="C40" s="1" t="inlineStr">
        <is>
          <t>vJB2o88</t>
        </is>
      </c>
      <c r="D40" s="1" t="inlineStr">
        <is>
          <t>字串</t>
        </is>
      </c>
      <c r="E40" s="1" t="n">
        <v>150</v>
      </c>
      <c r="F40" s="1" t="n">
        <v>1</v>
      </c>
      <c r="G40" s="1" t="inlineStr">
        <is>
          <t>vJB2</t>
        </is>
      </c>
      <c r="H40" s="1" t="inlineStr">
        <is>
          <t>vJB2m88</t>
        </is>
      </c>
      <c r="I40" s="1" t="inlineStr">
        <is>
          <t>88</t>
        </is>
      </c>
      <c r="J40" s="1" t="inlineStr">
        <is>
          <t>vJB2m88</t>
        </is>
      </c>
      <c r="K40" s="1" t="inlineStr">
        <is>
          <t>1</t>
        </is>
      </c>
      <c r="L40" s="1" t="inlineStr">
        <is>
          <t>2</t>
        </is>
      </c>
    </row>
    <row r="41">
      <c r="A41" s="1" t="n">
        <v>1039</v>
      </c>
      <c r="B41" s="1">
        <f>A41</f>
        <v/>
      </c>
      <c r="C41" s="1" t="inlineStr">
        <is>
          <t>vM2o88</t>
        </is>
      </c>
      <c r="D41" s="1" t="inlineStr">
        <is>
          <t>字串</t>
        </is>
      </c>
      <c r="E41" s="1" t="n">
        <v>150</v>
      </c>
      <c r="F41" s="1" t="n">
        <v>1</v>
      </c>
      <c r="G41" s="1" t="inlineStr">
        <is>
          <t>vM2</t>
        </is>
      </c>
      <c r="H41" s="1" t="inlineStr">
        <is>
          <t>vM2m88</t>
        </is>
      </c>
      <c r="I41" s="1" t="inlineStr">
        <is>
          <t>88</t>
        </is>
      </c>
      <c r="J41" s="1" t="inlineStr">
        <is>
          <t>vM2m88</t>
        </is>
      </c>
      <c r="K41" s="1" t="inlineStr">
        <is>
          <t>1</t>
        </is>
      </c>
      <c r="L41" s="1" t="inlineStr">
        <is>
          <t>2</t>
        </is>
      </c>
    </row>
    <row r="42">
      <c r="A42" s="1" t="n">
        <v>1040</v>
      </c>
      <c r="B42" s="1">
        <f>A42</f>
        <v/>
      </c>
      <c r="C42" s="1" t="inlineStr">
        <is>
          <t>vM3o88</t>
        </is>
      </c>
      <c r="D42" s="1" t="inlineStr">
        <is>
          <t>字串</t>
        </is>
      </c>
      <c r="E42" s="1" t="n">
        <v>150</v>
      </c>
      <c r="F42" s="1" t="n">
        <v>1</v>
      </c>
      <c r="G42" s="1" t="inlineStr">
        <is>
          <t>vM3</t>
        </is>
      </c>
      <c r="H42" s="1" t="inlineStr">
        <is>
          <t>vM3m88</t>
        </is>
      </c>
      <c r="I42" s="1" t="inlineStr">
        <is>
          <t>88</t>
        </is>
      </c>
      <c r="J42" s="1" t="inlineStr">
        <is>
          <t>vM3m88</t>
        </is>
      </c>
      <c r="K42" s="1" t="inlineStr">
        <is>
          <t>1</t>
        </is>
      </c>
      <c r="L42" s="1" t="inlineStr">
        <is>
          <t>2</t>
        </is>
      </c>
    </row>
    <row r="43">
      <c r="A43" s="1" t="n">
        <v>1041</v>
      </c>
      <c r="B43" s="1">
        <f>A43</f>
        <v/>
      </c>
      <c r="C43" s="1" t="inlineStr">
        <is>
          <t>vQ20o88</t>
        </is>
      </c>
      <c r="D43" s="1" t="inlineStr">
        <is>
          <t>字串</t>
        </is>
      </c>
      <c r="E43" s="1" t="n">
        <v>150</v>
      </c>
      <c r="F43" s="1" t="n">
        <v>1</v>
      </c>
      <c r="G43" s="1" t="inlineStr">
        <is>
          <t>vQ20</t>
        </is>
      </c>
      <c r="H43" s="1" t="inlineStr">
        <is>
          <t>vQ20m88</t>
        </is>
      </c>
      <c r="I43" s="1" t="inlineStr">
        <is>
          <t>88</t>
        </is>
      </c>
      <c r="J43" s="1" t="inlineStr">
        <is>
          <t>vQ20m88</t>
        </is>
      </c>
      <c r="K43" s="1" t="inlineStr">
        <is>
          <t>1</t>
        </is>
      </c>
      <c r="L43" s="1" t="inlineStr">
        <is>
          <t>2</t>
        </is>
      </c>
    </row>
    <row r="44">
      <c r="A44" s="1" t="n">
        <v>1042</v>
      </c>
      <c r="B44" s="1">
        <f>A44</f>
        <v/>
      </c>
      <c r="C44" s="1" t="inlineStr">
        <is>
          <t>vQ25o88</t>
        </is>
      </c>
      <c r="D44" s="1" t="inlineStr">
        <is>
          <t>字串</t>
        </is>
      </c>
      <c r="E44" s="1" t="n">
        <v>150</v>
      </c>
      <c r="F44" s="1" t="n">
        <v>1</v>
      </c>
      <c r="G44" s="1" t="inlineStr">
        <is>
          <t>vQ25</t>
        </is>
      </c>
      <c r="H44" s="1" t="inlineStr">
        <is>
          <t>vQ25m88</t>
        </is>
      </c>
      <c r="I44" s="1" t="inlineStr">
        <is>
          <t>88</t>
        </is>
      </c>
      <c r="J44" s="1" t="inlineStr">
        <is>
          <t>vQ25m88</t>
        </is>
      </c>
      <c r="K44" s="1" t="inlineStr">
        <is>
          <t>1</t>
        </is>
      </c>
      <c r="L44" s="1" t="inlineStr">
        <is>
          <t>2</t>
        </is>
      </c>
    </row>
    <row r="45">
      <c r="A45" s="1" t="n">
        <v>1043</v>
      </c>
      <c r="B45" s="1">
        <f>A45</f>
        <v/>
      </c>
      <c r="C45" s="1" t="inlineStr">
        <is>
          <t>vQ22o88</t>
        </is>
      </c>
      <c r="D45" s="1" t="inlineStr">
        <is>
          <t>字串</t>
        </is>
      </c>
      <c r="E45" s="1" t="n">
        <v>150</v>
      </c>
      <c r="F45" s="1" t="n">
        <v>1</v>
      </c>
      <c r="G45" s="1" t="inlineStr">
        <is>
          <t>vQ22</t>
        </is>
      </c>
      <c r="H45" s="1" t="inlineStr">
        <is>
          <t>vQ22m88</t>
        </is>
      </c>
      <c r="I45" s="1" t="inlineStr">
        <is>
          <t>88</t>
        </is>
      </c>
      <c r="J45" s="1" t="inlineStr">
        <is>
          <t>vQ22m88</t>
        </is>
      </c>
      <c r="K45" s="1" t="inlineStr">
        <is>
          <t>1</t>
        </is>
      </c>
      <c r="L45" s="1" t="inlineStr">
        <is>
          <t>2</t>
        </is>
      </c>
    </row>
    <row r="46">
      <c r="A46" s="1" t="n">
        <v>1044</v>
      </c>
      <c r="B46" s="1">
        <f>A46</f>
        <v/>
      </c>
      <c r="C46" s="1" t="inlineStr">
        <is>
          <t>vQ23o88</t>
        </is>
      </c>
      <c r="D46" s="1" t="inlineStr">
        <is>
          <t>字串</t>
        </is>
      </c>
      <c r="E46" s="1" t="n">
        <v>150</v>
      </c>
      <c r="F46" s="1" t="n">
        <v>1</v>
      </c>
      <c r="G46" s="1" t="inlineStr">
        <is>
          <t>vQ23</t>
        </is>
      </c>
      <c r="H46" s="1" t="inlineStr">
        <is>
          <t>vQ23m88</t>
        </is>
      </c>
      <c r="I46" s="1" t="inlineStr">
        <is>
          <t>88</t>
        </is>
      </c>
      <c r="J46" s="1" t="inlineStr">
        <is>
          <t>vQ23m88</t>
        </is>
      </c>
      <c r="K46" s="1" t="inlineStr">
        <is>
          <t>1</t>
        </is>
      </c>
      <c r="L46" s="1" t="inlineStr">
        <is>
          <t>2</t>
        </is>
      </c>
    </row>
    <row r="47">
      <c r="A47" s="1" t="n">
        <v>1045</v>
      </c>
      <c r="B47" s="1">
        <f>A47</f>
        <v/>
      </c>
      <c r="C47" s="1" t="inlineStr">
        <is>
          <t>vQ26o88</t>
        </is>
      </c>
      <c r="D47" s="1" t="inlineStr">
        <is>
          <t>字串</t>
        </is>
      </c>
      <c r="E47" s="1" t="n">
        <v>150</v>
      </c>
      <c r="F47" s="1" t="n">
        <v>1</v>
      </c>
      <c r="G47" s="1" t="inlineStr">
        <is>
          <t>vQ26</t>
        </is>
      </c>
      <c r="H47" s="1" t="inlineStr">
        <is>
          <t>vQ26m88</t>
        </is>
      </c>
      <c r="I47" s="1" t="inlineStr">
        <is>
          <t>88</t>
        </is>
      </c>
      <c r="J47" s="1" t="inlineStr">
        <is>
          <t>vQ26m88</t>
        </is>
      </c>
      <c r="K47" s="1" t="inlineStr">
        <is>
          <t>1</t>
        </is>
      </c>
      <c r="L47" s="1" t="inlineStr">
        <is>
          <t>2</t>
        </is>
      </c>
    </row>
    <row r="48">
      <c r="A48" s="1" t="n">
        <v>1046</v>
      </c>
      <c r="B48" s="1">
        <f>A48</f>
        <v/>
      </c>
      <c r="C48" s="1" t="inlineStr">
        <is>
          <t>vQ27o88</t>
        </is>
      </c>
      <c r="D48" s="1" t="inlineStr">
        <is>
          <t>字串</t>
        </is>
      </c>
      <c r="E48" s="1" t="n">
        <v>150</v>
      </c>
      <c r="F48" s="1" t="n">
        <v>1</v>
      </c>
      <c r="G48" s="1" t="inlineStr">
        <is>
          <t>vQ27</t>
        </is>
      </c>
      <c r="H48" s="1" t="inlineStr">
        <is>
          <t>vQ27m88</t>
        </is>
      </c>
      <c r="I48" s="1" t="inlineStr">
        <is>
          <t>88</t>
        </is>
      </c>
      <c r="J48" s="1" t="inlineStr">
        <is>
          <t>vQ27m88</t>
        </is>
      </c>
      <c r="K48" s="1" t="inlineStr">
        <is>
          <t>1</t>
        </is>
      </c>
      <c r="L48" s="1" t="inlineStr">
        <is>
          <t>2</t>
        </is>
      </c>
    </row>
    <row r="49">
      <c r="A49" s="1" t="n">
        <v>1047</v>
      </c>
      <c r="B49" s="1">
        <f>A49</f>
        <v/>
      </c>
      <c r="C49" s="1" t="inlineStr">
        <is>
          <t>vQ44o88</t>
        </is>
      </c>
      <c r="D49" s="1" t="inlineStr">
        <is>
          <t>字串</t>
        </is>
      </c>
      <c r="E49" s="1" t="n">
        <v>150</v>
      </c>
      <c r="F49" s="1" t="n">
        <v>0</v>
      </c>
      <c r="G49" s="1" t="inlineStr">
        <is>
          <t>vQ44</t>
        </is>
      </c>
      <c r="H49" s="1" t="inlineStr">
        <is>
          <t>vQ44</t>
        </is>
      </c>
      <c r="I49" s="1" t="inlineStr">
        <is>
          <t>88</t>
        </is>
      </c>
      <c r="J49" s="1" t="inlineStr">
        <is>
          <t>vQ44</t>
        </is>
      </c>
      <c r="K49" s="1" t="inlineStr">
        <is>
          <t>88</t>
        </is>
      </c>
      <c r="L49" s="1" t="inlineStr">
        <is>
          <t>2</t>
        </is>
      </c>
    </row>
    <row r="50">
      <c r="A50" s="1" t="n">
        <v>1048</v>
      </c>
      <c r="B50" s="1">
        <f>A50</f>
        <v/>
      </c>
      <c r="C50" s="1" t="inlineStr">
        <is>
          <t>vQ45o88</t>
        </is>
      </c>
      <c r="D50" s="1" t="inlineStr">
        <is>
          <t>字串</t>
        </is>
      </c>
      <c r="E50" s="1" t="n">
        <v>150</v>
      </c>
      <c r="F50" s="1" t="n">
        <v>0</v>
      </c>
      <c r="G50" s="1" t="inlineStr">
        <is>
          <t>vQ45</t>
        </is>
      </c>
      <c r="H50" s="1" t="inlineStr">
        <is>
          <t>vQ45</t>
        </is>
      </c>
      <c r="I50" s="1" t="inlineStr">
        <is>
          <t>88</t>
        </is>
      </c>
      <c r="J50" s="1" t="inlineStr">
        <is>
          <t>vQ45</t>
        </is>
      </c>
      <c r="K50" s="1" t="inlineStr">
        <is>
          <t>88</t>
        </is>
      </c>
      <c r="L50" s="1" t="inlineStr">
        <is>
          <t>2</t>
        </is>
      </c>
    </row>
    <row r="51">
      <c r="A51" s="1" t="n">
        <v>1049</v>
      </c>
      <c r="B51" s="1">
        <f>A51</f>
        <v/>
      </c>
      <c r="C51" s="1" t="inlineStr">
        <is>
          <t>vQ51o88</t>
        </is>
      </c>
      <c r="D51" s="1" t="inlineStr">
        <is>
          <t>字串</t>
        </is>
      </c>
      <c r="E51" s="1" t="n">
        <v>150</v>
      </c>
      <c r="F51" s="1" t="n">
        <v>0</v>
      </c>
      <c r="G51" s="1" t="inlineStr">
        <is>
          <t>vQ51</t>
        </is>
      </c>
      <c r="H51" s="1" t="inlineStr">
        <is>
          <t>vQ51</t>
        </is>
      </c>
      <c r="I51" s="1" t="inlineStr">
        <is>
          <t>88</t>
        </is>
      </c>
      <c r="J51" s="1" t="inlineStr">
        <is>
          <t>vQ51</t>
        </is>
      </c>
      <c r="K51" s="1" t="inlineStr">
        <is>
          <t>88</t>
        </is>
      </c>
      <c r="L51" s="1" t="inlineStr">
        <is>
          <t>2</t>
        </is>
      </c>
    </row>
    <row r="52">
      <c r="A52" s="1" t="n">
        <v>1050</v>
      </c>
      <c r="B52" s="1">
        <f>A52</f>
        <v/>
      </c>
      <c r="C52" s="1" t="inlineStr">
        <is>
          <t>vQ53o88</t>
        </is>
      </c>
      <c r="D52" s="1" t="inlineStr">
        <is>
          <t>字串</t>
        </is>
      </c>
      <c r="E52" s="1" t="n">
        <v>150</v>
      </c>
      <c r="F52" s="1" t="n">
        <v>0</v>
      </c>
      <c r="G52" s="1" t="inlineStr">
        <is>
          <t>vQ53</t>
        </is>
      </c>
      <c r="H52" s="1" t="inlineStr">
        <is>
          <t>vQ53</t>
        </is>
      </c>
      <c r="I52" s="1" t="inlineStr">
        <is>
          <t>88</t>
        </is>
      </c>
      <c r="J52" s="1" t="inlineStr">
        <is>
          <t>vQ53</t>
        </is>
      </c>
      <c r="K52" s="1" t="inlineStr">
        <is>
          <t>88</t>
        </is>
      </c>
      <c r="L52" s="1" t="inlineStr">
        <is>
          <t>2</t>
        </is>
      </c>
    </row>
    <row r="53">
      <c r="A53" s="1" t="n">
        <v>1051</v>
      </c>
      <c r="B53" s="1">
        <f>A53</f>
        <v/>
      </c>
      <c r="C53" s="1" t="inlineStr">
        <is>
          <t>vQ54o88</t>
        </is>
      </c>
      <c r="D53" s="1" t="inlineStr">
        <is>
          <t>字串</t>
        </is>
      </c>
      <c r="E53" s="1" t="n">
        <v>150</v>
      </c>
      <c r="F53" s="1" t="n">
        <v>0</v>
      </c>
      <c r="G53" s="1" t="inlineStr">
        <is>
          <t>vQ54</t>
        </is>
      </c>
      <c r="H53" s="1" t="inlineStr">
        <is>
          <t>vQ54</t>
        </is>
      </c>
      <c r="I53" s="1" t="inlineStr">
        <is>
          <t>88</t>
        </is>
      </c>
      <c r="J53" s="1" t="inlineStr">
        <is>
          <t>vQ54</t>
        </is>
      </c>
      <c r="K53" s="1" t="inlineStr">
        <is>
          <t>88</t>
        </is>
      </c>
      <c r="L53" s="1" t="inlineStr">
        <is>
          <t>2</t>
        </is>
      </c>
    </row>
    <row r="54">
      <c r="A54" s="1" t="n">
        <v>1052</v>
      </c>
      <c r="B54" s="1">
        <f>A54</f>
        <v/>
      </c>
      <c r="C54" s="1" t="inlineStr">
        <is>
          <t>vZ2_1g1</t>
        </is>
      </c>
      <c r="D54" s="1" t="inlineStr">
        <is>
          <t>字串</t>
        </is>
      </c>
      <c r="E54" s="1" t="n">
        <v>11</v>
      </c>
      <c r="F54" s="1" t="n">
        <v>0</v>
      </c>
      <c r="G54" s="1" t="inlineStr">
        <is>
          <t>vZ2_1g1</t>
        </is>
      </c>
      <c r="H54" s="1">
        <f>IF(ISNUMBER(SEARCH("oth",$C54,1)),MID($C54,1,SEARCH("_",$C54,1)-1),IF(AND($C54&lt;&gt;"vZ0city_oth",$F54=0),VALUE(MID($C54,SEARCH("o",$C54,1)+1,LEN($C54)-SEARCH("o",$C54,1))),CONCAT(MID($C54,1,SEARCH("o",$C54,1)-1),"m",I54)))</f>
        <v/>
      </c>
      <c r="I54" s="1">
        <f>MID($C54,LEN($G54)+2,2)</f>
        <v/>
      </c>
      <c r="J54" s="1">
        <f>IF(F54=0,G54,H54)</f>
        <v/>
      </c>
      <c r="K54" s="1">
        <f>IF(F54=0,H54,1)</f>
        <v/>
      </c>
      <c r="L54" s="1">
        <f>IF(LEN(K54)=1,LEN(K54)+1,LEN(K54))</f>
        <v/>
      </c>
    </row>
    <row r="55">
      <c r="A55" s="1" t="n">
        <v>1053</v>
      </c>
      <c r="B55" s="1">
        <f>A55</f>
        <v/>
      </c>
      <c r="C55" s="1" t="inlineStr">
        <is>
          <t>vZ2_1g2</t>
        </is>
      </c>
      <c r="D55" s="1" t="inlineStr">
        <is>
          <t>字串</t>
        </is>
      </c>
      <c r="E55" s="1" t="n">
        <v>9</v>
      </c>
      <c r="F55" s="1" t="n">
        <v>0</v>
      </c>
      <c r="G55" s="1" t="inlineStr">
        <is>
          <t>vZ2_1g2</t>
        </is>
      </c>
      <c r="H55" s="1">
        <f>IF(ISNUMBER(SEARCH("oth",$C55,1)),MID($C55,1,SEARCH("_",$C55,1)-1),IF(AND($C55&lt;&gt;"vZ0city_oth",$F55=0),VALUE(MID($C55,SEARCH("o",$C55,1)+1,LEN($C55)-SEARCH("o",$C55,1))),CONCAT(MID($C55,1,SEARCH("o",$C55,1)-1),"m",I55)))</f>
        <v/>
      </c>
      <c r="I55" s="1">
        <f>MID($C55,LEN($G55)+2,2)</f>
        <v/>
      </c>
      <c r="J55" s="1">
        <f>IF(F55=0,G55,H55)</f>
        <v/>
      </c>
      <c r="K55" s="1">
        <f>IF(F55=0,H55,1)</f>
        <v/>
      </c>
      <c r="L55" s="1">
        <f>IF(LEN(K55)=1,LEN(K55)+1,LEN(K55))</f>
        <v/>
      </c>
    </row>
    <row r="56">
      <c r="A56" s="1" t="n">
        <v>1054</v>
      </c>
      <c r="B56" s="1">
        <f>A56</f>
        <v/>
      </c>
      <c r="C56" s="1" t="inlineStr">
        <is>
          <t>vZ2_2</t>
        </is>
      </c>
      <c r="D56" s="1" t="inlineStr">
        <is>
          <t>字串</t>
        </is>
      </c>
      <c r="E56" s="1" t="n">
        <v>11</v>
      </c>
      <c r="F56" s="1" t="n">
        <v>0</v>
      </c>
      <c r="G56" s="1" t="inlineStr">
        <is>
          <t>vZ2_2</t>
        </is>
      </c>
      <c r="H56" s="1">
        <f>IF(ISNUMBER(SEARCH("oth",$C56,1)),MID($C56,1,SEARCH("_",$C56,1)-1),IF(AND($C56&lt;&gt;"vZ0city_oth",$F56=0),VALUE(MID($C56,SEARCH("o",$C56,1)+1,LEN($C56)-SEARCH("o",$C56,1))),CONCAT(MID($C56,1,SEARCH("o",$C56,1)-1),"m",I56)))</f>
        <v/>
      </c>
      <c r="I56" s="1">
        <f>MID($C56,LEN($G56)+2,2)</f>
        <v/>
      </c>
      <c r="J56" s="1">
        <f>IF(F56=0,G56,H56)</f>
        <v/>
      </c>
      <c r="K56" s="1">
        <f>IF(F56=0,H56,1)</f>
        <v/>
      </c>
      <c r="L56" s="1">
        <f>IF(LEN(K56)=1,LEN(K56)+1,LEN(K56))</f>
        <v/>
      </c>
    </row>
    <row r="57">
      <c r="A57" s="1" t="n">
        <v>1055</v>
      </c>
      <c r="B57" s="1">
        <f>A57</f>
        <v/>
      </c>
      <c r="C57" s="1" t="inlineStr">
        <is>
          <t>vZE1o03</t>
        </is>
      </c>
      <c r="D57" s="1" t="inlineStr">
        <is>
          <t>字串</t>
        </is>
      </c>
      <c r="E57" s="1" t="n">
        <v>150</v>
      </c>
      <c r="F57" s="1" t="n">
        <v>0</v>
      </c>
      <c r="G57" s="1" t="inlineStr">
        <is>
          <t>vZE1</t>
        </is>
      </c>
      <c r="H57" s="1" t="inlineStr">
        <is>
          <t>vZE1</t>
        </is>
      </c>
      <c r="I57" s="1" t="inlineStr">
        <is>
          <t>3</t>
        </is>
      </c>
      <c r="J57" s="1" t="inlineStr">
        <is>
          <t>vZE1</t>
        </is>
      </c>
      <c r="K57" s="1" t="inlineStr">
        <is>
          <t>3</t>
        </is>
      </c>
      <c r="L57" s="1" t="inlineStr">
        <is>
          <t>2</t>
        </is>
      </c>
    </row>
    <row r="58">
      <c r="A58" s="1" t="n">
        <v>1056</v>
      </c>
      <c r="B58" s="1">
        <f>A58</f>
        <v/>
      </c>
      <c r="C58" s="1" t="inlineStr">
        <is>
          <t>vZE1o04</t>
        </is>
      </c>
      <c r="D58" s="1" t="inlineStr">
        <is>
          <t>字串</t>
        </is>
      </c>
      <c r="E58" s="1" t="n">
        <v>150</v>
      </c>
      <c r="F58" s="1" t="n">
        <v>0</v>
      </c>
      <c r="G58" s="1" t="inlineStr">
        <is>
          <t>vZE1</t>
        </is>
      </c>
      <c r="H58" s="1" t="inlineStr">
        <is>
          <t>vZE1</t>
        </is>
      </c>
      <c r="I58" s="1" t="inlineStr">
        <is>
          <t>4</t>
        </is>
      </c>
      <c r="J58" s="1" t="inlineStr">
        <is>
          <t>vZE1</t>
        </is>
      </c>
      <c r="K58" s="1" t="inlineStr">
        <is>
          <t>4</t>
        </is>
      </c>
      <c r="L58" s="1" t="inlineStr">
        <is>
          <t>2</t>
        </is>
      </c>
    </row>
    <row r="59">
      <c r="A59" s="1" t="n">
        <v>1057</v>
      </c>
      <c r="B59" s="1">
        <f>A59</f>
        <v/>
      </c>
      <c r="C59" s="1" t="inlineStr">
        <is>
          <t>vZE2_1</t>
        </is>
      </c>
      <c r="D59" s="1" t="inlineStr">
        <is>
          <t>字串</t>
        </is>
      </c>
      <c r="E59" s="1" t="n">
        <v>30</v>
      </c>
      <c r="F59" s="1" t="n">
        <v>0</v>
      </c>
      <c r="G59" s="1" t="inlineStr">
        <is>
          <t>vZE2_1</t>
        </is>
      </c>
      <c r="H59" s="1">
        <f>IF(ISNUMBER(SEARCH("oth",$C59,1)),MID($C59,1,SEARCH("_",$C59,1)-1),IF(AND($C59&lt;&gt;"vZ0city_oth",$F59=0),VALUE(MID($C59,SEARCH("o",$C59,1)+1,LEN($C59)-SEARCH("o",$C59,1))),CONCAT(MID($C59,1,SEARCH("o",$C59,1)-1),"m",I59)))</f>
        <v/>
      </c>
      <c r="I59" s="1">
        <f>MID($C59,LEN($G59)+2,2)</f>
        <v/>
      </c>
      <c r="J59" s="1">
        <f>IF(F59=0,G59,H59)</f>
        <v/>
      </c>
      <c r="K59" s="1">
        <f>IF(F59=0,H59,1)</f>
        <v/>
      </c>
      <c r="L59" s="1">
        <f>IF(LEN(K59)=1,LEN(K59)+1,LEN(K59))</f>
        <v/>
      </c>
    </row>
    <row r="60">
      <c r="A60" s="1" t="n">
        <v>1058</v>
      </c>
      <c r="B60" s="1">
        <f>A60</f>
        <v/>
      </c>
      <c r="C60" s="1" t="inlineStr">
        <is>
          <t>vZE2_2</t>
        </is>
      </c>
      <c r="D60" s="1" t="inlineStr">
        <is>
          <t>字串</t>
        </is>
      </c>
      <c r="E60" s="1" t="n">
        <v>30</v>
      </c>
      <c r="F60" s="1" t="n">
        <v>0</v>
      </c>
      <c r="G60" s="1" t="inlineStr">
        <is>
          <t>vZE2_2</t>
        </is>
      </c>
      <c r="H60" s="1">
        <f>IF(ISNUMBER(SEARCH("oth",$C60,1)),MID($C60,1,SEARCH("_",$C60,1)-1),IF(AND($C60&lt;&gt;"vZ0city_oth",$F60=0),VALUE(MID($C60,SEARCH("o",$C60,1)+1,LEN($C60)-SEARCH("o",$C60,1))),CONCAT(MID($C60,1,SEARCH("o",$C60,1)-1),"m",I60)))</f>
        <v/>
      </c>
      <c r="I60" s="1">
        <f>MID($C60,LEN($G60)+2,2)</f>
        <v/>
      </c>
      <c r="J60" s="1">
        <f>IF(F60=0,G60,H60)</f>
        <v/>
      </c>
      <c r="K60" s="1">
        <f>IF(F60=0,H60,1)</f>
        <v/>
      </c>
      <c r="L60" s="1">
        <f>IF(LEN(K60)=1,LEN(K60)+1,LEN(K60))</f>
        <v/>
      </c>
    </row>
    <row r="61">
      <c r="A61" s="1" t="n">
        <v>1059</v>
      </c>
      <c r="B61" s="1">
        <f>A61</f>
        <v/>
      </c>
      <c r="C61" s="1" t="inlineStr">
        <is>
          <t>vZE2_3</t>
        </is>
      </c>
      <c r="D61" s="1" t="inlineStr">
        <is>
          <t>字串</t>
        </is>
      </c>
      <c r="E61" s="1" t="n">
        <v>900</v>
      </c>
      <c r="F61" s="1" t="n">
        <v>0</v>
      </c>
      <c r="G61" s="1" t="inlineStr">
        <is>
          <t>vZE2_3</t>
        </is>
      </c>
      <c r="H61" s="1">
        <f>IF(ISNUMBER(SEARCH("oth",$C61,1)),MID($C61,1,SEARCH("_",$C61,1)-1),IF(AND($C61&lt;&gt;"vZ0city_oth",$F61=0),VALUE(MID($C61,SEARCH("o",$C61,1)+1,LEN($C61)-SEARCH("o",$C61,1))),CONCAT(MID($C61,1,SEARCH("o",$C61,1)-1),"m",I61)))</f>
        <v/>
      </c>
      <c r="I61" s="1">
        <f>MID($C61,LEN($G61)+2,2)</f>
        <v/>
      </c>
      <c r="J61" s="1" t="inlineStr">
        <is>
          <t>vZE2_3</t>
        </is>
      </c>
      <c r="K61" s="1">
        <f>IF(F61=0,H61,1)</f>
        <v/>
      </c>
      <c r="L61" s="1">
        <f>IF(LEN(K61)=1,LEN(K61)+1,LEN(K61))</f>
        <v/>
      </c>
    </row>
  </sheetData>
  <autoFilter ref="A1:I61"/>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X37"/>
  <sheetViews>
    <sheetView workbookViewId="0">
      <pane xSplit="4" ySplit="1" topLeftCell="R2" activePane="bottomRight" state="frozen"/>
      <selection pane="topRight" activeCell="E1" sqref="E1"/>
      <selection pane="bottomLeft" activeCell="A2" sqref="A2"/>
      <selection pane="bottomRight" activeCell="C2" sqref="C2:C37"/>
    </sheetView>
  </sheetViews>
  <sheetFormatPr baseColWidth="8" defaultRowHeight="16.5"/>
  <cols>
    <col width="5.5" bestFit="1" customWidth="1" style="16" min="1" max="2"/>
    <col width="8.25" bestFit="1" customWidth="1" style="1" min="3" max="3"/>
    <col width="8.25" customWidth="1" style="7" min="4" max="4"/>
    <col width="17.5" customWidth="1" style="9" min="5" max="5"/>
    <col width="18" customWidth="1" style="9" min="6" max="6"/>
    <col width="12.625" bestFit="1" customWidth="1" style="7" min="7" max="7"/>
    <col width="16.25" customWidth="1" style="9" min="8" max="8"/>
    <col width="19.75" customWidth="1" style="12" min="9" max="9"/>
    <col width="13.25" customWidth="1" style="9" min="10" max="10"/>
    <col width="14.375" customWidth="1" style="7" min="11" max="11"/>
    <col width="12.125" customWidth="1" style="7" min="12" max="16"/>
    <col width="36.5" customWidth="1" style="16" min="17" max="17"/>
    <col width="37.625" customWidth="1" style="16" min="18" max="18"/>
    <col width="37.25" customWidth="1" style="16" min="19" max="19"/>
    <col width="38" customWidth="1" style="16" min="20" max="20"/>
    <col width="29.5" customWidth="1" style="16" min="21" max="21"/>
    <col width="29.5" customWidth="1" style="1" min="22" max="22"/>
  </cols>
  <sheetData>
    <row r="1" customFormat="1" s="1">
      <c r="A1" s="1" t="inlineStr">
        <is>
          <t>m</t>
        </is>
      </c>
      <c r="B1" s="1" t="inlineStr">
        <is>
          <t>p</t>
        </is>
      </c>
      <c r="C1" s="3" t="inlineStr">
        <is>
          <t>題號</t>
        </is>
      </c>
      <c r="D1" s="10" t="inlineStr">
        <is>
          <t>寬度</t>
        </is>
      </c>
      <c r="E1" s="11" t="inlineStr">
        <is>
          <t>選項編號_起</t>
        </is>
      </c>
      <c r="F1" s="11" t="inlineStr">
        <is>
          <t>選項編號_迄</t>
        </is>
      </c>
      <c r="G1" s="10" t="inlineStr">
        <is>
          <t>選項數量</t>
        </is>
      </c>
      <c r="H1" s="11" t="inlineStr">
        <is>
          <t>不可選擇數量</t>
        </is>
      </c>
      <c r="I1" s="14" t="inlineStr">
        <is>
          <t>全部無反應選項</t>
        </is>
      </c>
      <c r="J1" s="11" t="inlineStr">
        <is>
          <t>互斥選項</t>
        </is>
      </c>
      <c r="K1" s="13" t="inlineStr">
        <is>
          <t>迴圈進行次數</t>
        </is>
      </c>
      <c r="L1" s="13" t="inlineStr">
        <is>
          <t>無反應選項1</t>
        </is>
      </c>
      <c r="M1" s="13" t="inlineStr">
        <is>
          <t>無反應選項2</t>
        </is>
      </c>
      <c r="N1" s="13" t="inlineStr">
        <is>
          <t>無反應選項3</t>
        </is>
      </c>
      <c r="O1" s="13" t="inlineStr">
        <is>
          <t>無反應選項4</t>
        </is>
      </c>
      <c r="P1" s="13" t="inlineStr">
        <is>
          <t>無反應選項5</t>
        </is>
      </c>
      <c r="Q1" s="4" t="inlineStr">
        <is>
          <t>程式1</t>
        </is>
      </c>
      <c r="R1" s="5" t="inlineStr">
        <is>
          <t>程式2</t>
        </is>
      </c>
      <c r="S1" s="5" t="inlineStr">
        <is>
          <t>程式3</t>
        </is>
      </c>
      <c r="T1" s="4" t="inlineStr">
        <is>
          <t>程式4</t>
        </is>
      </c>
      <c r="U1" s="5" t="inlineStr">
        <is>
          <t>程式5</t>
        </is>
      </c>
      <c r="V1" s="5" t="inlineStr">
        <is>
          <t>加總程式</t>
        </is>
      </c>
      <c r="W1" s="1" t="inlineStr">
        <is>
          <t>s</t>
        </is>
      </c>
      <c r="X1" s="1" t="inlineStr">
        <is>
          <t>s=</t>
        </is>
      </c>
    </row>
    <row r="2" customFormat="1" s="1">
      <c r="A2" s="1" t="n">
        <v>1101</v>
      </c>
      <c r="B2" s="1">
        <f>A2</f>
        <v/>
      </c>
      <c r="C2" s="1" t="inlineStr">
        <is>
          <t>K1</t>
        </is>
      </c>
      <c r="D2" s="1" t="inlineStr">
        <is>
          <t>2</t>
        </is>
      </c>
      <c r="E2" s="1" t="inlineStr">
        <is>
          <t>1</t>
        </is>
      </c>
      <c r="F2" s="1" t="inlineStr">
        <is>
          <t>88</t>
        </is>
      </c>
      <c r="G2" s="1" t="inlineStr">
        <is>
          <t>15</t>
        </is>
      </c>
      <c r="H2" s="1" t="inlineStr">
        <is>
          <t>3</t>
        </is>
      </c>
      <c r="I2" s="1" t="inlineStr">
        <is>
          <t>90,97,98</t>
        </is>
      </c>
      <c r="J2" s="1" t="inlineStr">
        <is>
          <t>90</t>
        </is>
      </c>
      <c r="K2" s="1" t="inlineStr">
        <is>
          <t>14</t>
        </is>
      </c>
      <c r="L2" s="1" t="inlineStr">
        <is>
          <t>90</t>
        </is>
      </c>
      <c r="M2" s="1" t="inlineStr">
        <is>
          <t>97</t>
        </is>
      </c>
      <c r="N2" s="1" t="inlineStr">
        <is>
          <t>98</t>
        </is>
      </c>
    </row>
    <row r="3">
      <c r="A3" s="1" t="n">
        <v>1102</v>
      </c>
      <c r="B3" s="1">
        <f>A3</f>
        <v/>
      </c>
      <c r="C3" s="1" t="inlineStr">
        <is>
          <t>K2</t>
        </is>
      </c>
      <c r="D3" s="1" t="inlineStr">
        <is>
          <t>2</t>
        </is>
      </c>
      <c r="E3" s="1" t="inlineStr">
        <is>
          <t>1</t>
        </is>
      </c>
      <c r="F3" s="1" t="inlineStr">
        <is>
          <t>88</t>
        </is>
      </c>
      <c r="G3" s="1" t="inlineStr">
        <is>
          <t>14</t>
        </is>
      </c>
      <c r="H3" s="1" t="inlineStr">
        <is>
          <t>3</t>
        </is>
      </c>
      <c r="I3" s="1" t="inlineStr">
        <is>
          <t>90,97,98</t>
        </is>
      </c>
      <c r="J3" s="1" t="inlineStr">
        <is>
          <t>90</t>
        </is>
      </c>
      <c r="K3" s="1" t="inlineStr">
        <is>
          <t>13</t>
        </is>
      </c>
      <c r="L3" s="1" t="inlineStr">
        <is>
          <t>90</t>
        </is>
      </c>
      <c r="M3" s="1" t="inlineStr">
        <is>
          <t>97</t>
        </is>
      </c>
      <c r="N3" s="1" t="inlineStr">
        <is>
          <t>98</t>
        </is>
      </c>
    </row>
    <row r="4">
      <c r="A4" s="1" t="n">
        <v>1103</v>
      </c>
      <c r="B4" s="1">
        <f>A4</f>
        <v/>
      </c>
      <c r="C4" s="1" t="inlineStr">
        <is>
          <t>KFB3</t>
        </is>
      </c>
      <c r="D4" s="1" t="inlineStr">
        <is>
          <t>2</t>
        </is>
      </c>
      <c r="E4" s="1" t="inlineStr">
        <is>
          <t>1</t>
        </is>
      </c>
      <c r="F4" s="1" t="inlineStr">
        <is>
          <t>88</t>
        </is>
      </c>
      <c r="G4" s="1" t="inlineStr">
        <is>
          <t>18</t>
        </is>
      </c>
      <c r="H4" s="1" t="inlineStr">
        <is>
          <t>2</t>
        </is>
      </c>
      <c r="I4" s="1" t="inlineStr">
        <is>
          <t>97,98</t>
        </is>
      </c>
      <c r="K4" s="1" t="inlineStr">
        <is>
          <t>17</t>
        </is>
      </c>
      <c r="L4" s="1" t="inlineStr">
        <is>
          <t>97</t>
        </is>
      </c>
      <c r="M4" s="1" t="inlineStr">
        <is>
          <t>98</t>
        </is>
      </c>
    </row>
    <row r="5">
      <c r="A5" s="1" t="n">
        <v>1104</v>
      </c>
      <c r="B5" s="1">
        <f>A5</f>
        <v/>
      </c>
      <c r="C5" s="1" t="inlineStr">
        <is>
          <t>KFB4</t>
        </is>
      </c>
      <c r="D5" s="1" t="inlineStr">
        <is>
          <t>2</t>
        </is>
      </c>
      <c r="E5" s="1" t="inlineStr">
        <is>
          <t>1</t>
        </is>
      </c>
      <c r="F5" s="1" t="inlineStr">
        <is>
          <t>88</t>
        </is>
      </c>
      <c r="G5" s="1" t="inlineStr">
        <is>
          <t>19</t>
        </is>
      </c>
      <c r="H5" s="1" t="inlineStr">
        <is>
          <t>2</t>
        </is>
      </c>
      <c r="I5" s="1" t="inlineStr">
        <is>
          <t>97,98</t>
        </is>
      </c>
      <c r="K5" s="1" t="inlineStr">
        <is>
          <t>18</t>
        </is>
      </c>
      <c r="L5" s="1" t="inlineStr">
        <is>
          <t>97</t>
        </is>
      </c>
      <c r="M5" s="1" t="inlineStr">
        <is>
          <t>98</t>
        </is>
      </c>
    </row>
    <row r="6">
      <c r="A6" s="1" t="n">
        <v>1105</v>
      </c>
      <c r="B6" s="1">
        <f>A6</f>
        <v/>
      </c>
      <c r="C6" s="1" t="inlineStr">
        <is>
          <t>KIG3</t>
        </is>
      </c>
      <c r="D6" s="1" t="inlineStr">
        <is>
          <t>2</t>
        </is>
      </c>
      <c r="E6" s="1" t="inlineStr">
        <is>
          <t>1</t>
        </is>
      </c>
      <c r="F6" s="1" t="inlineStr">
        <is>
          <t>88</t>
        </is>
      </c>
      <c r="G6" s="1" t="inlineStr">
        <is>
          <t>18</t>
        </is>
      </c>
      <c r="H6" s="1" t="inlineStr">
        <is>
          <t>2</t>
        </is>
      </c>
      <c r="I6" s="1" t="inlineStr">
        <is>
          <t>97,98</t>
        </is>
      </c>
      <c r="K6" s="1" t="inlineStr">
        <is>
          <t>17</t>
        </is>
      </c>
      <c r="L6" s="1" t="inlineStr">
        <is>
          <t>97</t>
        </is>
      </c>
      <c r="M6" s="1" t="inlineStr">
        <is>
          <t>98</t>
        </is>
      </c>
    </row>
    <row r="7">
      <c r="A7" s="1" t="n">
        <v>1106</v>
      </c>
      <c r="B7" s="1">
        <f>A7</f>
        <v/>
      </c>
      <c r="C7" s="1" t="inlineStr">
        <is>
          <t>KIG4</t>
        </is>
      </c>
      <c r="D7" s="1" t="inlineStr">
        <is>
          <t>2</t>
        </is>
      </c>
      <c r="E7" s="1" t="inlineStr">
        <is>
          <t>1</t>
        </is>
      </c>
      <c r="F7" s="1" t="inlineStr">
        <is>
          <t>88</t>
        </is>
      </c>
      <c r="G7" s="1" t="inlineStr">
        <is>
          <t>15</t>
        </is>
      </c>
      <c r="H7" s="1" t="inlineStr">
        <is>
          <t>2</t>
        </is>
      </c>
      <c r="I7" s="1" t="inlineStr">
        <is>
          <t>97,98</t>
        </is>
      </c>
      <c r="K7" s="1" t="inlineStr">
        <is>
          <t>14</t>
        </is>
      </c>
      <c r="L7" s="1" t="inlineStr">
        <is>
          <t>97</t>
        </is>
      </c>
      <c r="M7" s="1" t="inlineStr">
        <is>
          <t>98</t>
        </is>
      </c>
    </row>
    <row r="8">
      <c r="A8" s="1" t="n">
        <v>1107</v>
      </c>
      <c r="B8" s="1">
        <f>A8</f>
        <v/>
      </c>
      <c r="C8" s="1" t="inlineStr">
        <is>
          <t>KTT3</t>
        </is>
      </c>
      <c r="D8" s="1" t="inlineStr">
        <is>
          <t>2</t>
        </is>
      </c>
      <c r="E8" s="1" t="inlineStr">
        <is>
          <t>1</t>
        </is>
      </c>
      <c r="F8" s="1" t="inlineStr">
        <is>
          <t>88</t>
        </is>
      </c>
      <c r="G8" s="1" t="inlineStr">
        <is>
          <t>17</t>
        </is>
      </c>
      <c r="H8" s="1" t="inlineStr">
        <is>
          <t>2</t>
        </is>
      </c>
      <c r="I8" s="1" t="inlineStr">
        <is>
          <t>97,98</t>
        </is>
      </c>
      <c r="K8" s="1" t="inlineStr">
        <is>
          <t>16</t>
        </is>
      </c>
      <c r="L8" s="1" t="inlineStr">
        <is>
          <t>97</t>
        </is>
      </c>
      <c r="M8" s="1" t="inlineStr">
        <is>
          <t>98</t>
        </is>
      </c>
    </row>
    <row r="9">
      <c r="A9" s="1" t="n">
        <v>1108</v>
      </c>
      <c r="B9" s="1">
        <f>A9</f>
        <v/>
      </c>
      <c r="C9" s="1" t="inlineStr">
        <is>
          <t>KTT4</t>
        </is>
      </c>
      <c r="D9" s="1" t="inlineStr">
        <is>
          <t>2</t>
        </is>
      </c>
      <c r="E9" s="1" t="inlineStr">
        <is>
          <t>1</t>
        </is>
      </c>
      <c r="F9" s="1" t="inlineStr">
        <is>
          <t>88</t>
        </is>
      </c>
      <c r="G9" s="1" t="inlineStr">
        <is>
          <t>15</t>
        </is>
      </c>
      <c r="H9" s="1" t="inlineStr">
        <is>
          <t>2</t>
        </is>
      </c>
      <c r="I9" s="1" t="inlineStr">
        <is>
          <t>97,98</t>
        </is>
      </c>
      <c r="K9" s="1" t="inlineStr">
        <is>
          <t>14</t>
        </is>
      </c>
      <c r="L9" s="1" t="inlineStr">
        <is>
          <t>97</t>
        </is>
      </c>
      <c r="M9" s="1" t="inlineStr">
        <is>
          <t>98</t>
        </is>
      </c>
    </row>
    <row r="10">
      <c r="A10" s="1" t="n">
        <v>1109</v>
      </c>
      <c r="B10" s="1">
        <f>A10</f>
        <v/>
      </c>
      <c r="C10" s="1" t="inlineStr">
        <is>
          <t>KTT5</t>
        </is>
      </c>
      <c r="D10" s="1" t="inlineStr">
        <is>
          <t>2</t>
        </is>
      </c>
      <c r="E10" s="1" t="inlineStr">
        <is>
          <t>1</t>
        </is>
      </c>
      <c r="F10" s="1" t="inlineStr">
        <is>
          <t>88</t>
        </is>
      </c>
      <c r="G10" s="1" t="inlineStr">
        <is>
          <t>13</t>
        </is>
      </c>
      <c r="H10" s="1" t="inlineStr">
        <is>
          <t>2</t>
        </is>
      </c>
      <c r="I10" s="1" t="inlineStr">
        <is>
          <t>97,98</t>
        </is>
      </c>
      <c r="K10" s="1" t="inlineStr">
        <is>
          <t>12</t>
        </is>
      </c>
      <c r="L10" s="1" t="inlineStr">
        <is>
          <t>97</t>
        </is>
      </c>
      <c r="M10" s="1" t="inlineStr">
        <is>
          <t>98</t>
        </is>
      </c>
    </row>
    <row r="11">
      <c r="A11" s="1" t="n">
        <v>1110</v>
      </c>
      <c r="B11" s="1">
        <f>A11</f>
        <v/>
      </c>
      <c r="C11" s="1" t="inlineStr">
        <is>
          <t>K3</t>
        </is>
      </c>
      <c r="D11" s="1" t="inlineStr">
        <is>
          <t>2</t>
        </is>
      </c>
      <c r="E11" s="1" t="inlineStr">
        <is>
          <t>1</t>
        </is>
      </c>
      <c r="F11" s="1" t="inlineStr">
        <is>
          <t>88</t>
        </is>
      </c>
      <c r="G11" s="1" t="inlineStr">
        <is>
          <t>11</t>
        </is>
      </c>
      <c r="H11" s="1" t="inlineStr">
        <is>
          <t>3</t>
        </is>
      </c>
      <c r="I11" s="1" t="inlineStr">
        <is>
          <t>90,97,98</t>
        </is>
      </c>
      <c r="J11" s="1" t="inlineStr">
        <is>
          <t>90</t>
        </is>
      </c>
      <c r="K11" s="1" t="inlineStr">
        <is>
          <t>10</t>
        </is>
      </c>
      <c r="L11" s="1" t="inlineStr">
        <is>
          <t>90</t>
        </is>
      </c>
      <c r="M11" s="1" t="inlineStr">
        <is>
          <t>97</t>
        </is>
      </c>
      <c r="N11" s="1" t="inlineStr">
        <is>
          <t>98</t>
        </is>
      </c>
    </row>
    <row r="12">
      <c r="A12" s="1" t="n">
        <v>1111</v>
      </c>
      <c r="B12" s="1">
        <f>A12</f>
        <v/>
      </c>
      <c r="C12" s="1" t="inlineStr">
        <is>
          <t>E2</t>
        </is>
      </c>
      <c r="D12" s="1" t="inlineStr">
        <is>
          <t>2</t>
        </is>
      </c>
      <c r="E12" s="1" t="inlineStr">
        <is>
          <t>1</t>
        </is>
      </c>
      <c r="F12" s="1" t="inlineStr">
        <is>
          <t>88</t>
        </is>
      </c>
      <c r="G12" s="1" t="inlineStr">
        <is>
          <t>5</t>
        </is>
      </c>
      <c r="H12" s="1" t="inlineStr">
        <is>
          <t>2</t>
        </is>
      </c>
      <c r="I12" s="1" t="inlineStr">
        <is>
          <t>97,98</t>
        </is>
      </c>
      <c r="K12" s="1" t="inlineStr">
        <is>
          <t>4</t>
        </is>
      </c>
      <c r="L12" s="1" t="inlineStr">
        <is>
          <t>97</t>
        </is>
      </c>
      <c r="M12" s="1" t="inlineStr">
        <is>
          <t>98</t>
        </is>
      </c>
    </row>
    <row r="13">
      <c r="A13" s="1" t="n">
        <v>1112</v>
      </c>
      <c r="B13" s="1">
        <f>A13</f>
        <v/>
      </c>
      <c r="C13" s="1" t="inlineStr">
        <is>
          <t>E13</t>
        </is>
      </c>
      <c r="D13" s="1" t="inlineStr">
        <is>
          <t>2</t>
        </is>
      </c>
      <c r="E13" s="1" t="inlineStr">
        <is>
          <t>1</t>
        </is>
      </c>
      <c r="F13" s="1" t="inlineStr">
        <is>
          <t>88</t>
        </is>
      </c>
      <c r="G13" s="1" t="inlineStr">
        <is>
          <t>7</t>
        </is>
      </c>
      <c r="H13" s="1" t="inlineStr">
        <is>
          <t>2</t>
        </is>
      </c>
      <c r="I13" s="1" t="inlineStr">
        <is>
          <t>97,98</t>
        </is>
      </c>
      <c r="K13" s="1" t="inlineStr">
        <is>
          <t>6</t>
        </is>
      </c>
      <c r="L13" s="1" t="inlineStr">
        <is>
          <t>97</t>
        </is>
      </c>
      <c r="M13" s="1" t="inlineStr">
        <is>
          <t>98</t>
        </is>
      </c>
    </row>
    <row r="14">
      <c r="A14" s="1" t="n">
        <v>1113</v>
      </c>
      <c r="B14" s="1">
        <f>A14</f>
        <v/>
      </c>
      <c r="C14" s="1" t="inlineStr">
        <is>
          <t>G7</t>
        </is>
      </c>
      <c r="D14" s="1" t="inlineStr">
        <is>
          <t>2</t>
        </is>
      </c>
      <c r="E14" s="1" t="inlineStr">
        <is>
          <t>1</t>
        </is>
      </c>
      <c r="F14" s="1" t="inlineStr">
        <is>
          <t>88</t>
        </is>
      </c>
      <c r="G14" s="1" t="inlineStr">
        <is>
          <t>14</t>
        </is>
      </c>
      <c r="H14" s="1" t="inlineStr">
        <is>
          <t>3</t>
        </is>
      </c>
      <c r="I14" s="1" t="inlineStr">
        <is>
          <t>90,97,98</t>
        </is>
      </c>
      <c r="K14" s="1" t="inlineStr">
        <is>
          <t>13</t>
        </is>
      </c>
      <c r="L14" s="1" t="inlineStr">
        <is>
          <t>90</t>
        </is>
      </c>
      <c r="M14" s="1" t="inlineStr">
        <is>
          <t>97</t>
        </is>
      </c>
      <c r="N14" s="1" t="inlineStr">
        <is>
          <t>98</t>
        </is>
      </c>
    </row>
    <row r="15">
      <c r="A15" s="1" t="n">
        <v>1114</v>
      </c>
      <c r="B15" s="1">
        <f>A15</f>
        <v/>
      </c>
      <c r="C15" s="1" t="inlineStr">
        <is>
          <t>G8</t>
        </is>
      </c>
      <c r="D15" s="1" t="inlineStr">
        <is>
          <t>2</t>
        </is>
      </c>
      <c r="E15" s="1" t="inlineStr">
        <is>
          <t>1</t>
        </is>
      </c>
      <c r="F15" s="1" t="inlineStr">
        <is>
          <t>88</t>
        </is>
      </c>
      <c r="G15" s="1" t="inlineStr">
        <is>
          <t>18</t>
        </is>
      </c>
      <c r="H15" s="1" t="inlineStr">
        <is>
          <t>3</t>
        </is>
      </c>
      <c r="I15" s="1" t="inlineStr">
        <is>
          <t>90,97,98</t>
        </is>
      </c>
      <c r="K15" s="1" t="inlineStr">
        <is>
          <t>17</t>
        </is>
      </c>
      <c r="L15" s="1" t="inlineStr">
        <is>
          <t>90</t>
        </is>
      </c>
      <c r="M15" s="1" t="inlineStr">
        <is>
          <t>97</t>
        </is>
      </c>
      <c r="N15" s="1" t="inlineStr">
        <is>
          <t>98</t>
        </is>
      </c>
    </row>
    <row r="16">
      <c r="A16" s="1" t="n">
        <v>1115</v>
      </c>
      <c r="B16" s="1">
        <f>A16</f>
        <v/>
      </c>
      <c r="C16" s="1" t="inlineStr">
        <is>
          <t>G9</t>
        </is>
      </c>
      <c r="D16" s="1" t="inlineStr">
        <is>
          <t>2</t>
        </is>
      </c>
      <c r="E16" s="1" t="inlineStr">
        <is>
          <t>1</t>
        </is>
      </c>
      <c r="F16" s="1" t="inlineStr">
        <is>
          <t>88</t>
        </is>
      </c>
      <c r="G16" s="1" t="inlineStr">
        <is>
          <t>15</t>
        </is>
      </c>
      <c r="H16" s="1" t="inlineStr">
        <is>
          <t>3</t>
        </is>
      </c>
      <c r="I16" s="1" t="inlineStr">
        <is>
          <t>90,97,98</t>
        </is>
      </c>
      <c r="K16" s="1" t="inlineStr">
        <is>
          <t>14</t>
        </is>
      </c>
      <c r="L16" s="1" t="inlineStr">
        <is>
          <t>90</t>
        </is>
      </c>
      <c r="M16" s="1" t="inlineStr">
        <is>
          <t>97</t>
        </is>
      </c>
      <c r="N16" s="1" t="inlineStr">
        <is>
          <t>98</t>
        </is>
      </c>
    </row>
    <row r="17">
      <c r="A17" s="1" t="n">
        <v>1116</v>
      </c>
      <c r="B17" s="1">
        <f>A17</f>
        <v/>
      </c>
      <c r="C17" s="1" t="inlineStr">
        <is>
          <t>G10</t>
        </is>
      </c>
      <c r="D17" s="1" t="inlineStr">
        <is>
          <t>2</t>
        </is>
      </c>
      <c r="E17" s="1" t="inlineStr">
        <is>
          <t>1</t>
        </is>
      </c>
      <c r="F17" s="1" t="inlineStr">
        <is>
          <t>88</t>
        </is>
      </c>
      <c r="G17" s="1" t="inlineStr">
        <is>
          <t>21</t>
        </is>
      </c>
      <c r="H17" s="1" t="inlineStr">
        <is>
          <t>3</t>
        </is>
      </c>
      <c r="I17" s="1" t="inlineStr">
        <is>
          <t>90,97,98</t>
        </is>
      </c>
      <c r="K17" s="1" t="inlineStr">
        <is>
          <t>20</t>
        </is>
      </c>
      <c r="L17" s="1" t="inlineStr">
        <is>
          <t>90</t>
        </is>
      </c>
      <c r="M17" s="1" t="inlineStr">
        <is>
          <t>97</t>
        </is>
      </c>
      <c r="N17" s="1" t="inlineStr">
        <is>
          <t>98</t>
        </is>
      </c>
    </row>
    <row r="18">
      <c r="A18" s="1" t="n">
        <v>1117</v>
      </c>
      <c r="B18" s="1">
        <f>A18</f>
        <v/>
      </c>
      <c r="C18" s="1" t="inlineStr">
        <is>
          <t>G11</t>
        </is>
      </c>
      <c r="D18" s="1" t="inlineStr">
        <is>
          <t>2</t>
        </is>
      </c>
      <c r="E18" s="1" t="inlineStr">
        <is>
          <t>1</t>
        </is>
      </c>
      <c r="F18" s="1" t="inlineStr">
        <is>
          <t>88</t>
        </is>
      </c>
      <c r="G18" s="1" t="inlineStr">
        <is>
          <t>7</t>
        </is>
      </c>
      <c r="H18" s="1" t="inlineStr">
        <is>
          <t>3</t>
        </is>
      </c>
      <c r="I18" s="1" t="inlineStr">
        <is>
          <t>90,97,98</t>
        </is>
      </c>
      <c r="K18" s="1" t="inlineStr">
        <is>
          <t>6</t>
        </is>
      </c>
      <c r="L18" s="1" t="inlineStr">
        <is>
          <t>90</t>
        </is>
      </c>
      <c r="M18" s="1" t="inlineStr">
        <is>
          <t>97</t>
        </is>
      </c>
      <c r="N18" s="1" t="inlineStr">
        <is>
          <t>98</t>
        </is>
      </c>
    </row>
    <row r="19">
      <c r="A19" s="1" t="n">
        <v>1118</v>
      </c>
      <c r="B19" s="1">
        <f>A19</f>
        <v/>
      </c>
      <c r="C19" s="1" t="inlineStr">
        <is>
          <t>B7a</t>
        </is>
      </c>
      <c r="D19" s="1" t="inlineStr">
        <is>
          <t>2</t>
        </is>
      </c>
      <c r="E19" s="1" t="inlineStr">
        <is>
          <t>1</t>
        </is>
      </c>
      <c r="F19" s="1" t="inlineStr">
        <is>
          <t>88</t>
        </is>
      </c>
      <c r="G19" s="1" t="inlineStr">
        <is>
          <t>55</t>
        </is>
      </c>
      <c r="H19" s="1" t="inlineStr">
        <is>
          <t>2</t>
        </is>
      </c>
      <c r="I19" s="1" t="inlineStr">
        <is>
          <t>97,98</t>
        </is>
      </c>
      <c r="K19" s="1" t="inlineStr">
        <is>
          <t>54</t>
        </is>
      </c>
      <c r="L19" s="1" t="inlineStr">
        <is>
          <t>97</t>
        </is>
      </c>
      <c r="M19" s="1" t="inlineStr">
        <is>
          <t>98</t>
        </is>
      </c>
    </row>
    <row r="20">
      <c r="A20" s="1" t="n">
        <v>1119</v>
      </c>
      <c r="B20" s="1">
        <f>A20</f>
        <v/>
      </c>
      <c r="C20" s="1" t="inlineStr">
        <is>
          <t>B8</t>
        </is>
      </c>
      <c r="D20" s="1" t="inlineStr">
        <is>
          <t>2</t>
        </is>
      </c>
      <c r="E20" s="1" t="inlineStr">
        <is>
          <t>1</t>
        </is>
      </c>
      <c r="F20" s="1" t="inlineStr">
        <is>
          <t>88</t>
        </is>
      </c>
      <c r="G20" s="1" t="inlineStr">
        <is>
          <t>11</t>
        </is>
      </c>
      <c r="H20" s="1" t="inlineStr">
        <is>
          <t>2</t>
        </is>
      </c>
      <c r="I20" s="1" t="inlineStr">
        <is>
          <t>97,98</t>
        </is>
      </c>
      <c r="K20" s="1" t="inlineStr">
        <is>
          <t>10</t>
        </is>
      </c>
      <c r="L20" s="1" t="inlineStr">
        <is>
          <t>97</t>
        </is>
      </c>
      <c r="M20" s="1" t="inlineStr">
        <is>
          <t>98</t>
        </is>
      </c>
    </row>
    <row r="21">
      <c r="A21" s="1" t="n">
        <v>1120</v>
      </c>
      <c r="B21" s="1">
        <f>A21</f>
        <v/>
      </c>
      <c r="C21" s="1" t="inlineStr">
        <is>
          <t>G3</t>
        </is>
      </c>
      <c r="D21" s="1" t="inlineStr">
        <is>
          <t>2</t>
        </is>
      </c>
      <c r="E21" s="1" t="inlineStr">
        <is>
          <t>1</t>
        </is>
      </c>
      <c r="F21" s="1" t="inlineStr">
        <is>
          <t>88</t>
        </is>
      </c>
      <c r="G21" s="1" t="inlineStr">
        <is>
          <t>33</t>
        </is>
      </c>
      <c r="H21" s="1" t="inlineStr">
        <is>
          <t>2</t>
        </is>
      </c>
      <c r="I21" s="1" t="inlineStr">
        <is>
          <t>97,98</t>
        </is>
      </c>
      <c r="K21" s="1" t="inlineStr">
        <is>
          <t>32</t>
        </is>
      </c>
      <c r="L21" s="1" t="inlineStr">
        <is>
          <t>97</t>
        </is>
      </c>
      <c r="M21" s="1" t="inlineStr">
        <is>
          <t>98</t>
        </is>
      </c>
    </row>
    <row r="22">
      <c r="A22" s="1" t="n">
        <v>1121</v>
      </c>
      <c r="B22" s="1">
        <f>A22</f>
        <v/>
      </c>
      <c r="C22" s="1" t="inlineStr">
        <is>
          <t>F5</t>
        </is>
      </c>
      <c r="D22" s="1" t="inlineStr">
        <is>
          <t>2</t>
        </is>
      </c>
      <c r="E22" s="1" t="inlineStr">
        <is>
          <t>1</t>
        </is>
      </c>
      <c r="F22" s="1" t="inlineStr">
        <is>
          <t>88</t>
        </is>
      </c>
      <c r="G22" s="1" t="inlineStr">
        <is>
          <t>9</t>
        </is>
      </c>
      <c r="H22" s="1" t="inlineStr">
        <is>
          <t>2</t>
        </is>
      </c>
      <c r="I22" s="1" t="inlineStr">
        <is>
          <t>97,98</t>
        </is>
      </c>
      <c r="K22" s="1" t="inlineStr">
        <is>
          <t>8</t>
        </is>
      </c>
      <c r="L22" s="1" t="inlineStr">
        <is>
          <t>97</t>
        </is>
      </c>
      <c r="M22" s="1" t="inlineStr">
        <is>
          <t>98</t>
        </is>
      </c>
    </row>
    <row r="23">
      <c r="A23" s="1" t="n">
        <v>1122</v>
      </c>
      <c r="B23" s="1">
        <f>A23</f>
        <v/>
      </c>
      <c r="C23" s="1" t="inlineStr">
        <is>
          <t>C3</t>
        </is>
      </c>
      <c r="D23" s="1" t="inlineStr">
        <is>
          <t>2</t>
        </is>
      </c>
      <c r="E23" s="1" t="inlineStr">
        <is>
          <t>1</t>
        </is>
      </c>
      <c r="F23" s="1" t="inlineStr">
        <is>
          <t>88</t>
        </is>
      </c>
      <c r="G23" s="1" t="inlineStr">
        <is>
          <t>12</t>
        </is>
      </c>
      <c r="H23" s="1" t="inlineStr">
        <is>
          <t>2</t>
        </is>
      </c>
      <c r="I23" s="1" t="inlineStr">
        <is>
          <t>97,98</t>
        </is>
      </c>
      <c r="K23" s="1" t="inlineStr">
        <is>
          <t>11</t>
        </is>
      </c>
      <c r="L23" s="1" t="inlineStr">
        <is>
          <t>97</t>
        </is>
      </c>
      <c r="M23" s="1" t="inlineStr">
        <is>
          <t>98</t>
        </is>
      </c>
    </row>
    <row r="24">
      <c r="A24" s="1" t="n">
        <v>1123</v>
      </c>
      <c r="B24" s="1">
        <f>A24</f>
        <v/>
      </c>
      <c r="C24" s="1" t="inlineStr">
        <is>
          <t>JB1</t>
        </is>
      </c>
      <c r="D24" s="1" t="inlineStr">
        <is>
          <t>2</t>
        </is>
      </c>
      <c r="E24" s="1" t="inlineStr">
        <is>
          <t>1</t>
        </is>
      </c>
      <c r="F24" s="1" t="inlineStr">
        <is>
          <t>88</t>
        </is>
      </c>
      <c r="G24" s="1" t="inlineStr">
        <is>
          <t>13</t>
        </is>
      </c>
      <c r="H24" s="1" t="inlineStr">
        <is>
          <t>3</t>
        </is>
      </c>
      <c r="I24" s="1" t="inlineStr">
        <is>
          <t>90,97,98</t>
        </is>
      </c>
      <c r="K24" s="1" t="inlineStr">
        <is>
          <t>12</t>
        </is>
      </c>
      <c r="L24" s="1" t="inlineStr">
        <is>
          <t>90</t>
        </is>
      </c>
      <c r="M24" s="1" t="inlineStr">
        <is>
          <t>97</t>
        </is>
      </c>
      <c r="N24" s="1" t="inlineStr">
        <is>
          <t>98</t>
        </is>
      </c>
    </row>
    <row r="25">
      <c r="A25" s="1" t="n">
        <v>1124</v>
      </c>
      <c r="B25" s="1">
        <f>A25</f>
        <v/>
      </c>
      <c r="C25" s="1" t="inlineStr">
        <is>
          <t>JB2</t>
        </is>
      </c>
      <c r="D25" s="1" t="inlineStr">
        <is>
          <t>2</t>
        </is>
      </c>
      <c r="E25" s="1" t="inlineStr">
        <is>
          <t>1</t>
        </is>
      </c>
      <c r="F25" s="1" t="inlineStr">
        <is>
          <t>88</t>
        </is>
      </c>
      <c r="G25" s="1" t="inlineStr">
        <is>
          <t>9</t>
        </is>
      </c>
      <c r="H25" s="1" t="inlineStr">
        <is>
          <t>3</t>
        </is>
      </c>
      <c r="I25" s="1" t="inlineStr">
        <is>
          <t>90,97,98</t>
        </is>
      </c>
      <c r="K25" s="1" t="inlineStr">
        <is>
          <t>8</t>
        </is>
      </c>
      <c r="L25" s="1" t="inlineStr">
        <is>
          <t>90</t>
        </is>
      </c>
      <c r="M25" s="1" t="inlineStr">
        <is>
          <t>97</t>
        </is>
      </c>
      <c r="N25" s="1" t="inlineStr">
        <is>
          <t>98</t>
        </is>
      </c>
    </row>
    <row r="26">
      <c r="A26" s="1" t="n">
        <v>1125</v>
      </c>
      <c r="B26" s="1">
        <f>A26</f>
        <v/>
      </c>
      <c r="C26" s="1" t="inlineStr">
        <is>
          <t>M2</t>
        </is>
      </c>
      <c r="D26" s="1" t="inlineStr">
        <is>
          <t>2</t>
        </is>
      </c>
      <c r="E26" s="1" t="inlineStr">
        <is>
          <t>1</t>
        </is>
      </c>
      <c r="F26" s="1" t="inlineStr">
        <is>
          <t>88</t>
        </is>
      </c>
      <c r="G26" s="1" t="inlineStr">
        <is>
          <t>17</t>
        </is>
      </c>
      <c r="H26" s="1" t="inlineStr">
        <is>
          <t>2</t>
        </is>
      </c>
      <c r="I26" s="1" t="inlineStr">
        <is>
          <t>97,98</t>
        </is>
      </c>
      <c r="K26" s="1" t="inlineStr">
        <is>
          <t>16</t>
        </is>
      </c>
      <c r="L26" s="1" t="inlineStr">
        <is>
          <t>97</t>
        </is>
      </c>
      <c r="M26" s="1" t="inlineStr">
        <is>
          <t>98</t>
        </is>
      </c>
    </row>
    <row r="27">
      <c r="A27" s="1" t="n">
        <v>1126</v>
      </c>
      <c r="B27" s="1">
        <f>A27</f>
        <v/>
      </c>
      <c r="C27" s="1" t="inlineStr">
        <is>
          <t>M3</t>
        </is>
      </c>
      <c r="D27" s="1" t="inlineStr">
        <is>
          <t>2</t>
        </is>
      </c>
      <c r="E27" s="1" t="inlineStr">
        <is>
          <t>1</t>
        </is>
      </c>
      <c r="F27" s="1" t="inlineStr">
        <is>
          <t>88</t>
        </is>
      </c>
      <c r="G27" s="1" t="inlineStr">
        <is>
          <t>14</t>
        </is>
      </c>
      <c r="H27" s="1" t="inlineStr">
        <is>
          <t>2</t>
        </is>
      </c>
      <c r="I27" s="1" t="inlineStr">
        <is>
          <t>97,98</t>
        </is>
      </c>
      <c r="K27" s="1" t="inlineStr">
        <is>
          <t>13</t>
        </is>
      </c>
      <c r="L27" s="1" t="inlineStr">
        <is>
          <t>97</t>
        </is>
      </c>
      <c r="M27" s="1" t="inlineStr">
        <is>
          <t>98</t>
        </is>
      </c>
    </row>
    <row r="28">
      <c r="A28" s="1" t="n">
        <v>1127</v>
      </c>
      <c r="B28" s="1">
        <f>A28</f>
        <v/>
      </c>
      <c r="C28" s="1" t="inlineStr">
        <is>
          <t>M4s</t>
        </is>
      </c>
      <c r="D28" s="1" t="n">
        <v>1</v>
      </c>
      <c r="E28" s="1" t="n">
        <v>4</v>
      </c>
      <c r="F28" s="1" t="n">
        <v>6</v>
      </c>
      <c r="G28" s="1" t="n">
        <v>3</v>
      </c>
      <c r="H28" s="1" t="n">
        <v>0</v>
      </c>
      <c r="K28" s="1" t="n">
        <v>2</v>
      </c>
    </row>
    <row r="29">
      <c r="A29" s="1" t="n">
        <v>1128</v>
      </c>
      <c r="B29" s="1">
        <f>A29</f>
        <v/>
      </c>
      <c r="C29" s="1" t="inlineStr">
        <is>
          <t>Q20</t>
        </is>
      </c>
      <c r="D29" s="1" t="inlineStr">
        <is>
          <t>2</t>
        </is>
      </c>
      <c r="E29" s="1" t="inlineStr">
        <is>
          <t>1</t>
        </is>
      </c>
      <c r="F29" s="1" t="inlineStr">
        <is>
          <t>88</t>
        </is>
      </c>
      <c r="G29" s="1" t="inlineStr">
        <is>
          <t>8</t>
        </is>
      </c>
      <c r="H29" s="1" t="inlineStr">
        <is>
          <t>3</t>
        </is>
      </c>
      <c r="I29" s="1" t="inlineStr">
        <is>
          <t>90,97,98</t>
        </is>
      </c>
      <c r="J29" s="1" t="inlineStr">
        <is>
          <t>90</t>
        </is>
      </c>
      <c r="K29" s="1" t="inlineStr">
        <is>
          <t>7</t>
        </is>
      </c>
      <c r="L29" s="1" t="inlineStr">
        <is>
          <t>90</t>
        </is>
      </c>
      <c r="M29" s="1" t="inlineStr">
        <is>
          <t>97</t>
        </is>
      </c>
      <c r="N29" s="1" t="inlineStr">
        <is>
          <t>98</t>
        </is>
      </c>
    </row>
    <row r="30">
      <c r="A30" s="1" t="n">
        <v>1129</v>
      </c>
      <c r="B30" s="1">
        <f>A30</f>
        <v/>
      </c>
      <c r="C30" s="1" t="inlineStr">
        <is>
          <t>Q25</t>
        </is>
      </c>
      <c r="D30" s="1" t="inlineStr">
        <is>
          <t>2</t>
        </is>
      </c>
      <c r="E30" s="1" t="inlineStr">
        <is>
          <t>1</t>
        </is>
      </c>
      <c r="F30" s="1" t="inlineStr">
        <is>
          <t>88</t>
        </is>
      </c>
      <c r="G30" s="1" t="inlineStr">
        <is>
          <t>32</t>
        </is>
      </c>
      <c r="H30" s="1" t="inlineStr">
        <is>
          <t>2</t>
        </is>
      </c>
      <c r="I30" s="1" t="inlineStr">
        <is>
          <t>97,98</t>
        </is>
      </c>
      <c r="K30" s="1" t="inlineStr">
        <is>
          <t>31</t>
        </is>
      </c>
      <c r="L30" s="1" t="inlineStr">
        <is>
          <t>97</t>
        </is>
      </c>
      <c r="M30" s="1" t="inlineStr">
        <is>
          <t>98</t>
        </is>
      </c>
    </row>
    <row r="31">
      <c r="A31" s="1" t="n">
        <v>1130</v>
      </c>
      <c r="B31" s="1">
        <f>A31</f>
        <v/>
      </c>
      <c r="C31" s="1" t="inlineStr">
        <is>
          <t>Q22</t>
        </is>
      </c>
      <c r="D31" s="1" t="inlineStr">
        <is>
          <t>2</t>
        </is>
      </c>
      <c r="E31" s="1" t="inlineStr">
        <is>
          <t>1</t>
        </is>
      </c>
      <c r="F31" s="1" t="inlineStr">
        <is>
          <t>88</t>
        </is>
      </c>
      <c r="G31" s="1" t="inlineStr">
        <is>
          <t>41</t>
        </is>
      </c>
      <c r="H31" s="1" t="inlineStr">
        <is>
          <t>2</t>
        </is>
      </c>
      <c r="I31" s="1" t="inlineStr">
        <is>
          <t>97,98</t>
        </is>
      </c>
      <c r="K31" s="1" t="inlineStr">
        <is>
          <t>40</t>
        </is>
      </c>
      <c r="L31" s="1" t="inlineStr">
        <is>
          <t>97</t>
        </is>
      </c>
      <c r="M31" s="1" t="inlineStr">
        <is>
          <t>98</t>
        </is>
      </c>
    </row>
    <row r="32">
      <c r="A32" s="1" t="n">
        <v>1131</v>
      </c>
      <c r="B32" s="1">
        <f>A32</f>
        <v/>
      </c>
      <c r="C32" s="1" t="inlineStr">
        <is>
          <t>Q23</t>
        </is>
      </c>
      <c r="D32" s="1" t="inlineStr">
        <is>
          <t>2</t>
        </is>
      </c>
      <c r="E32" s="1" t="inlineStr">
        <is>
          <t>1</t>
        </is>
      </c>
      <c r="F32" s="1" t="inlineStr">
        <is>
          <t>88</t>
        </is>
      </c>
      <c r="G32" s="1" t="inlineStr">
        <is>
          <t>28</t>
        </is>
      </c>
      <c r="H32" s="1" t="inlineStr">
        <is>
          <t>2</t>
        </is>
      </c>
      <c r="I32" s="1" t="inlineStr">
        <is>
          <t>97,98</t>
        </is>
      </c>
      <c r="K32" s="1" t="inlineStr">
        <is>
          <t>27</t>
        </is>
      </c>
      <c r="L32" s="1" t="inlineStr">
        <is>
          <t>97</t>
        </is>
      </c>
      <c r="M32" s="1" t="inlineStr">
        <is>
          <t>98</t>
        </is>
      </c>
    </row>
    <row r="33">
      <c r="A33" s="1" t="n">
        <v>1132</v>
      </c>
      <c r="B33" s="1">
        <f>A33</f>
        <v/>
      </c>
      <c r="C33" s="1" t="inlineStr">
        <is>
          <t>Q26</t>
        </is>
      </c>
      <c r="D33" s="1" t="inlineStr">
        <is>
          <t>2</t>
        </is>
      </c>
      <c r="E33" s="1" t="inlineStr">
        <is>
          <t>1</t>
        </is>
      </c>
      <c r="F33" s="1" t="inlineStr">
        <is>
          <t>88</t>
        </is>
      </c>
      <c r="G33" s="1" t="inlineStr">
        <is>
          <t>30</t>
        </is>
      </c>
      <c r="H33" s="1" t="inlineStr">
        <is>
          <t>2</t>
        </is>
      </c>
      <c r="I33" s="1" t="inlineStr">
        <is>
          <t>97,98</t>
        </is>
      </c>
      <c r="K33" s="1" t="inlineStr">
        <is>
          <t>29</t>
        </is>
      </c>
      <c r="L33" s="1" t="inlineStr">
        <is>
          <t>97</t>
        </is>
      </c>
      <c r="M33" s="1" t="inlineStr">
        <is>
          <t>98</t>
        </is>
      </c>
    </row>
    <row r="34">
      <c r="A34" s="1" t="n">
        <v>1133</v>
      </c>
      <c r="B34" s="1">
        <f>A34</f>
        <v/>
      </c>
      <c r="C34" s="1" t="inlineStr">
        <is>
          <t>Q27</t>
        </is>
      </c>
      <c r="D34" s="1" t="inlineStr">
        <is>
          <t>2</t>
        </is>
      </c>
      <c r="E34" s="1" t="inlineStr">
        <is>
          <t>1</t>
        </is>
      </c>
      <c r="F34" s="1" t="inlineStr">
        <is>
          <t>88</t>
        </is>
      </c>
      <c r="G34" s="1" t="inlineStr">
        <is>
          <t>8</t>
        </is>
      </c>
      <c r="H34" s="1" t="inlineStr">
        <is>
          <t>2</t>
        </is>
      </c>
      <c r="I34" s="1" t="inlineStr">
        <is>
          <t>97,98</t>
        </is>
      </c>
      <c r="K34" s="1" t="inlineStr">
        <is>
          <t>7</t>
        </is>
      </c>
      <c r="L34" s="1" t="inlineStr">
        <is>
          <t>97</t>
        </is>
      </c>
      <c r="M34" s="1" t="inlineStr">
        <is>
          <t>98</t>
        </is>
      </c>
    </row>
    <row r="35">
      <c r="A35" s="1" t="n">
        <v>1134</v>
      </c>
      <c r="B35" s="1">
        <f>A35</f>
        <v/>
      </c>
      <c r="C35" s="1" t="inlineStr">
        <is>
          <t>Q30</t>
        </is>
      </c>
      <c r="D35" s="1" t="inlineStr">
        <is>
          <t>2</t>
        </is>
      </c>
      <c r="E35" s="1" t="inlineStr">
        <is>
          <t>1</t>
        </is>
      </c>
      <c r="F35" s="1" t="inlineStr">
        <is>
          <t>8</t>
        </is>
      </c>
      <c r="G35" s="1" t="inlineStr">
        <is>
          <t>9</t>
        </is>
      </c>
      <c r="H35" s="1" t="inlineStr">
        <is>
          <t>3</t>
        </is>
      </c>
      <c r="I35" s="1" t="inlineStr">
        <is>
          <t>90,97,98</t>
        </is>
      </c>
      <c r="J35" s="1" t="inlineStr">
        <is>
          <t>90</t>
        </is>
      </c>
      <c r="K35" s="1" t="inlineStr">
        <is>
          <t>8</t>
        </is>
      </c>
      <c r="L35" s="1" t="inlineStr">
        <is>
          <t>90</t>
        </is>
      </c>
      <c r="M35" s="1" t="inlineStr">
        <is>
          <t>97</t>
        </is>
      </c>
      <c r="N35" s="1" t="inlineStr">
        <is>
          <t>98</t>
        </is>
      </c>
    </row>
    <row r="36">
      <c r="A36" s="1" t="n">
        <v>1135</v>
      </c>
      <c r="B36" s="1">
        <f>A36</f>
        <v/>
      </c>
      <c r="C36" s="1" t="inlineStr">
        <is>
          <t>Q31</t>
        </is>
      </c>
      <c r="D36" s="1" t="inlineStr">
        <is>
          <t>2</t>
        </is>
      </c>
      <c r="E36" s="1" t="inlineStr">
        <is>
          <t>1</t>
        </is>
      </c>
      <c r="F36" s="1" t="inlineStr">
        <is>
          <t>8</t>
        </is>
      </c>
      <c r="G36" s="1" t="inlineStr">
        <is>
          <t>9</t>
        </is>
      </c>
      <c r="H36" s="1" t="inlineStr">
        <is>
          <t>3</t>
        </is>
      </c>
      <c r="I36" s="1" t="inlineStr">
        <is>
          <t>90,97,98</t>
        </is>
      </c>
      <c r="J36" s="1" t="inlineStr">
        <is>
          <t>90</t>
        </is>
      </c>
      <c r="K36" s="1" t="inlineStr">
        <is>
          <t>8</t>
        </is>
      </c>
      <c r="L36" s="1" t="inlineStr">
        <is>
          <t>90</t>
        </is>
      </c>
      <c r="M36" s="1" t="inlineStr">
        <is>
          <t>97</t>
        </is>
      </c>
      <c r="N36" s="1" t="inlineStr">
        <is>
          <t>98</t>
        </is>
      </c>
    </row>
    <row r="37">
      <c r="A37" s="1" t="n">
        <v>1136</v>
      </c>
      <c r="B37" s="1">
        <f>A37</f>
        <v/>
      </c>
      <c r="C37" s="1" t="inlineStr">
        <is>
          <t>ZE2</t>
        </is>
      </c>
      <c r="D37" s="1" t="inlineStr">
        <is>
          <t>2</t>
        </is>
      </c>
      <c r="E37" s="1" t="inlineStr">
        <is>
          <t>1</t>
        </is>
      </c>
      <c r="F37" s="1" t="inlineStr">
        <is>
          <t>3</t>
        </is>
      </c>
      <c r="G37" s="1" t="inlineStr">
        <is>
          <t>3</t>
        </is>
      </c>
      <c r="H37" s="1" t="inlineStr">
        <is>
          <t>0</t>
        </is>
      </c>
      <c r="J37" s="1" t="inlineStr">
        <is>
          <t>3</t>
        </is>
      </c>
      <c r="K37" s="1" t="inlineStr">
        <is>
          <t>2</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R28"/>
  <sheetViews>
    <sheetView workbookViewId="0">
      <selection activeCell="Q8" sqref="Q8"/>
    </sheetView>
  </sheetViews>
  <sheetFormatPr baseColWidth="8" defaultRowHeight="16.5"/>
  <cols>
    <col width="5.5" bestFit="1" customWidth="1" style="16" min="1" max="2"/>
    <col width="7.375" customWidth="1" style="16" min="3" max="3"/>
    <col width="6" bestFit="1" customWidth="1" style="16" min="4" max="4"/>
    <col width="18.875" bestFit="1" customWidth="1" style="9" min="5" max="6"/>
    <col width="10.5" bestFit="1" customWidth="1" style="17" min="7" max="7"/>
    <col width="15.375" bestFit="1" customWidth="1" style="16" min="8" max="8"/>
    <col width="17.75" bestFit="1" customWidth="1" style="16" min="9" max="9"/>
    <col width="10.5" bestFit="1" customWidth="1" style="9" min="10" max="10"/>
    <col width="32.5" customWidth="1" style="16" min="11" max="11"/>
    <col width="25.5" customWidth="1" style="16" min="12" max="12"/>
    <col width="7" customWidth="1" style="16" min="13" max="15"/>
    <col width="12.375" customWidth="1" style="16" min="16" max="16"/>
    <col width="8.875" customWidth="1" style="1" min="17" max="17"/>
  </cols>
  <sheetData>
    <row r="1" customFormat="1" s="1">
      <c r="A1" s="1" t="inlineStr">
        <is>
          <t>m</t>
        </is>
      </c>
      <c r="B1" s="1" t="inlineStr">
        <is>
          <t>p</t>
        </is>
      </c>
      <c r="C1" s="3" t="inlineStr">
        <is>
          <t>題號</t>
        </is>
      </c>
      <c r="D1" s="10" t="inlineStr">
        <is>
          <t>寬度</t>
        </is>
      </c>
      <c r="E1" s="11" t="inlineStr">
        <is>
          <t>互斥選項編號_起</t>
        </is>
      </c>
      <c r="F1" s="11" t="inlineStr">
        <is>
          <t>互斥選項編號_迄</t>
        </is>
      </c>
      <c r="G1" s="10" t="inlineStr">
        <is>
          <t>類型</t>
        </is>
      </c>
      <c r="H1" s="11" t="inlineStr">
        <is>
          <t>不可選擇數量</t>
        </is>
      </c>
      <c r="I1" s="14" t="inlineStr">
        <is>
          <t>非連續互斥選項</t>
        </is>
      </c>
      <c r="J1" s="11" t="inlineStr">
        <is>
          <t>互斥選項</t>
        </is>
      </c>
      <c r="K1" s="4" t="inlineStr">
        <is>
          <t>程式1</t>
        </is>
      </c>
      <c r="L1" s="5" t="inlineStr">
        <is>
          <t>程式2</t>
        </is>
      </c>
      <c r="M1" s="5" t="inlineStr">
        <is>
          <t>程式3</t>
        </is>
      </c>
      <c r="N1" s="4" t="inlineStr">
        <is>
          <t>程式4</t>
        </is>
      </c>
      <c r="O1" s="5" t="inlineStr">
        <is>
          <t>程式5</t>
        </is>
      </c>
      <c r="P1" s="1" t="inlineStr">
        <is>
          <t>s</t>
        </is>
      </c>
      <c r="Q1" s="1" t="inlineStr">
        <is>
          <t>s=</t>
        </is>
      </c>
    </row>
    <row r="2">
      <c r="A2" s="1" t="n"/>
      <c r="B2" s="1" t="n"/>
      <c r="C2" s="1" t="inlineStr">
        <is>
          <t>K1</t>
        </is>
      </c>
      <c r="D2" s="7" t="inlineStr">
        <is>
          <t>2</t>
        </is>
      </c>
      <c r="E2" s="1" t="inlineStr">
        <is>
          <t>1</t>
        </is>
      </c>
      <c r="F2" s="1" t="inlineStr">
        <is>
          <t>13</t>
        </is>
      </c>
      <c r="G2" s="7" t="inlineStr">
        <is>
          <t>range</t>
        </is>
      </c>
      <c r="H2" s="9" t="inlineStr">
        <is>
          <t>3</t>
        </is>
      </c>
      <c r="I2" s="12" t="inlineStr">
        <is>
          <t>88</t>
        </is>
      </c>
      <c r="J2" s="1" t="inlineStr">
        <is>
          <t>90</t>
        </is>
      </c>
      <c r="K2" s="1">
        <f>IF(G2="複選","any(1,v"&amp;C2&amp;"m"&amp;E2&amp;" to v"&amp;C2&amp;"m"&amp;F2&amp;")","any(v"&amp;C2&amp;","&amp;E2&amp;")")</f>
        <v/>
      </c>
      <c r="P2" s="1" t="n"/>
      <c r="R2" s="15" t="inlineStr">
        <is>
          <t xml:space="preserve">使用方式： 將「複選題」工作表中有定義「互斥選項」者貼入此工作表
</t>
        </is>
      </c>
    </row>
    <row r="3">
      <c r="A3" s="1" t="n"/>
      <c r="B3" s="1" t="n"/>
      <c r="C3" s="1" t="inlineStr">
        <is>
          <t>K2</t>
        </is>
      </c>
      <c r="D3" s="7" t="inlineStr">
        <is>
          <t>2</t>
        </is>
      </c>
      <c r="E3" s="1" t="inlineStr">
        <is>
          <t>1</t>
        </is>
      </c>
      <c r="F3" s="1" t="inlineStr">
        <is>
          <t>9</t>
        </is>
      </c>
      <c r="G3" s="7" t="inlineStr">
        <is>
          <t>range</t>
        </is>
      </c>
      <c r="H3" s="1" t="inlineStr">
        <is>
          <t>3</t>
        </is>
      </c>
      <c r="I3" s="1" t="inlineStr">
        <is>
          <t>11,12,13,88</t>
        </is>
      </c>
      <c r="J3" s="1" t="inlineStr">
        <is>
          <t>90</t>
        </is>
      </c>
      <c r="K3" s="1">
        <f>IF(G3="複選","any(1,v"&amp;C3&amp;"m"&amp;E3&amp;" to v"&amp;C3&amp;"m"&amp;F3&amp;")","any(v"&amp;C3&amp;","&amp;E3&amp;")")</f>
        <v/>
      </c>
      <c r="P3" s="1" t="n"/>
    </row>
    <row r="4">
      <c r="A4" s="1" t="n"/>
      <c r="B4" s="1" t="n"/>
      <c r="C4" s="1" t="inlineStr">
        <is>
          <t>K3</t>
        </is>
      </c>
      <c r="D4" s="7" t="inlineStr">
        <is>
          <t>2</t>
        </is>
      </c>
      <c r="E4" s="1" t="inlineStr">
        <is>
          <t>1</t>
        </is>
      </c>
      <c r="F4" s="1" t="inlineStr">
        <is>
          <t>9</t>
        </is>
      </c>
      <c r="G4" s="7" t="inlineStr">
        <is>
          <t>range</t>
        </is>
      </c>
      <c r="H4" s="1" t="inlineStr">
        <is>
          <t>3</t>
        </is>
      </c>
      <c r="I4" s="1" t="inlineStr">
        <is>
          <t>88</t>
        </is>
      </c>
      <c r="J4" s="1" t="inlineStr">
        <is>
          <t>90</t>
        </is>
      </c>
      <c r="K4" s="1">
        <f>IF(G4="複選","any(1,v"&amp;C4&amp;"m"&amp;E4&amp;" to v"&amp;C4&amp;"m"&amp;F4&amp;")","any(v"&amp;C4&amp;","&amp;E4&amp;")")</f>
        <v/>
      </c>
      <c r="P4" s="1" t="n"/>
    </row>
    <row r="5">
      <c r="A5" s="1" t="n"/>
      <c r="B5" s="1" t="n"/>
      <c r="C5" s="1" t="inlineStr">
        <is>
          <t>Q20</t>
        </is>
      </c>
      <c r="D5" s="1" t="inlineStr">
        <is>
          <t>2</t>
        </is>
      </c>
      <c r="E5" s="1" t="inlineStr">
        <is>
          <t>1</t>
        </is>
      </c>
      <c r="F5" s="1" t="inlineStr">
        <is>
          <t>6</t>
        </is>
      </c>
      <c r="G5" s="7" t="inlineStr">
        <is>
          <t>range</t>
        </is>
      </c>
      <c r="H5" s="1" t="inlineStr">
        <is>
          <t>3</t>
        </is>
      </c>
      <c r="I5" s="1" t="inlineStr">
        <is>
          <t>88</t>
        </is>
      </c>
      <c r="J5" s="1" t="inlineStr">
        <is>
          <t>90</t>
        </is>
      </c>
      <c r="K5" s="1">
        <f>IF(G5="複選","any(1,v"&amp;C5&amp;"m"&amp;E5&amp;" to v"&amp;C5&amp;"m"&amp;F5&amp;")","any(v"&amp;C5&amp;","&amp;E5&amp;")")</f>
        <v/>
      </c>
      <c r="P5" s="1" t="n"/>
    </row>
    <row r="6">
      <c r="A6" s="1" t="n"/>
      <c r="B6" s="1" t="n"/>
      <c r="C6" s="1" t="inlineStr">
        <is>
          <t>Q30</t>
        </is>
      </c>
      <c r="D6" s="1" t="inlineStr">
        <is>
          <t>2</t>
        </is>
      </c>
      <c r="E6" s="1" t="inlineStr">
        <is>
          <t>1</t>
        </is>
      </c>
      <c r="F6" s="1" t="inlineStr">
        <is>
          <t>8</t>
        </is>
      </c>
      <c r="G6" s="7" t="inlineStr">
        <is>
          <t>range</t>
        </is>
      </c>
      <c r="H6" s="1" t="inlineStr">
        <is>
          <t>3</t>
        </is>
      </c>
      <c r="J6" s="1" t="inlineStr">
        <is>
          <t>90</t>
        </is>
      </c>
      <c r="K6" s="1">
        <f>IF(G6="複選","any(1,v"&amp;C6&amp;"m"&amp;E6&amp;" to v"&amp;C6&amp;"m"&amp;F6&amp;")","any(v"&amp;C6&amp;","&amp;E6&amp;")")</f>
        <v/>
      </c>
      <c r="P6" s="1" t="n"/>
    </row>
    <row r="7">
      <c r="A7" s="1" t="n"/>
      <c r="B7" s="1" t="n"/>
      <c r="C7" s="1" t="inlineStr">
        <is>
          <t>Q31</t>
        </is>
      </c>
      <c r="D7" s="1" t="inlineStr">
        <is>
          <t>2</t>
        </is>
      </c>
      <c r="E7" s="1" t="inlineStr">
        <is>
          <t>1</t>
        </is>
      </c>
      <c r="F7" s="1" t="inlineStr">
        <is>
          <t>8</t>
        </is>
      </c>
      <c r="G7" s="7" t="inlineStr">
        <is>
          <t>range</t>
        </is>
      </c>
      <c r="H7" s="1" t="inlineStr">
        <is>
          <t>3</t>
        </is>
      </c>
      <c r="J7" s="1" t="inlineStr">
        <is>
          <t>90</t>
        </is>
      </c>
      <c r="K7" s="1">
        <f>IF(G7="複選","any(1,v"&amp;C7&amp;"m"&amp;E7&amp;" to v"&amp;C7&amp;"m"&amp;F7&amp;")","any(v"&amp;C7&amp;","&amp;E7&amp;")")</f>
        <v/>
      </c>
      <c r="P7" s="1" t="n"/>
    </row>
    <row r="8">
      <c r="A8" s="1" t="n"/>
      <c r="B8" s="1" t="n"/>
      <c r="C8" s="1" t="inlineStr">
        <is>
          <t>ZE2</t>
        </is>
      </c>
      <c r="D8" s="1" t="inlineStr">
        <is>
          <t>2</t>
        </is>
      </c>
      <c r="E8" s="1" t="inlineStr">
        <is>
          <t>1</t>
        </is>
      </c>
      <c r="F8" s="1" t="inlineStr">
        <is>
          <t>2</t>
        </is>
      </c>
      <c r="G8" s="7" t="inlineStr">
        <is>
          <t>range</t>
        </is>
      </c>
      <c r="H8" s="1" t="inlineStr">
        <is>
          <t>0</t>
        </is>
      </c>
      <c r="J8" s="1" t="inlineStr">
        <is>
          <t>3</t>
        </is>
      </c>
      <c r="K8" s="1">
        <f>IF(G8="複選","any(1,v"&amp;C8&amp;"m"&amp;E8&amp;" to v"&amp;C8&amp;"m"&amp;F8&amp;")","any(v"&amp;C8&amp;","&amp;E8&amp;")")</f>
        <v/>
      </c>
      <c r="P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B587"/>
  <sheetViews>
    <sheetView topLeftCell="A10" workbookViewId="0">
      <selection activeCell="A2" sqref="A2:B587"/>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t="inlineStr">
        <is>
          <t>vK1</t>
        </is>
      </c>
    </row>
    <row r="3">
      <c r="A3" s="1" t="inlineStr">
        <is>
          <t>vK1m02</t>
        </is>
      </c>
      <c r="B3" s="1" t="inlineStr">
        <is>
          <t>vK1</t>
        </is>
      </c>
    </row>
    <row r="4">
      <c r="A4" s="1" t="inlineStr">
        <is>
          <t>vK1m03</t>
        </is>
      </c>
      <c r="B4" s="1" t="inlineStr">
        <is>
          <t>vK1</t>
        </is>
      </c>
    </row>
    <row r="5">
      <c r="A5" s="1" t="inlineStr">
        <is>
          <t>vK1m04</t>
        </is>
      </c>
      <c r="B5" s="1" t="inlineStr">
        <is>
          <t>vK1</t>
        </is>
      </c>
    </row>
    <row r="6">
      <c r="A6" s="1" t="inlineStr">
        <is>
          <t>vK1m05</t>
        </is>
      </c>
      <c r="B6" s="1" t="inlineStr">
        <is>
          <t>vK1</t>
        </is>
      </c>
    </row>
    <row r="7">
      <c r="A7" s="1" t="inlineStr">
        <is>
          <t>vK1m06</t>
        </is>
      </c>
      <c r="B7" s="1" t="inlineStr">
        <is>
          <t>vK1</t>
        </is>
      </c>
    </row>
    <row r="8">
      <c r="A8" s="1" t="inlineStr">
        <is>
          <t>vK1m07</t>
        </is>
      </c>
      <c r="B8" s="1" t="inlineStr">
        <is>
          <t>vK1</t>
        </is>
      </c>
    </row>
    <row r="9">
      <c r="A9" s="1" t="inlineStr">
        <is>
          <t>vK1m08</t>
        </is>
      </c>
      <c r="B9" s="1" t="inlineStr">
        <is>
          <t>vK1</t>
        </is>
      </c>
    </row>
    <row r="10">
      <c r="A10" s="1" t="inlineStr">
        <is>
          <t>vK1m09</t>
        </is>
      </c>
      <c r="B10" s="1" t="inlineStr">
        <is>
          <t>vK1</t>
        </is>
      </c>
    </row>
    <row r="11">
      <c r="A11" s="1" t="inlineStr">
        <is>
          <t>vK1m10</t>
        </is>
      </c>
      <c r="B11" s="1" t="inlineStr">
        <is>
          <t>vK1</t>
        </is>
      </c>
    </row>
    <row r="12">
      <c r="A12" s="1" t="inlineStr">
        <is>
          <t>vK1m11</t>
        </is>
      </c>
      <c r="B12" s="1" t="inlineStr">
        <is>
          <t>vK1</t>
        </is>
      </c>
    </row>
    <row r="13">
      <c r="A13" s="1" t="inlineStr">
        <is>
          <t>vK1m12</t>
        </is>
      </c>
      <c r="B13" s="1" t="inlineStr">
        <is>
          <t>vK1</t>
        </is>
      </c>
    </row>
    <row r="14">
      <c r="A14" s="1" t="inlineStr">
        <is>
          <t>vK1m13</t>
        </is>
      </c>
      <c r="B14" s="1" t="inlineStr">
        <is>
          <t>vK1</t>
        </is>
      </c>
    </row>
    <row r="15">
      <c r="A15" s="1" t="inlineStr">
        <is>
          <t>vK1m88</t>
        </is>
      </c>
      <c r="B15" s="1" t="inlineStr">
        <is>
          <t>vK1</t>
        </is>
      </c>
    </row>
    <row r="16">
      <c r="A16" s="1" t="inlineStr">
        <is>
          <t>vK1m90</t>
        </is>
      </c>
      <c r="B16" s="1" t="inlineStr">
        <is>
          <t>vK1</t>
        </is>
      </c>
    </row>
    <row r="17">
      <c r="A17" s="1" t="inlineStr">
        <is>
          <t>vK2m01</t>
        </is>
      </c>
      <c r="B17" s="1" t="inlineStr">
        <is>
          <t>vK2</t>
        </is>
      </c>
    </row>
    <row r="18">
      <c r="A18" s="1" t="inlineStr">
        <is>
          <t>vK2m02</t>
        </is>
      </c>
      <c r="B18" s="1" t="inlineStr">
        <is>
          <t>vK2</t>
        </is>
      </c>
    </row>
    <row r="19">
      <c r="A19" s="1" t="inlineStr">
        <is>
          <t>vK2m03</t>
        </is>
      </c>
      <c r="B19" s="1" t="inlineStr">
        <is>
          <t>vK2</t>
        </is>
      </c>
    </row>
    <row r="20">
      <c r="A20" s="1" t="inlineStr">
        <is>
          <t>vK2m04</t>
        </is>
      </c>
      <c r="B20" s="1" t="inlineStr">
        <is>
          <t>vK2</t>
        </is>
      </c>
    </row>
    <row r="21">
      <c r="A21" s="1" t="inlineStr">
        <is>
          <t>vK2m05</t>
        </is>
      </c>
      <c r="B21" s="1" t="inlineStr">
        <is>
          <t>vK2</t>
        </is>
      </c>
    </row>
    <row r="22">
      <c r="A22" s="1" t="inlineStr">
        <is>
          <t>vK2m06</t>
        </is>
      </c>
      <c r="B22" s="1" t="inlineStr">
        <is>
          <t>vK2</t>
        </is>
      </c>
    </row>
    <row r="23">
      <c r="A23" s="1" t="inlineStr">
        <is>
          <t>vK2m07</t>
        </is>
      </c>
      <c r="B23" s="1" t="inlineStr">
        <is>
          <t>vK2</t>
        </is>
      </c>
    </row>
    <row r="24">
      <c r="A24" s="1" t="inlineStr">
        <is>
          <t>vK2m08</t>
        </is>
      </c>
      <c r="B24" s="1" t="inlineStr">
        <is>
          <t>vK2</t>
        </is>
      </c>
    </row>
    <row r="25">
      <c r="A25" s="1" t="inlineStr">
        <is>
          <t>vK2m09</t>
        </is>
      </c>
      <c r="B25" s="1" t="inlineStr">
        <is>
          <t>vK2</t>
        </is>
      </c>
    </row>
    <row r="26">
      <c r="A26" s="1" t="inlineStr">
        <is>
          <t>vK2m11</t>
        </is>
      </c>
      <c r="B26" s="1" t="inlineStr">
        <is>
          <t>vK2</t>
        </is>
      </c>
    </row>
    <row r="27">
      <c r="A27" s="1" t="inlineStr">
        <is>
          <t>vK2m12</t>
        </is>
      </c>
      <c r="B27" s="1" t="inlineStr">
        <is>
          <t>vK2</t>
        </is>
      </c>
    </row>
    <row r="28">
      <c r="A28" s="1" t="inlineStr">
        <is>
          <t>vK2m13</t>
        </is>
      </c>
      <c r="B28" s="1" t="inlineStr">
        <is>
          <t>vK2</t>
        </is>
      </c>
    </row>
    <row r="29">
      <c r="A29" s="1" t="inlineStr">
        <is>
          <t>vK2m88</t>
        </is>
      </c>
      <c r="B29" s="1" t="inlineStr">
        <is>
          <t>vK2</t>
        </is>
      </c>
    </row>
    <row r="30">
      <c r="A30" s="1" t="inlineStr">
        <is>
          <t>vK2m90</t>
        </is>
      </c>
      <c r="B30" s="1" t="inlineStr">
        <is>
          <t>vK2</t>
        </is>
      </c>
    </row>
    <row r="31">
      <c r="A31" s="1" t="inlineStr">
        <is>
          <t>vKFB3m01</t>
        </is>
      </c>
      <c r="B31" s="1" t="inlineStr">
        <is>
          <t>vKFB3</t>
        </is>
      </c>
    </row>
    <row r="32">
      <c r="A32" s="1" t="inlineStr">
        <is>
          <t>vKFB3m02</t>
        </is>
      </c>
      <c r="B32" s="1" t="inlineStr">
        <is>
          <t>vKFB3</t>
        </is>
      </c>
    </row>
    <row r="33">
      <c r="A33" s="1" t="inlineStr">
        <is>
          <t>vKFB3m03</t>
        </is>
      </c>
      <c r="B33" s="1" t="inlineStr">
        <is>
          <t>vKFB3</t>
        </is>
      </c>
    </row>
    <row r="34">
      <c r="A34" s="1" t="inlineStr">
        <is>
          <t>vKFB3m04</t>
        </is>
      </c>
      <c r="B34" s="1" t="inlineStr">
        <is>
          <t>vKFB3</t>
        </is>
      </c>
    </row>
    <row r="35">
      <c r="A35" s="1" t="inlineStr">
        <is>
          <t>vKFB3m05</t>
        </is>
      </c>
      <c r="B35" s="1" t="inlineStr">
        <is>
          <t>vKFB3</t>
        </is>
      </c>
    </row>
    <row r="36">
      <c r="A36" s="1" t="inlineStr">
        <is>
          <t>vKFB3m06</t>
        </is>
      </c>
      <c r="B36" s="1" t="inlineStr">
        <is>
          <t>vKFB3</t>
        </is>
      </c>
    </row>
    <row r="37">
      <c r="A37" s="1" t="inlineStr">
        <is>
          <t>vKFB3m07</t>
        </is>
      </c>
      <c r="B37" s="1" t="inlineStr">
        <is>
          <t>vKFB3</t>
        </is>
      </c>
    </row>
    <row r="38">
      <c r="A38" s="1" t="inlineStr">
        <is>
          <t>vKFB3m08</t>
        </is>
      </c>
      <c r="B38" s="1" t="inlineStr">
        <is>
          <t>vKFB3</t>
        </is>
      </c>
    </row>
    <row r="39">
      <c r="A39" s="1" t="inlineStr">
        <is>
          <t>vKFB3m09</t>
        </is>
      </c>
      <c r="B39" s="1" t="inlineStr">
        <is>
          <t>vKFB3</t>
        </is>
      </c>
    </row>
    <row r="40">
      <c r="A40" s="1" t="inlineStr">
        <is>
          <t>vKFB3m10</t>
        </is>
      </c>
      <c r="B40" s="1" t="inlineStr">
        <is>
          <t>vKFB3</t>
        </is>
      </c>
    </row>
    <row r="41">
      <c r="A41" s="1" t="inlineStr">
        <is>
          <t>vKFB3m11</t>
        </is>
      </c>
      <c r="B41" s="1" t="inlineStr">
        <is>
          <t>vKFB3</t>
        </is>
      </c>
    </row>
    <row r="42">
      <c r="A42" s="1" t="inlineStr">
        <is>
          <t>vKFB3m12</t>
        </is>
      </c>
      <c r="B42" s="1" t="inlineStr">
        <is>
          <t>vKFB3</t>
        </is>
      </c>
    </row>
    <row r="43">
      <c r="A43" s="1" t="inlineStr">
        <is>
          <t>vKFB3m13</t>
        </is>
      </c>
      <c r="B43" s="1" t="inlineStr">
        <is>
          <t>vKFB3</t>
        </is>
      </c>
    </row>
    <row r="44">
      <c r="A44" s="1" t="inlineStr">
        <is>
          <t>vKFB3m14</t>
        </is>
      </c>
      <c r="B44" s="1" t="inlineStr">
        <is>
          <t>vKFB3</t>
        </is>
      </c>
    </row>
    <row r="45">
      <c r="A45" s="1" t="inlineStr">
        <is>
          <t>vKFB3m15</t>
        </is>
      </c>
      <c r="B45" s="1" t="inlineStr">
        <is>
          <t>vKFB3</t>
        </is>
      </c>
    </row>
    <row r="46">
      <c r="A46" s="1" t="inlineStr">
        <is>
          <t>vKFB3m16</t>
        </is>
      </c>
      <c r="B46" s="1" t="inlineStr">
        <is>
          <t>vKFB3</t>
        </is>
      </c>
    </row>
    <row r="47">
      <c r="A47" s="1" t="inlineStr">
        <is>
          <t>vKFB3m17</t>
        </is>
      </c>
      <c r="B47" s="1" t="inlineStr">
        <is>
          <t>vKFB3</t>
        </is>
      </c>
    </row>
    <row r="48">
      <c r="A48" s="1" t="inlineStr">
        <is>
          <t>vKFB3m88</t>
        </is>
      </c>
      <c r="B48" s="1" t="inlineStr">
        <is>
          <t>vKFB3</t>
        </is>
      </c>
    </row>
    <row r="49">
      <c r="A49" s="1" t="inlineStr">
        <is>
          <t>vKFB4m01</t>
        </is>
      </c>
      <c r="B49" s="1" t="inlineStr">
        <is>
          <t>vKFB4</t>
        </is>
      </c>
    </row>
    <row r="50">
      <c r="A50" s="1" t="inlineStr">
        <is>
          <t>vKFB4m02</t>
        </is>
      </c>
      <c r="B50" s="1" t="inlineStr">
        <is>
          <t>vKFB4</t>
        </is>
      </c>
    </row>
    <row r="51">
      <c r="A51" s="1" t="inlineStr">
        <is>
          <t>vKFB4m03</t>
        </is>
      </c>
      <c r="B51" s="1" t="inlineStr">
        <is>
          <t>vKFB4</t>
        </is>
      </c>
    </row>
    <row r="52">
      <c r="A52" s="1" t="inlineStr">
        <is>
          <t>vKFB4m04</t>
        </is>
      </c>
      <c r="B52" s="1" t="inlineStr">
        <is>
          <t>vKFB4</t>
        </is>
      </c>
    </row>
    <row r="53">
      <c r="A53" s="1" t="inlineStr">
        <is>
          <t>vKFB4m05</t>
        </is>
      </c>
      <c r="B53" s="1" t="inlineStr">
        <is>
          <t>vKFB4</t>
        </is>
      </c>
    </row>
    <row r="54">
      <c r="A54" s="1" t="inlineStr">
        <is>
          <t>vKFB4m06</t>
        </is>
      </c>
      <c r="B54" s="1" t="inlineStr">
        <is>
          <t>vKFB4</t>
        </is>
      </c>
    </row>
    <row r="55">
      <c r="A55" s="1" t="inlineStr">
        <is>
          <t>vKFB4m07</t>
        </is>
      </c>
      <c r="B55" s="1" t="inlineStr">
        <is>
          <t>vKFB4</t>
        </is>
      </c>
    </row>
    <row r="56">
      <c r="A56" s="1" t="inlineStr">
        <is>
          <t>vKFB4m08</t>
        </is>
      </c>
      <c r="B56" s="1" t="inlineStr">
        <is>
          <t>vKFB4</t>
        </is>
      </c>
    </row>
    <row r="57">
      <c r="A57" s="1" t="inlineStr">
        <is>
          <t>vKFB4m09</t>
        </is>
      </c>
      <c r="B57" s="1" t="inlineStr">
        <is>
          <t>vKFB4</t>
        </is>
      </c>
    </row>
    <row r="58">
      <c r="A58" s="1" t="inlineStr">
        <is>
          <t>vKFB4m10</t>
        </is>
      </c>
      <c r="B58" s="1" t="inlineStr">
        <is>
          <t>vKFB4</t>
        </is>
      </c>
    </row>
    <row r="59">
      <c r="A59" s="1" t="inlineStr">
        <is>
          <t>vKFB4m11</t>
        </is>
      </c>
      <c r="B59" s="1" t="inlineStr">
        <is>
          <t>vKFB4</t>
        </is>
      </c>
    </row>
    <row r="60">
      <c r="A60" s="1" t="inlineStr">
        <is>
          <t>vKFB4m12</t>
        </is>
      </c>
      <c r="B60" s="1" t="inlineStr">
        <is>
          <t>vKFB4</t>
        </is>
      </c>
    </row>
    <row r="61">
      <c r="A61" s="1" t="inlineStr">
        <is>
          <t>vKFB4m13</t>
        </is>
      </c>
      <c r="B61" s="1" t="inlineStr">
        <is>
          <t>vKFB4</t>
        </is>
      </c>
    </row>
    <row r="62">
      <c r="A62" s="1" t="inlineStr">
        <is>
          <t>vKFB4m14</t>
        </is>
      </c>
      <c r="B62" s="1" t="inlineStr">
        <is>
          <t>vKFB4</t>
        </is>
      </c>
    </row>
    <row r="63">
      <c r="A63" s="1" t="inlineStr">
        <is>
          <t>vKFB4m15</t>
        </is>
      </c>
      <c r="B63" s="1" t="inlineStr">
        <is>
          <t>vKFB4</t>
        </is>
      </c>
    </row>
    <row r="64">
      <c r="A64" s="1" t="inlineStr">
        <is>
          <t>vKFB4m16</t>
        </is>
      </c>
      <c r="B64" s="1" t="inlineStr">
        <is>
          <t>vKFB4</t>
        </is>
      </c>
    </row>
    <row r="65">
      <c r="A65" s="1" t="inlineStr">
        <is>
          <t>vKFB4m17</t>
        </is>
      </c>
      <c r="B65" s="1" t="inlineStr">
        <is>
          <t>vKFB4</t>
        </is>
      </c>
    </row>
    <row r="66">
      <c r="A66" s="1" t="inlineStr">
        <is>
          <t>vKFB4m18</t>
        </is>
      </c>
      <c r="B66" s="1" t="inlineStr">
        <is>
          <t>vKFB4</t>
        </is>
      </c>
    </row>
    <row r="67">
      <c r="A67" s="1" t="inlineStr">
        <is>
          <t>vKFB4m88</t>
        </is>
      </c>
      <c r="B67" s="1" t="inlineStr">
        <is>
          <t>vKFB4</t>
        </is>
      </c>
    </row>
    <row r="68">
      <c r="A68" s="1" t="inlineStr">
        <is>
          <t>vKIG3m01</t>
        </is>
      </c>
      <c r="B68" s="1" t="inlineStr">
        <is>
          <t>vKIG3</t>
        </is>
      </c>
    </row>
    <row r="69">
      <c r="A69" s="1" t="inlineStr">
        <is>
          <t>vKIG3m02</t>
        </is>
      </c>
      <c r="B69" s="1" t="inlineStr">
        <is>
          <t>vKIG3</t>
        </is>
      </c>
    </row>
    <row r="70">
      <c r="A70" s="1" t="inlineStr">
        <is>
          <t>vKIG3m03</t>
        </is>
      </c>
      <c r="B70" s="1" t="inlineStr">
        <is>
          <t>vKIG3</t>
        </is>
      </c>
    </row>
    <row r="71">
      <c r="A71" s="1" t="inlineStr">
        <is>
          <t>vKIG3m04</t>
        </is>
      </c>
      <c r="B71" s="1" t="inlineStr">
        <is>
          <t>vKIG3</t>
        </is>
      </c>
    </row>
    <row r="72">
      <c r="A72" s="1" t="inlineStr">
        <is>
          <t>vKIG3m05</t>
        </is>
      </c>
      <c r="B72" s="1" t="inlineStr">
        <is>
          <t>vKIG3</t>
        </is>
      </c>
    </row>
    <row r="73">
      <c r="A73" s="1" t="inlineStr">
        <is>
          <t>vKIG3m06</t>
        </is>
      </c>
      <c r="B73" s="1" t="inlineStr">
        <is>
          <t>vKIG3</t>
        </is>
      </c>
    </row>
    <row r="74">
      <c r="A74" s="1" t="inlineStr">
        <is>
          <t>vKIG3m07</t>
        </is>
      </c>
      <c r="B74" s="1" t="inlineStr">
        <is>
          <t>vKIG3</t>
        </is>
      </c>
    </row>
    <row r="75">
      <c r="A75" s="1" t="inlineStr">
        <is>
          <t>vKIG3m08</t>
        </is>
      </c>
      <c r="B75" s="1" t="inlineStr">
        <is>
          <t>vKIG3</t>
        </is>
      </c>
    </row>
    <row r="76">
      <c r="A76" s="1" t="inlineStr">
        <is>
          <t>vKIG3m09</t>
        </is>
      </c>
      <c r="B76" s="1" t="inlineStr">
        <is>
          <t>vKIG3</t>
        </is>
      </c>
    </row>
    <row r="77">
      <c r="A77" s="1" t="inlineStr">
        <is>
          <t>vKIG3m10</t>
        </is>
      </c>
      <c r="B77" s="1" t="inlineStr">
        <is>
          <t>vKIG3</t>
        </is>
      </c>
    </row>
    <row r="78">
      <c r="A78" s="1" t="inlineStr">
        <is>
          <t>vKIG3m11</t>
        </is>
      </c>
      <c r="B78" s="1" t="inlineStr">
        <is>
          <t>vKIG3</t>
        </is>
      </c>
    </row>
    <row r="79">
      <c r="A79" s="1" t="inlineStr">
        <is>
          <t>vKIG3m12</t>
        </is>
      </c>
      <c r="B79" s="1" t="inlineStr">
        <is>
          <t>vKIG3</t>
        </is>
      </c>
    </row>
    <row r="80">
      <c r="A80" s="1" t="inlineStr">
        <is>
          <t>vKIG3m13</t>
        </is>
      </c>
      <c r="B80" s="1" t="inlineStr">
        <is>
          <t>vKIG3</t>
        </is>
      </c>
    </row>
    <row r="81">
      <c r="A81" s="1" t="inlineStr">
        <is>
          <t>vKIG3m14</t>
        </is>
      </c>
      <c r="B81" s="1" t="inlineStr">
        <is>
          <t>vKIG3</t>
        </is>
      </c>
    </row>
    <row r="82">
      <c r="A82" s="1" t="inlineStr">
        <is>
          <t>vKIG3m15</t>
        </is>
      </c>
      <c r="B82" s="1" t="inlineStr">
        <is>
          <t>vKIG3</t>
        </is>
      </c>
    </row>
    <row r="83">
      <c r="A83" s="1" t="inlineStr">
        <is>
          <t>vKIG3m16</t>
        </is>
      </c>
      <c r="B83" s="1" t="inlineStr">
        <is>
          <t>vKIG3</t>
        </is>
      </c>
    </row>
    <row r="84">
      <c r="A84" s="1" t="inlineStr">
        <is>
          <t>vKIG3m17</t>
        </is>
      </c>
      <c r="B84" s="1" t="inlineStr">
        <is>
          <t>vKIG3</t>
        </is>
      </c>
    </row>
    <row r="85">
      <c r="A85" s="1" t="inlineStr">
        <is>
          <t>vKIG3m88</t>
        </is>
      </c>
      <c r="B85" s="1" t="inlineStr">
        <is>
          <t>vKIG3</t>
        </is>
      </c>
    </row>
    <row r="86">
      <c r="A86" s="1" t="inlineStr">
        <is>
          <t>vKIG4m01</t>
        </is>
      </c>
      <c r="B86" s="1" t="inlineStr">
        <is>
          <t>vKIG4</t>
        </is>
      </c>
    </row>
    <row r="87">
      <c r="A87" s="1" t="inlineStr">
        <is>
          <t>vKIG4m02</t>
        </is>
      </c>
      <c r="B87" s="1" t="inlineStr">
        <is>
          <t>vKIG4</t>
        </is>
      </c>
    </row>
    <row r="88">
      <c r="A88" s="1" t="inlineStr">
        <is>
          <t>vKIG4m03</t>
        </is>
      </c>
      <c r="B88" s="1" t="inlineStr">
        <is>
          <t>vKIG4</t>
        </is>
      </c>
    </row>
    <row r="89">
      <c r="A89" s="1" t="inlineStr">
        <is>
          <t>vKIG4m04</t>
        </is>
      </c>
      <c r="B89" s="1" t="inlineStr">
        <is>
          <t>vKIG4</t>
        </is>
      </c>
    </row>
    <row r="90">
      <c r="A90" s="1" t="inlineStr">
        <is>
          <t>vKIG4m05</t>
        </is>
      </c>
      <c r="B90" s="1" t="inlineStr">
        <is>
          <t>vKIG4</t>
        </is>
      </c>
    </row>
    <row r="91">
      <c r="A91" s="1" t="inlineStr">
        <is>
          <t>vKIG4m06</t>
        </is>
      </c>
      <c r="B91" s="1" t="inlineStr">
        <is>
          <t>vKIG4</t>
        </is>
      </c>
    </row>
    <row r="92">
      <c r="A92" s="1" t="inlineStr">
        <is>
          <t>vKIG4m07</t>
        </is>
      </c>
      <c r="B92" s="1" t="inlineStr">
        <is>
          <t>vKIG4</t>
        </is>
      </c>
    </row>
    <row r="93">
      <c r="A93" s="1" t="inlineStr">
        <is>
          <t>vKIG4m08</t>
        </is>
      </c>
      <c r="B93" s="1" t="inlineStr">
        <is>
          <t>vKIG4</t>
        </is>
      </c>
    </row>
    <row r="94">
      <c r="A94" s="1" t="inlineStr">
        <is>
          <t>vKIG4m09</t>
        </is>
      </c>
      <c r="B94" s="1" t="inlineStr">
        <is>
          <t>vKIG4</t>
        </is>
      </c>
    </row>
    <row r="95">
      <c r="A95" s="1" t="inlineStr">
        <is>
          <t>vKIG4m10</t>
        </is>
      </c>
      <c r="B95" s="1" t="inlineStr">
        <is>
          <t>vKIG4</t>
        </is>
      </c>
    </row>
    <row r="96">
      <c r="A96" s="1" t="inlineStr">
        <is>
          <t>vKIG4m11</t>
        </is>
      </c>
      <c r="B96" s="1" t="inlineStr">
        <is>
          <t>vKIG4</t>
        </is>
      </c>
    </row>
    <row r="97">
      <c r="A97" s="1" t="inlineStr">
        <is>
          <t>vKIG4m12</t>
        </is>
      </c>
      <c r="B97" s="1" t="inlineStr">
        <is>
          <t>vKIG4</t>
        </is>
      </c>
    </row>
    <row r="98">
      <c r="A98" s="1" t="inlineStr">
        <is>
          <t>vKIG4m13</t>
        </is>
      </c>
      <c r="B98" s="1" t="inlineStr">
        <is>
          <t>vKIG4</t>
        </is>
      </c>
    </row>
    <row r="99">
      <c r="A99" s="1" t="inlineStr">
        <is>
          <t>vKIG4m14</t>
        </is>
      </c>
      <c r="B99" s="1" t="inlineStr">
        <is>
          <t>vKIG4</t>
        </is>
      </c>
    </row>
    <row r="100">
      <c r="A100" s="1" t="inlineStr">
        <is>
          <t>vKIG4m88</t>
        </is>
      </c>
      <c r="B100" s="1" t="inlineStr">
        <is>
          <t>vKIG4</t>
        </is>
      </c>
    </row>
    <row r="101">
      <c r="A101" s="1" t="inlineStr">
        <is>
          <t>vKTT3m01</t>
        </is>
      </c>
      <c r="B101" s="1" t="inlineStr">
        <is>
          <t>vKTT3</t>
        </is>
      </c>
    </row>
    <row r="102">
      <c r="A102" s="1" t="inlineStr">
        <is>
          <t>vKTT3m02</t>
        </is>
      </c>
      <c r="B102" s="1" t="inlineStr">
        <is>
          <t>vKTT3</t>
        </is>
      </c>
    </row>
    <row r="103">
      <c r="A103" s="1" t="inlineStr">
        <is>
          <t>vKTT3m03</t>
        </is>
      </c>
      <c r="B103" s="1" t="inlineStr">
        <is>
          <t>vKTT3</t>
        </is>
      </c>
    </row>
    <row r="104">
      <c r="A104" s="1" t="inlineStr">
        <is>
          <t>vKTT3m04</t>
        </is>
      </c>
      <c r="B104" s="1" t="inlineStr">
        <is>
          <t>vKTT3</t>
        </is>
      </c>
    </row>
    <row r="105">
      <c r="A105" s="1" t="inlineStr">
        <is>
          <t>vKTT3m05</t>
        </is>
      </c>
      <c r="B105" s="1" t="inlineStr">
        <is>
          <t>vKTT3</t>
        </is>
      </c>
    </row>
    <row r="106">
      <c r="A106" s="1" t="inlineStr">
        <is>
          <t>vKTT3m06</t>
        </is>
      </c>
      <c r="B106" s="1" t="inlineStr">
        <is>
          <t>vKTT3</t>
        </is>
      </c>
    </row>
    <row r="107">
      <c r="A107" s="1" t="inlineStr">
        <is>
          <t>vKTT3m07</t>
        </is>
      </c>
      <c r="B107" s="1" t="inlineStr">
        <is>
          <t>vKTT3</t>
        </is>
      </c>
    </row>
    <row r="108">
      <c r="A108" s="1" t="inlineStr">
        <is>
          <t>vKTT3m08</t>
        </is>
      </c>
      <c r="B108" s="1" t="inlineStr">
        <is>
          <t>vKTT3</t>
        </is>
      </c>
    </row>
    <row r="109">
      <c r="A109" s="1" t="inlineStr">
        <is>
          <t>vKTT3m09</t>
        </is>
      </c>
      <c r="B109" s="1" t="inlineStr">
        <is>
          <t>vKTT3</t>
        </is>
      </c>
    </row>
    <row r="110">
      <c r="A110" s="1" t="inlineStr">
        <is>
          <t>vKTT3m10</t>
        </is>
      </c>
      <c r="B110" s="1" t="inlineStr">
        <is>
          <t>vKTT3</t>
        </is>
      </c>
    </row>
    <row r="111">
      <c r="A111" s="1" t="inlineStr">
        <is>
          <t>vKTT3m11</t>
        </is>
      </c>
      <c r="B111" s="1" t="inlineStr">
        <is>
          <t>vKTT3</t>
        </is>
      </c>
    </row>
    <row r="112">
      <c r="A112" s="1" t="inlineStr">
        <is>
          <t>vKTT3m12</t>
        </is>
      </c>
      <c r="B112" s="1" t="inlineStr">
        <is>
          <t>vKTT3</t>
        </is>
      </c>
    </row>
    <row r="113">
      <c r="A113" s="1" t="inlineStr">
        <is>
          <t>vKTT3m13</t>
        </is>
      </c>
      <c r="B113" s="1" t="inlineStr">
        <is>
          <t>vKTT3</t>
        </is>
      </c>
    </row>
    <row r="114">
      <c r="A114" s="1" t="inlineStr">
        <is>
          <t>vKTT3m14</t>
        </is>
      </c>
      <c r="B114" s="1" t="inlineStr">
        <is>
          <t>vKTT3</t>
        </is>
      </c>
    </row>
    <row r="115">
      <c r="A115" s="1" t="inlineStr">
        <is>
          <t>vKTT3m15</t>
        </is>
      </c>
      <c r="B115" s="1" t="inlineStr">
        <is>
          <t>vKTT3</t>
        </is>
      </c>
    </row>
    <row r="116">
      <c r="A116" s="1" t="inlineStr">
        <is>
          <t>vKTT3m16</t>
        </is>
      </c>
      <c r="B116" s="1" t="inlineStr">
        <is>
          <t>vKTT3</t>
        </is>
      </c>
    </row>
    <row r="117">
      <c r="A117" s="1" t="inlineStr">
        <is>
          <t>vKTT3m88</t>
        </is>
      </c>
      <c r="B117" s="1" t="inlineStr">
        <is>
          <t>vKTT3</t>
        </is>
      </c>
    </row>
    <row r="118">
      <c r="A118" s="1" t="inlineStr">
        <is>
          <t>vKTT4m01</t>
        </is>
      </c>
      <c r="B118" s="1" t="inlineStr">
        <is>
          <t>vKTT4</t>
        </is>
      </c>
    </row>
    <row r="119">
      <c r="A119" s="1" t="inlineStr">
        <is>
          <t>vKTT4m02</t>
        </is>
      </c>
      <c r="B119" s="1" t="inlineStr">
        <is>
          <t>vKTT4</t>
        </is>
      </c>
    </row>
    <row r="120">
      <c r="A120" s="1" t="inlineStr">
        <is>
          <t>vKTT4m03</t>
        </is>
      </c>
      <c r="B120" s="1" t="inlineStr">
        <is>
          <t>vKTT4</t>
        </is>
      </c>
    </row>
    <row r="121">
      <c r="A121" s="1" t="inlineStr">
        <is>
          <t>vKTT4m04</t>
        </is>
      </c>
      <c r="B121" s="1" t="inlineStr">
        <is>
          <t>vKTT4</t>
        </is>
      </c>
    </row>
    <row r="122">
      <c r="A122" s="1" t="inlineStr">
        <is>
          <t>vKTT4m05</t>
        </is>
      </c>
      <c r="B122" s="1" t="inlineStr">
        <is>
          <t>vKTT4</t>
        </is>
      </c>
    </row>
    <row r="123">
      <c r="A123" s="1" t="inlineStr">
        <is>
          <t>vKTT4m06</t>
        </is>
      </c>
      <c r="B123" s="1" t="inlineStr">
        <is>
          <t>vKTT4</t>
        </is>
      </c>
    </row>
    <row r="124">
      <c r="A124" s="1" t="inlineStr">
        <is>
          <t>vKTT4m07</t>
        </is>
      </c>
      <c r="B124" s="1" t="inlineStr">
        <is>
          <t>vKTT4</t>
        </is>
      </c>
    </row>
    <row r="125">
      <c r="A125" s="1" t="inlineStr">
        <is>
          <t>vKTT4m08</t>
        </is>
      </c>
      <c r="B125" s="1" t="inlineStr">
        <is>
          <t>vKTT4</t>
        </is>
      </c>
    </row>
    <row r="126">
      <c r="A126" s="1" t="inlineStr">
        <is>
          <t>vKTT4m09</t>
        </is>
      </c>
      <c r="B126" s="1" t="inlineStr">
        <is>
          <t>vKTT4</t>
        </is>
      </c>
    </row>
    <row r="127">
      <c r="A127" s="1" t="inlineStr">
        <is>
          <t>vKTT4m10</t>
        </is>
      </c>
      <c r="B127" s="1" t="inlineStr">
        <is>
          <t>vKTT4</t>
        </is>
      </c>
    </row>
    <row r="128">
      <c r="A128" s="1" t="inlineStr">
        <is>
          <t>vKTT4m11</t>
        </is>
      </c>
      <c r="B128" s="1" t="inlineStr">
        <is>
          <t>vKTT4</t>
        </is>
      </c>
    </row>
    <row r="129">
      <c r="A129" s="1" t="inlineStr">
        <is>
          <t>vKTT4m12</t>
        </is>
      </c>
      <c r="B129" s="1" t="inlineStr">
        <is>
          <t>vKTT4</t>
        </is>
      </c>
    </row>
    <row r="130">
      <c r="A130" s="1" t="inlineStr">
        <is>
          <t>vKTT4m13</t>
        </is>
      </c>
      <c r="B130" s="1" t="inlineStr">
        <is>
          <t>vKTT4</t>
        </is>
      </c>
    </row>
    <row r="131">
      <c r="A131" s="1" t="inlineStr">
        <is>
          <t>vKTT4m14</t>
        </is>
      </c>
      <c r="B131" s="1" t="inlineStr">
        <is>
          <t>vKTT4</t>
        </is>
      </c>
    </row>
    <row r="132">
      <c r="A132" s="1" t="inlineStr">
        <is>
          <t>vKTT4m88</t>
        </is>
      </c>
      <c r="B132" s="1" t="inlineStr">
        <is>
          <t>vKTT4</t>
        </is>
      </c>
    </row>
    <row r="133">
      <c r="A133" s="1" t="inlineStr">
        <is>
          <t>vKTT5m01</t>
        </is>
      </c>
      <c r="B133" s="1" t="inlineStr">
        <is>
          <t>vKTT5</t>
        </is>
      </c>
    </row>
    <row r="134">
      <c r="A134" s="1" t="inlineStr">
        <is>
          <t>vKTT5m02</t>
        </is>
      </c>
      <c r="B134" s="1" t="inlineStr">
        <is>
          <t>vKTT5</t>
        </is>
      </c>
    </row>
    <row r="135">
      <c r="A135" s="1" t="inlineStr">
        <is>
          <t>vKTT5m03</t>
        </is>
      </c>
      <c r="B135" s="1" t="inlineStr">
        <is>
          <t>vKTT5</t>
        </is>
      </c>
    </row>
    <row r="136">
      <c r="A136" s="1" t="inlineStr">
        <is>
          <t>vKTT5m04</t>
        </is>
      </c>
      <c r="B136" s="1" t="inlineStr">
        <is>
          <t>vKTT5</t>
        </is>
      </c>
    </row>
    <row r="137">
      <c r="A137" s="1" t="inlineStr">
        <is>
          <t>vKTT5m05</t>
        </is>
      </c>
      <c r="B137" s="1" t="inlineStr">
        <is>
          <t>vKTT5</t>
        </is>
      </c>
    </row>
    <row r="138">
      <c r="A138" s="1" t="inlineStr">
        <is>
          <t>vKTT5m06</t>
        </is>
      </c>
      <c r="B138" s="1" t="inlineStr">
        <is>
          <t>vKTT5</t>
        </is>
      </c>
    </row>
    <row r="139">
      <c r="A139" s="1" t="inlineStr">
        <is>
          <t>vKTT5m07</t>
        </is>
      </c>
      <c r="B139" s="1" t="inlineStr">
        <is>
          <t>vKTT5</t>
        </is>
      </c>
    </row>
    <row r="140">
      <c r="A140" s="1" t="inlineStr">
        <is>
          <t>vKTT5m08</t>
        </is>
      </c>
      <c r="B140" s="1" t="inlineStr">
        <is>
          <t>vKTT5</t>
        </is>
      </c>
    </row>
    <row r="141">
      <c r="A141" s="1" t="inlineStr">
        <is>
          <t>vKTT5m09</t>
        </is>
      </c>
      <c r="B141" s="1" t="inlineStr">
        <is>
          <t>vKTT5</t>
        </is>
      </c>
    </row>
    <row r="142">
      <c r="A142" s="1" t="inlineStr">
        <is>
          <t>vKTT5m10</t>
        </is>
      </c>
      <c r="B142" s="1" t="inlineStr">
        <is>
          <t>vKTT5</t>
        </is>
      </c>
    </row>
    <row r="143">
      <c r="A143" s="1" t="inlineStr">
        <is>
          <t>vKTT5m11</t>
        </is>
      </c>
      <c r="B143" s="1" t="inlineStr">
        <is>
          <t>vKTT5</t>
        </is>
      </c>
    </row>
    <row r="144">
      <c r="A144" s="1" t="inlineStr">
        <is>
          <t>vKTT5m12</t>
        </is>
      </c>
      <c r="B144" s="1" t="inlineStr">
        <is>
          <t>vKTT5</t>
        </is>
      </c>
    </row>
    <row r="145">
      <c r="A145" s="1" t="inlineStr">
        <is>
          <t>vKTT5m88</t>
        </is>
      </c>
      <c r="B145" s="1" t="inlineStr">
        <is>
          <t>vKTT5</t>
        </is>
      </c>
    </row>
    <row r="146">
      <c r="A146" s="1" t="inlineStr">
        <is>
          <t>vK3m01</t>
        </is>
      </c>
      <c r="B146" s="1" t="inlineStr">
        <is>
          <t>vK3</t>
        </is>
      </c>
    </row>
    <row r="147">
      <c r="A147" s="1" t="inlineStr">
        <is>
          <t>vK3m02</t>
        </is>
      </c>
      <c r="B147" s="1" t="inlineStr">
        <is>
          <t>vK3</t>
        </is>
      </c>
    </row>
    <row r="148">
      <c r="A148" s="1" t="inlineStr">
        <is>
          <t>vK3m03</t>
        </is>
      </c>
      <c r="B148" s="1" t="inlineStr">
        <is>
          <t>vK3</t>
        </is>
      </c>
    </row>
    <row r="149">
      <c r="A149" s="1" t="inlineStr">
        <is>
          <t>vK3m04</t>
        </is>
      </c>
      <c r="B149" s="1" t="inlineStr">
        <is>
          <t>vK3</t>
        </is>
      </c>
    </row>
    <row r="150">
      <c r="A150" s="1" t="inlineStr">
        <is>
          <t>vK3m05</t>
        </is>
      </c>
      <c r="B150" s="1" t="inlineStr">
        <is>
          <t>vK3</t>
        </is>
      </c>
    </row>
    <row r="151">
      <c r="A151" s="1" t="inlineStr">
        <is>
          <t>vK3m06</t>
        </is>
      </c>
      <c r="B151" s="1" t="inlineStr">
        <is>
          <t>vK3</t>
        </is>
      </c>
    </row>
    <row r="152">
      <c r="A152" s="1" t="inlineStr">
        <is>
          <t>vK3m07</t>
        </is>
      </c>
      <c r="B152" s="1" t="inlineStr">
        <is>
          <t>vK3</t>
        </is>
      </c>
    </row>
    <row r="153">
      <c r="A153" s="1" t="inlineStr">
        <is>
          <t>vK3m08</t>
        </is>
      </c>
      <c r="B153" s="1" t="inlineStr">
        <is>
          <t>vK3</t>
        </is>
      </c>
    </row>
    <row r="154">
      <c r="A154" s="1" t="inlineStr">
        <is>
          <t>vK3m09</t>
        </is>
      </c>
      <c r="B154" s="1" t="inlineStr">
        <is>
          <t>vK3</t>
        </is>
      </c>
    </row>
    <row r="155">
      <c r="A155" s="1" t="inlineStr">
        <is>
          <t>vK3m88</t>
        </is>
      </c>
      <c r="B155" s="1" t="inlineStr">
        <is>
          <t>vK3</t>
        </is>
      </c>
    </row>
    <row r="156">
      <c r="A156" s="1" t="inlineStr">
        <is>
          <t>vK3m90</t>
        </is>
      </c>
      <c r="B156" s="1" t="inlineStr">
        <is>
          <t>vK3</t>
        </is>
      </c>
    </row>
    <row r="157">
      <c r="A157" s="1" t="inlineStr">
        <is>
          <t>vE2m01</t>
        </is>
      </c>
      <c r="B157" s="1" t="inlineStr">
        <is>
          <t>vE2</t>
        </is>
      </c>
    </row>
    <row r="158">
      <c r="A158" s="1" t="inlineStr">
        <is>
          <t>vE2m02</t>
        </is>
      </c>
      <c r="B158" s="1" t="inlineStr">
        <is>
          <t>vE2</t>
        </is>
      </c>
    </row>
    <row r="159">
      <c r="A159" s="1" t="inlineStr">
        <is>
          <t>vE2m03</t>
        </is>
      </c>
      <c r="B159" s="1" t="inlineStr">
        <is>
          <t>vE2</t>
        </is>
      </c>
    </row>
    <row r="160">
      <c r="A160" s="1" t="inlineStr">
        <is>
          <t>vE2m04</t>
        </is>
      </c>
      <c r="B160" s="1" t="inlineStr">
        <is>
          <t>vE2</t>
        </is>
      </c>
    </row>
    <row r="161">
      <c r="A161" s="1" t="inlineStr">
        <is>
          <t>vE2m88</t>
        </is>
      </c>
      <c r="B161" s="1" t="inlineStr">
        <is>
          <t>vE2</t>
        </is>
      </c>
    </row>
    <row r="162">
      <c r="A162" s="1" t="inlineStr">
        <is>
          <t>vE13m01</t>
        </is>
      </c>
      <c r="B162" s="1" t="inlineStr">
        <is>
          <t>vE13</t>
        </is>
      </c>
    </row>
    <row r="163">
      <c r="A163" s="1" t="inlineStr">
        <is>
          <t>vE13m02</t>
        </is>
      </c>
      <c r="B163" s="1" t="inlineStr">
        <is>
          <t>vE13</t>
        </is>
      </c>
    </row>
    <row r="164">
      <c r="A164" s="1" t="inlineStr">
        <is>
          <t>vE13m03</t>
        </is>
      </c>
      <c r="B164" s="1" t="inlineStr">
        <is>
          <t>vE13</t>
        </is>
      </c>
    </row>
    <row r="165">
      <c r="A165" s="1" t="inlineStr">
        <is>
          <t>vE13m04</t>
        </is>
      </c>
      <c r="B165" s="1" t="inlineStr">
        <is>
          <t>vE13</t>
        </is>
      </c>
    </row>
    <row r="166">
      <c r="A166" s="1" t="inlineStr">
        <is>
          <t>vE13m05</t>
        </is>
      </c>
      <c r="B166" s="1" t="inlineStr">
        <is>
          <t>vE13</t>
        </is>
      </c>
    </row>
    <row r="167">
      <c r="A167" s="1" t="inlineStr">
        <is>
          <t>vE13m06</t>
        </is>
      </c>
      <c r="B167" s="1" t="inlineStr">
        <is>
          <t>vE13</t>
        </is>
      </c>
    </row>
    <row r="168">
      <c r="A168" s="1" t="inlineStr">
        <is>
          <t>vE13m88</t>
        </is>
      </c>
      <c r="B168" s="1" t="inlineStr">
        <is>
          <t>vE13</t>
        </is>
      </c>
    </row>
    <row r="169">
      <c r="A169" s="1" t="inlineStr">
        <is>
          <t>vG7m01</t>
        </is>
      </c>
      <c r="B169" s="1" t="inlineStr">
        <is>
          <t>vG7</t>
        </is>
      </c>
    </row>
    <row r="170">
      <c r="A170" s="1" t="inlineStr">
        <is>
          <t>vG7m02</t>
        </is>
      </c>
      <c r="B170" s="1" t="inlineStr">
        <is>
          <t>vG7</t>
        </is>
      </c>
    </row>
    <row r="171">
      <c r="A171" s="1" t="inlineStr">
        <is>
          <t>vG7m03</t>
        </is>
      </c>
      <c r="B171" s="1" t="inlineStr">
        <is>
          <t>vG7</t>
        </is>
      </c>
    </row>
    <row r="172">
      <c r="A172" s="1" t="inlineStr">
        <is>
          <t>vG7m04</t>
        </is>
      </c>
      <c r="B172" s="1" t="inlineStr">
        <is>
          <t>vG7</t>
        </is>
      </c>
    </row>
    <row r="173">
      <c r="A173" s="1" t="inlineStr">
        <is>
          <t>vG7m05</t>
        </is>
      </c>
      <c r="B173" s="1" t="inlineStr">
        <is>
          <t>vG7</t>
        </is>
      </c>
    </row>
    <row r="174">
      <c r="A174" s="1" t="inlineStr">
        <is>
          <t>vG7m06</t>
        </is>
      </c>
      <c r="B174" s="1" t="inlineStr">
        <is>
          <t>vG7</t>
        </is>
      </c>
    </row>
    <row r="175">
      <c r="A175" s="1" t="inlineStr">
        <is>
          <t>vG7m07</t>
        </is>
      </c>
      <c r="B175" s="1" t="inlineStr">
        <is>
          <t>vG7</t>
        </is>
      </c>
    </row>
    <row r="176">
      <c r="A176" s="1" t="inlineStr">
        <is>
          <t>vG7m08</t>
        </is>
      </c>
      <c r="B176" s="1" t="inlineStr">
        <is>
          <t>vG7</t>
        </is>
      </c>
    </row>
    <row r="177">
      <c r="A177" s="1" t="inlineStr">
        <is>
          <t>vG7m09</t>
        </is>
      </c>
      <c r="B177" s="1" t="inlineStr">
        <is>
          <t>vG7</t>
        </is>
      </c>
    </row>
    <row r="178">
      <c r="A178" s="1" t="inlineStr">
        <is>
          <t>vG7m10</t>
        </is>
      </c>
      <c r="B178" s="1" t="inlineStr">
        <is>
          <t>vG7</t>
        </is>
      </c>
    </row>
    <row r="179">
      <c r="A179" s="1" t="inlineStr">
        <is>
          <t>vG7m11</t>
        </is>
      </c>
      <c r="B179" s="1" t="inlineStr">
        <is>
          <t>vG7</t>
        </is>
      </c>
    </row>
    <row r="180">
      <c r="A180" s="1" t="inlineStr">
        <is>
          <t>vG7m12</t>
        </is>
      </c>
      <c r="B180" s="1" t="inlineStr">
        <is>
          <t>vG7</t>
        </is>
      </c>
    </row>
    <row r="181">
      <c r="A181" s="1" t="inlineStr">
        <is>
          <t>vG7m88</t>
        </is>
      </c>
      <c r="B181" s="1" t="inlineStr">
        <is>
          <t>vG7</t>
        </is>
      </c>
    </row>
    <row r="182">
      <c r="A182" s="1" t="inlineStr">
        <is>
          <t>vG7m90</t>
        </is>
      </c>
      <c r="B182" s="1" t="inlineStr">
        <is>
          <t>vG7</t>
        </is>
      </c>
    </row>
    <row r="183">
      <c r="A183" s="1" t="inlineStr">
        <is>
          <t>vG8m01</t>
        </is>
      </c>
      <c r="B183" s="1" t="inlineStr">
        <is>
          <t>vG8</t>
        </is>
      </c>
    </row>
    <row r="184">
      <c r="A184" s="1" t="inlineStr">
        <is>
          <t>vG8m02</t>
        </is>
      </c>
      <c r="B184" s="1" t="inlineStr">
        <is>
          <t>vG8</t>
        </is>
      </c>
    </row>
    <row r="185">
      <c r="A185" s="1" t="inlineStr">
        <is>
          <t>vG8m03</t>
        </is>
      </c>
      <c r="B185" s="1" t="inlineStr">
        <is>
          <t>vG8</t>
        </is>
      </c>
    </row>
    <row r="186">
      <c r="A186" s="1" t="inlineStr">
        <is>
          <t>vG8m04</t>
        </is>
      </c>
      <c r="B186" s="1" t="inlineStr">
        <is>
          <t>vG8</t>
        </is>
      </c>
    </row>
    <row r="187">
      <c r="A187" s="1" t="inlineStr">
        <is>
          <t>vG8m05</t>
        </is>
      </c>
      <c r="B187" s="1" t="inlineStr">
        <is>
          <t>vG8</t>
        </is>
      </c>
    </row>
    <row r="188">
      <c r="A188" s="1" t="inlineStr">
        <is>
          <t>vG8m06</t>
        </is>
      </c>
      <c r="B188" s="1" t="inlineStr">
        <is>
          <t>vG8</t>
        </is>
      </c>
    </row>
    <row r="189">
      <c r="A189" s="1" t="inlineStr">
        <is>
          <t>vG8m07</t>
        </is>
      </c>
      <c r="B189" s="1" t="inlineStr">
        <is>
          <t>vG8</t>
        </is>
      </c>
    </row>
    <row r="190">
      <c r="A190" s="1" t="inlineStr">
        <is>
          <t>vG8m08</t>
        </is>
      </c>
      <c r="B190" s="1" t="inlineStr">
        <is>
          <t>vG8</t>
        </is>
      </c>
    </row>
    <row r="191">
      <c r="A191" s="1" t="inlineStr">
        <is>
          <t>vG8m09</t>
        </is>
      </c>
      <c r="B191" s="1" t="inlineStr">
        <is>
          <t>vG8</t>
        </is>
      </c>
    </row>
    <row r="192">
      <c r="A192" s="1" t="inlineStr">
        <is>
          <t>vG8m10</t>
        </is>
      </c>
      <c r="B192" s="1" t="inlineStr">
        <is>
          <t>vG8</t>
        </is>
      </c>
    </row>
    <row r="193">
      <c r="A193" s="1" t="inlineStr">
        <is>
          <t>vG8m11</t>
        </is>
      </c>
      <c r="B193" s="1" t="inlineStr">
        <is>
          <t>vG8</t>
        </is>
      </c>
    </row>
    <row r="194">
      <c r="A194" s="1" t="inlineStr">
        <is>
          <t>vG8m12</t>
        </is>
      </c>
      <c r="B194" s="1" t="inlineStr">
        <is>
          <t>vG8</t>
        </is>
      </c>
    </row>
    <row r="195">
      <c r="A195" s="1" t="inlineStr">
        <is>
          <t>vG8m13</t>
        </is>
      </c>
      <c r="B195" s="1" t="inlineStr">
        <is>
          <t>vG8</t>
        </is>
      </c>
    </row>
    <row r="196">
      <c r="A196" s="1" t="inlineStr">
        <is>
          <t>vG8m14</t>
        </is>
      </c>
      <c r="B196" s="1" t="inlineStr">
        <is>
          <t>vG8</t>
        </is>
      </c>
    </row>
    <row r="197">
      <c r="A197" s="1" t="inlineStr">
        <is>
          <t>vG8m15</t>
        </is>
      </c>
      <c r="B197" s="1" t="inlineStr">
        <is>
          <t>vG8</t>
        </is>
      </c>
    </row>
    <row r="198">
      <c r="A198" s="1" t="inlineStr">
        <is>
          <t>vG8m16</t>
        </is>
      </c>
      <c r="B198" s="1" t="inlineStr">
        <is>
          <t>vG8</t>
        </is>
      </c>
    </row>
    <row r="199">
      <c r="A199" s="1" t="inlineStr">
        <is>
          <t>vG8m88</t>
        </is>
      </c>
      <c r="B199" s="1" t="inlineStr">
        <is>
          <t>vG8</t>
        </is>
      </c>
    </row>
    <row r="200">
      <c r="A200" s="1" t="inlineStr">
        <is>
          <t>vG8m90</t>
        </is>
      </c>
      <c r="B200" s="1" t="inlineStr">
        <is>
          <t>vG8</t>
        </is>
      </c>
    </row>
    <row r="201">
      <c r="A201" s="1" t="inlineStr">
        <is>
          <t>vG9m01</t>
        </is>
      </c>
      <c r="B201" s="1" t="inlineStr">
        <is>
          <t>vG9</t>
        </is>
      </c>
    </row>
    <row r="202">
      <c r="A202" s="1" t="inlineStr">
        <is>
          <t>vG9m02</t>
        </is>
      </c>
      <c r="B202" s="1" t="inlineStr">
        <is>
          <t>vG9</t>
        </is>
      </c>
    </row>
    <row r="203">
      <c r="A203" s="1" t="inlineStr">
        <is>
          <t>vG9m03</t>
        </is>
      </c>
      <c r="B203" s="1" t="inlineStr">
        <is>
          <t>vG9</t>
        </is>
      </c>
    </row>
    <row r="204">
      <c r="A204" s="1" t="inlineStr">
        <is>
          <t>vG9m04</t>
        </is>
      </c>
      <c r="B204" s="1" t="inlineStr">
        <is>
          <t>vG9</t>
        </is>
      </c>
    </row>
    <row r="205">
      <c r="A205" s="1" t="inlineStr">
        <is>
          <t>vG9m05</t>
        </is>
      </c>
      <c r="B205" s="1" t="inlineStr">
        <is>
          <t>vG9</t>
        </is>
      </c>
    </row>
    <row r="206">
      <c r="A206" s="1" t="inlineStr">
        <is>
          <t>vG9m06</t>
        </is>
      </c>
      <c r="B206" s="1" t="inlineStr">
        <is>
          <t>vG9</t>
        </is>
      </c>
    </row>
    <row r="207">
      <c r="A207" s="1" t="inlineStr">
        <is>
          <t>vG9m07</t>
        </is>
      </c>
      <c r="B207" s="1" t="inlineStr">
        <is>
          <t>vG9</t>
        </is>
      </c>
    </row>
    <row r="208">
      <c r="A208" s="1" t="inlineStr">
        <is>
          <t>vG9m08</t>
        </is>
      </c>
      <c r="B208" s="1" t="inlineStr">
        <is>
          <t>vG9</t>
        </is>
      </c>
    </row>
    <row r="209">
      <c r="A209" s="1" t="inlineStr">
        <is>
          <t>vG9m09</t>
        </is>
      </c>
      <c r="B209" s="1" t="inlineStr">
        <is>
          <t>vG9</t>
        </is>
      </c>
    </row>
    <row r="210">
      <c r="A210" s="1" t="inlineStr">
        <is>
          <t>vG9m10</t>
        </is>
      </c>
      <c r="B210" s="1" t="inlineStr">
        <is>
          <t>vG9</t>
        </is>
      </c>
    </row>
    <row r="211">
      <c r="A211" s="1" t="inlineStr">
        <is>
          <t>vG9m11</t>
        </is>
      </c>
      <c r="B211" s="1" t="inlineStr">
        <is>
          <t>vG9</t>
        </is>
      </c>
    </row>
    <row r="212">
      <c r="A212" s="1" t="inlineStr">
        <is>
          <t>vG9m12</t>
        </is>
      </c>
      <c r="B212" s="1" t="inlineStr">
        <is>
          <t>vG9</t>
        </is>
      </c>
    </row>
    <row r="213">
      <c r="A213" s="1" t="inlineStr">
        <is>
          <t>vG9m13</t>
        </is>
      </c>
      <c r="B213" s="1" t="inlineStr">
        <is>
          <t>vG9</t>
        </is>
      </c>
    </row>
    <row r="214">
      <c r="A214" s="1" t="inlineStr">
        <is>
          <t>vG9m88</t>
        </is>
      </c>
      <c r="B214" s="1" t="inlineStr">
        <is>
          <t>vG9</t>
        </is>
      </c>
    </row>
    <row r="215">
      <c r="A215" s="1" t="inlineStr">
        <is>
          <t>vG9m90</t>
        </is>
      </c>
      <c r="B215" s="1" t="inlineStr">
        <is>
          <t>vG9</t>
        </is>
      </c>
    </row>
    <row r="216">
      <c r="A216" s="1" t="inlineStr">
        <is>
          <t>vG10m01</t>
        </is>
      </c>
      <c r="B216" s="1" t="inlineStr">
        <is>
          <t>vG10</t>
        </is>
      </c>
    </row>
    <row r="217">
      <c r="A217" s="1" t="inlineStr">
        <is>
          <t>vG10m02</t>
        </is>
      </c>
      <c r="B217" s="1" t="inlineStr">
        <is>
          <t>vG10</t>
        </is>
      </c>
    </row>
    <row r="218">
      <c r="A218" s="1" t="inlineStr">
        <is>
          <t>vG10m03</t>
        </is>
      </c>
      <c r="B218" s="1" t="inlineStr">
        <is>
          <t>vG10</t>
        </is>
      </c>
    </row>
    <row r="219">
      <c r="A219" s="1" t="inlineStr">
        <is>
          <t>vG10m04</t>
        </is>
      </c>
      <c r="B219" s="1" t="inlineStr">
        <is>
          <t>vG10</t>
        </is>
      </c>
    </row>
    <row r="220">
      <c r="A220" s="1" t="inlineStr">
        <is>
          <t>vG10m05</t>
        </is>
      </c>
      <c r="B220" s="1" t="inlineStr">
        <is>
          <t>vG10</t>
        </is>
      </c>
    </row>
    <row r="221">
      <c r="A221" s="1" t="inlineStr">
        <is>
          <t>vG10m06</t>
        </is>
      </c>
      <c r="B221" s="1" t="inlineStr">
        <is>
          <t>vG10</t>
        </is>
      </c>
    </row>
    <row r="222">
      <c r="A222" s="1" t="inlineStr">
        <is>
          <t>vG10m07</t>
        </is>
      </c>
      <c r="B222" s="1" t="inlineStr">
        <is>
          <t>vG10</t>
        </is>
      </c>
    </row>
    <row r="223">
      <c r="A223" s="1" t="inlineStr">
        <is>
          <t>vG10m08</t>
        </is>
      </c>
      <c r="B223" s="1" t="inlineStr">
        <is>
          <t>vG10</t>
        </is>
      </c>
    </row>
    <row r="224">
      <c r="A224" s="1" t="inlineStr">
        <is>
          <t>vG10m09</t>
        </is>
      </c>
      <c r="B224" s="1" t="inlineStr">
        <is>
          <t>vG10</t>
        </is>
      </c>
    </row>
    <row r="225">
      <c r="A225" s="1" t="inlineStr">
        <is>
          <t>vG10m10</t>
        </is>
      </c>
      <c r="B225" s="1" t="inlineStr">
        <is>
          <t>vG10</t>
        </is>
      </c>
    </row>
    <row r="226">
      <c r="A226" s="1" t="inlineStr">
        <is>
          <t>vG10m11</t>
        </is>
      </c>
      <c r="B226" s="1" t="inlineStr">
        <is>
          <t>vG10</t>
        </is>
      </c>
    </row>
    <row r="227">
      <c r="A227" s="1" t="inlineStr">
        <is>
          <t>vG10m12</t>
        </is>
      </c>
      <c r="B227" s="1" t="inlineStr">
        <is>
          <t>vG10</t>
        </is>
      </c>
    </row>
    <row r="228">
      <c r="A228" s="1" t="inlineStr">
        <is>
          <t>vG10m13</t>
        </is>
      </c>
      <c r="B228" s="1" t="inlineStr">
        <is>
          <t>vG10</t>
        </is>
      </c>
    </row>
    <row r="229">
      <c r="A229" s="1" t="inlineStr">
        <is>
          <t>vG10m14</t>
        </is>
      </c>
      <c r="B229" s="1" t="inlineStr">
        <is>
          <t>vG10</t>
        </is>
      </c>
    </row>
    <row r="230">
      <c r="A230" s="1" t="inlineStr">
        <is>
          <t>vG10m15</t>
        </is>
      </c>
      <c r="B230" s="1" t="inlineStr">
        <is>
          <t>vG10</t>
        </is>
      </c>
    </row>
    <row r="231">
      <c r="A231" s="1" t="inlineStr">
        <is>
          <t>vG10m16</t>
        </is>
      </c>
      <c r="B231" s="1" t="inlineStr">
        <is>
          <t>vG10</t>
        </is>
      </c>
    </row>
    <row r="232">
      <c r="A232" s="1" t="inlineStr">
        <is>
          <t>vG10m17</t>
        </is>
      </c>
      <c r="B232" s="1" t="inlineStr">
        <is>
          <t>vG10</t>
        </is>
      </c>
    </row>
    <row r="233">
      <c r="A233" s="1" t="inlineStr">
        <is>
          <t>vG10m18</t>
        </is>
      </c>
      <c r="B233" s="1" t="inlineStr">
        <is>
          <t>vG10</t>
        </is>
      </c>
    </row>
    <row r="234">
      <c r="A234" s="1" t="inlineStr">
        <is>
          <t>vG10m19</t>
        </is>
      </c>
      <c r="B234" s="1" t="inlineStr">
        <is>
          <t>vG10</t>
        </is>
      </c>
    </row>
    <row r="235">
      <c r="A235" s="1" t="inlineStr">
        <is>
          <t>vG10m88</t>
        </is>
      </c>
      <c r="B235" s="1" t="inlineStr">
        <is>
          <t>vG10</t>
        </is>
      </c>
    </row>
    <row r="236">
      <c r="A236" s="1" t="inlineStr">
        <is>
          <t>vG10m90</t>
        </is>
      </c>
      <c r="B236" s="1" t="inlineStr">
        <is>
          <t>vG10</t>
        </is>
      </c>
    </row>
    <row r="237">
      <c r="A237" s="1" t="inlineStr">
        <is>
          <t>vG11m01</t>
        </is>
      </c>
      <c r="B237" s="1" t="inlineStr">
        <is>
          <t>vG11</t>
        </is>
      </c>
    </row>
    <row r="238">
      <c r="A238" s="1" t="inlineStr">
        <is>
          <t>vG11m02</t>
        </is>
      </c>
      <c r="B238" s="1" t="inlineStr">
        <is>
          <t>vG11</t>
        </is>
      </c>
    </row>
    <row r="239">
      <c r="A239" s="1" t="inlineStr">
        <is>
          <t>vG11m03</t>
        </is>
      </c>
      <c r="B239" s="1" t="inlineStr">
        <is>
          <t>vG11</t>
        </is>
      </c>
    </row>
    <row r="240">
      <c r="A240" s="1" t="inlineStr">
        <is>
          <t>vG11m04</t>
        </is>
      </c>
      <c r="B240" s="1" t="inlineStr">
        <is>
          <t>vG11</t>
        </is>
      </c>
    </row>
    <row r="241">
      <c r="A241" s="1" t="inlineStr">
        <is>
          <t>vG11m05</t>
        </is>
      </c>
      <c r="B241" s="1" t="inlineStr">
        <is>
          <t>vG11</t>
        </is>
      </c>
    </row>
    <row r="242">
      <c r="A242" s="1" t="inlineStr">
        <is>
          <t>vG11m88</t>
        </is>
      </c>
      <c r="B242" s="1" t="inlineStr">
        <is>
          <t>vG11</t>
        </is>
      </c>
    </row>
    <row r="243">
      <c r="A243" s="1" t="inlineStr">
        <is>
          <t>vG11m90</t>
        </is>
      </c>
      <c r="B243" s="1" t="inlineStr">
        <is>
          <t>vG11</t>
        </is>
      </c>
    </row>
    <row r="244">
      <c r="A244" s="1" t="inlineStr">
        <is>
          <t>vB7am01</t>
        </is>
      </c>
      <c r="B244" s="1" t="inlineStr">
        <is>
          <t>vB7a</t>
        </is>
      </c>
    </row>
    <row r="245">
      <c r="A245" s="1" t="inlineStr">
        <is>
          <t>vB7am02</t>
        </is>
      </c>
      <c r="B245" s="1" t="inlineStr">
        <is>
          <t>vB7a</t>
        </is>
      </c>
    </row>
    <row r="246">
      <c r="A246" s="1" t="inlineStr">
        <is>
          <t>vB7am03</t>
        </is>
      </c>
      <c r="B246" s="1" t="inlineStr">
        <is>
          <t>vB7a</t>
        </is>
      </c>
    </row>
    <row r="247">
      <c r="A247" s="1" t="inlineStr">
        <is>
          <t>vB7am04</t>
        </is>
      </c>
      <c r="B247" s="1" t="inlineStr">
        <is>
          <t>vB7a</t>
        </is>
      </c>
    </row>
    <row r="248">
      <c r="A248" s="1" t="inlineStr">
        <is>
          <t>vB7am05</t>
        </is>
      </c>
      <c r="B248" s="1" t="inlineStr">
        <is>
          <t>vB7a</t>
        </is>
      </c>
    </row>
    <row r="249">
      <c r="A249" s="1" t="inlineStr">
        <is>
          <t>vB7am06</t>
        </is>
      </c>
      <c r="B249" s="1" t="inlineStr">
        <is>
          <t>vB7a</t>
        </is>
      </c>
    </row>
    <row r="250">
      <c r="A250" s="1" t="inlineStr">
        <is>
          <t>vB7am07</t>
        </is>
      </c>
      <c r="B250" s="1" t="inlineStr">
        <is>
          <t>vB7a</t>
        </is>
      </c>
    </row>
    <row r="251">
      <c r="A251" s="1" t="inlineStr">
        <is>
          <t>vB7am08</t>
        </is>
      </c>
      <c r="B251" s="1" t="inlineStr">
        <is>
          <t>vB7a</t>
        </is>
      </c>
    </row>
    <row r="252">
      <c r="A252" s="1" t="inlineStr">
        <is>
          <t>vB7am09</t>
        </is>
      </c>
      <c r="B252" s="1" t="inlineStr">
        <is>
          <t>vB7a</t>
        </is>
      </c>
    </row>
    <row r="253">
      <c r="A253" s="1" t="inlineStr">
        <is>
          <t>vB7am10</t>
        </is>
      </c>
      <c r="B253" s="1" t="inlineStr">
        <is>
          <t>vB7a</t>
        </is>
      </c>
    </row>
    <row r="254">
      <c r="A254" s="1" t="inlineStr">
        <is>
          <t>vB7am11</t>
        </is>
      </c>
      <c r="B254" s="1" t="inlineStr">
        <is>
          <t>vB7a</t>
        </is>
      </c>
    </row>
    <row r="255">
      <c r="A255" s="1" t="inlineStr">
        <is>
          <t>vB7am12</t>
        </is>
      </c>
      <c r="B255" s="1" t="inlineStr">
        <is>
          <t>vB7a</t>
        </is>
      </c>
    </row>
    <row r="256">
      <c r="A256" s="1" t="inlineStr">
        <is>
          <t>vB7am13</t>
        </is>
      </c>
      <c r="B256" s="1" t="inlineStr">
        <is>
          <t>vB7a</t>
        </is>
      </c>
    </row>
    <row r="257">
      <c r="A257" s="1" t="inlineStr">
        <is>
          <t>vB7am14</t>
        </is>
      </c>
      <c r="B257" s="1" t="inlineStr">
        <is>
          <t>vB7a</t>
        </is>
      </c>
    </row>
    <row r="258">
      <c r="A258" s="1" t="inlineStr">
        <is>
          <t>vB7am15</t>
        </is>
      </c>
      <c r="B258" s="1" t="inlineStr">
        <is>
          <t>vB7a</t>
        </is>
      </c>
    </row>
    <row r="259">
      <c r="A259" s="1" t="inlineStr">
        <is>
          <t>vB7am16</t>
        </is>
      </c>
      <c r="B259" s="1" t="inlineStr">
        <is>
          <t>vB7a</t>
        </is>
      </c>
    </row>
    <row r="260">
      <c r="A260" s="1" t="inlineStr">
        <is>
          <t>vB7am17</t>
        </is>
      </c>
      <c r="B260" s="1" t="inlineStr">
        <is>
          <t>vB7a</t>
        </is>
      </c>
    </row>
    <row r="261">
      <c r="A261" s="1" t="inlineStr">
        <is>
          <t>vB7am18</t>
        </is>
      </c>
      <c r="B261" s="1" t="inlineStr">
        <is>
          <t>vB7a</t>
        </is>
      </c>
    </row>
    <row r="262">
      <c r="A262" s="1" t="inlineStr">
        <is>
          <t>vB7am19</t>
        </is>
      </c>
      <c r="B262" s="1" t="inlineStr">
        <is>
          <t>vB7a</t>
        </is>
      </c>
    </row>
    <row r="263">
      <c r="A263" s="1" t="inlineStr">
        <is>
          <t>vB7am20</t>
        </is>
      </c>
      <c r="B263" s="1" t="inlineStr">
        <is>
          <t>vB7a</t>
        </is>
      </c>
    </row>
    <row r="264">
      <c r="A264" s="1" t="inlineStr">
        <is>
          <t>vB7am21</t>
        </is>
      </c>
      <c r="B264" s="1" t="inlineStr">
        <is>
          <t>vB7a</t>
        </is>
      </c>
    </row>
    <row r="265">
      <c r="A265" s="1" t="inlineStr">
        <is>
          <t>vB7am22</t>
        </is>
      </c>
      <c r="B265" s="1" t="inlineStr">
        <is>
          <t>vB7a</t>
        </is>
      </c>
    </row>
    <row r="266">
      <c r="A266" s="1" t="inlineStr">
        <is>
          <t>vB7am23</t>
        </is>
      </c>
      <c r="B266" s="1" t="inlineStr">
        <is>
          <t>vB7a</t>
        </is>
      </c>
    </row>
    <row r="267">
      <c r="A267" s="1" t="inlineStr">
        <is>
          <t>vB7am24</t>
        </is>
      </c>
      <c r="B267" s="1" t="inlineStr">
        <is>
          <t>vB7a</t>
        </is>
      </c>
    </row>
    <row r="268">
      <c r="A268" s="1" t="inlineStr">
        <is>
          <t>vB7am25</t>
        </is>
      </c>
      <c r="B268" s="1" t="inlineStr">
        <is>
          <t>vB7a</t>
        </is>
      </c>
    </row>
    <row r="269">
      <c r="A269" s="1" t="inlineStr">
        <is>
          <t>vB7am26</t>
        </is>
      </c>
      <c r="B269" s="1" t="inlineStr">
        <is>
          <t>vB7a</t>
        </is>
      </c>
    </row>
    <row r="270">
      <c r="A270" s="1" t="inlineStr">
        <is>
          <t>vB7am27</t>
        </is>
      </c>
      <c r="B270" s="1" t="inlineStr">
        <is>
          <t>vB7a</t>
        </is>
      </c>
    </row>
    <row r="271">
      <c r="A271" s="1" t="inlineStr">
        <is>
          <t>vB7am28</t>
        </is>
      </c>
      <c r="B271" s="1" t="inlineStr">
        <is>
          <t>vB7a</t>
        </is>
      </c>
    </row>
    <row r="272">
      <c r="A272" s="1" t="inlineStr">
        <is>
          <t>vB7am29</t>
        </is>
      </c>
      <c r="B272" s="1" t="inlineStr">
        <is>
          <t>vB7a</t>
        </is>
      </c>
    </row>
    <row r="273">
      <c r="A273" s="1" t="inlineStr">
        <is>
          <t>vB7am30</t>
        </is>
      </c>
      <c r="B273" s="1" t="inlineStr">
        <is>
          <t>vB7a</t>
        </is>
      </c>
    </row>
    <row r="274">
      <c r="A274" s="1" t="inlineStr">
        <is>
          <t>vB7am31</t>
        </is>
      </c>
      <c r="B274" s="1" t="inlineStr">
        <is>
          <t>vB7a</t>
        </is>
      </c>
    </row>
    <row r="275">
      <c r="A275" s="1" t="inlineStr">
        <is>
          <t>vB7am32</t>
        </is>
      </c>
      <c r="B275" s="1" t="inlineStr">
        <is>
          <t>vB7a</t>
        </is>
      </c>
    </row>
    <row r="276">
      <c r="A276" s="1" t="inlineStr">
        <is>
          <t>vB7am33</t>
        </is>
      </c>
      <c r="B276" s="1" t="inlineStr">
        <is>
          <t>vB7a</t>
        </is>
      </c>
    </row>
    <row r="277">
      <c r="A277" s="1" t="inlineStr">
        <is>
          <t>vB7am34</t>
        </is>
      </c>
      <c r="B277" s="1" t="inlineStr">
        <is>
          <t>vB7a</t>
        </is>
      </c>
    </row>
    <row r="278">
      <c r="A278" s="1" t="inlineStr">
        <is>
          <t>vB7am35</t>
        </is>
      </c>
      <c r="B278" s="1" t="inlineStr">
        <is>
          <t>vB7a</t>
        </is>
      </c>
    </row>
    <row r="279">
      <c r="A279" s="1" t="inlineStr">
        <is>
          <t>vB7am36</t>
        </is>
      </c>
      <c r="B279" s="1" t="inlineStr">
        <is>
          <t>vB7a</t>
        </is>
      </c>
    </row>
    <row r="280">
      <c r="A280" s="1" t="inlineStr">
        <is>
          <t>vB7am37</t>
        </is>
      </c>
      <c r="B280" s="1" t="inlineStr">
        <is>
          <t>vB7a</t>
        </is>
      </c>
    </row>
    <row r="281">
      <c r="A281" s="1" t="inlineStr">
        <is>
          <t>vB7am38</t>
        </is>
      </c>
      <c r="B281" s="1" t="inlineStr">
        <is>
          <t>vB7a</t>
        </is>
      </c>
    </row>
    <row r="282">
      <c r="A282" s="1" t="inlineStr">
        <is>
          <t>vB7am39</t>
        </is>
      </c>
      <c r="B282" s="1" t="inlineStr">
        <is>
          <t>vB7a</t>
        </is>
      </c>
    </row>
    <row r="283">
      <c r="A283" s="1" t="inlineStr">
        <is>
          <t>vB7am40</t>
        </is>
      </c>
      <c r="B283" s="1" t="inlineStr">
        <is>
          <t>vB7a</t>
        </is>
      </c>
    </row>
    <row r="284">
      <c r="A284" s="1" t="inlineStr">
        <is>
          <t>vB7am41</t>
        </is>
      </c>
      <c r="B284" s="1" t="inlineStr">
        <is>
          <t>vB7a</t>
        </is>
      </c>
    </row>
    <row r="285">
      <c r="A285" s="1" t="inlineStr">
        <is>
          <t>vB7am42</t>
        </is>
      </c>
      <c r="B285" s="1" t="inlineStr">
        <is>
          <t>vB7a</t>
        </is>
      </c>
    </row>
    <row r="286">
      <c r="A286" s="1" t="inlineStr">
        <is>
          <t>vB7am43</t>
        </is>
      </c>
      <c r="B286" s="1" t="inlineStr">
        <is>
          <t>vB7a</t>
        </is>
      </c>
    </row>
    <row r="287">
      <c r="A287" s="1" t="inlineStr">
        <is>
          <t>vB7am44</t>
        </is>
      </c>
      <c r="B287" s="1" t="inlineStr">
        <is>
          <t>vB7a</t>
        </is>
      </c>
    </row>
    <row r="288">
      <c r="A288" s="1" t="inlineStr">
        <is>
          <t>vB7am45</t>
        </is>
      </c>
      <c r="B288" s="1" t="inlineStr">
        <is>
          <t>vB7a</t>
        </is>
      </c>
    </row>
    <row r="289">
      <c r="A289" s="1" t="inlineStr">
        <is>
          <t>vB7am46</t>
        </is>
      </c>
      <c r="B289" s="1" t="inlineStr">
        <is>
          <t>vB7a</t>
        </is>
      </c>
    </row>
    <row r="290">
      <c r="A290" s="1" t="inlineStr">
        <is>
          <t>vB7am47</t>
        </is>
      </c>
      <c r="B290" s="1" t="inlineStr">
        <is>
          <t>vB7a</t>
        </is>
      </c>
    </row>
    <row r="291">
      <c r="A291" s="1" t="inlineStr">
        <is>
          <t>vB7am48</t>
        </is>
      </c>
      <c r="B291" s="1" t="inlineStr">
        <is>
          <t>vB7a</t>
        </is>
      </c>
    </row>
    <row r="292">
      <c r="A292" s="1" t="inlineStr">
        <is>
          <t>vB7am49</t>
        </is>
      </c>
      <c r="B292" s="1" t="inlineStr">
        <is>
          <t>vB7a</t>
        </is>
      </c>
    </row>
    <row r="293">
      <c r="A293" s="1" t="inlineStr">
        <is>
          <t>vB7am50</t>
        </is>
      </c>
      <c r="B293" s="1" t="inlineStr">
        <is>
          <t>vB7a</t>
        </is>
      </c>
    </row>
    <row r="294">
      <c r="A294" s="1" t="inlineStr">
        <is>
          <t>vB7am51</t>
        </is>
      </c>
      <c r="B294" s="1" t="inlineStr">
        <is>
          <t>vB7a</t>
        </is>
      </c>
    </row>
    <row r="295">
      <c r="A295" s="1" t="inlineStr">
        <is>
          <t>vB7am52</t>
        </is>
      </c>
      <c r="B295" s="1" t="inlineStr">
        <is>
          <t>vB7a</t>
        </is>
      </c>
    </row>
    <row r="296">
      <c r="A296" s="1" t="inlineStr">
        <is>
          <t>vB7am53</t>
        </is>
      </c>
      <c r="B296" s="1" t="inlineStr">
        <is>
          <t>vB7a</t>
        </is>
      </c>
    </row>
    <row r="297">
      <c r="A297" s="1" t="inlineStr">
        <is>
          <t>vB7am54</t>
        </is>
      </c>
      <c r="B297" s="1" t="inlineStr">
        <is>
          <t>vB7a</t>
        </is>
      </c>
    </row>
    <row r="298">
      <c r="A298" s="1" t="inlineStr">
        <is>
          <t>vB7am88</t>
        </is>
      </c>
      <c r="B298" s="1" t="inlineStr">
        <is>
          <t>vB7a</t>
        </is>
      </c>
    </row>
    <row r="299">
      <c r="A299" s="1" t="inlineStr">
        <is>
          <t>vB8m01</t>
        </is>
      </c>
      <c r="B299" s="1" t="inlineStr">
        <is>
          <t>vB8</t>
        </is>
      </c>
    </row>
    <row r="300">
      <c r="A300" s="1" t="inlineStr">
        <is>
          <t>vB8m02</t>
        </is>
      </c>
      <c r="B300" s="1" t="inlineStr">
        <is>
          <t>vB8</t>
        </is>
      </c>
    </row>
    <row r="301">
      <c r="A301" s="1" t="inlineStr">
        <is>
          <t>vB8m03</t>
        </is>
      </c>
      <c r="B301" s="1" t="inlineStr">
        <is>
          <t>vB8</t>
        </is>
      </c>
    </row>
    <row r="302">
      <c r="A302" s="1" t="inlineStr">
        <is>
          <t>vB8m04</t>
        </is>
      </c>
      <c r="B302" s="1" t="inlineStr">
        <is>
          <t>vB8</t>
        </is>
      </c>
    </row>
    <row r="303">
      <c r="A303" s="1" t="inlineStr">
        <is>
          <t>vB8m05</t>
        </is>
      </c>
      <c r="B303" s="1" t="inlineStr">
        <is>
          <t>vB8</t>
        </is>
      </c>
    </row>
    <row r="304">
      <c r="A304" s="1" t="inlineStr">
        <is>
          <t>vB8m06</t>
        </is>
      </c>
      <c r="B304" s="1" t="inlineStr">
        <is>
          <t>vB8</t>
        </is>
      </c>
    </row>
    <row r="305">
      <c r="A305" s="1" t="inlineStr">
        <is>
          <t>vB8m07</t>
        </is>
      </c>
      <c r="B305" s="1" t="inlineStr">
        <is>
          <t>vB8</t>
        </is>
      </c>
    </row>
    <row r="306">
      <c r="A306" s="1" t="inlineStr">
        <is>
          <t>vB8m08</t>
        </is>
      </c>
      <c r="B306" s="1" t="inlineStr">
        <is>
          <t>vB8</t>
        </is>
      </c>
    </row>
    <row r="307">
      <c r="A307" s="1" t="inlineStr">
        <is>
          <t>vB8m09</t>
        </is>
      </c>
      <c r="B307" s="1" t="inlineStr">
        <is>
          <t>vB8</t>
        </is>
      </c>
    </row>
    <row r="308">
      <c r="A308" s="1" t="inlineStr">
        <is>
          <t>vB8m10</t>
        </is>
      </c>
      <c r="B308" s="1" t="inlineStr">
        <is>
          <t>vB8</t>
        </is>
      </c>
    </row>
    <row r="309">
      <c r="A309" s="1" t="inlineStr">
        <is>
          <t>vB8m88</t>
        </is>
      </c>
      <c r="B309" s="1" t="inlineStr">
        <is>
          <t>vB8</t>
        </is>
      </c>
    </row>
    <row r="310">
      <c r="A310" s="1" t="inlineStr">
        <is>
          <t>vG3m01</t>
        </is>
      </c>
      <c r="B310" s="1" t="inlineStr">
        <is>
          <t>vG3</t>
        </is>
      </c>
    </row>
    <row r="311">
      <c r="A311" s="1" t="inlineStr">
        <is>
          <t>vG3m02</t>
        </is>
      </c>
      <c r="B311" s="1" t="inlineStr">
        <is>
          <t>vG3</t>
        </is>
      </c>
    </row>
    <row r="312">
      <c r="A312" s="1" t="inlineStr">
        <is>
          <t>vG3m03</t>
        </is>
      </c>
      <c r="B312" s="1" t="inlineStr">
        <is>
          <t>vG3</t>
        </is>
      </c>
    </row>
    <row r="313">
      <c r="A313" s="1" t="inlineStr">
        <is>
          <t>vG3m04</t>
        </is>
      </c>
      <c r="B313" s="1" t="inlineStr">
        <is>
          <t>vG3</t>
        </is>
      </c>
    </row>
    <row r="314">
      <c r="A314" s="1" t="inlineStr">
        <is>
          <t>vG3m05</t>
        </is>
      </c>
      <c r="B314" s="1" t="inlineStr">
        <is>
          <t>vG3</t>
        </is>
      </c>
    </row>
    <row r="315">
      <c r="A315" s="1" t="inlineStr">
        <is>
          <t>vG3m06</t>
        </is>
      </c>
      <c r="B315" s="1" t="inlineStr">
        <is>
          <t>vG3</t>
        </is>
      </c>
    </row>
    <row r="316">
      <c r="A316" s="1" t="inlineStr">
        <is>
          <t>vG3m07</t>
        </is>
      </c>
      <c r="B316" s="1" t="inlineStr">
        <is>
          <t>vG3</t>
        </is>
      </c>
    </row>
    <row r="317">
      <c r="A317" s="1" t="inlineStr">
        <is>
          <t>vG3m08</t>
        </is>
      </c>
      <c r="B317" s="1" t="inlineStr">
        <is>
          <t>vG3</t>
        </is>
      </c>
    </row>
    <row r="318">
      <c r="A318" s="1" t="inlineStr">
        <is>
          <t>vG3m09</t>
        </is>
      </c>
      <c r="B318" s="1" t="inlineStr">
        <is>
          <t>vG3</t>
        </is>
      </c>
    </row>
    <row r="319">
      <c r="A319" s="1" t="inlineStr">
        <is>
          <t>vG3m10</t>
        </is>
      </c>
      <c r="B319" s="1" t="inlineStr">
        <is>
          <t>vG3</t>
        </is>
      </c>
    </row>
    <row r="320">
      <c r="A320" s="1" t="inlineStr">
        <is>
          <t>vG3m11</t>
        </is>
      </c>
      <c r="B320" s="1" t="inlineStr">
        <is>
          <t>vG3</t>
        </is>
      </c>
    </row>
    <row r="321">
      <c r="A321" s="1" t="inlineStr">
        <is>
          <t>vG3m12</t>
        </is>
      </c>
      <c r="B321" s="1" t="inlineStr">
        <is>
          <t>vG3</t>
        </is>
      </c>
    </row>
    <row r="322">
      <c r="A322" s="1" t="inlineStr">
        <is>
          <t>vG3m13</t>
        </is>
      </c>
      <c r="B322" s="1" t="inlineStr">
        <is>
          <t>vG3</t>
        </is>
      </c>
    </row>
    <row r="323">
      <c r="A323" s="1" t="inlineStr">
        <is>
          <t>vG3m14</t>
        </is>
      </c>
      <c r="B323" s="1" t="inlineStr">
        <is>
          <t>vG3</t>
        </is>
      </c>
    </row>
    <row r="324">
      <c r="A324" s="1" t="inlineStr">
        <is>
          <t>vG3m15</t>
        </is>
      </c>
      <c r="B324" s="1" t="inlineStr">
        <is>
          <t>vG3</t>
        </is>
      </c>
    </row>
    <row r="325">
      <c r="A325" s="1" t="inlineStr">
        <is>
          <t>vG3m16</t>
        </is>
      </c>
      <c r="B325" s="1" t="inlineStr">
        <is>
          <t>vG3</t>
        </is>
      </c>
    </row>
    <row r="326">
      <c r="A326" s="1" t="inlineStr">
        <is>
          <t>vG3m18</t>
        </is>
      </c>
      <c r="B326" s="1" t="inlineStr">
        <is>
          <t>vG3</t>
        </is>
      </c>
    </row>
    <row r="327">
      <c r="A327" s="1" t="inlineStr">
        <is>
          <t>vG3m19</t>
        </is>
      </c>
      <c r="B327" s="1" t="inlineStr">
        <is>
          <t>vG3</t>
        </is>
      </c>
    </row>
    <row r="328">
      <c r="A328" s="1" t="inlineStr">
        <is>
          <t>vG3m20</t>
        </is>
      </c>
      <c r="B328" s="1" t="inlineStr">
        <is>
          <t>vG3</t>
        </is>
      </c>
    </row>
    <row r="329">
      <c r="A329" s="1" t="inlineStr">
        <is>
          <t>vG3m21</t>
        </is>
      </c>
      <c r="B329" s="1" t="inlineStr">
        <is>
          <t>vG3</t>
        </is>
      </c>
    </row>
    <row r="330">
      <c r="A330" s="1" t="inlineStr">
        <is>
          <t>vG3m22</t>
        </is>
      </c>
      <c r="B330" s="1" t="inlineStr">
        <is>
          <t>vG3</t>
        </is>
      </c>
    </row>
    <row r="331">
      <c r="A331" s="1" t="inlineStr">
        <is>
          <t>vG3m23</t>
        </is>
      </c>
      <c r="B331" s="1" t="inlineStr">
        <is>
          <t>vG3</t>
        </is>
      </c>
    </row>
    <row r="332">
      <c r="A332" s="1" t="inlineStr">
        <is>
          <t>vG3m24</t>
        </is>
      </c>
      <c r="B332" s="1" t="inlineStr">
        <is>
          <t>vG3</t>
        </is>
      </c>
    </row>
    <row r="333">
      <c r="A333" s="1" t="inlineStr">
        <is>
          <t>vG3m25</t>
        </is>
      </c>
      <c r="B333" s="1" t="inlineStr">
        <is>
          <t>vG3</t>
        </is>
      </c>
    </row>
    <row r="334">
      <c r="A334" s="1" t="inlineStr">
        <is>
          <t>vG3m26</t>
        </is>
      </c>
      <c r="B334" s="1" t="inlineStr">
        <is>
          <t>vG3</t>
        </is>
      </c>
    </row>
    <row r="335">
      <c r="A335" s="1" t="inlineStr">
        <is>
          <t>vG3m27</t>
        </is>
      </c>
      <c r="B335" s="1" t="inlineStr">
        <is>
          <t>vG3</t>
        </is>
      </c>
    </row>
    <row r="336">
      <c r="A336" s="1" t="inlineStr">
        <is>
          <t>vG3m28</t>
        </is>
      </c>
      <c r="B336" s="1" t="inlineStr">
        <is>
          <t>vG3</t>
        </is>
      </c>
    </row>
    <row r="337">
      <c r="A337" s="1" t="inlineStr">
        <is>
          <t>vG3m29</t>
        </is>
      </c>
      <c r="B337" s="1" t="inlineStr">
        <is>
          <t>vG3</t>
        </is>
      </c>
    </row>
    <row r="338">
      <c r="A338" s="1" t="inlineStr">
        <is>
          <t>vG3m30</t>
        </is>
      </c>
      <c r="B338" s="1" t="inlineStr">
        <is>
          <t>vG3</t>
        </is>
      </c>
    </row>
    <row r="339">
      <c r="A339" s="1" t="inlineStr">
        <is>
          <t>vG3m31</t>
        </is>
      </c>
      <c r="B339" s="1" t="inlineStr">
        <is>
          <t>vG3</t>
        </is>
      </c>
    </row>
    <row r="340">
      <c r="A340" s="1" t="inlineStr">
        <is>
          <t>vG3m32</t>
        </is>
      </c>
      <c r="B340" s="1" t="inlineStr">
        <is>
          <t>vG3</t>
        </is>
      </c>
    </row>
    <row r="341">
      <c r="A341" s="1" t="inlineStr">
        <is>
          <t>vG3m33</t>
        </is>
      </c>
      <c r="B341" s="1" t="inlineStr">
        <is>
          <t>vG3</t>
        </is>
      </c>
    </row>
    <row r="342">
      <c r="A342" s="1" t="inlineStr">
        <is>
          <t>vG3m88</t>
        </is>
      </c>
      <c r="B342" s="1" t="inlineStr">
        <is>
          <t>vG3</t>
        </is>
      </c>
    </row>
    <row r="343">
      <c r="A343" s="1" t="inlineStr">
        <is>
          <t>vF5m01</t>
        </is>
      </c>
      <c r="B343" s="1" t="inlineStr">
        <is>
          <t>vF5</t>
        </is>
      </c>
    </row>
    <row r="344">
      <c r="A344" s="1" t="inlineStr">
        <is>
          <t>vF5m02</t>
        </is>
      </c>
      <c r="B344" s="1" t="inlineStr">
        <is>
          <t>vF5</t>
        </is>
      </c>
    </row>
    <row r="345">
      <c r="A345" s="1" t="inlineStr">
        <is>
          <t>vF5m03</t>
        </is>
      </c>
      <c r="B345" s="1" t="inlineStr">
        <is>
          <t>vF5</t>
        </is>
      </c>
    </row>
    <row r="346">
      <c r="A346" s="1" t="inlineStr">
        <is>
          <t>vF5m04</t>
        </is>
      </c>
      <c r="B346" s="1" t="inlineStr">
        <is>
          <t>vF5</t>
        </is>
      </c>
    </row>
    <row r="347">
      <c r="A347" s="1" t="inlineStr">
        <is>
          <t>vF5m05</t>
        </is>
      </c>
      <c r="B347" s="1" t="inlineStr">
        <is>
          <t>vF5</t>
        </is>
      </c>
    </row>
    <row r="348">
      <c r="A348" s="1" t="inlineStr">
        <is>
          <t>vF5m06</t>
        </is>
      </c>
      <c r="B348" s="1" t="inlineStr">
        <is>
          <t>vF5</t>
        </is>
      </c>
    </row>
    <row r="349">
      <c r="A349" s="1" t="inlineStr">
        <is>
          <t>vF5m07</t>
        </is>
      </c>
      <c r="B349" s="1" t="inlineStr">
        <is>
          <t>vF5</t>
        </is>
      </c>
    </row>
    <row r="350">
      <c r="A350" s="1" t="inlineStr">
        <is>
          <t>vF5m08</t>
        </is>
      </c>
      <c r="B350" s="1" t="inlineStr">
        <is>
          <t>vF5</t>
        </is>
      </c>
    </row>
    <row r="351">
      <c r="A351" s="1" t="inlineStr">
        <is>
          <t>vF5m88</t>
        </is>
      </c>
      <c r="B351" s="1" t="inlineStr">
        <is>
          <t>vF5</t>
        </is>
      </c>
    </row>
    <row r="352">
      <c r="A352" s="1" t="inlineStr">
        <is>
          <t>vC3m01</t>
        </is>
      </c>
      <c r="B352" s="1" t="inlineStr">
        <is>
          <t>vC3</t>
        </is>
      </c>
    </row>
    <row r="353">
      <c r="A353" s="1" t="inlineStr">
        <is>
          <t>vC3m02</t>
        </is>
      </c>
      <c r="B353" s="1" t="inlineStr">
        <is>
          <t>vC3</t>
        </is>
      </c>
    </row>
    <row r="354">
      <c r="A354" s="1" t="inlineStr">
        <is>
          <t>vC3m03</t>
        </is>
      </c>
      <c r="B354" s="1" t="inlineStr">
        <is>
          <t>vC3</t>
        </is>
      </c>
    </row>
    <row r="355">
      <c r="A355" s="1" t="inlineStr">
        <is>
          <t>vC3m04</t>
        </is>
      </c>
      <c r="B355" s="1" t="inlineStr">
        <is>
          <t>vC3</t>
        </is>
      </c>
    </row>
    <row r="356">
      <c r="A356" s="1" t="inlineStr">
        <is>
          <t>vC3m05</t>
        </is>
      </c>
      <c r="B356" s="1" t="inlineStr">
        <is>
          <t>vC3</t>
        </is>
      </c>
    </row>
    <row r="357">
      <c r="A357" s="1" t="inlineStr">
        <is>
          <t>vC3m06</t>
        </is>
      </c>
      <c r="B357" s="1" t="inlineStr">
        <is>
          <t>vC3</t>
        </is>
      </c>
    </row>
    <row r="358">
      <c r="A358" s="1" t="inlineStr">
        <is>
          <t>vC3m07</t>
        </is>
      </c>
      <c r="B358" s="1" t="inlineStr">
        <is>
          <t>vC3</t>
        </is>
      </c>
    </row>
    <row r="359">
      <c r="A359" s="1" t="inlineStr">
        <is>
          <t>vC3m08</t>
        </is>
      </c>
      <c r="B359" s="1" t="inlineStr">
        <is>
          <t>vC3</t>
        </is>
      </c>
    </row>
    <row r="360">
      <c r="A360" s="1" t="inlineStr">
        <is>
          <t>vC3m09</t>
        </is>
      </c>
      <c r="B360" s="1" t="inlineStr">
        <is>
          <t>vC3</t>
        </is>
      </c>
    </row>
    <row r="361">
      <c r="A361" s="1" t="inlineStr">
        <is>
          <t>vC3m10</t>
        </is>
      </c>
      <c r="B361" s="1" t="inlineStr">
        <is>
          <t>vC3</t>
        </is>
      </c>
    </row>
    <row r="362">
      <c r="A362" s="1" t="inlineStr">
        <is>
          <t>vC3m11</t>
        </is>
      </c>
      <c r="B362" s="1" t="inlineStr">
        <is>
          <t>vC3</t>
        </is>
      </c>
    </row>
    <row r="363">
      <c r="A363" s="1" t="inlineStr">
        <is>
          <t>vC3m88</t>
        </is>
      </c>
      <c r="B363" s="1" t="inlineStr">
        <is>
          <t>vC3</t>
        </is>
      </c>
    </row>
    <row r="364">
      <c r="A364" s="1" t="inlineStr">
        <is>
          <t>vJB1m01</t>
        </is>
      </c>
      <c r="B364" s="1" t="inlineStr">
        <is>
          <t>vJB1</t>
        </is>
      </c>
    </row>
    <row r="365">
      <c r="A365" s="1" t="inlineStr">
        <is>
          <t>vJB1m02</t>
        </is>
      </c>
      <c r="B365" s="1" t="inlineStr">
        <is>
          <t>vJB1</t>
        </is>
      </c>
    </row>
    <row r="366">
      <c r="A366" s="1" t="inlineStr">
        <is>
          <t>vJB1m03</t>
        </is>
      </c>
      <c r="B366" s="1" t="inlineStr">
        <is>
          <t>vJB1</t>
        </is>
      </c>
    </row>
    <row r="367">
      <c r="A367" s="1" t="inlineStr">
        <is>
          <t>vJB1m04</t>
        </is>
      </c>
      <c r="B367" s="1" t="inlineStr">
        <is>
          <t>vJB1</t>
        </is>
      </c>
    </row>
    <row r="368">
      <c r="A368" s="1" t="inlineStr">
        <is>
          <t>vJB1m05</t>
        </is>
      </c>
      <c r="B368" s="1" t="inlineStr">
        <is>
          <t>vJB1</t>
        </is>
      </c>
    </row>
    <row r="369">
      <c r="A369" s="1" t="inlineStr">
        <is>
          <t>vJB1m06</t>
        </is>
      </c>
      <c r="B369" s="1" t="inlineStr">
        <is>
          <t>vJB1</t>
        </is>
      </c>
    </row>
    <row r="370">
      <c r="A370" s="1" t="inlineStr">
        <is>
          <t>vJB1m07</t>
        </is>
      </c>
      <c r="B370" s="1" t="inlineStr">
        <is>
          <t>vJB1</t>
        </is>
      </c>
    </row>
    <row r="371">
      <c r="A371" s="1" t="inlineStr">
        <is>
          <t>vJB1m08</t>
        </is>
      </c>
      <c r="B371" s="1" t="inlineStr">
        <is>
          <t>vJB1</t>
        </is>
      </c>
    </row>
    <row r="372">
      <c r="A372" s="1" t="inlineStr">
        <is>
          <t>vJB1m09</t>
        </is>
      </c>
      <c r="B372" s="1" t="inlineStr">
        <is>
          <t>vJB1</t>
        </is>
      </c>
    </row>
    <row r="373">
      <c r="A373" s="1" t="inlineStr">
        <is>
          <t>vJB1m10</t>
        </is>
      </c>
      <c r="B373" s="1" t="inlineStr">
        <is>
          <t>vJB1</t>
        </is>
      </c>
    </row>
    <row r="374">
      <c r="A374" s="1" t="inlineStr">
        <is>
          <t>vJB1m11</t>
        </is>
      </c>
      <c r="B374" s="1" t="inlineStr">
        <is>
          <t>vJB1</t>
        </is>
      </c>
    </row>
    <row r="375">
      <c r="A375" s="1" t="inlineStr">
        <is>
          <t>vJB1m88</t>
        </is>
      </c>
      <c r="B375" s="1" t="inlineStr">
        <is>
          <t>vJB1</t>
        </is>
      </c>
    </row>
    <row r="376">
      <c r="A376" s="1" t="inlineStr">
        <is>
          <t>vJB1m90</t>
        </is>
      </c>
      <c r="B376" s="1" t="inlineStr">
        <is>
          <t>vJB1</t>
        </is>
      </c>
    </row>
    <row r="377">
      <c r="A377" s="1" t="inlineStr">
        <is>
          <t>vJB2m01</t>
        </is>
      </c>
      <c r="B377" s="1" t="inlineStr">
        <is>
          <t>vJB2</t>
        </is>
      </c>
    </row>
    <row r="378">
      <c r="A378" s="1" t="inlineStr">
        <is>
          <t>vJB2m02</t>
        </is>
      </c>
      <c r="B378" s="1" t="inlineStr">
        <is>
          <t>vJB2</t>
        </is>
      </c>
    </row>
    <row r="379">
      <c r="A379" s="1" t="inlineStr">
        <is>
          <t>vJB2m03</t>
        </is>
      </c>
      <c r="B379" s="1" t="inlineStr">
        <is>
          <t>vJB2</t>
        </is>
      </c>
    </row>
    <row r="380">
      <c r="A380" s="1" t="inlineStr">
        <is>
          <t>vJB2m04</t>
        </is>
      </c>
      <c r="B380" s="1" t="inlineStr">
        <is>
          <t>vJB2</t>
        </is>
      </c>
    </row>
    <row r="381">
      <c r="A381" s="1" t="inlineStr">
        <is>
          <t>vJB2m05</t>
        </is>
      </c>
      <c r="B381" s="1" t="inlineStr">
        <is>
          <t>vJB2</t>
        </is>
      </c>
    </row>
    <row r="382">
      <c r="A382" s="1" t="inlineStr">
        <is>
          <t>vJB2m06</t>
        </is>
      </c>
      <c r="B382" s="1" t="inlineStr">
        <is>
          <t>vJB2</t>
        </is>
      </c>
    </row>
    <row r="383">
      <c r="A383" s="1" t="inlineStr">
        <is>
          <t>vJB2m07</t>
        </is>
      </c>
      <c r="B383" s="1" t="inlineStr">
        <is>
          <t>vJB2</t>
        </is>
      </c>
    </row>
    <row r="384">
      <c r="A384" s="1" t="inlineStr">
        <is>
          <t>vJB2m88</t>
        </is>
      </c>
      <c r="B384" s="1" t="inlineStr">
        <is>
          <t>vJB2</t>
        </is>
      </c>
    </row>
    <row r="385">
      <c r="A385" s="1" t="inlineStr">
        <is>
          <t>vJB2m90</t>
        </is>
      </c>
      <c r="B385" s="1" t="inlineStr">
        <is>
          <t>vJB2</t>
        </is>
      </c>
    </row>
    <row r="386">
      <c r="A386" s="1" t="inlineStr">
        <is>
          <t>vM2m01</t>
        </is>
      </c>
      <c r="B386" s="1" t="inlineStr">
        <is>
          <t>vM2</t>
        </is>
      </c>
    </row>
    <row r="387">
      <c r="A387" s="1" t="inlineStr">
        <is>
          <t>vM2m02</t>
        </is>
      </c>
      <c r="B387" s="1" t="inlineStr">
        <is>
          <t>vM2</t>
        </is>
      </c>
    </row>
    <row r="388">
      <c r="A388" s="1" t="inlineStr">
        <is>
          <t>vM2m03</t>
        </is>
      </c>
      <c r="B388" s="1" t="inlineStr">
        <is>
          <t>vM2</t>
        </is>
      </c>
    </row>
    <row r="389">
      <c r="A389" s="1" t="inlineStr">
        <is>
          <t>vM2m04</t>
        </is>
      </c>
      <c r="B389" s="1" t="inlineStr">
        <is>
          <t>vM2</t>
        </is>
      </c>
    </row>
    <row r="390">
      <c r="A390" s="1" t="inlineStr">
        <is>
          <t>vM2m05</t>
        </is>
      </c>
      <c r="B390" s="1" t="inlineStr">
        <is>
          <t>vM2</t>
        </is>
      </c>
    </row>
    <row r="391">
      <c r="A391" s="1" t="inlineStr">
        <is>
          <t>vM2m06</t>
        </is>
      </c>
      <c r="B391" s="1" t="inlineStr">
        <is>
          <t>vM2</t>
        </is>
      </c>
    </row>
    <row r="392">
      <c r="A392" s="1" t="inlineStr">
        <is>
          <t>vM2m07</t>
        </is>
      </c>
      <c r="B392" s="1" t="inlineStr">
        <is>
          <t>vM2</t>
        </is>
      </c>
    </row>
    <row r="393">
      <c r="A393" s="1" t="inlineStr">
        <is>
          <t>vM2m08</t>
        </is>
      </c>
      <c r="B393" s="1" t="inlineStr">
        <is>
          <t>vM2</t>
        </is>
      </c>
    </row>
    <row r="394">
      <c r="A394" s="1" t="inlineStr">
        <is>
          <t>vM2m09</t>
        </is>
      </c>
      <c r="B394" s="1" t="inlineStr">
        <is>
          <t>vM2</t>
        </is>
      </c>
    </row>
    <row r="395">
      <c r="A395" s="1" t="inlineStr">
        <is>
          <t>vM2m10</t>
        </is>
      </c>
      <c r="B395" s="1" t="inlineStr">
        <is>
          <t>vM2</t>
        </is>
      </c>
    </row>
    <row r="396">
      <c r="A396" s="1" t="inlineStr">
        <is>
          <t>vM2m11</t>
        </is>
      </c>
      <c r="B396" s="1" t="inlineStr">
        <is>
          <t>vM2</t>
        </is>
      </c>
    </row>
    <row r="397">
      <c r="A397" s="1" t="inlineStr">
        <is>
          <t>vM2m12</t>
        </is>
      </c>
      <c r="B397" s="1" t="inlineStr">
        <is>
          <t>vM2</t>
        </is>
      </c>
    </row>
    <row r="398">
      <c r="A398" s="1" t="inlineStr">
        <is>
          <t>vM2m13</t>
        </is>
      </c>
      <c r="B398" s="1" t="inlineStr">
        <is>
          <t>vM2</t>
        </is>
      </c>
    </row>
    <row r="399">
      <c r="A399" s="1" t="inlineStr">
        <is>
          <t>vM2m14</t>
        </is>
      </c>
      <c r="B399" s="1" t="inlineStr">
        <is>
          <t>vM2</t>
        </is>
      </c>
    </row>
    <row r="400">
      <c r="A400" s="1" t="inlineStr">
        <is>
          <t>vM2m15</t>
        </is>
      </c>
      <c r="B400" s="1" t="inlineStr">
        <is>
          <t>vM2</t>
        </is>
      </c>
    </row>
    <row r="401">
      <c r="A401" s="1" t="inlineStr">
        <is>
          <t>vM2m16</t>
        </is>
      </c>
      <c r="B401" s="1" t="inlineStr">
        <is>
          <t>vM2</t>
        </is>
      </c>
    </row>
    <row r="402">
      <c r="A402" s="1" t="inlineStr">
        <is>
          <t>vM2m88</t>
        </is>
      </c>
      <c r="B402" s="1" t="inlineStr">
        <is>
          <t>vM2</t>
        </is>
      </c>
    </row>
    <row r="403">
      <c r="A403" s="1" t="inlineStr">
        <is>
          <t>vM3m01</t>
        </is>
      </c>
      <c r="B403" s="1" t="inlineStr">
        <is>
          <t>vM3</t>
        </is>
      </c>
    </row>
    <row r="404">
      <c r="A404" s="1" t="inlineStr">
        <is>
          <t>vM3m02</t>
        </is>
      </c>
      <c r="B404" s="1" t="inlineStr">
        <is>
          <t>vM3</t>
        </is>
      </c>
    </row>
    <row r="405">
      <c r="A405" s="1" t="inlineStr">
        <is>
          <t>vM3m03</t>
        </is>
      </c>
      <c r="B405" s="1" t="inlineStr">
        <is>
          <t>vM3</t>
        </is>
      </c>
    </row>
    <row r="406">
      <c r="A406" s="1" t="inlineStr">
        <is>
          <t>vM3m04</t>
        </is>
      </c>
      <c r="B406" s="1" t="inlineStr">
        <is>
          <t>vM3</t>
        </is>
      </c>
    </row>
    <row r="407">
      <c r="A407" s="1" t="inlineStr">
        <is>
          <t>vM3m05</t>
        </is>
      </c>
      <c r="B407" s="1" t="inlineStr">
        <is>
          <t>vM3</t>
        </is>
      </c>
    </row>
    <row r="408">
      <c r="A408" s="1" t="inlineStr">
        <is>
          <t>vM3m06</t>
        </is>
      </c>
      <c r="B408" s="1" t="inlineStr">
        <is>
          <t>vM3</t>
        </is>
      </c>
    </row>
    <row r="409">
      <c r="A409" s="1" t="inlineStr">
        <is>
          <t>vM3m07</t>
        </is>
      </c>
      <c r="B409" s="1" t="inlineStr">
        <is>
          <t>vM3</t>
        </is>
      </c>
    </row>
    <row r="410">
      <c r="A410" s="1" t="inlineStr">
        <is>
          <t>vM3m08</t>
        </is>
      </c>
      <c r="B410" s="1" t="inlineStr">
        <is>
          <t>vM3</t>
        </is>
      </c>
    </row>
    <row r="411">
      <c r="A411" s="1" t="inlineStr">
        <is>
          <t>vM3m09</t>
        </is>
      </c>
      <c r="B411" s="1" t="inlineStr">
        <is>
          <t>vM3</t>
        </is>
      </c>
    </row>
    <row r="412">
      <c r="A412" s="1" t="inlineStr">
        <is>
          <t>vM3m10</t>
        </is>
      </c>
      <c r="B412" s="1" t="inlineStr">
        <is>
          <t>vM3</t>
        </is>
      </c>
    </row>
    <row r="413">
      <c r="A413" s="1" t="inlineStr">
        <is>
          <t>vM3m11</t>
        </is>
      </c>
      <c r="B413" s="1" t="inlineStr">
        <is>
          <t>vM3</t>
        </is>
      </c>
    </row>
    <row r="414">
      <c r="A414" s="1" t="inlineStr">
        <is>
          <t>vM3m12</t>
        </is>
      </c>
      <c r="B414" s="1" t="inlineStr">
        <is>
          <t>vM3</t>
        </is>
      </c>
    </row>
    <row r="415">
      <c r="A415" s="1" t="inlineStr">
        <is>
          <t>vM3m13</t>
        </is>
      </c>
      <c r="B415" s="1" t="inlineStr">
        <is>
          <t>vM3</t>
        </is>
      </c>
    </row>
    <row r="416">
      <c r="A416" s="1" t="inlineStr">
        <is>
          <t>vM3m88</t>
        </is>
      </c>
      <c r="B416" s="1" t="inlineStr">
        <is>
          <t>vM3</t>
        </is>
      </c>
    </row>
    <row r="417">
      <c r="A417" s="1" t="inlineStr">
        <is>
          <t>vM4sM4</t>
        </is>
      </c>
      <c r="B417" s="1" t="inlineStr">
        <is>
          <t>vM4s</t>
        </is>
      </c>
    </row>
    <row r="418">
      <c r="A418" s="1" t="inlineStr">
        <is>
          <t>vM4sM5</t>
        </is>
      </c>
      <c r="B418" s="1" t="inlineStr">
        <is>
          <t>vM4s</t>
        </is>
      </c>
    </row>
    <row r="419">
      <c r="A419" s="1" t="inlineStr">
        <is>
          <t>vM4sM6</t>
        </is>
      </c>
      <c r="B419" s="1" t="inlineStr">
        <is>
          <t>vM4s</t>
        </is>
      </c>
    </row>
    <row r="420">
      <c r="A420" s="1" t="inlineStr">
        <is>
          <t>vQ20m01</t>
        </is>
      </c>
      <c r="B420" s="1" t="inlineStr">
        <is>
          <t>vQ20</t>
        </is>
      </c>
    </row>
    <row r="421">
      <c r="A421" s="1" t="inlineStr">
        <is>
          <t>vQ20m02</t>
        </is>
      </c>
      <c r="B421" s="1" t="inlineStr">
        <is>
          <t>vQ20</t>
        </is>
      </c>
    </row>
    <row r="422">
      <c r="A422" s="1" t="inlineStr">
        <is>
          <t>vQ20m03</t>
        </is>
      </c>
      <c r="B422" s="1" t="inlineStr">
        <is>
          <t>vQ20</t>
        </is>
      </c>
    </row>
    <row r="423">
      <c r="A423" s="1" t="inlineStr">
        <is>
          <t>vQ20m04</t>
        </is>
      </c>
      <c r="B423" s="1" t="inlineStr">
        <is>
          <t>vQ20</t>
        </is>
      </c>
    </row>
    <row r="424">
      <c r="A424" s="1" t="inlineStr">
        <is>
          <t>vQ20m05</t>
        </is>
      </c>
      <c r="B424" s="1" t="inlineStr">
        <is>
          <t>vQ20</t>
        </is>
      </c>
    </row>
    <row r="425">
      <c r="A425" s="1" t="inlineStr">
        <is>
          <t>vQ20m06</t>
        </is>
      </c>
      <c r="B425" s="1" t="inlineStr">
        <is>
          <t>vQ20</t>
        </is>
      </c>
    </row>
    <row r="426">
      <c r="A426" s="1" t="inlineStr">
        <is>
          <t>vQ20m88</t>
        </is>
      </c>
      <c r="B426" s="1" t="inlineStr">
        <is>
          <t>vQ20</t>
        </is>
      </c>
    </row>
    <row r="427">
      <c r="A427" s="1" t="inlineStr">
        <is>
          <t>vQ20m90</t>
        </is>
      </c>
      <c r="B427" s="1" t="inlineStr">
        <is>
          <t>vQ20</t>
        </is>
      </c>
    </row>
    <row r="428">
      <c r="A428" s="1" t="inlineStr">
        <is>
          <t>vQ25m01</t>
        </is>
      </c>
      <c r="B428" s="1" t="inlineStr">
        <is>
          <t>vQ25</t>
        </is>
      </c>
    </row>
    <row r="429">
      <c r="A429" s="1" t="inlineStr">
        <is>
          <t>vQ25m02</t>
        </is>
      </c>
      <c r="B429" s="1" t="inlineStr">
        <is>
          <t>vQ25</t>
        </is>
      </c>
    </row>
    <row r="430">
      <c r="A430" s="1" t="inlineStr">
        <is>
          <t>vQ25m03</t>
        </is>
      </c>
      <c r="B430" s="1" t="inlineStr">
        <is>
          <t>vQ25</t>
        </is>
      </c>
    </row>
    <row r="431">
      <c r="A431" s="1" t="inlineStr">
        <is>
          <t>vQ25m04</t>
        </is>
      </c>
      <c r="B431" s="1" t="inlineStr">
        <is>
          <t>vQ25</t>
        </is>
      </c>
    </row>
    <row r="432">
      <c r="A432" s="1" t="inlineStr">
        <is>
          <t>vQ25m05</t>
        </is>
      </c>
      <c r="B432" s="1" t="inlineStr">
        <is>
          <t>vQ25</t>
        </is>
      </c>
    </row>
    <row r="433">
      <c r="A433" s="1" t="inlineStr">
        <is>
          <t>vQ25m06</t>
        </is>
      </c>
      <c r="B433" s="1" t="inlineStr">
        <is>
          <t>vQ25</t>
        </is>
      </c>
    </row>
    <row r="434">
      <c r="A434" s="1" t="inlineStr">
        <is>
          <t>vQ25m07</t>
        </is>
      </c>
      <c r="B434" s="1" t="inlineStr">
        <is>
          <t>vQ25</t>
        </is>
      </c>
    </row>
    <row r="435">
      <c r="A435" s="1" t="inlineStr">
        <is>
          <t>vQ25m08</t>
        </is>
      </c>
      <c r="B435" s="1" t="inlineStr">
        <is>
          <t>vQ25</t>
        </is>
      </c>
    </row>
    <row r="436">
      <c r="A436" s="1" t="inlineStr">
        <is>
          <t>vQ25m09</t>
        </is>
      </c>
      <c r="B436" s="1" t="inlineStr">
        <is>
          <t>vQ25</t>
        </is>
      </c>
    </row>
    <row r="437">
      <c r="A437" s="1" t="inlineStr">
        <is>
          <t>vQ25m10</t>
        </is>
      </c>
      <c r="B437" s="1" t="inlineStr">
        <is>
          <t>vQ25</t>
        </is>
      </c>
    </row>
    <row r="438">
      <c r="A438" s="1" t="inlineStr">
        <is>
          <t>vQ25m11</t>
        </is>
      </c>
      <c r="B438" s="1" t="inlineStr">
        <is>
          <t>vQ25</t>
        </is>
      </c>
    </row>
    <row r="439">
      <c r="A439" s="1" t="inlineStr">
        <is>
          <t>vQ25m12</t>
        </is>
      </c>
      <c r="B439" s="1" t="inlineStr">
        <is>
          <t>vQ25</t>
        </is>
      </c>
    </row>
    <row r="440">
      <c r="A440" s="1" t="inlineStr">
        <is>
          <t>vQ25m13</t>
        </is>
      </c>
      <c r="B440" s="1" t="inlineStr">
        <is>
          <t>vQ25</t>
        </is>
      </c>
    </row>
    <row r="441">
      <c r="A441" s="1" t="inlineStr">
        <is>
          <t>vQ25m14</t>
        </is>
      </c>
      <c r="B441" s="1" t="inlineStr">
        <is>
          <t>vQ25</t>
        </is>
      </c>
    </row>
    <row r="442">
      <c r="A442" s="1" t="inlineStr">
        <is>
          <t>vQ25m15</t>
        </is>
      </c>
      <c r="B442" s="1" t="inlineStr">
        <is>
          <t>vQ25</t>
        </is>
      </c>
    </row>
    <row r="443">
      <c r="A443" s="1" t="inlineStr">
        <is>
          <t>vQ25m16</t>
        </is>
      </c>
      <c r="B443" s="1" t="inlineStr">
        <is>
          <t>vQ25</t>
        </is>
      </c>
    </row>
    <row r="444">
      <c r="A444" s="1" t="inlineStr">
        <is>
          <t>vQ25m17</t>
        </is>
      </c>
      <c r="B444" s="1" t="inlineStr">
        <is>
          <t>vQ25</t>
        </is>
      </c>
    </row>
    <row r="445">
      <c r="A445" s="1" t="inlineStr">
        <is>
          <t>vQ25m18</t>
        </is>
      </c>
      <c r="B445" s="1" t="inlineStr">
        <is>
          <t>vQ25</t>
        </is>
      </c>
    </row>
    <row r="446">
      <c r="A446" s="1" t="inlineStr">
        <is>
          <t>vQ25m19</t>
        </is>
      </c>
      <c r="B446" s="1" t="inlineStr">
        <is>
          <t>vQ25</t>
        </is>
      </c>
    </row>
    <row r="447">
      <c r="A447" s="1" t="inlineStr">
        <is>
          <t>vQ25m20</t>
        </is>
      </c>
      <c r="B447" s="1" t="inlineStr">
        <is>
          <t>vQ25</t>
        </is>
      </c>
    </row>
    <row r="448">
      <c r="A448" s="1" t="inlineStr">
        <is>
          <t>vQ25m21</t>
        </is>
      </c>
      <c r="B448" s="1" t="inlineStr">
        <is>
          <t>vQ25</t>
        </is>
      </c>
    </row>
    <row r="449">
      <c r="A449" s="1" t="inlineStr">
        <is>
          <t>vQ25m22</t>
        </is>
      </c>
      <c r="B449" s="1" t="inlineStr">
        <is>
          <t>vQ25</t>
        </is>
      </c>
    </row>
    <row r="450">
      <c r="A450" s="1" t="inlineStr">
        <is>
          <t>vQ25m23</t>
        </is>
      </c>
      <c r="B450" s="1" t="inlineStr">
        <is>
          <t>vQ25</t>
        </is>
      </c>
    </row>
    <row r="451">
      <c r="A451" s="1" t="inlineStr">
        <is>
          <t>vQ25m24</t>
        </is>
      </c>
      <c r="B451" s="1" t="inlineStr">
        <is>
          <t>vQ25</t>
        </is>
      </c>
    </row>
    <row r="452">
      <c r="A452" s="1" t="inlineStr">
        <is>
          <t>vQ25m25</t>
        </is>
      </c>
      <c r="B452" s="1" t="inlineStr">
        <is>
          <t>vQ25</t>
        </is>
      </c>
    </row>
    <row r="453">
      <c r="A453" s="1" t="inlineStr">
        <is>
          <t>vQ25m26</t>
        </is>
      </c>
      <c r="B453" s="1" t="inlineStr">
        <is>
          <t>vQ25</t>
        </is>
      </c>
    </row>
    <row r="454">
      <c r="A454" s="1" t="inlineStr">
        <is>
          <t>vQ25m27</t>
        </is>
      </c>
      <c r="B454" s="1" t="inlineStr">
        <is>
          <t>vQ25</t>
        </is>
      </c>
    </row>
    <row r="455">
      <c r="A455" s="1" t="inlineStr">
        <is>
          <t>vQ25m28</t>
        </is>
      </c>
      <c r="B455" s="1" t="inlineStr">
        <is>
          <t>vQ25</t>
        </is>
      </c>
    </row>
    <row r="456">
      <c r="A456" s="1" t="inlineStr">
        <is>
          <t>vQ25m29</t>
        </is>
      </c>
      <c r="B456" s="1" t="inlineStr">
        <is>
          <t>vQ25</t>
        </is>
      </c>
    </row>
    <row r="457">
      <c r="A457" s="1" t="inlineStr">
        <is>
          <t>vQ25m30</t>
        </is>
      </c>
      <c r="B457" s="1" t="inlineStr">
        <is>
          <t>vQ25</t>
        </is>
      </c>
    </row>
    <row r="458">
      <c r="A458" s="1" t="inlineStr">
        <is>
          <t>vQ25m31</t>
        </is>
      </c>
      <c r="B458" s="1" t="inlineStr">
        <is>
          <t>vQ25</t>
        </is>
      </c>
    </row>
    <row r="459">
      <c r="A459" s="1" t="inlineStr">
        <is>
          <t>vQ25m88</t>
        </is>
      </c>
      <c r="B459" s="1" t="inlineStr">
        <is>
          <t>vQ25</t>
        </is>
      </c>
    </row>
    <row r="460">
      <c r="A460" s="1" t="inlineStr">
        <is>
          <t>vQ22m01</t>
        </is>
      </c>
      <c r="B460" s="1" t="inlineStr">
        <is>
          <t>vQ22</t>
        </is>
      </c>
    </row>
    <row r="461">
      <c r="A461" s="1" t="inlineStr">
        <is>
          <t>vQ22m02</t>
        </is>
      </c>
      <c r="B461" s="1" t="inlineStr">
        <is>
          <t>vQ22</t>
        </is>
      </c>
    </row>
    <row r="462">
      <c r="A462" s="1" t="inlineStr">
        <is>
          <t>vQ22m03</t>
        </is>
      </c>
      <c r="B462" s="1" t="inlineStr">
        <is>
          <t>vQ22</t>
        </is>
      </c>
    </row>
    <row r="463">
      <c r="A463" s="1" t="inlineStr">
        <is>
          <t>vQ22m04</t>
        </is>
      </c>
      <c r="B463" s="1" t="inlineStr">
        <is>
          <t>vQ22</t>
        </is>
      </c>
    </row>
    <row r="464">
      <c r="A464" s="1" t="inlineStr">
        <is>
          <t>vQ22m05</t>
        </is>
      </c>
      <c r="B464" s="1" t="inlineStr">
        <is>
          <t>vQ22</t>
        </is>
      </c>
    </row>
    <row r="465">
      <c r="A465" s="1" t="inlineStr">
        <is>
          <t>vQ22m06</t>
        </is>
      </c>
      <c r="B465" s="1" t="inlineStr">
        <is>
          <t>vQ22</t>
        </is>
      </c>
    </row>
    <row r="466">
      <c r="A466" s="1" t="inlineStr">
        <is>
          <t>vQ22m07</t>
        </is>
      </c>
      <c r="B466" s="1" t="inlineStr">
        <is>
          <t>vQ22</t>
        </is>
      </c>
    </row>
    <row r="467">
      <c r="A467" s="1" t="inlineStr">
        <is>
          <t>vQ22m08</t>
        </is>
      </c>
      <c r="B467" s="1" t="inlineStr">
        <is>
          <t>vQ22</t>
        </is>
      </c>
    </row>
    <row r="468">
      <c r="A468" s="1" t="inlineStr">
        <is>
          <t>vQ22m09</t>
        </is>
      </c>
      <c r="B468" s="1" t="inlineStr">
        <is>
          <t>vQ22</t>
        </is>
      </c>
    </row>
    <row r="469">
      <c r="A469" s="1" t="inlineStr">
        <is>
          <t>vQ22m10</t>
        </is>
      </c>
      <c r="B469" s="1" t="inlineStr">
        <is>
          <t>vQ22</t>
        </is>
      </c>
    </row>
    <row r="470">
      <c r="A470" s="1" t="inlineStr">
        <is>
          <t>vQ22m11</t>
        </is>
      </c>
      <c r="B470" s="1" t="inlineStr">
        <is>
          <t>vQ22</t>
        </is>
      </c>
    </row>
    <row r="471">
      <c r="A471" s="1" t="inlineStr">
        <is>
          <t>vQ22m12</t>
        </is>
      </c>
      <c r="B471" s="1" t="inlineStr">
        <is>
          <t>vQ22</t>
        </is>
      </c>
    </row>
    <row r="472">
      <c r="A472" s="1" t="inlineStr">
        <is>
          <t>vQ22m13</t>
        </is>
      </c>
      <c r="B472" s="1" t="inlineStr">
        <is>
          <t>vQ22</t>
        </is>
      </c>
    </row>
    <row r="473">
      <c r="A473" s="1" t="inlineStr">
        <is>
          <t>vQ22m14</t>
        </is>
      </c>
      <c r="B473" s="1" t="inlineStr">
        <is>
          <t>vQ22</t>
        </is>
      </c>
    </row>
    <row r="474">
      <c r="A474" s="1" t="inlineStr">
        <is>
          <t>vQ22m15</t>
        </is>
      </c>
      <c r="B474" s="1" t="inlineStr">
        <is>
          <t>vQ22</t>
        </is>
      </c>
    </row>
    <row r="475">
      <c r="A475" s="1" t="inlineStr">
        <is>
          <t>vQ22m16</t>
        </is>
      </c>
      <c r="B475" s="1" t="inlineStr">
        <is>
          <t>vQ22</t>
        </is>
      </c>
    </row>
    <row r="476">
      <c r="A476" s="1" t="inlineStr">
        <is>
          <t>vQ22m17</t>
        </is>
      </c>
      <c r="B476" s="1" t="inlineStr">
        <is>
          <t>vQ22</t>
        </is>
      </c>
    </row>
    <row r="477">
      <c r="A477" s="1" t="inlineStr">
        <is>
          <t>vQ22m18</t>
        </is>
      </c>
      <c r="B477" s="1" t="inlineStr">
        <is>
          <t>vQ22</t>
        </is>
      </c>
    </row>
    <row r="478">
      <c r="A478" s="1" t="inlineStr">
        <is>
          <t>vQ22m19</t>
        </is>
      </c>
      <c r="B478" s="1" t="inlineStr">
        <is>
          <t>vQ22</t>
        </is>
      </c>
    </row>
    <row r="479">
      <c r="A479" s="1" t="inlineStr">
        <is>
          <t>vQ22m20</t>
        </is>
      </c>
      <c r="B479" s="1" t="inlineStr">
        <is>
          <t>vQ22</t>
        </is>
      </c>
    </row>
    <row r="480">
      <c r="A480" s="1" t="inlineStr">
        <is>
          <t>vQ22m21</t>
        </is>
      </c>
      <c r="B480" s="1" t="inlineStr">
        <is>
          <t>vQ22</t>
        </is>
      </c>
    </row>
    <row r="481">
      <c r="A481" s="1" t="inlineStr">
        <is>
          <t>vQ22m22</t>
        </is>
      </c>
      <c r="B481" s="1" t="inlineStr">
        <is>
          <t>vQ22</t>
        </is>
      </c>
    </row>
    <row r="482">
      <c r="A482" s="1" t="inlineStr">
        <is>
          <t>vQ22m23</t>
        </is>
      </c>
      <c r="B482" s="1" t="inlineStr">
        <is>
          <t>vQ22</t>
        </is>
      </c>
    </row>
    <row r="483">
      <c r="A483" s="1" t="inlineStr">
        <is>
          <t>vQ22m24</t>
        </is>
      </c>
      <c r="B483" s="1" t="inlineStr">
        <is>
          <t>vQ22</t>
        </is>
      </c>
    </row>
    <row r="484">
      <c r="A484" s="1" t="inlineStr">
        <is>
          <t>vQ22m25</t>
        </is>
      </c>
      <c r="B484" s="1" t="inlineStr">
        <is>
          <t>vQ22</t>
        </is>
      </c>
    </row>
    <row r="485">
      <c r="A485" s="1" t="inlineStr">
        <is>
          <t>vQ22m26</t>
        </is>
      </c>
      <c r="B485" s="1" t="inlineStr">
        <is>
          <t>vQ22</t>
        </is>
      </c>
    </row>
    <row r="486">
      <c r="A486" s="1" t="inlineStr">
        <is>
          <t>vQ22m27</t>
        </is>
      </c>
      <c r="B486" s="1" t="inlineStr">
        <is>
          <t>vQ22</t>
        </is>
      </c>
    </row>
    <row r="487">
      <c r="A487" s="1" t="inlineStr">
        <is>
          <t>vQ22m28</t>
        </is>
      </c>
      <c r="B487" s="1" t="inlineStr">
        <is>
          <t>vQ22</t>
        </is>
      </c>
    </row>
    <row r="488">
      <c r="A488" s="1" t="inlineStr">
        <is>
          <t>vQ22m29</t>
        </is>
      </c>
      <c r="B488" s="1" t="inlineStr">
        <is>
          <t>vQ22</t>
        </is>
      </c>
    </row>
    <row r="489">
      <c r="A489" s="1" t="inlineStr">
        <is>
          <t>vQ22m30</t>
        </is>
      </c>
      <c r="B489" s="1" t="inlineStr">
        <is>
          <t>vQ22</t>
        </is>
      </c>
    </row>
    <row r="490">
      <c r="A490" s="1" t="inlineStr">
        <is>
          <t>vQ22m31</t>
        </is>
      </c>
      <c r="B490" s="1" t="inlineStr">
        <is>
          <t>vQ22</t>
        </is>
      </c>
    </row>
    <row r="491">
      <c r="A491" s="1" t="inlineStr">
        <is>
          <t>vQ22m32</t>
        </is>
      </c>
      <c r="B491" s="1" t="inlineStr">
        <is>
          <t>vQ22</t>
        </is>
      </c>
    </row>
    <row r="492">
      <c r="A492" s="1" t="inlineStr">
        <is>
          <t>vQ22m33</t>
        </is>
      </c>
      <c r="B492" s="1" t="inlineStr">
        <is>
          <t>vQ22</t>
        </is>
      </c>
    </row>
    <row r="493">
      <c r="A493" s="1" t="inlineStr">
        <is>
          <t>vQ22m34</t>
        </is>
      </c>
      <c r="B493" s="1" t="inlineStr">
        <is>
          <t>vQ22</t>
        </is>
      </c>
    </row>
    <row r="494">
      <c r="A494" s="1" t="inlineStr">
        <is>
          <t>vQ22m35</t>
        </is>
      </c>
      <c r="B494" s="1" t="inlineStr">
        <is>
          <t>vQ22</t>
        </is>
      </c>
    </row>
    <row r="495">
      <c r="A495" s="1" t="inlineStr">
        <is>
          <t>vQ22m36</t>
        </is>
      </c>
      <c r="B495" s="1" t="inlineStr">
        <is>
          <t>vQ22</t>
        </is>
      </c>
    </row>
    <row r="496">
      <c r="A496" s="1" t="inlineStr">
        <is>
          <t>vQ22m37</t>
        </is>
      </c>
      <c r="B496" s="1" t="inlineStr">
        <is>
          <t>vQ22</t>
        </is>
      </c>
    </row>
    <row r="497">
      <c r="A497" s="1" t="inlineStr">
        <is>
          <t>vQ22m38</t>
        </is>
      </c>
      <c r="B497" s="1" t="inlineStr">
        <is>
          <t>vQ22</t>
        </is>
      </c>
    </row>
    <row r="498">
      <c r="A498" s="1" t="inlineStr">
        <is>
          <t>vQ22m39</t>
        </is>
      </c>
      <c r="B498" s="1" t="inlineStr">
        <is>
          <t>vQ22</t>
        </is>
      </c>
    </row>
    <row r="499">
      <c r="A499" s="1" t="inlineStr">
        <is>
          <t>vQ22m40</t>
        </is>
      </c>
      <c r="B499" s="1" t="inlineStr">
        <is>
          <t>vQ22</t>
        </is>
      </c>
    </row>
    <row r="500">
      <c r="A500" s="1" t="inlineStr">
        <is>
          <t>vQ22m88</t>
        </is>
      </c>
      <c r="B500" s="1" t="inlineStr">
        <is>
          <t>vQ22</t>
        </is>
      </c>
    </row>
    <row r="501">
      <c r="A501" s="1" t="inlineStr">
        <is>
          <t>vQ23m01</t>
        </is>
      </c>
      <c r="B501" s="1" t="inlineStr">
        <is>
          <t>vQ23</t>
        </is>
      </c>
    </row>
    <row r="502">
      <c r="A502" s="1" t="inlineStr">
        <is>
          <t>vQ23m02</t>
        </is>
      </c>
      <c r="B502" s="1" t="inlineStr">
        <is>
          <t>vQ23</t>
        </is>
      </c>
    </row>
    <row r="503">
      <c r="A503" s="1" t="inlineStr">
        <is>
          <t>vQ23m03</t>
        </is>
      </c>
      <c r="B503" s="1" t="inlineStr">
        <is>
          <t>vQ23</t>
        </is>
      </c>
    </row>
    <row r="504">
      <c r="A504" s="1" t="inlineStr">
        <is>
          <t>vQ23m04</t>
        </is>
      </c>
      <c r="B504" s="1" t="inlineStr">
        <is>
          <t>vQ23</t>
        </is>
      </c>
    </row>
    <row r="505">
      <c r="A505" s="1" t="inlineStr">
        <is>
          <t>vQ23m05</t>
        </is>
      </c>
      <c r="B505" s="1" t="inlineStr">
        <is>
          <t>vQ23</t>
        </is>
      </c>
    </row>
    <row r="506">
      <c r="A506" s="1" t="inlineStr">
        <is>
          <t>vQ23m06</t>
        </is>
      </c>
      <c r="B506" s="1" t="inlineStr">
        <is>
          <t>vQ23</t>
        </is>
      </c>
    </row>
    <row r="507">
      <c r="A507" s="1" t="inlineStr">
        <is>
          <t>vQ23m07</t>
        </is>
      </c>
      <c r="B507" s="1" t="inlineStr">
        <is>
          <t>vQ23</t>
        </is>
      </c>
    </row>
    <row r="508">
      <c r="A508" s="1" t="inlineStr">
        <is>
          <t>vQ23m08</t>
        </is>
      </c>
      <c r="B508" s="1" t="inlineStr">
        <is>
          <t>vQ23</t>
        </is>
      </c>
    </row>
    <row r="509">
      <c r="A509" s="1" t="inlineStr">
        <is>
          <t>vQ23m09</t>
        </is>
      </c>
      <c r="B509" s="1" t="inlineStr">
        <is>
          <t>vQ23</t>
        </is>
      </c>
    </row>
    <row r="510">
      <c r="A510" s="1" t="inlineStr">
        <is>
          <t>vQ23m10</t>
        </is>
      </c>
      <c r="B510" s="1" t="inlineStr">
        <is>
          <t>vQ23</t>
        </is>
      </c>
    </row>
    <row r="511">
      <c r="A511" s="1" t="inlineStr">
        <is>
          <t>vQ23m11</t>
        </is>
      </c>
      <c r="B511" s="1" t="inlineStr">
        <is>
          <t>vQ23</t>
        </is>
      </c>
    </row>
    <row r="512">
      <c r="A512" s="1" t="inlineStr">
        <is>
          <t>vQ23m12</t>
        </is>
      </c>
      <c r="B512" s="1" t="inlineStr">
        <is>
          <t>vQ23</t>
        </is>
      </c>
    </row>
    <row r="513">
      <c r="A513" s="1" t="inlineStr">
        <is>
          <t>vQ23m13</t>
        </is>
      </c>
      <c r="B513" s="1" t="inlineStr">
        <is>
          <t>vQ23</t>
        </is>
      </c>
    </row>
    <row r="514">
      <c r="A514" s="1" t="inlineStr">
        <is>
          <t>vQ23m14</t>
        </is>
      </c>
      <c r="B514" s="1" t="inlineStr">
        <is>
          <t>vQ23</t>
        </is>
      </c>
    </row>
    <row r="515">
      <c r="A515" s="1" t="inlineStr">
        <is>
          <t>vQ23m15</t>
        </is>
      </c>
      <c r="B515" s="1" t="inlineStr">
        <is>
          <t>vQ23</t>
        </is>
      </c>
    </row>
    <row r="516">
      <c r="A516" s="1" t="inlineStr">
        <is>
          <t>vQ23m16</t>
        </is>
      </c>
      <c r="B516" s="1" t="inlineStr">
        <is>
          <t>vQ23</t>
        </is>
      </c>
    </row>
    <row r="517">
      <c r="A517" s="1" t="inlineStr">
        <is>
          <t>vQ23m17</t>
        </is>
      </c>
      <c r="B517" s="1" t="inlineStr">
        <is>
          <t>vQ23</t>
        </is>
      </c>
    </row>
    <row r="518">
      <c r="A518" s="1" t="inlineStr">
        <is>
          <t>vQ23m18</t>
        </is>
      </c>
      <c r="B518" s="1" t="inlineStr">
        <is>
          <t>vQ23</t>
        </is>
      </c>
    </row>
    <row r="519">
      <c r="A519" s="1" t="inlineStr">
        <is>
          <t>vQ23m19</t>
        </is>
      </c>
      <c r="B519" s="1" t="inlineStr">
        <is>
          <t>vQ23</t>
        </is>
      </c>
    </row>
    <row r="520">
      <c r="A520" s="1" t="inlineStr">
        <is>
          <t>vQ23m20</t>
        </is>
      </c>
      <c r="B520" s="1" t="inlineStr">
        <is>
          <t>vQ23</t>
        </is>
      </c>
    </row>
    <row r="521">
      <c r="A521" s="1" t="inlineStr">
        <is>
          <t>vQ23m21</t>
        </is>
      </c>
      <c r="B521" s="1" t="inlineStr">
        <is>
          <t>vQ23</t>
        </is>
      </c>
    </row>
    <row r="522">
      <c r="A522" s="1" t="inlineStr">
        <is>
          <t>vQ23m22</t>
        </is>
      </c>
      <c r="B522" s="1" t="inlineStr">
        <is>
          <t>vQ23</t>
        </is>
      </c>
    </row>
    <row r="523">
      <c r="A523" s="1" t="inlineStr">
        <is>
          <t>vQ23m23</t>
        </is>
      </c>
      <c r="B523" s="1" t="inlineStr">
        <is>
          <t>vQ23</t>
        </is>
      </c>
    </row>
    <row r="524">
      <c r="A524" s="1" t="inlineStr">
        <is>
          <t>vQ23m24</t>
        </is>
      </c>
      <c r="B524" s="1" t="inlineStr">
        <is>
          <t>vQ23</t>
        </is>
      </c>
    </row>
    <row r="525">
      <c r="A525" s="1" t="inlineStr">
        <is>
          <t>vQ23m25</t>
        </is>
      </c>
      <c r="B525" s="1" t="inlineStr">
        <is>
          <t>vQ23</t>
        </is>
      </c>
    </row>
    <row r="526">
      <c r="A526" s="1" t="inlineStr">
        <is>
          <t>vQ23m26</t>
        </is>
      </c>
      <c r="B526" s="1" t="inlineStr">
        <is>
          <t>vQ23</t>
        </is>
      </c>
    </row>
    <row r="527">
      <c r="A527" s="1" t="inlineStr">
        <is>
          <t>vQ23m27</t>
        </is>
      </c>
      <c r="B527" s="1" t="inlineStr">
        <is>
          <t>vQ23</t>
        </is>
      </c>
    </row>
    <row r="528">
      <c r="A528" s="1" t="inlineStr">
        <is>
          <t>vQ23m88</t>
        </is>
      </c>
      <c r="B528" s="1" t="inlineStr">
        <is>
          <t>vQ23</t>
        </is>
      </c>
    </row>
    <row r="529">
      <c r="A529" s="1" t="inlineStr">
        <is>
          <t>vQ26m01</t>
        </is>
      </c>
      <c r="B529" s="1" t="inlineStr">
        <is>
          <t>vQ26</t>
        </is>
      </c>
    </row>
    <row r="530">
      <c r="A530" s="1" t="inlineStr">
        <is>
          <t>vQ26m02</t>
        </is>
      </c>
      <c r="B530" s="1" t="inlineStr">
        <is>
          <t>vQ26</t>
        </is>
      </c>
    </row>
    <row r="531">
      <c r="A531" s="1" t="inlineStr">
        <is>
          <t>vQ26m03</t>
        </is>
      </c>
      <c r="B531" s="1" t="inlineStr">
        <is>
          <t>vQ26</t>
        </is>
      </c>
    </row>
    <row r="532">
      <c r="A532" s="1" t="inlineStr">
        <is>
          <t>vQ26m04</t>
        </is>
      </c>
      <c r="B532" s="1" t="inlineStr">
        <is>
          <t>vQ26</t>
        </is>
      </c>
    </row>
    <row r="533">
      <c r="A533" s="1" t="inlineStr">
        <is>
          <t>vQ26m05</t>
        </is>
      </c>
      <c r="B533" s="1" t="inlineStr">
        <is>
          <t>vQ26</t>
        </is>
      </c>
    </row>
    <row r="534">
      <c r="A534" s="1" t="inlineStr">
        <is>
          <t>vQ26m06</t>
        </is>
      </c>
      <c r="B534" s="1" t="inlineStr">
        <is>
          <t>vQ26</t>
        </is>
      </c>
    </row>
    <row r="535">
      <c r="A535" s="1" t="inlineStr">
        <is>
          <t>vQ26m07</t>
        </is>
      </c>
      <c r="B535" s="1" t="inlineStr">
        <is>
          <t>vQ26</t>
        </is>
      </c>
    </row>
    <row r="536">
      <c r="A536" s="1" t="inlineStr">
        <is>
          <t>vQ26m08</t>
        </is>
      </c>
      <c r="B536" s="1" t="inlineStr">
        <is>
          <t>vQ26</t>
        </is>
      </c>
    </row>
    <row r="537">
      <c r="A537" s="1" t="inlineStr">
        <is>
          <t>vQ26m09</t>
        </is>
      </c>
      <c r="B537" s="1" t="inlineStr">
        <is>
          <t>vQ26</t>
        </is>
      </c>
    </row>
    <row r="538">
      <c r="A538" s="1" t="inlineStr">
        <is>
          <t>vQ26m10</t>
        </is>
      </c>
      <c r="B538" s="1" t="inlineStr">
        <is>
          <t>vQ26</t>
        </is>
      </c>
    </row>
    <row r="539">
      <c r="A539" s="1" t="inlineStr">
        <is>
          <t>vQ26m11</t>
        </is>
      </c>
      <c r="B539" s="1" t="inlineStr">
        <is>
          <t>vQ26</t>
        </is>
      </c>
    </row>
    <row r="540">
      <c r="A540" s="1" t="inlineStr">
        <is>
          <t>vQ26m12</t>
        </is>
      </c>
      <c r="B540" s="1" t="inlineStr">
        <is>
          <t>vQ26</t>
        </is>
      </c>
    </row>
    <row r="541">
      <c r="A541" s="1" t="inlineStr">
        <is>
          <t>vQ26m13</t>
        </is>
      </c>
      <c r="B541" s="1" t="inlineStr">
        <is>
          <t>vQ26</t>
        </is>
      </c>
    </row>
    <row r="542">
      <c r="A542" s="1" t="inlineStr">
        <is>
          <t>vQ26m14</t>
        </is>
      </c>
      <c r="B542" s="1" t="inlineStr">
        <is>
          <t>vQ26</t>
        </is>
      </c>
    </row>
    <row r="543">
      <c r="A543" s="1" t="inlineStr">
        <is>
          <t>vQ26m15</t>
        </is>
      </c>
      <c r="B543" s="1" t="inlineStr">
        <is>
          <t>vQ26</t>
        </is>
      </c>
    </row>
    <row r="544">
      <c r="A544" s="1" t="inlineStr">
        <is>
          <t>vQ26m16</t>
        </is>
      </c>
      <c r="B544" s="1" t="inlineStr">
        <is>
          <t>vQ26</t>
        </is>
      </c>
    </row>
    <row r="545">
      <c r="A545" s="1" t="inlineStr">
        <is>
          <t>vQ26m17</t>
        </is>
      </c>
      <c r="B545" s="1" t="inlineStr">
        <is>
          <t>vQ26</t>
        </is>
      </c>
    </row>
    <row r="546">
      <c r="A546" s="1" t="inlineStr">
        <is>
          <t>vQ26m18</t>
        </is>
      </c>
      <c r="B546" s="1" t="inlineStr">
        <is>
          <t>vQ26</t>
        </is>
      </c>
    </row>
    <row r="547">
      <c r="A547" s="1" t="inlineStr">
        <is>
          <t>vQ26m19</t>
        </is>
      </c>
      <c r="B547" s="1" t="inlineStr">
        <is>
          <t>vQ26</t>
        </is>
      </c>
    </row>
    <row r="548">
      <c r="A548" s="1" t="inlineStr">
        <is>
          <t>vQ26m20</t>
        </is>
      </c>
      <c r="B548" s="1" t="inlineStr">
        <is>
          <t>vQ26</t>
        </is>
      </c>
    </row>
    <row r="549">
      <c r="A549" s="1" t="inlineStr">
        <is>
          <t>vQ26m21</t>
        </is>
      </c>
      <c r="B549" s="1" t="inlineStr">
        <is>
          <t>vQ26</t>
        </is>
      </c>
    </row>
    <row r="550">
      <c r="A550" s="1" t="inlineStr">
        <is>
          <t>vQ26m22</t>
        </is>
      </c>
      <c r="B550" s="1" t="inlineStr">
        <is>
          <t>vQ26</t>
        </is>
      </c>
    </row>
    <row r="551">
      <c r="A551" s="1" t="inlineStr">
        <is>
          <t>vQ26m23</t>
        </is>
      </c>
      <c r="B551" s="1" t="inlineStr">
        <is>
          <t>vQ26</t>
        </is>
      </c>
    </row>
    <row r="552">
      <c r="A552" s="1" t="inlineStr">
        <is>
          <t>vQ26m24</t>
        </is>
      </c>
      <c r="B552" s="1" t="inlineStr">
        <is>
          <t>vQ26</t>
        </is>
      </c>
    </row>
    <row r="553">
      <c r="A553" s="1" t="inlineStr">
        <is>
          <t>vQ26m25</t>
        </is>
      </c>
      <c r="B553" s="1" t="inlineStr">
        <is>
          <t>vQ26</t>
        </is>
      </c>
    </row>
    <row r="554">
      <c r="A554" s="1" t="inlineStr">
        <is>
          <t>vQ26m26</t>
        </is>
      </c>
      <c r="B554" s="1" t="inlineStr">
        <is>
          <t>vQ26</t>
        </is>
      </c>
    </row>
    <row r="555">
      <c r="A555" s="1" t="inlineStr">
        <is>
          <t>vQ26m27</t>
        </is>
      </c>
      <c r="B555" s="1" t="inlineStr">
        <is>
          <t>vQ26</t>
        </is>
      </c>
    </row>
    <row r="556">
      <c r="A556" s="1" t="inlineStr">
        <is>
          <t>vQ26m28</t>
        </is>
      </c>
      <c r="B556" s="1" t="inlineStr">
        <is>
          <t>vQ26</t>
        </is>
      </c>
    </row>
    <row r="557">
      <c r="A557" s="1" t="inlineStr">
        <is>
          <t>vQ26m29</t>
        </is>
      </c>
      <c r="B557" s="1" t="inlineStr">
        <is>
          <t>vQ26</t>
        </is>
      </c>
    </row>
    <row r="558">
      <c r="A558" s="1" t="inlineStr">
        <is>
          <t>vQ26m88</t>
        </is>
      </c>
      <c r="B558" s="1" t="inlineStr">
        <is>
          <t>vQ26</t>
        </is>
      </c>
    </row>
    <row r="559">
      <c r="A559" s="1" t="inlineStr">
        <is>
          <t>vQ27m01</t>
        </is>
      </c>
      <c r="B559" s="1" t="inlineStr">
        <is>
          <t>vQ27</t>
        </is>
      </c>
    </row>
    <row r="560">
      <c r="A560" s="1" t="inlineStr">
        <is>
          <t>vQ27m02</t>
        </is>
      </c>
      <c r="B560" s="1" t="inlineStr">
        <is>
          <t>vQ27</t>
        </is>
      </c>
    </row>
    <row r="561">
      <c r="A561" s="1" t="inlineStr">
        <is>
          <t>vQ27m03</t>
        </is>
      </c>
      <c r="B561" s="1" t="inlineStr">
        <is>
          <t>vQ27</t>
        </is>
      </c>
    </row>
    <row r="562">
      <c r="A562" s="1" t="inlineStr">
        <is>
          <t>vQ27m04</t>
        </is>
      </c>
      <c r="B562" s="1" t="inlineStr">
        <is>
          <t>vQ27</t>
        </is>
      </c>
    </row>
    <row r="563">
      <c r="A563" s="1" t="inlineStr">
        <is>
          <t>vQ27m05</t>
        </is>
      </c>
      <c r="B563" s="1" t="inlineStr">
        <is>
          <t>vQ27</t>
        </is>
      </c>
    </row>
    <row r="564">
      <c r="A564" s="1" t="inlineStr">
        <is>
          <t>vQ27m06</t>
        </is>
      </c>
      <c r="B564" s="1" t="inlineStr">
        <is>
          <t>vQ27</t>
        </is>
      </c>
    </row>
    <row r="565">
      <c r="A565" s="1" t="inlineStr">
        <is>
          <t>vQ27m07</t>
        </is>
      </c>
      <c r="B565" s="1" t="inlineStr">
        <is>
          <t>vQ27</t>
        </is>
      </c>
    </row>
    <row r="566">
      <c r="A566" s="1" t="inlineStr">
        <is>
          <t>vQ27m88</t>
        </is>
      </c>
      <c r="B566" s="1" t="inlineStr">
        <is>
          <t>vQ27</t>
        </is>
      </c>
    </row>
    <row r="567">
      <c r="A567" s="1" t="inlineStr">
        <is>
          <t>vQ30m01</t>
        </is>
      </c>
      <c r="B567" s="1" t="inlineStr">
        <is>
          <t>vQ30</t>
        </is>
      </c>
    </row>
    <row r="568">
      <c r="A568" s="1" t="inlineStr">
        <is>
          <t>vQ30m02</t>
        </is>
      </c>
      <c r="B568" s="1" t="inlineStr">
        <is>
          <t>vQ30</t>
        </is>
      </c>
    </row>
    <row r="569">
      <c r="A569" s="1" t="inlineStr">
        <is>
          <t>vQ30m03</t>
        </is>
      </c>
      <c r="B569" s="1" t="inlineStr">
        <is>
          <t>vQ30</t>
        </is>
      </c>
    </row>
    <row r="570">
      <c r="A570" s="1" t="inlineStr">
        <is>
          <t>vQ30m04</t>
        </is>
      </c>
      <c r="B570" s="1" t="inlineStr">
        <is>
          <t>vQ30</t>
        </is>
      </c>
    </row>
    <row r="571">
      <c r="A571" s="1" t="inlineStr">
        <is>
          <t>vQ30m05</t>
        </is>
      </c>
      <c r="B571" s="1" t="inlineStr">
        <is>
          <t>vQ30</t>
        </is>
      </c>
    </row>
    <row r="572">
      <c r="A572" s="1" t="inlineStr">
        <is>
          <t>vQ30m06</t>
        </is>
      </c>
      <c r="B572" s="1" t="inlineStr">
        <is>
          <t>vQ30</t>
        </is>
      </c>
    </row>
    <row r="573">
      <c r="A573" s="1" t="inlineStr">
        <is>
          <t>vQ30m07</t>
        </is>
      </c>
      <c r="B573" s="1" t="inlineStr">
        <is>
          <t>vQ30</t>
        </is>
      </c>
    </row>
    <row r="574">
      <c r="A574" s="1" t="inlineStr">
        <is>
          <t>vQ30m08</t>
        </is>
      </c>
      <c r="B574" s="1" t="inlineStr">
        <is>
          <t>vQ30</t>
        </is>
      </c>
    </row>
    <row r="575">
      <c r="A575" s="1" t="inlineStr">
        <is>
          <t>vQ30m90</t>
        </is>
      </c>
      <c r="B575" s="1" t="inlineStr">
        <is>
          <t>vQ30</t>
        </is>
      </c>
    </row>
    <row r="576">
      <c r="A576" s="1" t="inlineStr">
        <is>
          <t>vQ31m01</t>
        </is>
      </c>
      <c r="B576" s="1" t="inlineStr">
        <is>
          <t>vQ31</t>
        </is>
      </c>
    </row>
    <row r="577">
      <c r="A577" s="1" t="inlineStr">
        <is>
          <t>vQ31m02</t>
        </is>
      </c>
      <c r="B577" s="1" t="inlineStr">
        <is>
          <t>vQ31</t>
        </is>
      </c>
    </row>
    <row r="578">
      <c r="A578" s="1" t="inlineStr">
        <is>
          <t>vQ31m03</t>
        </is>
      </c>
      <c r="B578" s="1" t="inlineStr">
        <is>
          <t>vQ31</t>
        </is>
      </c>
    </row>
    <row r="579">
      <c r="A579" s="1" t="inlineStr">
        <is>
          <t>vQ31m04</t>
        </is>
      </c>
      <c r="B579" s="1" t="inlineStr">
        <is>
          <t>vQ31</t>
        </is>
      </c>
    </row>
    <row r="580">
      <c r="A580" s="1" t="inlineStr">
        <is>
          <t>vQ31m05</t>
        </is>
      </c>
      <c r="B580" s="1" t="inlineStr">
        <is>
          <t>vQ31</t>
        </is>
      </c>
    </row>
    <row r="581">
      <c r="A581" s="1" t="inlineStr">
        <is>
          <t>vQ31m06</t>
        </is>
      </c>
      <c r="B581" s="1" t="inlineStr">
        <is>
          <t>vQ31</t>
        </is>
      </c>
    </row>
    <row r="582">
      <c r="A582" s="1" t="inlineStr">
        <is>
          <t>vQ31m07</t>
        </is>
      </c>
      <c r="B582" s="1" t="inlineStr">
        <is>
          <t>vQ31</t>
        </is>
      </c>
    </row>
    <row r="583">
      <c r="A583" s="1" t="inlineStr">
        <is>
          <t>vQ31m08</t>
        </is>
      </c>
      <c r="B583" s="1" t="inlineStr">
        <is>
          <t>vQ31</t>
        </is>
      </c>
    </row>
    <row r="584">
      <c r="A584" s="1" t="inlineStr">
        <is>
          <t>vQ31m90</t>
        </is>
      </c>
      <c r="B584" s="1" t="inlineStr">
        <is>
          <t>vQ31</t>
        </is>
      </c>
    </row>
    <row r="585">
      <c r="A585" s="1" t="inlineStr">
        <is>
          <t>vZE2m01</t>
        </is>
      </c>
      <c r="B585" s="1" t="inlineStr">
        <is>
          <t>vZE2</t>
        </is>
      </c>
    </row>
    <row r="586">
      <c r="A586" s="1" t="inlineStr">
        <is>
          <t>vZE2m02</t>
        </is>
      </c>
      <c r="B586" s="1" t="inlineStr">
        <is>
          <t>vZE2</t>
        </is>
      </c>
    </row>
    <row r="587">
      <c r="A587" s="1" t="inlineStr">
        <is>
          <t>vZE2m03</t>
        </is>
      </c>
      <c r="B587" s="1" t="inlineStr">
        <is>
          <t>vZE2</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6"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589"/>
  <sheetViews>
    <sheetView workbookViewId="0">
      <selection activeCell="A2" sqref="A2:I333"/>
    </sheetView>
  </sheetViews>
  <sheetFormatPr baseColWidth="8" defaultRowHeight="16.5"/>
  <cols>
    <col width="42.875" customWidth="1" style="16" min="3" max="3"/>
    <col width="38.625" customWidth="1" style="16" min="4" max="4"/>
    <col width="43" customWidth="1" style="16" min="5" max="5"/>
    <col width="25.875" customWidth="1" style="16" min="7" max="7"/>
  </cols>
  <sheetData>
    <row r="1">
      <c r="A1" s="1" t="inlineStr">
        <is>
          <t>m</t>
        </is>
      </c>
      <c r="B1" s="1" t="inlineStr">
        <is>
          <t>p</t>
        </is>
      </c>
      <c r="C1" s="1" t="inlineStr">
        <is>
          <t>條件</t>
        </is>
      </c>
      <c r="D1" s="1" t="inlineStr">
        <is>
          <t>應答</t>
        </is>
      </c>
      <c r="E1" s="1" t="inlineStr">
        <is>
          <t>不應答</t>
        </is>
      </c>
      <c r="F1" s="1" t="inlineStr">
        <is>
          <t>限制</t>
        </is>
      </c>
      <c r="G1" s="1" t="inlineStr">
        <is>
          <t>互斥</t>
        </is>
      </c>
      <c r="H1" s="1" t="inlineStr">
        <is>
          <t>s</t>
        </is>
      </c>
      <c r="I1" s="1" t="inlineStr">
        <is>
          <t>s=</t>
        </is>
      </c>
    </row>
    <row r="2">
      <c r="A2" s="1" t="n"/>
      <c r="B2" s="1" t="n"/>
      <c r="C2" s="1" t="inlineStr">
        <is>
          <t>vA1 in 997 | vA1 in 998</t>
        </is>
      </c>
      <c r="D2" s="1" t="inlineStr">
        <is>
          <t>vA2</t>
        </is>
      </c>
      <c r="E2" s="1" t="inlineStr"/>
      <c r="F2" s="1" t="inlineStr"/>
      <c r="H2" s="1" t="n"/>
      <c r="I2" s="1" t="n"/>
    </row>
    <row r="3">
      <c r="A3" s="1" t="n"/>
      <c r="B3" s="1" t="n"/>
      <c r="C3" s="1" t="inlineStr">
        <is>
          <t>vA1~=997 &amp; vA1~=998</t>
        </is>
      </c>
      <c r="D3" s="1" t="inlineStr"/>
      <c r="E3" s="1" t="inlineStr">
        <is>
          <t>vA2</t>
        </is>
      </c>
      <c r="F3" s="1" t="inlineStr"/>
      <c r="H3" s="1" t="n"/>
      <c r="I3" s="1" t="n"/>
    </row>
    <row r="4">
      <c r="A4" s="1" t="n"/>
      <c r="B4" s="1" t="n"/>
      <c r="C4" s="1" t="inlineStr">
        <is>
          <t>vA4 in 1 | vA4 in 97 | vA4 in 98</t>
        </is>
      </c>
      <c r="D4" s="1" t="inlineStr"/>
      <c r="E4" s="1" t="inlineStr">
        <is>
          <t>vA5city,vA5town</t>
        </is>
      </c>
      <c r="F4" s="1" t="inlineStr"/>
      <c r="H4" s="1" t="n"/>
      <c r="I4" s="1" t="n"/>
    </row>
    <row r="5">
      <c r="A5" s="1" t="n"/>
      <c r="B5" s="1" t="n"/>
      <c r="C5" s="1" t="inlineStr">
        <is>
          <t>vA4~=1 &amp; vA4~=97 &amp; vA4~=98</t>
        </is>
      </c>
      <c r="D5" s="1" t="inlineStr">
        <is>
          <t>vA5city,vA5town</t>
        </is>
      </c>
      <c r="E5" s="1" t="inlineStr"/>
      <c r="F5" s="1" t="inlineStr"/>
      <c r="H5" s="1" t="n"/>
      <c r="I5" s="1" t="n"/>
    </row>
    <row r="6">
      <c r="A6" s="1" t="n"/>
      <c r="B6" s="1" t="n"/>
      <c r="C6" s="1" t="inlineStr">
        <is>
          <t>vO1 in 1 | vO1 in 2 | vO1 in 3 | vO1 in 4 | vO1 in 5 | vO1 in 88</t>
        </is>
      </c>
      <c r="D6" s="1" t="inlineStr">
        <is>
          <t>vO2</t>
        </is>
      </c>
      <c r="E6" s="1" t="inlineStr"/>
      <c r="F6" s="1" t="inlineStr"/>
      <c r="H6" s="1" t="n"/>
      <c r="I6" s="1" t="n"/>
    </row>
    <row r="7">
      <c r="A7" s="1" t="n"/>
      <c r="B7" s="1" t="n"/>
      <c r="C7" s="1" t="inlineStr">
        <is>
          <t>vO1~=1 &amp; vO1~=2 &amp; vO1~=3 &amp; vO1~=4 &amp; vO1~=5 &amp; vO1~=88</t>
        </is>
      </c>
      <c r="D7" s="1" t="inlineStr"/>
      <c r="E7" s="1" t="inlineStr">
        <is>
          <t>vO2</t>
        </is>
      </c>
      <c r="F7" s="1" t="inlineStr"/>
      <c r="H7" s="1" t="n"/>
      <c r="I7" s="1" t="n"/>
    </row>
    <row r="8">
      <c r="A8" s="1" t="n"/>
      <c r="B8" s="1" t="n"/>
      <c r="C8" s="1" t="inlineStr">
        <is>
          <t>vO1 in 1 | vO1 in 2 | vO1 in 3 | vO1 in 4 | vO1 in 5 | vO1 in 88</t>
        </is>
      </c>
      <c r="D8" s="1" t="inlineStr">
        <is>
          <t>vO3</t>
        </is>
      </c>
      <c r="E8" s="1" t="inlineStr"/>
      <c r="F8" s="1" t="inlineStr"/>
      <c r="H8" s="1" t="n"/>
      <c r="I8" s="1" t="n"/>
    </row>
    <row r="9">
      <c r="A9" s="1" t="n"/>
      <c r="B9" s="1" t="n"/>
      <c r="C9" s="1" t="inlineStr">
        <is>
          <t>vO1~=1 &amp; vO1~=2 &amp; vO1~=3 &amp; vO1~=4 &amp; vO1~=5 &amp; vO1~=88</t>
        </is>
      </c>
      <c r="D9" s="1" t="inlineStr"/>
      <c r="E9" s="1" t="inlineStr">
        <is>
          <t>vO3</t>
        </is>
      </c>
      <c r="F9" s="1" t="inlineStr"/>
      <c r="H9" s="1" t="n"/>
      <c r="I9" s="1" t="n"/>
    </row>
    <row r="10">
      <c r="A10" s="1" t="n"/>
      <c r="B10" s="1" t="n"/>
      <c r="C10" s="1" t="inlineStr">
        <is>
          <t>(vO1 in 1 | vO1 in 2 | vO1 in 3 | vO1 in 4 | vO1 in 5 | vO1 in 88) &amp; (vO3 in 1 | vO3 in 3 | vO3 in 4 | vO3 in 5 | vO3 in 6 | vO3 in 88)</t>
        </is>
      </c>
      <c r="D10" s="1" t="inlineStr">
        <is>
          <t>vO4</t>
        </is>
      </c>
      <c r="E10" s="1" t="inlineStr"/>
      <c r="F10" s="1" t="inlineStr"/>
      <c r="H10" s="1" t="n"/>
      <c r="I10" s="1" t="n"/>
    </row>
    <row r="11">
      <c r="A11" s="1" t="n"/>
      <c r="B11" s="1" t="n"/>
      <c r="C11" s="1" t="inlineStr">
        <is>
          <t>((vO1~=1 &amp; vO1~=2 &amp; vO1~=3 &amp; vO1~=4 &amp; vO1~=5 &amp; vO1~=88) | (vO3~=1 &amp; vO3~=3 &amp; vO3~=4 &amp; vO3~=5 &amp; vO3~=6 &amp; vO3~=88)) &amp; vO3~=96</t>
        </is>
      </c>
      <c r="D11" s="1" t="inlineStr"/>
      <c r="E11" s="1" t="inlineStr">
        <is>
          <t>vO4</t>
        </is>
      </c>
      <c r="F11" s="1" t="inlineStr"/>
      <c r="H11" s="1" t="n"/>
      <c r="I11" s="1" t="n"/>
    </row>
    <row r="12">
      <c r="A12" s="1" t="n"/>
      <c r="B12" s="1" t="n"/>
      <c r="C12" s="1" t="inlineStr">
        <is>
          <t>vD1 in 1 | vD1 in 2</t>
        </is>
      </c>
      <c r="D12" s="1" t="inlineStr">
        <is>
          <t>vD2</t>
        </is>
      </c>
      <c r="E12" s="1" t="inlineStr"/>
      <c r="F12" s="1" t="inlineStr"/>
      <c r="H12" s="1" t="n"/>
      <c r="I12" s="1" t="n"/>
    </row>
    <row r="13">
      <c r="A13" s="1" t="n"/>
      <c r="B13" s="1" t="n"/>
      <c r="C13" s="1" t="inlineStr">
        <is>
          <t>vD1~=1 &amp; vD1~=2</t>
        </is>
      </c>
      <c r="D13" s="1" t="inlineStr"/>
      <c r="E13" s="1" t="inlineStr">
        <is>
          <t>vD2</t>
        </is>
      </c>
      <c r="F13" s="1" t="inlineStr"/>
      <c r="H13" s="1" t="n"/>
      <c r="I13" s="1" t="n"/>
    </row>
    <row r="14">
      <c r="A14" s="1" t="n"/>
      <c r="B14" s="1" t="n"/>
      <c r="C14" s="1" t="inlineStr">
        <is>
          <t>vD1 in 1 | vD1 in 2</t>
        </is>
      </c>
      <c r="D14" s="1" t="inlineStr">
        <is>
          <t>vD3</t>
        </is>
      </c>
      <c r="E14" s="1" t="inlineStr"/>
      <c r="F14" s="1" t="inlineStr"/>
      <c r="H14" s="1" t="n"/>
      <c r="I14" s="1" t="n"/>
    </row>
    <row r="15">
      <c r="A15" s="1" t="n"/>
      <c r="B15" s="1" t="n"/>
      <c r="C15" s="1" t="inlineStr">
        <is>
          <t>vD1~=1 &amp; vD1~=2</t>
        </is>
      </c>
      <c r="D15" s="1" t="inlineStr"/>
      <c r="E15" s="1" t="inlineStr">
        <is>
          <t>vD3</t>
        </is>
      </c>
      <c r="F15" s="1" t="inlineStr"/>
      <c r="H15" s="1" t="n"/>
      <c r="I15" s="1" t="n"/>
    </row>
    <row r="16">
      <c r="A16" s="1" t="n"/>
      <c r="B16" s="1" t="n"/>
      <c r="C16" s="1" t="inlineStr">
        <is>
          <t>vD1 in 1 | vD1 in 2</t>
        </is>
      </c>
      <c r="D16" s="1" t="inlineStr">
        <is>
          <t>vD4sD4,vD4sD5,vD4sD6,vD4sD7,vD4sD8</t>
        </is>
      </c>
      <c r="E16" s="1" t="inlineStr"/>
      <c r="F16" s="1" t="inlineStr"/>
      <c r="H16" s="1" t="n"/>
      <c r="I16" s="1" t="n"/>
    </row>
    <row r="17">
      <c r="A17" s="1" t="n"/>
      <c r="B17" s="1" t="n"/>
      <c r="C17" s="1" t="inlineStr">
        <is>
          <t>vD1~=1 &amp; vD1~=2</t>
        </is>
      </c>
      <c r="D17" s="1" t="inlineStr"/>
      <c r="E17" s="1" t="inlineStr">
        <is>
          <t>vD4sD4,vD4sD5,vD4sD6,vD4sD7,vD4sD8</t>
        </is>
      </c>
      <c r="F17" s="1" t="inlineStr"/>
      <c r="H17" s="1" t="n"/>
      <c r="I17" s="1" t="n"/>
    </row>
    <row r="18">
      <c r="A18" s="1" t="n"/>
      <c r="B18" s="1" t="n"/>
      <c r="C18" s="1" t="inlineStr">
        <is>
          <t>vK1m01 in 1 | vK2m13 in 1</t>
        </is>
      </c>
      <c r="D18" s="1" t="inlineStr">
        <is>
          <t>vE17</t>
        </is>
      </c>
      <c r="E18" s="1" t="inlineStr"/>
      <c r="F18" s="1" t="inlineStr"/>
      <c r="H18" s="1" t="n"/>
      <c r="I18" s="1" t="n"/>
    </row>
    <row r="19">
      <c r="A19" s="1" t="n"/>
      <c r="B19" s="1" t="n"/>
      <c r="C19" s="1" t="inlineStr">
        <is>
          <t>vK1m01~=1 &amp; vK2m13~=1</t>
        </is>
      </c>
      <c r="D19" s="1" t="inlineStr"/>
      <c r="E19" s="1" t="inlineStr">
        <is>
          <t>vE17</t>
        </is>
      </c>
      <c r="F19" s="1" t="inlineStr"/>
      <c r="H19" s="1" t="n"/>
      <c r="I19" s="1" t="n"/>
    </row>
    <row r="20">
      <c r="A20" s="1" t="n"/>
      <c r="B20" s="1" t="n"/>
      <c r="C20" s="1" t="inlineStr">
        <is>
          <t>vK1m01 in 1 | vK2m13 in 1</t>
        </is>
      </c>
      <c r="D20" s="1" t="inlineStr">
        <is>
          <t>vKLI1</t>
        </is>
      </c>
      <c r="E20" s="1" t="inlineStr"/>
      <c r="F20" s="1" t="inlineStr"/>
      <c r="H20" s="1" t="n"/>
      <c r="I20" s="1" t="n"/>
    </row>
    <row r="21">
      <c r="A21" s="1" t="n"/>
      <c r="B21" s="1" t="n"/>
      <c r="C21" s="1" t="inlineStr">
        <is>
          <t>vK1m01~=1 &amp; vK2m13~=1</t>
        </is>
      </c>
      <c r="D21" s="1" t="inlineStr"/>
      <c r="E21" s="1" t="inlineStr">
        <is>
          <t>vKLI1</t>
        </is>
      </c>
      <c r="F21" s="1" t="inlineStr"/>
      <c r="H21" s="1" t="n"/>
      <c r="I21" s="1" t="n"/>
    </row>
    <row r="22">
      <c r="A22" s="1" t="n"/>
      <c r="B22" s="1" t="n"/>
      <c r="C22" s="1" t="inlineStr">
        <is>
          <t>vK1m01 in 1 | vK2m13 in 1</t>
        </is>
      </c>
      <c r="D22" s="1" t="inlineStr">
        <is>
          <t>vKLI2</t>
        </is>
      </c>
      <c r="E22" s="1" t="inlineStr"/>
      <c r="F22" s="1" t="inlineStr"/>
      <c r="H22" s="1" t="n"/>
      <c r="I22" s="1" t="n"/>
    </row>
    <row r="23">
      <c r="A23" s="1" t="n"/>
      <c r="B23" s="1" t="n"/>
      <c r="C23" s="1" t="inlineStr">
        <is>
          <t>vK1m01~=1 &amp; vK2m13~=1</t>
        </is>
      </c>
      <c r="D23" s="1" t="inlineStr"/>
      <c r="E23" s="1" t="inlineStr">
        <is>
          <t>vKLI2</t>
        </is>
      </c>
      <c r="F23" s="1" t="inlineStr"/>
      <c r="H23" s="1" t="n"/>
      <c r="I23" s="1" t="n"/>
    </row>
    <row r="24">
      <c r="A24" s="1" t="n"/>
      <c r="B24" s="1" t="n"/>
      <c r="C24" s="1" t="inlineStr">
        <is>
          <t>vK1m02 in 1 | vK2m01 in 1</t>
        </is>
      </c>
      <c r="D24" s="1" t="inlineStr">
        <is>
          <t>vKFB1</t>
        </is>
      </c>
      <c r="E24" s="1" t="inlineStr"/>
      <c r="F24" s="1" t="inlineStr"/>
      <c r="H24" s="1" t="n"/>
      <c r="I24" s="1" t="n"/>
    </row>
    <row r="25">
      <c r="A25" s="1" t="n"/>
      <c r="B25" s="1" t="n"/>
      <c r="C25" s="1" t="inlineStr">
        <is>
          <t>vK1m02~=1 &amp; vK2m01~=1</t>
        </is>
      </c>
      <c r="D25" s="1" t="inlineStr"/>
      <c r="E25" s="1" t="inlineStr">
        <is>
          <t>vKFB1</t>
        </is>
      </c>
      <c r="F25" s="1" t="inlineStr"/>
      <c r="H25" s="1" t="n"/>
      <c r="I25" s="1" t="n"/>
    </row>
    <row r="26">
      <c r="A26" s="1" t="n"/>
      <c r="B26" s="1" t="n"/>
      <c r="C26" s="1" t="inlineStr">
        <is>
          <t>vK1m02 in 1 | vK2m01 in 1</t>
        </is>
      </c>
      <c r="D26" s="1" t="inlineStr">
        <is>
          <t>vKFB2</t>
        </is>
      </c>
      <c r="E26" s="1" t="inlineStr"/>
      <c r="F26" s="1" t="inlineStr"/>
      <c r="H26" s="1" t="n"/>
      <c r="I26" s="1" t="n"/>
    </row>
    <row r="27">
      <c r="A27" s="1" t="n"/>
      <c r="B27" s="1" t="n"/>
      <c r="C27" s="1" t="inlineStr">
        <is>
          <t>vK1m02~=1 &amp; vK2m01~=1</t>
        </is>
      </c>
      <c r="D27" s="1" t="inlineStr"/>
      <c r="E27" s="1" t="inlineStr">
        <is>
          <t>vKFB2</t>
        </is>
      </c>
      <c r="F27" s="1" t="inlineStr"/>
      <c r="H27" s="1" t="n"/>
      <c r="I27" s="1" t="n"/>
    </row>
    <row r="28">
      <c r="A28" s="1" t="n"/>
      <c r="B28" s="1" t="n"/>
      <c r="C28" s="1" t="inlineStr">
        <is>
          <t>vK1m02 in 1 | vK2m01 in 1</t>
        </is>
      </c>
      <c r="D28" s="1" t="inlineStr">
        <is>
          <t>vKFB3m01,vKFB3m02,vKFB3m03,vKFB3m04,vKFB3m05,vKFB3m06,vKFB3m07,vKFB3m08,vKFB3m09,vKFB3m10,vKFB3m11,vKFB3m12,vKFB3m13,vKFB3m14,vKFB3m15,vKFB3m16,vKFB3m17,vKFB3m88</t>
        </is>
      </c>
      <c r="E28" s="1" t="inlineStr"/>
      <c r="F28" s="1" t="inlineStr"/>
      <c r="H28" s="1" t="n"/>
      <c r="I28" s="1" t="n"/>
    </row>
    <row r="29">
      <c r="A29" s="1" t="n"/>
      <c r="B29" s="1" t="n"/>
      <c r="C29" s="1" t="inlineStr">
        <is>
          <t>vK1m02~=1 &amp; vK2m01~=1</t>
        </is>
      </c>
      <c r="D29" s="1" t="inlineStr"/>
      <c r="E29" s="1" t="inlineStr">
        <is>
          <t>vKFB3m01,vKFB3m02,vKFB3m03,vKFB3m04,vKFB3m05,vKFB3m06,vKFB3m07,vKFB3m08,vKFB3m09,vKFB3m10,vKFB3m11,vKFB3m12,vKFB3m13,vKFB3m14,vKFB3m15,vKFB3m16,vKFB3m17,vKFB3m88</t>
        </is>
      </c>
      <c r="F29" s="1" t="inlineStr"/>
      <c r="H29" s="1" t="n"/>
      <c r="I29" s="1" t="n"/>
    </row>
    <row r="30">
      <c r="A30" s="1" t="n"/>
      <c r="B30" s="1" t="n"/>
      <c r="C30" s="1" t="inlineStr">
        <is>
          <t>vK1m02 in 1 | vK2m01 in 1</t>
        </is>
      </c>
      <c r="D30" s="1" t="inlineStr">
        <is>
          <t>vKFB4m01,vKFB4m02,vKFB4m03,vKFB4m04,vKFB4m05,vKFB4m06,vKFB4m07,vKFB4m08,vKFB4m09,vKFB4m10,vKFB4m11,vKFB4m12,vKFB4m13,vKFB4m14,vKFB4m15,vKFB4m16,vKFB4m17,vKFB4m18,vKFB4m88</t>
        </is>
      </c>
      <c r="E30" s="1" t="inlineStr"/>
      <c r="F30" s="1" t="inlineStr"/>
      <c r="H30" s="1" t="n"/>
      <c r="I30" s="1" t="n"/>
    </row>
    <row r="31">
      <c r="A31" s="1" t="n"/>
      <c r="B31" s="1" t="n"/>
      <c r="C31" s="1" t="inlineStr">
        <is>
          <t>vK1m02~=1 &amp; vK2m01~=1</t>
        </is>
      </c>
      <c r="D31" s="1" t="inlineStr"/>
      <c r="E31" s="1" t="inlineStr">
        <is>
          <t>vKFB4m01,vKFB4m02,vKFB4m03,vKFB4m04,vKFB4m05,vKFB4m06,vKFB4m07,vKFB4m08,vKFB4m09,vKFB4m10,vKFB4m11,vKFB4m12,vKFB4m13,vKFB4m14,vKFB4m15,vKFB4m16,vKFB4m17,vKFB4m18,vKFB4m88</t>
        </is>
      </c>
      <c r="F31" s="1" t="inlineStr"/>
      <c r="H31" s="1" t="n"/>
      <c r="I31" s="1" t="n"/>
    </row>
    <row r="32">
      <c r="A32" s="1" t="n"/>
      <c r="B32" s="1" t="n"/>
      <c r="C32" s="1" t="inlineStr">
        <is>
          <t>vK1m03 in 1 | vK2m02 in 1</t>
        </is>
      </c>
      <c r="D32" s="1" t="inlineStr">
        <is>
          <t>vKIG1</t>
        </is>
      </c>
      <c r="E32" s="1" t="inlineStr"/>
      <c r="F32" s="1" t="inlineStr"/>
      <c r="G32" s="1" t="n"/>
      <c r="H32" s="1" t="n"/>
      <c r="I32" s="1" t="n"/>
    </row>
    <row r="33">
      <c r="A33" s="1" t="n"/>
      <c r="B33" s="1" t="n"/>
      <c r="C33" s="1" t="inlineStr">
        <is>
          <t>vK1m03~=1 &amp; vK2m02~=1</t>
        </is>
      </c>
      <c r="D33" s="1" t="inlineStr"/>
      <c r="E33" s="1" t="inlineStr">
        <is>
          <t>vKIG1</t>
        </is>
      </c>
      <c r="F33" s="1" t="inlineStr"/>
      <c r="G33" s="1" t="n"/>
      <c r="H33" s="1" t="n"/>
      <c r="I33" s="1" t="n"/>
    </row>
    <row r="34">
      <c r="A34" s="1" t="n"/>
      <c r="B34" s="1" t="n"/>
      <c r="C34" s="1" t="inlineStr">
        <is>
          <t>vK1m03 in 1 | vK2m02 in 1</t>
        </is>
      </c>
      <c r="D34" s="1" t="inlineStr">
        <is>
          <t>vKIG2</t>
        </is>
      </c>
      <c r="E34" s="1" t="inlineStr"/>
      <c r="F34" s="1" t="inlineStr"/>
      <c r="G34" s="1" t="n"/>
      <c r="H34" s="1" t="n"/>
      <c r="I34" s="1" t="n"/>
    </row>
    <row r="35">
      <c r="A35" s="1" t="n"/>
      <c r="B35" s="1" t="n"/>
      <c r="C35" s="1" t="inlineStr">
        <is>
          <t>vK1m03~=1 &amp; vK2m02~=1</t>
        </is>
      </c>
      <c r="D35" s="1" t="inlineStr"/>
      <c r="E35" s="1" t="inlineStr">
        <is>
          <t>vKIG2</t>
        </is>
      </c>
      <c r="F35" s="1" t="inlineStr"/>
      <c r="G35" s="1" t="n"/>
      <c r="H35" s="1" t="n"/>
      <c r="I35" s="1" t="n"/>
    </row>
    <row r="36">
      <c r="A36" s="1" t="n"/>
      <c r="B36" s="1" t="n"/>
      <c r="C36" s="1" t="inlineStr">
        <is>
          <t>vK1m03 in 1 | vK2m02 in 1</t>
        </is>
      </c>
      <c r="D36" s="1" t="inlineStr">
        <is>
          <t>vKIG3m01,vKIG3m02,vKIG3m03,vKIG3m04,vKIG3m05,vKIG3m06,vKIG3m07,vKIG3m08,vKIG3m09,vKIG3m10,vKIG3m11,vKIG3m12,vKIG3m13,vKIG3m14,vKIG3m15,vKIG3m16,vKIG3m17,vKIG3m88</t>
        </is>
      </c>
      <c r="E36" s="1" t="inlineStr"/>
      <c r="F36" s="1" t="inlineStr"/>
      <c r="H36" s="1" t="n"/>
      <c r="I36" s="1" t="n"/>
    </row>
    <row r="37">
      <c r="A37" s="1" t="n"/>
      <c r="B37" s="1" t="n"/>
      <c r="C37" s="1" t="inlineStr">
        <is>
          <t>vK1m03~=1 &amp; vK2m02~=1</t>
        </is>
      </c>
      <c r="D37" s="1" t="inlineStr"/>
      <c r="E37" s="1" t="inlineStr">
        <is>
          <t>vKIG3m01,vKIG3m02,vKIG3m03,vKIG3m04,vKIG3m05,vKIG3m06,vKIG3m07,vKIG3m08,vKIG3m09,vKIG3m10,vKIG3m11,vKIG3m12,vKIG3m13,vKIG3m14,vKIG3m15,vKIG3m16,vKIG3m17,vKIG3m88</t>
        </is>
      </c>
      <c r="F37" s="1" t="inlineStr"/>
      <c r="H37" s="1" t="n"/>
      <c r="I37" s="1" t="n"/>
    </row>
    <row r="38">
      <c r="A38" s="1" t="n"/>
      <c r="B38" s="1" t="n"/>
      <c r="C38" s="1" t="inlineStr">
        <is>
          <t>vK1m03 in 1 | vK2m02 in 1</t>
        </is>
      </c>
      <c r="D38" s="1" t="inlineStr">
        <is>
          <t>vKIG4m01,vKIG4m02,vKIG4m03,vKIG4m04,vKIG4m05,vKIG4m06,vKIG4m07,vKIG4m08,vKIG4m09,vKIG4m10,vKIG4m11,vKIG4m12,vKIG4m13,vKIG4m14,vKIG4m88</t>
        </is>
      </c>
      <c r="E38" s="1" t="inlineStr"/>
      <c r="F38" s="1" t="inlineStr"/>
      <c r="H38" s="1" t="n"/>
      <c r="I38" s="1" t="n"/>
    </row>
    <row r="39">
      <c r="A39" s="1" t="n"/>
      <c r="B39" s="1" t="n"/>
      <c r="C39" s="1" t="inlineStr">
        <is>
          <t>vK1m03~=1 &amp; vK2m02~=1</t>
        </is>
      </c>
      <c r="D39" s="1" t="inlineStr"/>
      <c r="E39" s="1" t="inlineStr">
        <is>
          <t>vKIG4m01,vKIG4m02,vKIG4m03,vKIG4m04,vKIG4m05,vKIG4m06,vKIG4m07,vKIG4m08,vKIG4m09,vKIG4m10,vKIG4m11,vKIG4m12,vKIG4m13,vKIG4m14,vKIG4m88</t>
        </is>
      </c>
      <c r="F39" s="1" t="inlineStr"/>
      <c r="H39" s="1" t="n"/>
      <c r="I39" s="1" t="n"/>
    </row>
    <row r="40">
      <c r="A40" s="1" t="n"/>
      <c r="B40" s="1" t="n"/>
      <c r="C40" s="1" t="inlineStr">
        <is>
          <t>vK1m11 in 1 | vK2m07 in 1</t>
        </is>
      </c>
      <c r="D40" s="1" t="inlineStr">
        <is>
          <t>vKTT1</t>
        </is>
      </c>
      <c r="E40" s="1" t="inlineStr"/>
      <c r="F40" s="1" t="inlineStr"/>
      <c r="H40" s="1" t="n"/>
      <c r="I40" s="1" t="n"/>
    </row>
    <row r="41">
      <c r="A41" s="1" t="n"/>
      <c r="B41" s="1" t="n"/>
      <c r="C41" s="1" t="inlineStr">
        <is>
          <t>vK1m11~=1 &amp; vK2m07~=1</t>
        </is>
      </c>
      <c r="D41" s="1" t="inlineStr"/>
      <c r="E41" s="1" t="inlineStr">
        <is>
          <t>vKTT1</t>
        </is>
      </c>
      <c r="F41" s="1" t="inlineStr"/>
      <c r="H41" s="1" t="n"/>
      <c r="I41" s="1" t="n"/>
    </row>
    <row r="42">
      <c r="A42" s="1" t="n"/>
      <c r="B42" s="1" t="n"/>
      <c r="C42" s="1" t="inlineStr">
        <is>
          <t>vK1m11 in 1 | vK2m07 in 1</t>
        </is>
      </c>
      <c r="D42" s="1" t="inlineStr">
        <is>
          <t>vKTT2</t>
        </is>
      </c>
      <c r="E42" s="1" t="inlineStr"/>
      <c r="F42" s="1" t="inlineStr"/>
      <c r="H42" s="1" t="n"/>
      <c r="I42" s="1" t="n"/>
    </row>
    <row r="43">
      <c r="A43" s="1" t="n"/>
      <c r="B43" s="1" t="n"/>
      <c r="C43" s="1" t="inlineStr">
        <is>
          <t>vK1m11~=1 &amp; vK2m07~=1</t>
        </is>
      </c>
      <c r="D43" s="1" t="inlineStr"/>
      <c r="E43" s="1" t="inlineStr">
        <is>
          <t>vKTT2</t>
        </is>
      </c>
      <c r="F43" s="1" t="inlineStr"/>
      <c r="H43" s="1" t="n"/>
      <c r="I43" s="1" t="n"/>
    </row>
    <row r="44">
      <c r="A44" s="1" t="n"/>
      <c r="B44" s="1" t="n"/>
      <c r="C44" s="1" t="inlineStr">
        <is>
          <t>vK1m11 in 1 | vK2m07 in 1</t>
        </is>
      </c>
      <c r="D44" s="1" t="inlineStr">
        <is>
          <t>vKTT3m01,vKTT3m02,vKTT3m03,vKTT3m04,vKTT3m05,vKTT3m06,vKTT3m07,vKTT3m08,vKTT3m09,vKTT3m10,vKTT3m11,vKTT3m12,vKTT3m13,vKTT3m14,vKTT3m15,vKTT3m16,vKTT3m88</t>
        </is>
      </c>
      <c r="E44" s="1" t="inlineStr"/>
      <c r="F44" s="1" t="inlineStr"/>
      <c r="H44" s="1" t="n"/>
      <c r="I44" s="1" t="n"/>
    </row>
    <row r="45">
      <c r="A45" s="1" t="n"/>
      <c r="B45" s="1" t="n"/>
      <c r="C45" s="1" t="inlineStr">
        <is>
          <t>vK1m11~=1 &amp; vK2m07~=1</t>
        </is>
      </c>
      <c r="D45" s="1" t="inlineStr"/>
      <c r="E45" s="1" t="inlineStr">
        <is>
          <t>vKTT3m01,vKTT3m02,vKTT3m03,vKTT3m04,vKTT3m05,vKTT3m06,vKTT3m07,vKTT3m08,vKTT3m09,vKTT3m10,vKTT3m11,vKTT3m12,vKTT3m13,vKTT3m14,vKTT3m15,vKTT3m16,vKTT3m88</t>
        </is>
      </c>
      <c r="F45" s="1" t="inlineStr"/>
      <c r="H45" s="1" t="n"/>
      <c r="I45" s="1" t="n"/>
    </row>
    <row r="46">
      <c r="A46" s="1" t="n"/>
      <c r="B46" s="1" t="n"/>
      <c r="C46" s="1" t="inlineStr">
        <is>
          <t>vK1m11 in 1 | vK2m07 in 1</t>
        </is>
      </c>
      <c r="D46" s="1" t="inlineStr">
        <is>
          <t>vKTT4m01,vKTT4m02,vKTT4m03,vKTT4m04,vKTT4m05,vKTT4m06,vKTT4m07,vKTT4m08,vKTT4m09,vKTT4m10,vKTT4m11,vKTT4m12,vKTT4m13,vKTT4m14,vKTT4m88</t>
        </is>
      </c>
      <c r="E46" s="1" t="inlineStr"/>
      <c r="F46" s="1" t="inlineStr"/>
      <c r="H46" s="1" t="n"/>
      <c r="I46" s="1" t="n"/>
    </row>
    <row r="47">
      <c r="A47" s="1" t="n"/>
      <c r="B47" s="1" t="n"/>
      <c r="C47" s="1" t="inlineStr">
        <is>
          <t>vK1m11~=1 &amp; vK2m07~=1</t>
        </is>
      </c>
      <c r="D47" s="1" t="inlineStr"/>
      <c r="E47" s="1" t="inlineStr">
        <is>
          <t>vKTT4m01,vKTT4m02,vKTT4m03,vKTT4m04,vKTT4m05,vKTT4m06,vKTT4m07,vKTT4m08,vKTT4m09,vKTT4m10,vKTT4m11,vKTT4m12,vKTT4m13,vKTT4m14,vKTT4m88</t>
        </is>
      </c>
      <c r="F47" s="1" t="inlineStr"/>
      <c r="H47" s="1" t="n"/>
      <c r="I47" s="1" t="n"/>
    </row>
    <row r="48">
      <c r="A48" s="1" t="n"/>
      <c r="B48" s="1" t="n"/>
      <c r="C48" s="1" t="inlineStr">
        <is>
          <t>vK1m11 in 1 | vK2m07 in 1</t>
        </is>
      </c>
      <c r="D48" s="1" t="inlineStr">
        <is>
          <t>vKTT5m01,vKTT5m02,vKTT5m03,vKTT5m04,vKTT5m05,vKTT5m06,vKTT5m07,vKTT5m08,vKTT5m09,vKTT5m10,vKTT5m11,vKTT5m12,vKTT5m88</t>
        </is>
      </c>
      <c r="E48" s="1" t="inlineStr"/>
      <c r="F48" s="1" t="inlineStr"/>
      <c r="H48" s="1" t="n"/>
      <c r="I48" s="1" t="n"/>
    </row>
    <row r="49">
      <c r="A49" s="1" t="n"/>
      <c r="B49" s="1" t="n"/>
      <c r="C49" s="1" t="inlineStr">
        <is>
          <t>vK1m11~=1 &amp; vK2m07~=1</t>
        </is>
      </c>
      <c r="D49" s="1" t="inlineStr"/>
      <c r="E49" s="1" t="inlineStr">
        <is>
          <t>vKTT5m01,vKTT5m02,vKTT5m03,vKTT5m04,vKTT5m05,vKTT5m06,vKTT5m07,vKTT5m08,vKTT5m09,vKTT5m10,vKTT5m11,vKTT5m12,vKTT5m88</t>
        </is>
      </c>
      <c r="F49" s="1" t="inlineStr"/>
      <c r="H49" s="1" t="n"/>
      <c r="I49" s="1" t="n"/>
    </row>
    <row r="50">
      <c r="A50" s="1" t="n"/>
      <c r="B50" s="1" t="n"/>
      <c r="C50" s="1" t="inlineStr">
        <is>
          <t>vK1m13 in 1 | vK2m11 in 1</t>
        </is>
      </c>
      <c r="D50" s="1" t="inlineStr">
        <is>
          <t>vKTT5m01,vKTT5m02,vKTT5m03,vKTT5m04,vKTT5m05,vKTT5m06,vKTT5m07,vKTT5m08,vKTT5m09,vKTT5m10,vKTT5m11,vKTT5m12,vKTT5m88</t>
        </is>
      </c>
      <c r="E50" s="1" t="inlineStr"/>
      <c r="F50" s="1" t="inlineStr"/>
      <c r="H50" s="1" t="n"/>
      <c r="I50" s="1" t="n"/>
    </row>
    <row r="51">
      <c r="A51" s="1" t="n"/>
      <c r="B51" s="1" t="n"/>
      <c r="C51" s="1" t="inlineStr">
        <is>
          <t>vK1m13~=1 &amp; vK2m11~=1</t>
        </is>
      </c>
      <c r="D51" s="1" t="inlineStr"/>
      <c r="E51" s="1" t="inlineStr">
        <is>
          <t>vKTT5m01,vKTT5m02,vKTT5m03,vKTT5m04,vKTT5m05,vKTT5m06,vKTT5m07,vKTT5m08,vKTT5m09,vKTT5m10,vKTT5m11,vKTT5m12,vKTT5m88</t>
        </is>
      </c>
      <c r="F51" s="1" t="inlineStr"/>
      <c r="H51" s="1" t="n"/>
      <c r="I51" s="1" t="n"/>
    </row>
    <row r="52">
      <c r="A52" s="1" t="n"/>
      <c r="B52" s="1" t="n"/>
      <c r="C52" s="1" t="inlineStr">
        <is>
          <t>vK3m01 in 1</t>
        </is>
      </c>
      <c r="D52" s="1" t="inlineStr">
        <is>
          <t>vE18</t>
        </is>
      </c>
      <c r="E52" s="1" t="inlineStr"/>
      <c r="F52" s="1" t="inlineStr"/>
      <c r="H52" s="1" t="n"/>
      <c r="I52" s="1" t="n"/>
    </row>
    <row r="53">
      <c r="A53" s="1" t="n"/>
      <c r="B53" s="1" t="n"/>
      <c r="C53" s="1" t="inlineStr">
        <is>
          <t>vK3m01~=1</t>
        </is>
      </c>
      <c r="D53" s="1" t="inlineStr"/>
      <c r="E53" s="1" t="inlineStr">
        <is>
          <t>vE18</t>
        </is>
      </c>
      <c r="F53" s="1" t="inlineStr"/>
      <c r="H53" s="1" t="n"/>
      <c r="I53" s="1" t="n"/>
    </row>
    <row r="54">
      <c r="A54" s="1" t="n"/>
      <c r="B54" s="1" t="n"/>
      <c r="C54" s="1" t="inlineStr">
        <is>
          <t>vK3m01 in 1</t>
        </is>
      </c>
      <c r="D54" s="1" t="inlineStr">
        <is>
          <t>vKYT1</t>
        </is>
      </c>
      <c r="E54" s="1" t="inlineStr"/>
      <c r="F54" s="1" t="inlineStr"/>
      <c r="H54" s="1" t="n"/>
      <c r="I54" s="1" t="n"/>
    </row>
    <row r="55">
      <c r="A55" s="1" t="n"/>
      <c r="B55" s="1" t="n"/>
      <c r="C55" s="1" t="inlineStr">
        <is>
          <t>vK3m01~=1</t>
        </is>
      </c>
      <c r="D55" s="1" t="inlineStr"/>
      <c r="E55" s="1" t="inlineStr">
        <is>
          <t>vKYT1</t>
        </is>
      </c>
      <c r="F55" s="1" t="inlineStr"/>
      <c r="H55" s="1" t="n"/>
      <c r="I55" s="1" t="n"/>
    </row>
    <row r="56">
      <c r="A56" s="1" t="n"/>
      <c r="B56" s="1" t="n"/>
      <c r="C56" s="1" t="inlineStr">
        <is>
          <t>vK3m01 in 1</t>
        </is>
      </c>
      <c r="D56" s="1" t="inlineStr">
        <is>
          <t>vKYT2</t>
        </is>
      </c>
      <c r="E56" s="1" t="inlineStr"/>
      <c r="F56" s="1" t="inlineStr"/>
      <c r="H56" s="1" t="n"/>
      <c r="I56" s="1" t="n"/>
    </row>
    <row r="57">
      <c r="A57" s="1" t="n"/>
      <c r="B57" s="1" t="n"/>
      <c r="C57" s="1" t="inlineStr">
        <is>
          <t>vK3m01~=1</t>
        </is>
      </c>
      <c r="D57" s="1" t="inlineStr"/>
      <c r="E57" s="1" t="inlineStr">
        <is>
          <t>vKYT2</t>
        </is>
      </c>
      <c r="F57" s="1" t="inlineStr"/>
      <c r="H57" s="1" t="n"/>
      <c r="I57" s="1" t="n"/>
    </row>
    <row r="58">
      <c r="A58" s="1" t="n"/>
      <c r="B58" s="1" t="n"/>
      <c r="C58" s="1" t="inlineStr">
        <is>
          <t>vE1 in 1</t>
        </is>
      </c>
      <c r="D58" s="1" t="inlineStr">
        <is>
          <t>vE2m01,vE2m02,vE2m03,vE2m04,vE2m88</t>
        </is>
      </c>
      <c r="E58" s="1" t="inlineStr"/>
      <c r="F58" s="1" t="inlineStr"/>
      <c r="H58" s="1" t="n"/>
      <c r="I58" s="1" t="n"/>
    </row>
    <row r="59">
      <c r="A59" s="1" t="n"/>
      <c r="B59" s="1" t="n"/>
      <c r="C59" s="1" t="inlineStr">
        <is>
          <t>vE1~=1</t>
        </is>
      </c>
      <c r="D59" s="1" t="inlineStr"/>
      <c r="E59" s="1" t="inlineStr">
        <is>
          <t>vE2m01,vE2m02,vE2m03,vE2m04,vE2m88</t>
        </is>
      </c>
      <c r="F59" s="1" t="inlineStr"/>
      <c r="H59" s="1" t="n"/>
      <c r="I59" s="1" t="n"/>
    </row>
    <row r="60">
      <c r="A60" s="1" t="n"/>
      <c r="B60" s="1" t="n"/>
      <c r="C60" s="1" t="inlineStr">
        <is>
          <t>vE2m01 in 1 | vE17 in 1 | vE18 in 1</t>
        </is>
      </c>
      <c r="D60" s="1" t="inlineStr">
        <is>
          <t>vE4</t>
        </is>
      </c>
      <c r="E60" s="1" t="inlineStr"/>
      <c r="F60" s="1" t="inlineStr"/>
      <c r="H60" s="1" t="n"/>
      <c r="I60" s="1" t="n"/>
    </row>
    <row r="61">
      <c r="A61" s="1" t="n"/>
      <c r="B61" s="1" t="n"/>
      <c r="C61" s="1" t="inlineStr">
        <is>
          <t>vE2m01~=1 &amp; vE17~=1 &amp; vE18~=1 &amp; vE2m01~=96 &amp; vE17~=96 &amp; vE18~=96</t>
        </is>
      </c>
      <c r="D61" s="1" t="inlineStr"/>
      <c r="E61" s="1" t="inlineStr">
        <is>
          <t>vE4</t>
        </is>
      </c>
      <c r="F61" s="1" t="inlineStr"/>
      <c r="H61" s="1" t="n"/>
      <c r="I61" s="1" t="n"/>
    </row>
    <row r="62">
      <c r="A62" s="1" t="n"/>
      <c r="B62" s="1" t="n"/>
      <c r="C62" s="1" t="inlineStr">
        <is>
          <t>(vE2m01 in 1 | vE17 in 1 | vE18 in 1) &amp; (vO1_1 in 1 | vO1_1 in 2 | vO1_1 in 3 | vO1_1 in 4 | vO1_1 in 88 | vO1 in 1 | vO1 in 2 | vO1 in 3 | vO1 in 4 | vO1 in 5 | vO1 in 12 | vO1 in 13 | vO1 in 14 | vO1 in 88)</t>
        </is>
      </c>
      <c r="D62" s="1" t="inlineStr">
        <is>
          <t>vE5</t>
        </is>
      </c>
      <c r="E62" s="1" t="inlineStr"/>
      <c r="F62" s="1" t="inlineStr"/>
      <c r="H62" s="1" t="n"/>
      <c r="I62" s="1" t="n"/>
    </row>
    <row r="63">
      <c r="A63" s="1" t="n"/>
      <c r="B63" s="1" t="n"/>
      <c r="C63" s="1" t="inlineStr">
        <is>
          <t>((vE2m01~=1 &amp; vE17~=1 &amp; vE18~=1) | (vO1_1~=1 &amp; vO1_1~=2 &amp; vO1_1~=3 &amp; vO1_1~=4 &amp; vO1_1~=88 &amp; vO1~=1 &amp; vO1~=2 &amp; vO1~=3 &amp; vO1~=4 &amp; vO1~=5 &amp; vO1~=12 &amp; vO1~=13 &amp; vO1~=14 &amp; vO1~=88)) &amp; vE2m01~=96 &amp; vE17~=96 &amp; vE18~=96</t>
        </is>
      </c>
      <c r="D63" s="1" t="inlineStr"/>
      <c r="E63" s="1" t="inlineStr">
        <is>
          <t>vE5</t>
        </is>
      </c>
      <c r="F63" s="1" t="inlineStr"/>
      <c r="H63" s="1" t="n"/>
      <c r="I63" s="1" t="n"/>
    </row>
    <row r="64">
      <c r="A64" s="1" t="n"/>
      <c r="B64" s="1" t="n"/>
      <c r="C64" s="1" t="inlineStr">
        <is>
          <t>vE2m01 in 1 | vE17 in 1 | vE18 in 1</t>
        </is>
      </c>
      <c r="D64" s="1" t="inlineStr">
        <is>
          <t>vE6</t>
        </is>
      </c>
      <c r="E64" s="1" t="inlineStr"/>
      <c r="F64" s="1" t="inlineStr"/>
      <c r="H64" s="1" t="n"/>
      <c r="I64" s="1" t="n"/>
    </row>
    <row r="65">
      <c r="A65" s="1" t="n"/>
      <c r="B65" s="1" t="n"/>
      <c r="C65" s="1" t="inlineStr">
        <is>
          <t>vE2m01~=1 &amp; vE17~=1 &amp; vE18~=1 &amp; vE2m01~=96 &amp; vE17~=96 &amp; vE18~=96</t>
        </is>
      </c>
      <c r="D65" s="1" t="inlineStr"/>
      <c r="E65" s="1" t="inlineStr">
        <is>
          <t>vE6</t>
        </is>
      </c>
      <c r="F65" s="1" t="inlineStr"/>
      <c r="H65" s="1" t="n"/>
      <c r="I65" s="1" t="n"/>
    </row>
    <row r="66">
      <c r="A66" s="1" t="n"/>
      <c r="B66" s="1" t="n"/>
      <c r="C66" s="1" t="inlineStr">
        <is>
          <t>vE2m02 in 1 | vE17 in 2 | vE18 in 2</t>
        </is>
      </c>
      <c r="D66" s="1" t="inlineStr">
        <is>
          <t>vE7</t>
        </is>
      </c>
      <c r="E66" s="1" t="inlineStr"/>
      <c r="F66" s="1" t="inlineStr"/>
      <c r="H66" s="1" t="n"/>
      <c r="I66" s="1" t="n"/>
    </row>
    <row r="67">
      <c r="A67" s="1" t="n"/>
      <c r="B67" s="1" t="n"/>
      <c r="C67" s="1" t="inlineStr">
        <is>
          <t>vE2m02~=1 &amp; vE17~=2 &amp; vE18~=2 &amp; vE2m02~=96 &amp; vE17~=96 &amp; vE18~=96</t>
        </is>
      </c>
      <c r="D67" s="1" t="inlineStr"/>
      <c r="E67" s="1" t="inlineStr">
        <is>
          <t>vE7</t>
        </is>
      </c>
      <c r="F67" s="1" t="inlineStr"/>
      <c r="G67" s="1" t="n"/>
      <c r="H67" s="1" t="n"/>
      <c r="I67" s="1" t="n"/>
    </row>
    <row r="68">
      <c r="A68" s="1" t="n"/>
      <c r="B68" s="1" t="n"/>
      <c r="C68" s="1" t="inlineStr">
        <is>
          <t>(vE2m02 in 1 | vE17 in 2 | vE18 in 2) &amp; (vO1_1 in 1 | vO1_1 in 2 | vO1_1 in 3 | vO1_1 in 4 | vO1_1 in 88 | vO1 in 1 | vO1 in 2 | vO1 in 3 | vO1 in 4 | vO1 in 5 | vO1 in 12 | vO1 in 13 | vO1 in 14 | vO1 in 88)</t>
        </is>
      </c>
      <c r="D68" s="1" t="inlineStr">
        <is>
          <t>vE8</t>
        </is>
      </c>
      <c r="E68" s="1" t="inlineStr"/>
      <c r="F68" s="1" t="inlineStr"/>
      <c r="G68" s="1" t="n"/>
      <c r="H68" s="1" t="n"/>
      <c r="I68" s="1" t="n"/>
    </row>
    <row r="69">
      <c r="A69" s="1" t="n"/>
      <c r="B69" s="1" t="n"/>
      <c r="C69" s="1" t="inlineStr">
        <is>
          <t>((vE2m02~=1 &amp; vE17~=2 &amp; vE18~=2) | (vO1_1~=1 &amp; vO1_1~=2 &amp; vO1_1~=3 &amp; vO1_1~=4 &amp; vO1_1~=88 &amp; vO1~=1 &amp; vO1~=2 &amp; vO1~=3 &amp; vO1~=4 &amp; vO1~=5 &amp; vO1~=12 &amp; vO1~=13 &amp; vO1~=14 &amp; vO1~=88)) &amp; vE2m02~=96 &amp; vE17~=96 &amp; vE18~=96</t>
        </is>
      </c>
      <c r="D69" s="1" t="inlineStr"/>
      <c r="E69" s="1" t="inlineStr">
        <is>
          <t>vE8</t>
        </is>
      </c>
      <c r="F69" s="1" t="inlineStr"/>
      <c r="G69" s="1" t="n"/>
      <c r="H69" s="1" t="n"/>
      <c r="I69" s="1" t="n"/>
    </row>
    <row r="70">
      <c r="A70" s="1" t="n"/>
      <c r="B70" s="1" t="n"/>
      <c r="C70" s="1" t="inlineStr">
        <is>
          <t>vE2m02 in 1 | vE17 in 2 | vE18 in 2</t>
        </is>
      </c>
      <c r="D70" s="1" t="inlineStr">
        <is>
          <t>vE9</t>
        </is>
      </c>
      <c r="E70" s="1" t="inlineStr"/>
      <c r="F70" s="1" t="inlineStr"/>
      <c r="G70" s="1" t="n"/>
      <c r="H70" s="1" t="n"/>
      <c r="I70" s="1" t="n"/>
    </row>
    <row r="71">
      <c r="A71" s="1" t="n"/>
      <c r="B71" s="1" t="n"/>
      <c r="C71" s="1" t="inlineStr">
        <is>
          <t>vE2m02~=1 &amp; vE17~=2 &amp; vE18~=2 &amp; vE2m02~=96 &amp; vE17~=96 &amp; vE18~=96</t>
        </is>
      </c>
      <c r="D71" s="1" t="inlineStr"/>
      <c r="E71" s="1" t="inlineStr">
        <is>
          <t>vE9</t>
        </is>
      </c>
      <c r="F71" s="1" t="inlineStr"/>
      <c r="H71" s="1" t="n"/>
      <c r="I71" s="1" t="n"/>
    </row>
    <row r="72">
      <c r="A72" s="1" t="n"/>
      <c r="B72" s="1" t="n"/>
      <c r="C72" s="1" t="inlineStr">
        <is>
          <t>vE2m03 in 1 | vE17 in 3 | vE18 in 3</t>
        </is>
      </c>
      <c r="D72" s="1" t="inlineStr">
        <is>
          <t>vE10</t>
        </is>
      </c>
      <c r="E72" s="1" t="inlineStr"/>
      <c r="F72" s="1" t="inlineStr"/>
      <c r="H72" s="1" t="n"/>
      <c r="I72" s="1" t="n"/>
    </row>
    <row r="73">
      <c r="A73" s="1" t="n"/>
      <c r="B73" s="1" t="n"/>
      <c r="C73" s="1" t="inlineStr">
        <is>
          <t>vE2m03~=1 &amp; vE17~=3 &amp; vE18~=3 &amp; vE2m03~=96 &amp; vE17~=96 &amp; vE18~=96</t>
        </is>
      </c>
      <c r="D73" s="1" t="inlineStr"/>
      <c r="E73" s="1" t="inlineStr">
        <is>
          <t>vE10</t>
        </is>
      </c>
      <c r="F73" s="1" t="inlineStr"/>
      <c r="H73" s="1" t="n"/>
      <c r="I73" s="1" t="n"/>
    </row>
    <row r="74">
      <c r="A74" s="1" t="n"/>
      <c r="B74" s="1" t="n"/>
      <c r="C74" s="1" t="inlineStr">
        <is>
          <t>(vE2m03 in 1 | vE17 in 3 | vE18 in 3) &amp; (vO1_1 in 1 | vO1_1 in 2 | vO1_1 in 3 | vO1_1 in 4 | vO1_1 in 88 | vO1 in 1 | vO1 in 2 | vO1 in 3 | vO1 in 4 | vO1 in 5 | vO1 in 12 | vO1 in 13 | vO1 in 14 | vO1 in 88)</t>
        </is>
      </c>
      <c r="D74" s="1" t="inlineStr">
        <is>
          <t>vE11</t>
        </is>
      </c>
      <c r="E74" s="1" t="inlineStr"/>
      <c r="F74" s="1" t="inlineStr"/>
      <c r="H74" s="1" t="n"/>
      <c r="I74" s="1" t="n"/>
    </row>
    <row r="75">
      <c r="A75" s="1" t="n"/>
      <c r="B75" s="1" t="n"/>
      <c r="C75" s="1" t="inlineStr">
        <is>
          <t>((vE2m03~=1 &amp; vE17~=3 &amp; vE18~=3) | (vO1_1~=1 &amp; vO1_1~=2 &amp; vO1_1~=3 &amp; vO1_1~=4 &amp; vO1_1~=88 &amp; vO1~=1 &amp; vO1~=2 &amp; vO1~=3 &amp; vO1~=4 &amp; vO1~=5 &amp; vO1~=12 &amp; vO1~=13 &amp; vO1~=14 &amp; vO1~=88)) &amp; vE2m03~=96 &amp; vE17~=96 &amp; vE18~=96</t>
        </is>
      </c>
      <c r="D75" s="1" t="inlineStr"/>
      <c r="E75" s="1" t="inlineStr">
        <is>
          <t>vE11</t>
        </is>
      </c>
      <c r="F75" s="1" t="inlineStr"/>
      <c r="H75" s="1" t="n"/>
      <c r="I75" s="1" t="n"/>
    </row>
    <row r="76">
      <c r="A76" s="1" t="n"/>
      <c r="B76" s="1" t="n"/>
      <c r="C76" s="1" t="inlineStr">
        <is>
          <t>vE2m03 in 1 | vE17 in 3 | vE18 in 3</t>
        </is>
      </c>
      <c r="D76" s="1" t="inlineStr">
        <is>
          <t>vE12</t>
        </is>
      </c>
      <c r="E76" s="1" t="inlineStr"/>
      <c r="F76" s="1" t="inlineStr"/>
      <c r="H76" s="1" t="n"/>
      <c r="I76" s="1" t="n"/>
    </row>
    <row r="77">
      <c r="A77" s="1" t="n"/>
      <c r="B77" s="1" t="n"/>
      <c r="C77" s="1" t="inlineStr">
        <is>
          <t>vE2m03~=1 &amp; vE17~=3 &amp; vE18~=3 &amp; vE2m03~=96 &amp; vE17~=96 &amp; vE18~=96</t>
        </is>
      </c>
      <c r="D77" s="1" t="inlineStr"/>
      <c r="E77" s="1" t="inlineStr">
        <is>
          <t>vE12</t>
        </is>
      </c>
      <c r="F77" s="1" t="inlineStr"/>
      <c r="H77" s="1" t="n"/>
      <c r="I77" s="1" t="n"/>
    </row>
    <row r="78">
      <c r="A78" s="1" t="n"/>
      <c r="B78" s="1" t="n"/>
      <c r="C78" s="1" t="inlineStr">
        <is>
          <t>vE1 in 1</t>
        </is>
      </c>
      <c r="D78" s="1" t="inlineStr">
        <is>
          <t>vE3</t>
        </is>
      </c>
      <c r="E78" s="1" t="inlineStr"/>
      <c r="F78" s="1" t="inlineStr"/>
      <c r="H78" s="1" t="n"/>
      <c r="I78" s="1" t="n"/>
    </row>
    <row r="79">
      <c r="A79" s="1" t="n"/>
      <c r="B79" s="1" t="n"/>
      <c r="C79" s="1" t="inlineStr">
        <is>
          <t>vE1~=1</t>
        </is>
      </c>
      <c r="D79" s="1" t="inlineStr"/>
      <c r="E79" s="1" t="inlineStr">
        <is>
          <t>vE3</t>
        </is>
      </c>
      <c r="F79" s="1" t="inlineStr"/>
      <c r="H79" s="1" t="n"/>
      <c r="I79" s="1" t="n"/>
    </row>
    <row r="80">
      <c r="A80" s="1" t="n"/>
      <c r="B80" s="1" t="n"/>
      <c r="C80" s="1" t="inlineStr">
        <is>
          <t>vE1 in 1</t>
        </is>
      </c>
      <c r="D80" s="1" t="inlineStr">
        <is>
          <t>vE13m01,vE13m02,vE13m03,vE13m04,vE13m05,vE13m06,vE13m88</t>
        </is>
      </c>
      <c r="E80" s="1" t="inlineStr"/>
      <c r="F80" s="1" t="inlineStr"/>
      <c r="H80" s="1" t="n"/>
      <c r="I80" s="1" t="n"/>
    </row>
    <row r="81">
      <c r="A81" s="1" t="n"/>
      <c r="B81" s="1" t="n"/>
      <c r="C81" s="1" t="inlineStr">
        <is>
          <t>vE1~=1</t>
        </is>
      </c>
      <c r="D81" s="1" t="inlineStr"/>
      <c r="E81" s="1" t="inlineStr">
        <is>
          <t>vE13m01,vE13m02,vE13m03,vE13m04,vE13m05,vE13m06,vE13m88</t>
        </is>
      </c>
      <c r="F81" s="1" t="inlineStr"/>
      <c r="H81" s="1" t="n"/>
      <c r="I81" s="1" t="n"/>
    </row>
    <row r="82">
      <c r="A82" s="1" t="n"/>
      <c r="B82" s="1" t="n"/>
      <c r="C82" s="1" t="inlineStr">
        <is>
          <t>vE1 in 1</t>
        </is>
      </c>
      <c r="D82" s="1" t="inlineStr">
        <is>
          <t>vE14</t>
        </is>
      </c>
      <c r="E82" s="1" t="inlineStr"/>
      <c r="F82" s="1" t="inlineStr"/>
      <c r="H82" s="1" t="n"/>
      <c r="I82" s="1" t="n"/>
    </row>
    <row r="83">
      <c r="A83" s="1" t="n"/>
      <c r="B83" s="1" t="n"/>
      <c r="C83" s="1" t="inlineStr">
        <is>
          <t>vE1~=1</t>
        </is>
      </c>
      <c r="D83" s="1" t="inlineStr"/>
      <c r="E83" s="1" t="inlineStr">
        <is>
          <t>vE14</t>
        </is>
      </c>
      <c r="F83" s="1" t="inlineStr"/>
      <c r="H83" s="1" t="n"/>
      <c r="I83" s="1" t="n"/>
    </row>
    <row r="84">
      <c r="A84" s="1" t="n"/>
      <c r="B84" s="1" t="n"/>
      <c r="C84" s="1" t="inlineStr">
        <is>
          <t>vE1 in 1</t>
        </is>
      </c>
      <c r="D84" s="1" t="inlineStr">
        <is>
          <t>vG7m01,vG7m02,vG7m03,vG7m04,vG7m05,vG7m06,vG7m07,vG7m08,vG7m09,vG7m10,vG7m11,vG7m12,vG7m88,vG7m90</t>
        </is>
      </c>
      <c r="E84" s="1" t="inlineStr"/>
      <c r="F84" s="1" t="inlineStr"/>
      <c r="H84" s="1" t="n"/>
      <c r="I84" s="1" t="n"/>
    </row>
    <row r="85">
      <c r="A85" s="1" t="n"/>
      <c r="B85" s="1" t="n"/>
      <c r="C85" s="1" t="inlineStr">
        <is>
          <t>vE1~=1</t>
        </is>
      </c>
      <c r="D85" s="1" t="inlineStr"/>
      <c r="E85" s="1" t="inlineStr">
        <is>
          <t>vG7m01,vG7m02,vG7m03,vG7m04,vG7m05,vG7m06,vG7m07,vG7m08,vG7m09,vG7m10,vG7m11,vG7m12,vG7m88,vG7m90</t>
        </is>
      </c>
      <c r="F85" s="1" t="inlineStr"/>
      <c r="H85" s="1" t="n"/>
      <c r="I85" s="1" t="n"/>
    </row>
    <row r="86">
      <c r="A86" s="1" t="n"/>
      <c r="B86" s="1" t="n"/>
      <c r="C86" s="1" t="inlineStr">
        <is>
          <t>vE1 in 1</t>
        </is>
      </c>
      <c r="D86" s="1" t="inlineStr">
        <is>
          <t>vG8m01,vG8m02,vG8m03,vG8m04,vG8m05,vG8m06,vG8m07,vG8m08,vG8m09,vG8m10,vG8m11,vG8m12,vG8m13,vG8m14,vG8m15,vG8m16,vG8m88,vG8m90</t>
        </is>
      </c>
      <c r="E86" s="1" t="inlineStr"/>
      <c r="F86" s="1" t="inlineStr"/>
      <c r="H86" s="1" t="n"/>
      <c r="I86" s="1" t="n"/>
    </row>
    <row r="87">
      <c r="A87" s="1" t="n"/>
      <c r="B87" s="1" t="n"/>
      <c r="C87" s="1" t="inlineStr">
        <is>
          <t>vE1~=1</t>
        </is>
      </c>
      <c r="D87" s="1" t="inlineStr"/>
      <c r="E87" s="1" t="inlineStr">
        <is>
          <t>vG8m01,vG8m02,vG8m03,vG8m04,vG8m05,vG8m06,vG8m07,vG8m08,vG8m09,vG8m10,vG8m11,vG8m12,vG8m13,vG8m14,vG8m15,vG8m16,vG8m88,vG8m90</t>
        </is>
      </c>
      <c r="F87" s="1" t="inlineStr"/>
      <c r="H87" s="1" t="n"/>
      <c r="I87" s="1" t="n"/>
    </row>
    <row r="88">
      <c r="A88" s="1" t="n"/>
      <c r="B88" s="1" t="n"/>
      <c r="C88" s="1" t="inlineStr">
        <is>
          <t>vE1 in 1</t>
        </is>
      </c>
      <c r="D88" s="1" t="inlineStr">
        <is>
          <t>vG9m01,vG9m02,vG9m03,vG9m04,vG9m05,vG9m06,vG9m07,vG9m08,vG9m09,vG9m10,vG9m11,vG9m12,vG9m13,vG9m88,vG9m90</t>
        </is>
      </c>
      <c r="E88" s="1" t="inlineStr"/>
      <c r="F88" s="1" t="inlineStr"/>
      <c r="H88" s="1" t="n"/>
      <c r="I88" s="1" t="n"/>
    </row>
    <row r="89">
      <c r="A89" s="1" t="n"/>
      <c r="B89" s="1" t="n"/>
      <c r="C89" s="1" t="inlineStr">
        <is>
          <t>vE1~=1</t>
        </is>
      </c>
      <c r="D89" s="1" t="inlineStr"/>
      <c r="E89" s="1" t="inlineStr">
        <is>
          <t>vG9m01,vG9m02,vG9m03,vG9m04,vG9m05,vG9m06,vG9m07,vG9m08,vG9m09,vG9m10,vG9m11,vG9m12,vG9m13,vG9m88,vG9m90</t>
        </is>
      </c>
      <c r="F89" s="1" t="inlineStr"/>
      <c r="H89" s="1" t="n"/>
      <c r="I89" s="1" t="n"/>
    </row>
    <row r="90">
      <c r="A90" s="1" t="n"/>
      <c r="B90" s="1" t="n"/>
      <c r="C90" s="1" t="inlineStr">
        <is>
          <t>vE1 in 1</t>
        </is>
      </c>
      <c r="D90" s="1" t="inlineStr">
        <is>
          <t>vG10m01,vG10m02,vG10m03,vG10m04,vG10m05,vG10m06,vG10m07,vG10m08,vG10m09,vG10m10,vG10m11,vG10m12,vG10m13,vG10m14,vG10m15,vG10m16,vG10m17,vG10m18,vG10m19,vG10m88,vG10m90</t>
        </is>
      </c>
      <c r="E90" s="1" t="inlineStr"/>
      <c r="F90" s="1" t="inlineStr"/>
      <c r="H90" s="1" t="n"/>
      <c r="I90" s="1" t="n"/>
    </row>
    <row r="91">
      <c r="A91" s="1" t="n"/>
      <c r="B91" s="1" t="n"/>
      <c r="C91" s="1" t="inlineStr">
        <is>
          <t>vE1~=1</t>
        </is>
      </c>
      <c r="D91" s="1" t="inlineStr"/>
      <c r="E91" s="1" t="inlineStr">
        <is>
          <t>vG10m01,vG10m02,vG10m03,vG10m04,vG10m05,vG10m06,vG10m07,vG10m08,vG10m09,vG10m10,vG10m11,vG10m12,vG10m13,vG10m14,vG10m15,vG10m16,vG10m17,vG10m18,vG10m19,vG10m88,vG10m90</t>
        </is>
      </c>
      <c r="F91" s="1" t="inlineStr"/>
      <c r="H91" s="1" t="n"/>
      <c r="I91" s="1" t="n"/>
    </row>
    <row r="92">
      <c r="A92" s="1" t="n"/>
      <c r="B92" s="1" t="n"/>
      <c r="C92" s="1" t="inlineStr">
        <is>
          <t>vE1 in 1</t>
        </is>
      </c>
      <c r="D92" s="1" t="inlineStr">
        <is>
          <t>vG11m01,vG11m02,vG11m03,vG11m04,vG11m05,vG11m88,vG11m90</t>
        </is>
      </c>
      <c r="E92" s="1" t="inlineStr"/>
      <c r="F92" s="1" t="inlineStr"/>
      <c r="H92" s="1" t="n"/>
      <c r="I92" s="1" t="n"/>
    </row>
    <row r="93">
      <c r="A93" s="1" t="n"/>
      <c r="B93" s="1" t="n"/>
      <c r="C93" s="1" t="inlineStr">
        <is>
          <t>vE1~=1</t>
        </is>
      </c>
      <c r="D93" s="1" t="inlineStr"/>
      <c r="E93" s="1" t="inlineStr">
        <is>
          <t>vG11m01,vG11m02,vG11m03,vG11m04,vG11m05,vG11m88,vG11m90</t>
        </is>
      </c>
      <c r="F93" s="1" t="inlineStr"/>
      <c r="H93" s="1" t="n"/>
      <c r="I93" s="1" t="n"/>
    </row>
    <row r="94">
      <c r="A94" s="1" t="n"/>
      <c r="B94" s="1" t="n"/>
      <c r="C94" s="1" t="inlineStr">
        <is>
          <t>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t>
        </is>
      </c>
      <c r="D94" s="1" t="inlineStr">
        <is>
          <t>vG4</t>
        </is>
      </c>
      <c r="E94" s="1" t="inlineStr"/>
      <c r="F94" s="1" t="inlineStr"/>
      <c r="H94" s="1" t="n"/>
      <c r="I94" s="1" t="n"/>
    </row>
    <row r="95">
      <c r="A95" s="1" t="n"/>
      <c r="B95" s="1" t="n"/>
      <c r="C95" s="1" t="inlineStr">
        <is>
          <t>vG7m01~=1 &amp; vG7m02~=1 &amp; vG7m03~=1 &amp; vG7m04~=1 &amp; vG7m05~=1 &amp; vG7m06~=1 &amp; vG7m07~=1 &amp; vG7m08~=1 &amp; vG7m09~=1 &amp; vG7m10~=1 &amp; vG7m11~=1 &amp; vG7m12~=1 &amp; vG7m88~=1 &amp; vG8m01~=1 &amp; vG8m02~=1 &amp; vG8m03~=1 &amp; vG8m04~=1 &amp; vG8m05~=1 &amp; vG8m06~=1 &amp; vG8m07~=1 &amp; vG8m08~=1 &amp; vG8m09~=1 &amp; vG8m10~=1 &amp; vG8m11~=1 &amp; vG8m12~=1 &amp; vG8m13~=1 &amp; vG8m14~=1 &amp; vG8m15~=1 &amp; vG8m16~=1 &amp; vG8m88~=1 &amp; vG9m01~=1 &amp; vG9m02~=1 &amp; vG9m03~=1 &amp; vG9m04~=1 &amp; vG9m05~=1 &amp; vG9m06~=1 &amp; vG9m07~=1 &amp; vG9m08~=1 &amp; vG9m09~=1 &amp; vG9m10~=1 &amp; vG9m11~=1 &amp; vG9m12~=1 &amp; vG9m13~=1 &amp; vG9m88~=1 &amp; vG10m01~=1 &amp; vG10m02~=1 &amp; vG10m03~=1 &amp; vG10m04~=1 &amp; vG10m05~=1 &amp; vG10m06~=1 &amp; vG10m07~=1 &amp; vG10m08~=1 &amp; vG10m09~=1 &amp; vG10m10~=1 &amp; vG10m11~=1 &amp; vG10m12~=1 &amp; vG10m13~=1 &amp; vG10m14~=1 &amp; vG10m15~=1 &amp; vG10m16~=1 &amp; vG10m17~=1 &amp; vG10m18~=1 &amp; vG10m19~=1 &amp; vG10m88~=1 &amp; vG11m01~=1 &amp; vG11m02~=1 &amp; vG11m03~=1 &amp; vG11m04~=1 &amp; vG11m05~=1 &amp; vG11m88~=1 &amp; vG7m01~=96 &amp; vG7m02~=96 &amp; vG7m03~=96 &amp; vG7m04~=96 &amp; vG7m05~=96 &amp; vG7m06~=96 &amp; vG7m07~=96 &amp; vG7m08~=96 &amp; vG7m09~=96 &amp; vG7m10~=96 &amp; vG7m11~=96 &amp; vG7m12~=96 &amp; vG7m88~=96 &amp; vG8m01~=96 &amp; vG8m02~=96 &amp; vG8m03~=96 &amp; vG8m04~=96 &amp; vG8m05~=96 &amp; vG8m06~=96 &amp; vG8m07~=96 &amp; vG8m08~=96 &amp; vG8m09~=96 &amp; vG8m10~=96 &amp; vG8m11~=96 &amp; vG8m12~=96 &amp; vG8m13~=96 &amp; vG8m14~=96 &amp; vG8m15~=96 &amp; vG8m16~=96 &amp; vG8m88~=96 &amp; vG9m01~=96 &amp; vG9m02~=96 &amp; vG9m03~=96 &amp; vG9m04~=96 &amp; vG9m05~=96 &amp; vG9m06~=96 &amp; vG9m07~=96 &amp; vG9m08~=96 &amp; vG9m09~=96 &amp; vG9m10~=96 &amp; vG9m11~=96 &amp; vG9m12~=96 &amp; vG9m13~=96 &amp; vG9m88~=96 &amp; vG10m01~=96 &amp; vG10m02~=96 &amp; vG10m03~=96 &amp; vG10m04~=96 &amp; vG10m05~=96 &amp; vG10m06~=96 &amp; vG10m07~=96 &amp; vG10m08~=96 &amp; vG10m09~=96 &amp; vG10m10~=96 &amp; vG10m11~=96 &amp; vG10m12~=96 &amp; vG10m13~=96 &amp; vG10m14~=96 &amp; vG10m15~=96 &amp; vG10m16~=96 &amp; vG10m17~=96 &amp; vG10m18~=96 &amp; vG10m19~=96 &amp; vG10m88~=96 &amp; vG11m01~=96 &amp; vG11m02~=96 &amp; vG11m03~=96 &amp; vG11m04~=96 &amp; vG11m05~=96 &amp; vG11m88~=96</t>
        </is>
      </c>
      <c r="D95" s="1" t="inlineStr"/>
      <c r="E95" s="1" t="inlineStr">
        <is>
          <t>vG4</t>
        </is>
      </c>
      <c r="F95" s="1" t="inlineStr"/>
      <c r="H95" s="1" t="n"/>
      <c r="I95" s="1" t="n"/>
    </row>
    <row r="96">
      <c r="A96" s="1" t="n"/>
      <c r="B96" s="1" t="n"/>
      <c r="C96" s="1" t="inlineStr">
        <is>
          <t>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t>
        </is>
      </c>
      <c r="D96" s="1" t="inlineStr">
        <is>
          <t>vG5</t>
        </is>
      </c>
      <c r="E96" s="1" t="inlineStr"/>
      <c r="F96" s="1" t="inlineStr"/>
      <c r="H96" s="1" t="n"/>
      <c r="I96" s="1" t="n"/>
    </row>
    <row r="97">
      <c r="A97" s="1" t="n"/>
      <c r="B97" s="1" t="n"/>
      <c r="C97" s="1" t="inlineStr">
        <is>
          <t>vG7m01~=1 &amp; vG7m02~=1 &amp; vG7m03~=1 &amp; vG7m04~=1 &amp; vG7m05~=1 &amp; vG7m06~=1 &amp; vG7m07~=1 &amp; vG7m08~=1 &amp; vG7m09~=1 &amp; vG7m10~=1 &amp; vG7m11~=1 &amp; vG7m12~=1 &amp; vG7m88~=1 &amp; vG8m01~=1 &amp; vG8m02~=1 &amp; vG8m03~=1 &amp; vG8m04~=1 &amp; vG8m05~=1 &amp; vG8m06~=1 &amp; vG8m07~=1 &amp; vG8m08~=1 &amp; vG8m09~=1 &amp; vG8m10~=1 &amp; vG8m11~=1 &amp; vG8m12~=1 &amp; vG8m13~=1 &amp; vG8m14~=1 &amp; vG8m15~=1 &amp; vG8m16~=1 &amp; vG8m88~=1 &amp; vG9m01~=1 &amp; vG9m02~=1 &amp; vG9m03~=1 &amp; vG9m04~=1 &amp; vG9m05~=1 &amp; vG9m06~=1 &amp; vG9m07~=1 &amp; vG9m08~=1 &amp; vG9m09~=1 &amp; vG9m10~=1 &amp; vG9m11~=1 &amp; vG9m12~=1 &amp; vG9m13~=1 &amp; vG9m88~=1 &amp; vG10m01~=1 &amp; vG10m02~=1 &amp; vG10m03~=1 &amp; vG10m04~=1 &amp; vG10m05~=1 &amp; vG10m06~=1 &amp; vG10m07~=1 &amp; vG10m08~=1 &amp; vG10m09~=1 &amp; vG10m10~=1 &amp; vG10m11~=1 &amp; vG10m12~=1 &amp; vG10m13~=1 &amp; vG10m14~=1 &amp; vG10m15~=1 &amp; vG10m16~=1 &amp; vG10m17~=1 &amp; vG10m18~=1 &amp; vG10m19~=1 &amp; vG10m88~=1 &amp; vG11m01~=1 &amp; vG11m02~=1 &amp; vG11m03~=1 &amp; vG11m04~=1 &amp; vG11m05~=1 &amp; vG11m88~=1 &amp; vG7m01~=96 &amp; vG7m02~=96 &amp; vG7m03~=96 &amp; vG7m04~=96 &amp; vG7m05~=96 &amp; vG7m06~=96 &amp; vG7m07~=96 &amp; vG7m08~=96 &amp; vG7m09~=96 &amp; vG7m10~=96 &amp; vG7m11~=96 &amp; vG7m12~=96 &amp; vG7m88~=96 &amp; vG8m01~=96 &amp; vG8m02~=96 &amp; vG8m03~=96 &amp; vG8m04~=96 &amp; vG8m05~=96 &amp; vG8m06~=96 &amp; vG8m07~=96 &amp; vG8m08~=96 &amp; vG8m09~=96 &amp; vG8m10~=96 &amp; vG8m11~=96 &amp; vG8m12~=96 &amp; vG8m13~=96 &amp; vG8m14~=96 &amp; vG8m15~=96 &amp; vG8m16~=96 &amp; vG8m88~=96 &amp; vG9m01~=96 &amp; vG9m02~=96 &amp; vG9m03~=96 &amp; vG9m04~=96 &amp; vG9m05~=96 &amp; vG9m06~=96 &amp; vG9m07~=96 &amp; vG9m08~=96 &amp; vG9m09~=96 &amp; vG9m10~=96 &amp; vG9m11~=96 &amp; vG9m12~=96 &amp; vG9m13~=96 &amp; vG9m88~=96 &amp; vG10m01~=96 &amp; vG10m02~=96 &amp; vG10m03~=96 &amp; vG10m04~=96 &amp; vG10m05~=96 &amp; vG10m06~=96 &amp; vG10m07~=96 &amp; vG10m08~=96 &amp; vG10m09~=96 &amp; vG10m10~=96 &amp; vG10m11~=96 &amp; vG10m12~=96 &amp; vG10m13~=96 &amp; vG10m14~=96 &amp; vG10m15~=96 &amp; vG10m16~=96 &amp; vG10m17~=96 &amp; vG10m18~=96 &amp; vG10m19~=96 &amp; vG10m88~=96 &amp; vG11m01~=96 &amp; vG11m02~=96 &amp; vG11m03~=96 &amp; vG11m04~=96 &amp; vG11m05~=96 &amp; vG11m88~=96</t>
        </is>
      </c>
      <c r="D97" s="1" t="inlineStr"/>
      <c r="E97" s="1" t="inlineStr">
        <is>
          <t>vG5</t>
        </is>
      </c>
      <c r="F97" s="1" t="inlineStr"/>
      <c r="H97" s="1" t="n"/>
      <c r="I97" s="1" t="n"/>
    </row>
    <row r="98">
      <c r="A98" s="1" t="n"/>
      <c r="B98" s="1" t="n"/>
      <c r="C98" s="1" t="inlineStr">
        <is>
          <t>vB1 in 0</t>
        </is>
      </c>
      <c r="D98" s="1" t="inlineStr"/>
      <c r="E98" s="1" t="inlineStr">
        <is>
          <t>vB2</t>
        </is>
      </c>
      <c r="F98" s="1" t="inlineStr"/>
      <c r="H98" s="1" t="n"/>
      <c r="I98" s="1" t="n"/>
    </row>
    <row r="99">
      <c r="A99" s="1" t="n"/>
      <c r="B99" s="1" t="n"/>
      <c r="C99" s="1" t="inlineStr">
        <is>
          <t>vB1~=0</t>
        </is>
      </c>
      <c r="D99" s="1" t="inlineStr">
        <is>
          <t>vB2</t>
        </is>
      </c>
      <c r="E99" s="1" t="inlineStr"/>
      <c r="F99" s="1" t="inlineStr"/>
      <c r="H99" s="1" t="n"/>
      <c r="I99" s="1" t="n"/>
    </row>
    <row r="100">
      <c r="A100" s="1" t="n"/>
      <c r="B100" s="1" t="n"/>
      <c r="C100" s="1" t="inlineStr">
        <is>
          <t>vB3 in 0</t>
        </is>
      </c>
      <c r="D100" s="1" t="inlineStr"/>
      <c r="E100" s="1" t="inlineStr">
        <is>
          <t>vB4</t>
        </is>
      </c>
      <c r="F100" s="1" t="inlineStr"/>
      <c r="H100" s="1" t="n"/>
      <c r="I100" s="1" t="n"/>
    </row>
    <row r="101">
      <c r="A101" s="1" t="n"/>
      <c r="B101" s="1" t="n"/>
      <c r="C101" s="1" t="inlineStr">
        <is>
          <t>vB3~=0</t>
        </is>
      </c>
      <c r="D101" s="1" t="inlineStr">
        <is>
          <t>vB4</t>
        </is>
      </c>
      <c r="E101" s="1" t="inlineStr"/>
      <c r="F101" s="1" t="inlineStr"/>
      <c r="H101" s="1" t="n"/>
      <c r="I101" s="1" t="n"/>
    </row>
    <row r="102">
      <c r="A102" s="1" t="n"/>
      <c r="B102" s="1" t="n"/>
      <c r="C102" s="1" t="inlineStr">
        <is>
          <t>vB1 in 0 &amp; vB3 in 0</t>
        </is>
      </c>
      <c r="D102" s="1" t="inlineStr"/>
      <c r="E102" s="1" t="inlineStr">
        <is>
          <t>vB5</t>
        </is>
      </c>
      <c r="F102" s="1" t="inlineStr"/>
      <c r="H102" s="1" t="n"/>
      <c r="I102" s="1" t="n"/>
    </row>
    <row r="103">
      <c r="A103" s="1" t="n"/>
      <c r="B103" s="1" t="n"/>
      <c r="C103" s="1" t="inlineStr">
        <is>
          <t>vB1~=0 | vB3~=0</t>
        </is>
      </c>
      <c r="D103" s="1" t="inlineStr">
        <is>
          <t>vB5</t>
        </is>
      </c>
      <c r="E103" s="1" t="inlineStr"/>
      <c r="F103" s="1" t="inlineStr"/>
      <c r="H103" s="1" t="n"/>
      <c r="I103" s="1" t="n"/>
    </row>
    <row r="104">
      <c r="A104" s="1" t="n"/>
      <c r="B104" s="1" t="n"/>
      <c r="C104" s="1" t="inlineStr">
        <is>
          <t>vB5 in 0</t>
        </is>
      </c>
      <c r="D104" s="1" t="inlineStr"/>
      <c r="E104" s="1" t="inlineStr">
        <is>
          <t>vB6</t>
        </is>
      </c>
      <c r="F104" s="1" t="inlineStr"/>
      <c r="H104" s="1" t="n"/>
      <c r="I104" s="1" t="n"/>
    </row>
    <row r="105">
      <c r="A105" s="1" t="n"/>
      <c r="B105" s="1" t="n"/>
      <c r="C105" s="1" t="inlineStr">
        <is>
          <t>vB5~=0 &amp; vB5~=9996</t>
        </is>
      </c>
      <c r="D105" s="1" t="inlineStr">
        <is>
          <t>vB6</t>
        </is>
      </c>
      <c r="E105" s="1" t="inlineStr"/>
      <c r="F105" s="1" t="inlineStr"/>
      <c r="H105" s="1" t="n"/>
      <c r="I105" s="1" t="n"/>
    </row>
    <row r="106">
      <c r="A106" s="1" t="n"/>
      <c r="B106" s="1" t="n"/>
      <c r="C106" s="1" t="inlineStr">
        <is>
          <t>vB5 in 0</t>
        </is>
      </c>
      <c r="D106" s="1" t="inlineStr"/>
      <c r="E106" s="1" t="inlineStr">
        <is>
          <t>vB7am01,vB7am02,vB7am03,vB7am04,vB7am05,vB7am06,vB7am07,vB7am08,vB7am09,vB7am10,vB7am11,vB7am12,vB7am13,vB7am14,vB7am15,vB7am16,vB7am17,vB7am18,vB7am19,vB7am20,vB7am21,vB7am22,vB7am23,vB7am24,vB7am25,vB7am26,vB7am27,vB7am28,vB7am29,vB7am30,vB7am31,vB7am32,vB7am33,vB7am34,vB7am35,vB7am36,vB7am37,vB7am38,vB7am39,vB7am40,vB7am41,vB7am42,vB7am43,vB7am44,vB7am45,vB7am46,vB7am47,vB7am48,vB7am49,vB7am50,vB7am51,vB7am52,vB7am53,vB7am54,vB7am88</t>
        </is>
      </c>
      <c r="F106" s="1" t="inlineStr"/>
      <c r="H106" s="1" t="n"/>
      <c r="I106" s="1" t="n"/>
    </row>
    <row r="107">
      <c r="A107" s="1" t="n"/>
      <c r="B107" s="1" t="n"/>
      <c r="C107" s="1" t="inlineStr">
        <is>
          <t>vB5~=0 &amp; vB5~=9996</t>
        </is>
      </c>
      <c r="D107" s="1" t="inlineStr">
        <is>
          <t>vB7am01,vB7am02,vB7am03,vB7am04,vB7am05,vB7am06,vB7am07,vB7am08,vB7am09,vB7am10,vB7am11,vB7am12,vB7am13,vB7am14,vB7am15,vB7am16,vB7am17,vB7am18,vB7am19,vB7am20,vB7am21,vB7am22,vB7am23,vB7am24,vB7am25,vB7am26,vB7am27,vB7am28,vB7am29,vB7am30,vB7am31,vB7am32,vB7am33,vB7am34,vB7am35,vB7am36,vB7am37,vB7am38,vB7am39,vB7am40,vB7am41,vB7am42,vB7am43,vB7am44,vB7am45,vB7am46,vB7am47,vB7am48,vB7am49,vB7am50,vB7am51,vB7am52,vB7am53,vB7am54,vB7am88</t>
        </is>
      </c>
      <c r="E107" s="1" t="inlineStr"/>
      <c r="F107" s="1" t="inlineStr"/>
      <c r="H107" s="1" t="n"/>
      <c r="I107" s="1" t="n"/>
    </row>
    <row r="108">
      <c r="A108" s="1" t="n"/>
      <c r="B108" s="1" t="n"/>
      <c r="C108" s="1" t="inlineStr">
        <is>
          <t>vB1 in 0 &amp; vB3 in 0</t>
        </is>
      </c>
      <c r="D108" s="1" t="inlineStr"/>
      <c r="E108" s="1" t="inlineStr">
        <is>
          <t>vB8m01,vB8m02,vB8m03,vB8m04,vB8m05,vB8m06,vB8m07,vB8m08,vB8m09,vB8m10,vB8m88</t>
        </is>
      </c>
      <c r="F108" s="1" t="inlineStr"/>
      <c r="H108" s="1" t="n"/>
      <c r="I108" s="1" t="n"/>
    </row>
    <row r="109">
      <c r="A109" s="1" t="n"/>
      <c r="B109" s="1" t="n"/>
      <c r="C109" s="1" t="inlineStr">
        <is>
          <t>vB1~=0 | vB3~=0</t>
        </is>
      </c>
      <c r="D109" s="1" t="inlineStr">
        <is>
          <t>vB8m01,vB8m02,vB8m03,vB8m04,vB8m05,vB8m06,vB8m07,vB8m08,vB8m09,vB8m10,vB8m88</t>
        </is>
      </c>
      <c r="E109" s="1" t="inlineStr"/>
      <c r="F109" s="1" t="inlineStr"/>
      <c r="H109" s="1" t="n"/>
      <c r="I109" s="1" t="n"/>
    </row>
    <row r="110">
      <c r="A110" s="1" t="n"/>
      <c r="B110" s="1" t="n"/>
      <c r="C110" s="1" t="inlineStr">
        <is>
          <t>vI1 in 0</t>
        </is>
      </c>
      <c r="D110" s="1" t="inlineStr"/>
      <c r="E110" s="1" t="inlineStr">
        <is>
          <t>vI2</t>
        </is>
      </c>
      <c r="F110" s="1" t="inlineStr"/>
      <c r="H110" s="1" t="n"/>
      <c r="I110" s="1" t="n"/>
    </row>
    <row r="111">
      <c r="A111" s="1" t="n"/>
      <c r="B111" s="1" t="n"/>
      <c r="C111" s="1" t="inlineStr">
        <is>
          <t>vI1~=0</t>
        </is>
      </c>
      <c r="D111" s="1" t="inlineStr">
        <is>
          <t>vI2</t>
        </is>
      </c>
      <c r="E111" s="1" t="inlineStr"/>
      <c r="F111" s="1" t="inlineStr"/>
      <c r="H111" s="1" t="n"/>
      <c r="I111" s="1" t="n"/>
    </row>
    <row r="112">
      <c r="A112" s="1" t="n"/>
      <c r="B112" s="1" t="n"/>
      <c r="C112" s="1" t="inlineStr">
        <is>
          <t>vI3 in 0</t>
        </is>
      </c>
      <c r="D112" s="1" t="inlineStr"/>
      <c r="E112" s="1" t="inlineStr">
        <is>
          <t>vI4</t>
        </is>
      </c>
      <c r="F112" s="1" t="inlineStr"/>
      <c r="H112" s="1" t="n"/>
      <c r="I112" s="1" t="n"/>
    </row>
    <row r="113">
      <c r="A113" s="1" t="n"/>
      <c r="B113" s="1" t="n"/>
      <c r="C113" s="1" t="inlineStr">
        <is>
          <t>vI3~=0</t>
        </is>
      </c>
      <c r="D113" s="1" t="inlineStr">
        <is>
          <t>vI4</t>
        </is>
      </c>
      <c r="E113" s="1" t="inlineStr"/>
      <c r="F113" s="1" t="inlineStr"/>
      <c r="H113" s="1" t="n"/>
      <c r="I113" s="1" t="n"/>
    </row>
    <row r="114">
      <c r="A114" s="1" t="n"/>
      <c r="B114" s="1" t="n"/>
      <c r="C114" s="1" t="inlineStr">
        <is>
          <t>vA9 in 1</t>
        </is>
      </c>
      <c r="D114" s="1" t="inlineStr"/>
      <c r="E114" s="1" t="inlineStr">
        <is>
          <t>vG1</t>
        </is>
      </c>
      <c r="F114" s="1" t="inlineStr"/>
      <c r="H114" s="1" t="n"/>
      <c r="I114" s="1" t="n"/>
    </row>
    <row r="115">
      <c r="A115" s="1" t="n"/>
      <c r="B115" s="1" t="n"/>
      <c r="C115" s="1" t="inlineStr">
        <is>
          <t>vA9~=1</t>
        </is>
      </c>
      <c r="D115" s="1" t="inlineStr">
        <is>
          <t>vG1</t>
        </is>
      </c>
      <c r="E115" s="1" t="inlineStr"/>
      <c r="F115" s="1" t="inlineStr"/>
      <c r="H115" s="1" t="n"/>
      <c r="I115" s="1" t="n"/>
    </row>
    <row r="116">
      <c r="A116" s="1" t="n"/>
      <c r="B116" s="1" t="n"/>
      <c r="C116" s="1" t="inlineStr">
        <is>
          <t>vA9 in 1 | vG1 in 0</t>
        </is>
      </c>
      <c r="D116" s="1" t="inlineStr"/>
      <c r="E116" s="1" t="inlineStr">
        <is>
          <t>vG2</t>
        </is>
      </c>
      <c r="F116" s="1" t="inlineStr"/>
      <c r="H116" s="1" t="n"/>
      <c r="I116" s="1" t="n"/>
    </row>
    <row r="117">
      <c r="A117" s="1" t="n"/>
      <c r="B117" s="1" t="n"/>
      <c r="C117" s="1" t="inlineStr">
        <is>
          <t>vA9~=1 &amp; vG1~=0 &amp; vG1~=9996</t>
        </is>
      </c>
      <c r="D117" s="1" t="inlineStr">
        <is>
          <t>vG2</t>
        </is>
      </c>
      <c r="E117" s="1" t="inlineStr"/>
      <c r="F117" s="1" t="inlineStr"/>
      <c r="H117" s="1" t="n"/>
      <c r="I117" s="1" t="n"/>
    </row>
    <row r="118">
      <c r="A118" s="1" t="n"/>
      <c r="B118" s="1" t="n"/>
      <c r="C118" s="1" t="inlineStr">
        <is>
          <t>vA9 in 1 | vG1 in 0</t>
        </is>
      </c>
      <c r="D118" s="1" t="inlineStr"/>
      <c r="E118" s="1" t="inlineStr">
        <is>
          <t>vG3m01,vG3m02,vG3m03,vG3m04,vG3m05,vG3m06,vG3m07,vG3m08,vG3m09,vG3m10,vG3m11,vG3m12,vG3m13,vG3m14,vG3m15,vG3m16,vG3m18,vG3m19,vG3m20,vG3m21,vG3m22,vG3m23,vG3m24,vG3m25,vG3m26,vG3m27,vG3m28,vG3m29,vG3m30,vG3m31,vG3m32,vG3m33,vG3m88</t>
        </is>
      </c>
      <c r="F118" s="1" t="inlineStr"/>
      <c r="H118" s="1" t="n"/>
      <c r="I118" s="1" t="n"/>
    </row>
    <row r="119">
      <c r="A119" s="1" t="n"/>
      <c r="B119" s="1" t="n"/>
      <c r="C119" s="1" t="inlineStr">
        <is>
          <t>vA9~=1 &amp; vG1~=0 &amp; vG1~=9996</t>
        </is>
      </c>
      <c r="D119" s="1" t="inlineStr">
        <is>
          <t>vG3m01,vG3m02,vG3m03,vG3m04,vG3m05,vG3m06,vG3m07,vG3m08,vG3m09,vG3m10,vG3m11,vG3m12,vG3m13,vG3m14,vG3m15,vG3m16,vG3m18,vG3m19,vG3m20,vG3m21,vG3m22,vG3m23,vG3m24,vG3m25,vG3m26,vG3m27,vG3m28,vG3m29,vG3m30,vG3m31,vG3m32,vG3m33,vG3m88</t>
        </is>
      </c>
      <c r="E119" s="1" t="inlineStr"/>
      <c r="F119" s="1" t="inlineStr"/>
      <c r="H119" s="1" t="n"/>
      <c r="I119" s="1" t="n"/>
    </row>
    <row r="120">
      <c r="A120" s="1" t="n"/>
      <c r="B120" s="1" t="n"/>
      <c r="C120" s="1" t="inlineStr">
        <is>
          <t>vA9 in 1</t>
        </is>
      </c>
      <c r="D120" s="1" t="inlineStr"/>
      <c r="E120" s="1" t="inlineStr">
        <is>
          <t>vF0</t>
        </is>
      </c>
      <c r="F120" s="1" t="inlineStr"/>
      <c r="H120" s="1" t="n"/>
      <c r="I120" s="1" t="n"/>
    </row>
    <row r="121">
      <c r="A121" s="1" t="n"/>
      <c r="B121" s="1" t="n"/>
      <c r="C121" s="1" t="inlineStr">
        <is>
          <t>vA9~=1</t>
        </is>
      </c>
      <c r="D121" s="1" t="inlineStr">
        <is>
          <t>vF0</t>
        </is>
      </c>
      <c r="E121" s="1" t="inlineStr"/>
      <c r="F121" s="1" t="inlineStr"/>
      <c r="H121" s="1" t="n"/>
      <c r="I121" s="1" t="n"/>
    </row>
    <row r="122">
      <c r="A122" s="1" t="n"/>
      <c r="B122" s="1" t="n"/>
      <c r="C122" s="1" t="inlineStr">
        <is>
          <t>vF0 in 1 | vF0 in 89</t>
        </is>
      </c>
      <c r="D122" s="1" t="inlineStr">
        <is>
          <t>vF1</t>
        </is>
      </c>
      <c r="E122" s="1" t="inlineStr"/>
      <c r="F122" s="1" t="inlineStr"/>
      <c r="H122" s="1" t="n"/>
      <c r="I122" s="1" t="n"/>
    </row>
    <row r="123">
      <c r="A123" s="1" t="n"/>
      <c r="B123" s="1" t="n"/>
      <c r="C123" s="1" t="inlineStr">
        <is>
          <t>vF0~=1 &amp; vF0~=89 &amp; vF0~=96</t>
        </is>
      </c>
      <c r="D123" s="1" t="inlineStr"/>
      <c r="E123" s="1" t="inlineStr">
        <is>
          <t>vF1</t>
        </is>
      </c>
      <c r="F123" s="1" t="inlineStr"/>
      <c r="H123" s="1" t="n"/>
      <c r="I123" s="1" t="n"/>
    </row>
    <row r="124">
      <c r="A124" s="1" t="n"/>
      <c r="B124" s="1" t="n"/>
      <c r="C124" s="1" t="inlineStr">
        <is>
          <t>vF0 in 1 | vF0 in 89</t>
        </is>
      </c>
      <c r="D124" s="1" t="inlineStr">
        <is>
          <t>vF2</t>
        </is>
      </c>
      <c r="E124" s="1" t="inlineStr"/>
      <c r="F124" s="1" t="inlineStr"/>
      <c r="H124" s="1" t="n"/>
      <c r="I124" s="1" t="n"/>
    </row>
    <row r="125">
      <c r="A125" s="1" t="n"/>
      <c r="B125" s="1" t="n"/>
      <c r="C125" s="1" t="inlineStr">
        <is>
          <t>vF0~=1 &amp; vF0~=89 &amp; vF0~=96</t>
        </is>
      </c>
      <c r="D125" s="1" t="inlineStr"/>
      <c r="E125" s="1" t="inlineStr">
        <is>
          <t>vF2</t>
        </is>
      </c>
      <c r="F125" s="1" t="inlineStr"/>
      <c r="G125" s="1" t="n"/>
      <c r="H125" s="1" t="n"/>
      <c r="I125" s="1" t="n"/>
    </row>
    <row r="126">
      <c r="A126" s="1" t="n"/>
      <c r="B126" s="1" t="n"/>
      <c r="C126" s="1" t="inlineStr">
        <is>
          <t>vF0 in 2 | vF0 in 89</t>
        </is>
      </c>
      <c r="D126" s="1" t="inlineStr">
        <is>
          <t>vF3</t>
        </is>
      </c>
      <c r="E126" s="1" t="inlineStr"/>
      <c r="F126" s="1" t="inlineStr"/>
      <c r="H126" s="1" t="n"/>
      <c r="I126" s="1" t="n"/>
    </row>
    <row r="127">
      <c r="A127" s="1" t="n"/>
      <c r="B127" s="1" t="n"/>
      <c r="C127" s="1" t="inlineStr">
        <is>
          <t>vF0~=2 &amp; vF0~=89 &amp; vF0~=96</t>
        </is>
      </c>
      <c r="D127" s="1" t="inlineStr"/>
      <c r="E127" s="1" t="inlineStr">
        <is>
          <t>vF3</t>
        </is>
      </c>
      <c r="F127" s="1" t="inlineStr"/>
      <c r="H127" s="1" t="n"/>
      <c r="I127" s="1" t="n"/>
    </row>
    <row r="128">
      <c r="A128" s="1" t="n"/>
      <c r="B128" s="1" t="n"/>
      <c r="C128" s="1" t="inlineStr">
        <is>
          <t>vF0 in 2 | vF0 in 89</t>
        </is>
      </c>
      <c r="D128" s="1" t="inlineStr">
        <is>
          <t>vF4</t>
        </is>
      </c>
      <c r="E128" s="1" t="inlineStr"/>
      <c r="F128" s="1" t="inlineStr"/>
      <c r="H128" s="1" t="n"/>
      <c r="I128" s="1" t="n"/>
    </row>
    <row r="129">
      <c r="A129" s="1" t="n"/>
      <c r="B129" s="1" t="n"/>
      <c r="C129" s="1" t="inlineStr">
        <is>
          <t>vF0~=2 &amp; vF0~=89 &amp; vF0~=96</t>
        </is>
      </c>
      <c r="D129" s="1" t="inlineStr"/>
      <c r="E129" s="1" t="inlineStr">
        <is>
          <t>vF4</t>
        </is>
      </c>
      <c r="F129" s="1" t="inlineStr"/>
      <c r="H129" s="1" t="n"/>
      <c r="I129" s="1" t="n"/>
    </row>
    <row r="130">
      <c r="A130" s="1" t="n"/>
      <c r="B130" s="1" t="n"/>
      <c r="C130" s="1" t="inlineStr">
        <is>
          <t>vF0 in 90 | vF0 in 97 | vF0 in 98</t>
        </is>
      </c>
      <c r="D130" s="1" t="inlineStr"/>
      <c r="E130" s="1" t="inlineStr">
        <is>
          <t>vF5m01,vF5m02,vF5m03,vF5m04,vF5m05,vF5m06,vF5m07,vF5m08,vF5m88</t>
        </is>
      </c>
      <c r="F130" s="1" t="inlineStr"/>
      <c r="G130" s="1" t="n"/>
      <c r="H130" s="1" t="n"/>
      <c r="I130" s="1" t="n"/>
    </row>
    <row r="131">
      <c r="A131" s="1" t="n"/>
      <c r="B131" s="1" t="n"/>
      <c r="C131" s="1" t="inlineStr">
        <is>
          <t>vF0~=90 &amp; vF0~=97 &amp; vF0~=98 &amp; vF0~=96</t>
        </is>
      </c>
      <c r="D131" s="1" t="inlineStr">
        <is>
          <t>vF5m01,vF5m02,vF5m03,vF5m04,vF5m05,vF5m06,vF5m07,vF5m08,vF5m88</t>
        </is>
      </c>
      <c r="E131" s="1" t="inlineStr"/>
      <c r="F131" s="1" t="inlineStr"/>
      <c r="H131" s="1" t="n"/>
      <c r="I131" s="1" t="n"/>
    </row>
    <row r="132">
      <c r="A132" s="1" t="n"/>
      <c r="B132" s="1" t="n"/>
      <c r="C132" s="1" t="inlineStr">
        <is>
          <t>vC1 in 0</t>
        </is>
      </c>
      <c r="D132" s="1" t="inlineStr"/>
      <c r="E132" s="1" t="inlineStr">
        <is>
          <t>vC2</t>
        </is>
      </c>
      <c r="F132" s="1" t="inlineStr"/>
      <c r="H132" s="1" t="n"/>
      <c r="I132" s="1" t="n"/>
    </row>
    <row r="133">
      <c r="A133" s="1" t="n"/>
      <c r="B133" s="1" t="n"/>
      <c r="C133" s="1" t="inlineStr">
        <is>
          <t>vC1~=0</t>
        </is>
      </c>
      <c r="D133" s="1" t="inlineStr">
        <is>
          <t>vC2</t>
        </is>
      </c>
      <c r="E133" s="1" t="inlineStr"/>
      <c r="F133" s="1" t="inlineStr"/>
      <c r="H133" s="1" t="n"/>
      <c r="I133" s="1" t="n"/>
    </row>
    <row r="134">
      <c r="A134" s="1" t="n"/>
      <c r="B134" s="1" t="n"/>
      <c r="C134" s="1" t="inlineStr">
        <is>
          <t>vC1 in 0</t>
        </is>
      </c>
      <c r="D134" s="1" t="inlineStr"/>
      <c r="E134" s="1" t="inlineStr">
        <is>
          <t>vC3m01,vC3m02,vC3m03,vC3m04,vC3m05,vC3m06,vC3m07,vC3m08,vC3m09,vC3m10,vC3m11,vC3m88</t>
        </is>
      </c>
      <c r="F134" s="1" t="inlineStr"/>
      <c r="H134" s="1" t="n"/>
      <c r="I134" s="1" t="n"/>
    </row>
    <row r="135">
      <c r="A135" s="1" t="n"/>
      <c r="B135" s="1" t="n"/>
      <c r="C135" s="1" t="inlineStr">
        <is>
          <t>vC1~=0</t>
        </is>
      </c>
      <c r="D135" s="1" t="inlineStr">
        <is>
          <t>vC3m01,vC3m02,vC3m03,vC3m04,vC3m05,vC3m06,vC3m07,vC3m08,vC3m09,vC3m10,vC3m11,vC3m88</t>
        </is>
      </c>
      <c r="E135" s="1" t="inlineStr"/>
      <c r="F135" s="1" t="inlineStr"/>
      <c r="H135" s="1" t="n"/>
      <c r="I135" s="1" t="n"/>
    </row>
    <row r="136">
      <c r="A136" s="1" t="n"/>
      <c r="B136" s="1" t="n"/>
      <c r="C136" s="1" t="inlineStr">
        <is>
          <t>vA9 in 1</t>
        </is>
      </c>
      <c r="D136" s="1" t="inlineStr"/>
      <c r="E136" s="1" t="inlineStr">
        <is>
          <t>vJ4_2</t>
        </is>
      </c>
      <c r="F136" s="1" t="inlineStr"/>
      <c r="H136" s="1" t="n"/>
      <c r="I136" s="1" t="n"/>
    </row>
    <row r="137">
      <c r="A137" s="1" t="n"/>
      <c r="B137" s="1" t="n"/>
      <c r="C137" s="1" t="inlineStr">
        <is>
          <t>vA9~=1</t>
        </is>
      </c>
      <c r="D137" s="1" t="inlineStr">
        <is>
          <t>vJ4_2</t>
        </is>
      </c>
      <c r="E137" s="1" t="inlineStr"/>
      <c r="F137" s="1" t="inlineStr"/>
      <c r="H137" s="1" t="n"/>
      <c r="I137" s="1" t="n"/>
    </row>
    <row r="138">
      <c r="A138" s="1" t="n"/>
      <c r="B138" s="1" t="n"/>
      <c r="C138" s="1" t="inlineStr">
        <is>
          <t>vA9 in 1</t>
        </is>
      </c>
      <c r="D138" s="1" t="inlineStr"/>
      <c r="E138" s="1" t="inlineStr">
        <is>
          <t>vJ4_4</t>
        </is>
      </c>
      <c r="F138" s="1" t="inlineStr"/>
      <c r="H138" s="1" t="n"/>
      <c r="I138" s="1" t="n"/>
    </row>
    <row r="139">
      <c r="A139" s="1" t="n"/>
      <c r="B139" s="1" t="n"/>
      <c r="C139" s="1" t="inlineStr">
        <is>
          <t>vA9~=1</t>
        </is>
      </c>
      <c r="D139" s="1" t="inlineStr">
        <is>
          <t>vJ4_4</t>
        </is>
      </c>
      <c r="E139" s="1" t="inlineStr"/>
      <c r="F139" s="1" t="inlineStr"/>
      <c r="H139" s="1" t="n"/>
      <c r="I139" s="1" t="n"/>
    </row>
    <row r="140">
      <c r="A140" s="1" t="n"/>
      <c r="B140" s="1" t="n"/>
      <c r="C140" s="1" t="inlineStr">
        <is>
          <t>vE1 in 1</t>
        </is>
      </c>
      <c r="D140" s="1" t="inlineStr">
        <is>
          <t>vJ4_5</t>
        </is>
      </c>
      <c r="E140" s="1" t="inlineStr"/>
      <c r="F140" s="1" t="inlineStr"/>
      <c r="H140" s="1" t="n"/>
      <c r="I140" s="1" t="n"/>
    </row>
    <row r="141">
      <c r="A141" s="1" t="n"/>
      <c r="B141" s="1" t="n"/>
      <c r="C141" s="1" t="inlineStr">
        <is>
          <t>vE1~=1</t>
        </is>
      </c>
      <c r="D141" s="1" t="inlineStr"/>
      <c r="E141" s="1" t="inlineStr">
        <is>
          <t>vJ4_5</t>
        </is>
      </c>
      <c r="F141" s="1" t="inlineStr"/>
      <c r="H141" s="1" t="n"/>
      <c r="I141" s="1" t="n"/>
    </row>
    <row r="142">
      <c r="A142" s="1" t="n"/>
      <c r="B142" s="1" t="n"/>
      <c r="C142" s="1" t="inlineStr">
        <is>
          <t>vB5 in 0</t>
        </is>
      </c>
      <c r="D142" s="1" t="inlineStr"/>
      <c r="E142" s="1" t="inlineStr">
        <is>
          <t>vJB1m01,vJB1m02,vJB1m03,vJB1m04,vJB1m05,vJB1m06,vJB1m07,vJB1m08,vJB1m09,vJB1m10,vJB1m11,vJB1m88,vJB1m90</t>
        </is>
      </c>
      <c r="F142" s="1" t="inlineStr"/>
      <c r="H142" s="1" t="n"/>
      <c r="I142" s="1" t="n"/>
    </row>
    <row r="143">
      <c r="A143" s="1" t="n"/>
      <c r="B143" s="1" t="n"/>
      <c r="C143" s="1" t="inlineStr">
        <is>
          <t>vB5~=0 &amp; vB5~=9996</t>
        </is>
      </c>
      <c r="D143" s="1" t="inlineStr">
        <is>
          <t>vJB1m01,vJB1m02,vJB1m03,vJB1m04,vJB1m05,vJB1m06,vJB1m07,vJB1m08,vJB1m09,vJB1m10,vJB1m11,vJB1m88,vJB1m90</t>
        </is>
      </c>
      <c r="E143" s="1" t="inlineStr"/>
      <c r="F143" s="1" t="inlineStr"/>
      <c r="H143" s="1" t="n"/>
      <c r="I143" s="1" t="n"/>
    </row>
    <row r="144">
      <c r="A144" s="1" t="n"/>
      <c r="B144" s="1" t="n"/>
      <c r="C144" s="1" t="inlineStr">
        <is>
          <t>vE1 in 1</t>
        </is>
      </c>
      <c r="D144" s="1" t="inlineStr">
        <is>
          <t>vJB2m01,vJB2m02,vJB2m03,vJB2m04,vJB2m05,vJB2m06,vJB2m07,vJB2m88,vJB2m90</t>
        </is>
      </c>
      <c r="E144" s="1" t="inlineStr"/>
      <c r="F144" s="1" t="inlineStr"/>
      <c r="H144" s="1" t="n"/>
      <c r="I144" s="1" t="n"/>
    </row>
    <row r="145">
      <c r="A145" s="1" t="n"/>
      <c r="B145" s="1" t="n"/>
      <c r="C145" s="1" t="inlineStr">
        <is>
          <t>vE1~=1</t>
        </is>
      </c>
      <c r="D145" s="1" t="inlineStr"/>
      <c r="E145" s="1" t="inlineStr">
        <is>
          <t>vJB2m01,vJB2m02,vJB2m03,vJB2m04,vJB2m05,vJB2m06,vJB2m07,vJB2m88,vJB2m90</t>
        </is>
      </c>
      <c r="F145" s="1" t="inlineStr"/>
      <c r="H145" s="1" t="n"/>
      <c r="I145" s="1" t="n"/>
    </row>
    <row r="146">
      <c r="A146" s="1" t="n"/>
      <c r="B146" s="1" t="n"/>
      <c r="C146" s="1" t="inlineStr">
        <is>
          <t>vH1 in 997 | vH1 in 998</t>
        </is>
      </c>
      <c r="D146" s="1" t="inlineStr">
        <is>
          <t>vH2</t>
        </is>
      </c>
      <c r="E146" s="1" t="inlineStr"/>
      <c r="F146" s="1" t="inlineStr"/>
      <c r="H146" s="1" t="n"/>
      <c r="I146" s="1" t="n"/>
    </row>
    <row r="147">
      <c r="A147" s="1" t="n"/>
      <c r="B147" s="1" t="n"/>
      <c r="C147" s="1" t="inlineStr">
        <is>
          <t>vH1~=997 &amp; vH1~=998</t>
        </is>
      </c>
      <c r="D147" s="1" t="inlineStr"/>
      <c r="E147" s="1" t="inlineStr">
        <is>
          <t>vH2</t>
        </is>
      </c>
      <c r="F147" s="1" t="inlineStr"/>
      <c r="H147" s="1" t="n"/>
      <c r="I147" s="1" t="n"/>
    </row>
    <row r="148">
      <c r="A148" s="1" t="n"/>
      <c r="B148" s="1" t="n"/>
      <c r="C148" s="1" t="inlineStr">
        <is>
          <t>vH1 in 0 | vH2 in 1</t>
        </is>
      </c>
      <c r="D148" s="1" t="inlineStr"/>
      <c r="E148" s="1" t="inlineStr">
        <is>
          <t>vH3</t>
        </is>
      </c>
      <c r="F148" s="1" t="inlineStr"/>
      <c r="H148" s="1" t="n"/>
      <c r="I148" s="1" t="n"/>
    </row>
    <row r="149">
      <c r="A149" s="1" t="n"/>
      <c r="B149" s="1" t="n"/>
      <c r="C149" s="1" t="inlineStr">
        <is>
          <t>vH1~=0 &amp; vH2~=1 &amp; vH2~=96</t>
        </is>
      </c>
      <c r="D149" s="1" t="inlineStr">
        <is>
          <t>vH3</t>
        </is>
      </c>
      <c r="E149" s="1" t="inlineStr"/>
      <c r="F149" s="1" t="inlineStr"/>
      <c r="H149" s="1" t="n"/>
      <c r="I149" s="1" t="n"/>
    </row>
    <row r="150">
      <c r="A150" s="1" t="n"/>
      <c r="B150" s="1" t="n"/>
      <c r="C150" s="1" t="inlineStr">
        <is>
          <t>vE1 in 1</t>
        </is>
      </c>
      <c r="D150" s="1" t="inlineStr">
        <is>
          <t>vH4</t>
        </is>
      </c>
      <c r="E150" s="1" t="inlineStr"/>
      <c r="F150" s="1" t="inlineStr"/>
      <c r="H150" s="1" t="n"/>
      <c r="I150" s="1" t="n"/>
    </row>
    <row r="151">
      <c r="A151" s="1" t="n"/>
      <c r="B151" s="1" t="n"/>
      <c r="C151" s="1" t="inlineStr">
        <is>
          <t>vE1~=1</t>
        </is>
      </c>
      <c r="D151" s="1" t="inlineStr"/>
      <c r="E151" s="1" t="inlineStr">
        <is>
          <t>vH4</t>
        </is>
      </c>
      <c r="F151" s="1" t="inlineStr"/>
      <c r="H151" s="1" t="n"/>
      <c r="I151" s="1" t="n"/>
    </row>
    <row r="152">
      <c r="A152" s="1" t="n"/>
      <c r="B152" s="1" t="n"/>
      <c r="C152" s="1" t="inlineStr">
        <is>
          <t>vH4 in 997 | vH4 in 998</t>
        </is>
      </c>
      <c r="D152" s="1" t="inlineStr">
        <is>
          <t>vH5</t>
        </is>
      </c>
      <c r="E152" s="1" t="inlineStr"/>
      <c r="F152" s="1" t="inlineStr"/>
      <c r="H152" s="1" t="n"/>
      <c r="I152" s="1" t="n"/>
    </row>
    <row r="153">
      <c r="A153" s="1" t="n"/>
      <c r="B153" s="1" t="n"/>
      <c r="C153" s="1" t="inlineStr">
        <is>
          <t>vH4~=997 &amp; vH4~=998 &amp; vH4~=9996</t>
        </is>
      </c>
      <c r="D153" s="1" t="inlineStr"/>
      <c r="E153" s="1" t="inlineStr">
        <is>
          <t>vH5</t>
        </is>
      </c>
      <c r="F153" s="1" t="inlineStr"/>
      <c r="H153" s="1" t="n"/>
      <c r="I153" s="1" t="n"/>
    </row>
    <row r="154">
      <c r="A154" s="1" t="n"/>
      <c r="B154" s="1" t="n"/>
      <c r="C154" s="1" t="inlineStr">
        <is>
          <t>vH4 in 0 | vH5 in 1</t>
        </is>
      </c>
      <c r="D154" s="1" t="inlineStr"/>
      <c r="E154" s="1" t="inlineStr">
        <is>
          <t>vH6</t>
        </is>
      </c>
      <c r="F154" s="1" t="inlineStr"/>
      <c r="H154" s="1" t="n"/>
      <c r="I154" s="1" t="n"/>
    </row>
    <row r="155">
      <c r="A155" s="1" t="n"/>
      <c r="B155" s="1" t="n"/>
      <c r="C155" s="1" t="inlineStr">
        <is>
          <t>vH4~=0 &amp; vH5~=1 &amp; vH4~=9996 &amp; vH5~=96</t>
        </is>
      </c>
      <c r="D155" s="1" t="inlineStr">
        <is>
          <t>vH6</t>
        </is>
      </c>
      <c r="E155" s="1" t="inlineStr"/>
      <c r="F155" s="1" t="inlineStr"/>
      <c r="H155" s="1" t="n"/>
      <c r="I155" s="1" t="n"/>
    </row>
    <row r="156">
      <c r="A156" s="1" t="n"/>
      <c r="B156" s="1" t="n"/>
      <c r="C156" s="1" t="inlineStr">
        <is>
          <t>vH1~=0 &amp; vH1~=997 &amp; vH1~=998 &amp; vH4~=0 &amp; vH4~=997 &amp; vH4~=998</t>
        </is>
      </c>
      <c r="D156" s="1" t="inlineStr">
        <is>
          <t>vH7</t>
        </is>
      </c>
      <c r="E156" s="1" t="inlineStr"/>
      <c r="F156" s="1" t="inlineStr"/>
      <c r="H156" s="1" t="n"/>
      <c r="I156" s="1" t="n"/>
    </row>
    <row r="157">
      <c r="A157" s="1" t="n"/>
      <c r="B157" s="1" t="n"/>
      <c r="C157" s="1" t="inlineStr">
        <is>
          <t>(vH1 in 0 | vH1 in 997 | vH1 in 998 | vH4 in 0 | vH4 in 997 | vH4 in 998) &amp; vH4~=9996</t>
        </is>
      </c>
      <c r="D157" s="1" t="inlineStr"/>
      <c r="E157" s="1" t="inlineStr">
        <is>
          <t>vH7</t>
        </is>
      </c>
      <c r="F157" s="1" t="inlineStr"/>
      <c r="H157" s="1" t="n"/>
      <c r="I157" s="1" t="n"/>
    </row>
    <row r="158">
      <c r="A158" s="1" t="n"/>
      <c r="B158" s="1" t="n"/>
      <c r="C158" s="1" t="inlineStr">
        <is>
          <t>vH1~=0 &amp; vH1~=997 &amp; vH1~=998 &amp; vH5~=1 &amp; vH5~=97 &amp; vH5~=98</t>
        </is>
      </c>
      <c r="D158" s="1" t="inlineStr">
        <is>
          <t>vH7_1</t>
        </is>
      </c>
      <c r="E158" s="1" t="inlineStr"/>
      <c r="F158" s="1" t="inlineStr"/>
      <c r="H158" s="1" t="n"/>
      <c r="I158" s="1" t="n"/>
    </row>
    <row r="159">
      <c r="A159" s="1" t="n"/>
      <c r="B159" s="1" t="n"/>
      <c r="C159" s="1" t="inlineStr">
        <is>
          <t>(vH1 in 0 | vH1 in 997 | vH1 in 998 | vH5 in 1 | vH5 in 97 | vH5 in 98) &amp; vH5~=96</t>
        </is>
      </c>
      <c r="D159" s="1" t="inlineStr"/>
      <c r="E159" s="1" t="inlineStr">
        <is>
          <t>vH7_1</t>
        </is>
      </c>
      <c r="F159" s="1" t="inlineStr"/>
      <c r="H159" s="1" t="n"/>
      <c r="I159" s="1" t="n"/>
    </row>
    <row r="160">
      <c r="A160" s="1" t="n"/>
      <c r="B160" s="1" t="n"/>
      <c r="C160" s="1" t="inlineStr">
        <is>
          <t>vH2~=1 &amp; vH2~=97 &amp; vH2~=98 &amp; vH4~=0 &amp; vH4~=997 &amp; vH4~=998</t>
        </is>
      </c>
      <c r="D160" s="1" t="inlineStr">
        <is>
          <t>vH7_2</t>
        </is>
      </c>
      <c r="E160" s="1" t="inlineStr"/>
      <c r="F160" s="1" t="inlineStr"/>
      <c r="H160" s="1" t="n"/>
      <c r="I160" s="1" t="n"/>
    </row>
    <row r="161">
      <c r="A161" s="1" t="n"/>
      <c r="B161" s="1" t="n"/>
      <c r="C161" s="1" t="inlineStr">
        <is>
          <t>(vH2 in 1 | vH2 in 97 | vH2 in 98 | vH4 in 0 | vH4 in 997 | vH4 in 998) &amp; vH2~=96 &amp; vH4~=9996</t>
        </is>
      </c>
      <c r="D161" s="1" t="inlineStr"/>
      <c r="E161" s="1" t="inlineStr">
        <is>
          <t>vH7_2</t>
        </is>
      </c>
      <c r="F161" s="1" t="inlineStr"/>
      <c r="H161" s="1" t="n"/>
      <c r="I161" s="1" t="n"/>
    </row>
    <row r="162">
      <c r="A162" s="1" t="n"/>
      <c r="B162" s="1" t="n"/>
      <c r="C162" s="1" t="inlineStr">
        <is>
          <t>vH2~=1 &amp; vH2~=97 &amp; vH2~=98 &amp; vH5~=1 &amp; vH5~=97 &amp; vH5~=98</t>
        </is>
      </c>
      <c r="D162" s="1" t="inlineStr">
        <is>
          <t>vH7_3</t>
        </is>
      </c>
      <c r="E162" s="1" t="inlineStr"/>
      <c r="F162" s="1" t="inlineStr"/>
      <c r="H162" s="1" t="n"/>
      <c r="I162" s="1" t="n"/>
    </row>
    <row r="163">
      <c r="A163" s="1" t="n"/>
      <c r="B163" s="1" t="n"/>
      <c r="C163" s="1" t="inlineStr">
        <is>
          <t>(vH2 in 1 | vH2 in 97 | vH2 in 98 | vH5 in 1 | vH5 in 97 | vH5 in 98) &amp; vH2~=96 &amp; vH5~=96</t>
        </is>
      </c>
      <c r="D163" s="1" t="inlineStr"/>
      <c r="E163" s="1" t="inlineStr">
        <is>
          <t>vH7_3</t>
        </is>
      </c>
      <c r="F163" s="1" t="inlineStr"/>
      <c r="H163" s="1" t="n"/>
      <c r="I163" s="1" t="n"/>
    </row>
    <row r="164">
      <c r="A164" s="1" t="n"/>
      <c r="B164" s="1" t="n"/>
      <c r="C164" s="1" t="inlineStr">
        <is>
          <t>vM1g1 in 0 &amp; vM1g2 in 0</t>
        </is>
      </c>
      <c r="D164" s="1" t="inlineStr"/>
      <c r="E164" s="1" t="inlineStr">
        <is>
          <t>vM2m01,vM2m02,vM2m03,vM2m04,vM2m05,vM2m06,vM2m07,vM2m08,vM2m09,vM2m10,vM2m11,vM2m12,vM2m13,vM2m14,vM2m15,vM2m16,vM2m88</t>
        </is>
      </c>
      <c r="F164" s="1" t="inlineStr"/>
      <c r="H164" s="1" t="n"/>
      <c r="I164" s="1" t="n"/>
    </row>
    <row r="165">
      <c r="A165" s="1" t="n"/>
      <c r="B165" s="1" t="n"/>
      <c r="C165" s="1" t="inlineStr">
        <is>
          <t>vM1g1~=0 | vM1g2~=0</t>
        </is>
      </c>
      <c r="D165" s="1" t="inlineStr">
        <is>
          <t>vM2m01,vM2m02,vM2m03,vM2m04,vM2m05,vM2m06,vM2m07,vM2m08,vM2m09,vM2m10,vM2m11,vM2m12,vM2m13,vM2m14,vM2m15,vM2m16,vM2m88</t>
        </is>
      </c>
      <c r="E165" s="1" t="inlineStr"/>
      <c r="F165" s="1" t="inlineStr"/>
      <c r="H165" s="1" t="n"/>
      <c r="I165" s="1" t="n"/>
    </row>
    <row r="166">
      <c r="A166" s="1" t="n"/>
      <c r="B166" s="1" t="n"/>
      <c r="C166" s="1" t="inlineStr">
        <is>
          <t>vM1g1 in 0 &amp; vM1g2 in 0</t>
        </is>
      </c>
      <c r="D166" s="1" t="inlineStr"/>
      <c r="E166" s="1" t="inlineStr">
        <is>
          <t>vM3m01,vM3m02,vM3m03,vM3m04,vM3m05,vM3m06,vM3m07,vM3m08,vM3m09,vM3m10,vM3m11,vM3m12,vM3m13,vM3m88</t>
        </is>
      </c>
      <c r="F166" s="1" t="inlineStr"/>
      <c r="H166" s="1" t="n"/>
      <c r="I166" s="1" t="n"/>
    </row>
    <row r="167">
      <c r="A167" s="1" t="n"/>
      <c r="B167" s="1" t="n"/>
      <c r="C167" s="1" t="inlineStr">
        <is>
          <t>vM1g1~=0 | vM1g2~=0</t>
        </is>
      </c>
      <c r="D167" s="1" t="inlineStr">
        <is>
          <t>vM3m01,vM3m02,vM3m03,vM3m04,vM3m05,vM3m06,vM3m07,vM3m08,vM3m09,vM3m10,vM3m11,vM3m12,vM3m13,vM3m88</t>
        </is>
      </c>
      <c r="E167" s="1" t="inlineStr"/>
      <c r="F167" s="1" t="inlineStr"/>
      <c r="H167" s="1" t="n"/>
      <c r="I167" s="1" t="n"/>
    </row>
    <row r="168">
      <c r="A168" s="1" t="n"/>
      <c r="B168" s="1" t="n"/>
      <c r="C168" s="1" t="inlineStr">
        <is>
          <t>vM1g1 in 0 &amp; vM1g2 in 0</t>
        </is>
      </c>
      <c r="D168" s="1" t="inlineStr"/>
      <c r="E168" s="1" t="inlineStr">
        <is>
          <t>vM4sM4,vM4sM5,vM4sM6</t>
        </is>
      </c>
      <c r="F168" s="1" t="inlineStr"/>
      <c r="H168" s="1" t="n"/>
      <c r="I168" s="1" t="n"/>
    </row>
    <row r="169">
      <c r="A169" s="1" t="n"/>
      <c r="B169" s="1" t="n"/>
      <c r="C169" s="1" t="inlineStr">
        <is>
          <t>vM1g1~=0 | vM1g2~=0</t>
        </is>
      </c>
      <c r="D169" s="1" t="inlineStr">
        <is>
          <t>vM4sM4,vM4sM5,vM4sM6</t>
        </is>
      </c>
      <c r="E169" s="1" t="inlineStr"/>
      <c r="F169" s="1" t="inlineStr"/>
      <c r="H169" s="1" t="n"/>
      <c r="I169" s="1" t="n"/>
    </row>
    <row r="170">
      <c r="A170" s="1" t="n"/>
      <c r="B170" s="1" t="n"/>
      <c r="C170" s="1" t="inlineStr">
        <is>
          <t>vO1 in 1 | vO1 in 2 | vO1 in 3 | vO1 in 4 | vO1 in 5 | vO1 in 88</t>
        </is>
      </c>
      <c r="D170" s="1" t="inlineStr">
        <is>
          <t>vN24</t>
        </is>
      </c>
      <c r="E170" s="1" t="inlineStr"/>
      <c r="F170" s="1" t="inlineStr"/>
      <c r="H170" s="1" t="n"/>
      <c r="I170" s="1" t="n"/>
    </row>
    <row r="171">
      <c r="A171" s="1" t="n"/>
      <c r="B171" s="1" t="n"/>
      <c r="C171" s="1" t="inlineStr">
        <is>
          <t>vO1~=1 &amp; vO1~=2 &amp; vO1~=3 &amp; vO1~=4 &amp; vO1~=5 &amp; vO1~=88</t>
        </is>
      </c>
      <c r="D171" s="1" t="inlineStr"/>
      <c r="E171" s="1" t="inlineStr">
        <is>
          <t>vN24</t>
        </is>
      </c>
      <c r="F171" s="1" t="inlineStr"/>
      <c r="H171" s="1" t="n"/>
      <c r="I171" s="1" t="n"/>
    </row>
    <row r="172">
      <c r="A172" s="1" t="n"/>
      <c r="B172" s="1" t="n"/>
      <c r="C172" s="1" t="inlineStr">
        <is>
          <t>vG1 in 0 | vA9 in 1</t>
        </is>
      </c>
      <c r="D172" s="1" t="inlineStr"/>
      <c r="E172" s="1" t="inlineStr">
        <is>
          <t>vQ1</t>
        </is>
      </c>
      <c r="F172" s="1" t="inlineStr"/>
      <c r="H172" s="1" t="n"/>
      <c r="I172" s="1" t="n"/>
    </row>
    <row r="173">
      <c r="A173" s="1" t="n"/>
      <c r="B173" s="1" t="n"/>
      <c r="C173" s="1" t="inlineStr">
        <is>
          <t>vG1~=0 &amp; vA9~=1 &amp; vG1~=9996</t>
        </is>
      </c>
      <c r="D173" s="1" t="inlineStr">
        <is>
          <t>vQ1</t>
        </is>
      </c>
      <c r="E173" s="1" t="inlineStr"/>
      <c r="F173" s="1" t="inlineStr"/>
      <c r="H173" s="1" t="n"/>
      <c r="I173" s="1" t="n"/>
    </row>
    <row r="174">
      <c r="A174" s="1" t="n"/>
      <c r="B174" s="1" t="n"/>
      <c r="C174" s="1" t="inlineStr">
        <is>
          <t>vF0 in 90 | vA9 in 1</t>
        </is>
      </c>
      <c r="D174" s="1" t="inlineStr"/>
      <c r="E174" s="1" t="inlineStr">
        <is>
          <t>vQ2</t>
        </is>
      </c>
      <c r="F174" s="1" t="inlineStr"/>
      <c r="H174" s="1" t="n"/>
      <c r="I174" s="1" t="n"/>
    </row>
    <row r="175">
      <c r="A175" s="1" t="n"/>
      <c r="B175" s="1" t="n"/>
      <c r="C175" s="1" t="inlineStr">
        <is>
          <t>vF0~=90 &amp; vA9~=1 &amp; vF0~=96</t>
        </is>
      </c>
      <c r="D175" s="1" t="inlineStr">
        <is>
          <t>vQ2</t>
        </is>
      </c>
      <c r="E175" s="1" t="inlineStr"/>
      <c r="F175" s="1" t="inlineStr"/>
      <c r="H175" s="1" t="n"/>
      <c r="I175" s="1" t="n"/>
    </row>
    <row r="176">
      <c r="A176" s="1" t="n"/>
      <c r="B176" s="1" t="n"/>
      <c r="C176" s="1" t="inlineStr">
        <is>
          <t>vC1 in 0</t>
        </is>
      </c>
      <c r="D176" s="1" t="inlineStr"/>
      <c r="E176" s="1" t="inlineStr">
        <is>
          <t>vQ3</t>
        </is>
      </c>
      <c r="F176" s="1" t="inlineStr"/>
      <c r="H176" s="1" t="n"/>
      <c r="I176" s="1" t="n"/>
    </row>
    <row r="177">
      <c r="A177" s="1" t="n"/>
      <c r="B177" s="1" t="n"/>
      <c r="C177" s="1" t="inlineStr">
        <is>
          <t>vC1~=0</t>
        </is>
      </c>
      <c r="D177" s="1" t="inlineStr">
        <is>
          <t>vQ3</t>
        </is>
      </c>
      <c r="E177" s="1" t="inlineStr"/>
      <c r="F177" s="1" t="inlineStr"/>
      <c r="H177" s="1" t="n"/>
      <c r="I177" s="1" t="n"/>
    </row>
    <row r="178">
      <c r="A178" s="1" t="n"/>
      <c r="B178" s="1" t="n"/>
      <c r="C178" s="1" t="inlineStr">
        <is>
          <t>vB1 in 0 &amp; vB3 in 0</t>
        </is>
      </c>
      <c r="D178" s="1" t="inlineStr"/>
      <c r="E178" s="1" t="inlineStr">
        <is>
          <t>vQ4</t>
        </is>
      </c>
      <c r="F178" s="1" t="inlineStr"/>
      <c r="H178" s="1" t="n"/>
      <c r="I178" s="1" t="n"/>
    </row>
    <row r="179">
      <c r="A179" s="1" t="n"/>
      <c r="B179" s="1" t="n"/>
      <c r="C179" s="1" t="inlineStr">
        <is>
          <t>vB1~=0 | vB3~=0</t>
        </is>
      </c>
      <c r="D179" s="1" t="inlineStr">
        <is>
          <t>vQ4</t>
        </is>
      </c>
      <c r="E179" s="1" t="inlineStr"/>
      <c r="F179" s="1" t="inlineStr"/>
      <c r="H179" s="1" t="n"/>
      <c r="I179" s="1" t="n"/>
    </row>
    <row r="180">
      <c r="A180" s="1" t="n"/>
      <c r="B180" s="1" t="n"/>
      <c r="C180" s="1" t="inlineStr">
        <is>
          <t>vE1 in 1</t>
        </is>
      </c>
      <c r="D180" s="1" t="inlineStr">
        <is>
          <t>vQ5</t>
        </is>
      </c>
      <c r="E180" s="1" t="inlineStr"/>
      <c r="F180" s="1" t="inlineStr"/>
      <c r="H180" s="1" t="n"/>
      <c r="I180" s="1" t="n"/>
    </row>
    <row r="181">
      <c r="A181" s="1" t="n"/>
      <c r="B181" s="1" t="n"/>
      <c r="C181" s="1" t="inlineStr">
        <is>
          <t>vE1~=1</t>
        </is>
      </c>
      <c r="D181" s="1" t="inlineStr"/>
      <c r="E181" s="1" t="inlineStr">
        <is>
          <t>vQ5</t>
        </is>
      </c>
      <c r="F181" s="1" t="inlineStr"/>
      <c r="H181" s="1" t="n"/>
      <c r="I181" s="1" t="n"/>
    </row>
    <row r="182">
      <c r="A182" s="1" t="n"/>
      <c r="B182" s="1" t="n"/>
      <c r="C182" s="1" t="inlineStr">
        <is>
          <t>vQ5 in 2 | vQ5 in 97 | vQ5 in 98 | vK2m90 in 1</t>
        </is>
      </c>
      <c r="D182" s="1" t="inlineStr"/>
      <c r="E182" s="1" t="inlineStr">
        <is>
          <t>vQ6</t>
        </is>
      </c>
      <c r="F182" s="1" t="inlineStr"/>
      <c r="H182" s="1" t="n"/>
      <c r="I182" s="1" t="n"/>
    </row>
    <row r="183">
      <c r="A183" s="1" t="n"/>
      <c r="B183" s="1" t="n"/>
      <c r="C183" s="1" t="inlineStr">
        <is>
          <t>vQ5~=2 &amp; vQ5~=97 &amp; vQ5~=98 &amp; vK2m90~=1 &amp; vQ5~=96</t>
        </is>
      </c>
      <c r="D183" s="1" t="inlineStr">
        <is>
          <t>vQ6</t>
        </is>
      </c>
      <c r="E183" s="1" t="inlineStr"/>
      <c r="F183" s="1" t="inlineStr"/>
      <c r="H183" s="1" t="n"/>
      <c r="I183" s="1" t="n"/>
    </row>
    <row r="184">
      <c r="A184" s="1" t="n"/>
      <c r="B184" s="1" t="n"/>
      <c r="C184" s="1" t="inlineStr">
        <is>
          <t>vQ5 in 2 | vQ5 in 97 | vQ5 in 98 | vK3m90 in 1</t>
        </is>
      </c>
      <c r="D184" s="1" t="inlineStr"/>
      <c r="E184" s="1" t="inlineStr">
        <is>
          <t>vQ7</t>
        </is>
      </c>
      <c r="F184" s="1" t="inlineStr"/>
      <c r="H184" s="1" t="n"/>
      <c r="I184" s="1" t="n"/>
    </row>
    <row r="185">
      <c r="A185" s="1" t="n"/>
      <c r="B185" s="1" t="n"/>
      <c r="C185" s="1" t="inlineStr">
        <is>
          <t>vQ5~=2 &amp; vQ5~=97 &amp; vQ5~=98 &amp; vK3m90~=1 &amp; vQ5~=96</t>
        </is>
      </c>
      <c r="D185" s="1" t="inlineStr">
        <is>
          <t>vQ7</t>
        </is>
      </c>
      <c r="E185" s="1" t="inlineStr"/>
      <c r="F185" s="1" t="inlineStr"/>
      <c r="H185" s="1" t="n"/>
      <c r="I185" s="1" t="n"/>
    </row>
    <row r="186">
      <c r="A186" s="1" t="n"/>
      <c r="B186" s="1" t="n"/>
      <c r="C186" s="1" t="inlineStr">
        <is>
          <t>vQ5 in 2 | vQ5 in 97 | vQ5 in 98 | vK1m90 in 1</t>
        </is>
      </c>
      <c r="D186" s="1" t="inlineStr"/>
      <c r="E186" s="1" t="inlineStr">
        <is>
          <t>vQ8</t>
        </is>
      </c>
      <c r="F186" s="1" t="inlineStr"/>
      <c r="H186" s="1" t="n"/>
      <c r="I186" s="1" t="n"/>
    </row>
    <row r="187">
      <c r="A187" s="1" t="n"/>
      <c r="B187" s="1" t="n"/>
      <c r="C187" s="1" t="inlineStr">
        <is>
          <t>vQ5~=2 &amp; vQ5~=97 &amp; vQ5~=98 &amp; vK1m90~=1 &amp; vQ5~=96</t>
        </is>
      </c>
      <c r="D187" s="1" t="inlineStr">
        <is>
          <t>vQ8</t>
        </is>
      </c>
      <c r="E187" s="1" t="inlineStr"/>
      <c r="F187" s="1" t="inlineStr"/>
      <c r="H187" s="1" t="n"/>
      <c r="I187" s="1" t="n"/>
    </row>
    <row r="188">
      <c r="A188" s="1" t="n"/>
      <c r="B188" s="1" t="n"/>
      <c r="C188" s="1" t="inlineStr">
        <is>
          <t>vQ5 in 2 | vQ5 in 97 | vQ5 in 98 | (vG7m90 in 1 &amp; vG8m90 in 1 &amp; vG9m90 in 1 &amp; vG10m90 in 1 &amp; vG11m90 in 1)</t>
        </is>
      </c>
      <c r="D188" s="1" t="inlineStr"/>
      <c r="E188" s="1" t="inlineStr">
        <is>
          <t>vQ9</t>
        </is>
      </c>
      <c r="F188" s="1" t="inlineStr"/>
      <c r="H188" s="1" t="n"/>
      <c r="I188" s="1" t="n"/>
    </row>
    <row r="189">
      <c r="A189" s="1" t="n"/>
      <c r="B189" s="1" t="n"/>
      <c r="C189" s="1" t="inlineStr">
        <is>
          <t>(vQ5~=2 &amp; vQ5~=97 &amp; vQ5~=98 &amp; (vG7m90~=1 | vG8m90~=1 | vG9m90~=1 | vG10m90~=1 | vG11m90~=1)) &amp; vQ5~=96 &amp; vG7m90~=96 &amp; vG8m90~=96 &amp; vG9m90~=96 &amp; vG10m90~=96 &amp; vG11m90~=96</t>
        </is>
      </c>
      <c r="D189" s="1" t="inlineStr">
        <is>
          <t>vQ9</t>
        </is>
      </c>
      <c r="E189" s="1" t="inlineStr"/>
      <c r="F189" s="1" t="inlineStr"/>
      <c r="H189" s="1" t="n"/>
      <c r="I189" s="1" t="n"/>
    </row>
    <row r="190">
      <c r="A190" s="1" t="n"/>
      <c r="B190" s="1" t="n"/>
      <c r="C190" s="1" t="inlineStr">
        <is>
          <t>vE1 in 1</t>
        </is>
      </c>
      <c r="D190" s="1" t="inlineStr">
        <is>
          <t>vQ10</t>
        </is>
      </c>
      <c r="E190" s="1" t="inlineStr"/>
      <c r="F190" s="1" t="inlineStr"/>
      <c r="H190" s="1" t="n"/>
      <c r="I190" s="1" t="n"/>
    </row>
    <row r="191">
      <c r="A191" s="1" t="n"/>
      <c r="B191" s="1" t="n"/>
      <c r="C191" s="1" t="inlineStr">
        <is>
          <t>vE1~=1</t>
        </is>
      </c>
      <c r="D191" s="1" t="inlineStr"/>
      <c r="E191" s="1" t="inlineStr">
        <is>
          <t>vQ10</t>
        </is>
      </c>
      <c r="F191" s="1" t="inlineStr"/>
      <c r="H191" s="1" t="n"/>
      <c r="I191" s="1" t="n"/>
    </row>
    <row r="192">
      <c r="A192" s="1" t="n"/>
      <c r="B192" s="1" t="n"/>
      <c r="C192" s="1" t="inlineStr">
        <is>
          <t>vQ5 in 2 &amp; vQ10 in 1</t>
        </is>
      </c>
      <c r="D192" s="1" t="inlineStr">
        <is>
          <t>vQ10</t>
        </is>
      </c>
      <c r="E192" s="1" t="inlineStr"/>
      <c r="F192" s="1" t="inlineStr"/>
      <c r="H192" s="1" t="n"/>
      <c r="I192" s="1" t="n"/>
    </row>
    <row r="193">
      <c r="A193" s="1" t="n"/>
      <c r="B193" s="1" t="n"/>
      <c r="C193" s="1" t="inlineStr">
        <is>
          <t>(vQ5~=2 | vQ10~=1) &amp; vQ5~=96 &amp; vQ10~=96</t>
        </is>
      </c>
      <c r="D193" s="1" t="inlineStr"/>
      <c r="E193" s="1" t="inlineStr">
        <is>
          <t>vQ10</t>
        </is>
      </c>
      <c r="F193" s="1" t="inlineStr"/>
      <c r="H193" s="1" t="n"/>
      <c r="I193" s="1" t="n"/>
    </row>
    <row r="194">
      <c r="A194" s="1" t="n"/>
      <c r="B194" s="1" t="n"/>
      <c r="C194" s="1" t="inlineStr">
        <is>
          <t>vQ10 in 2 | vQ10 in 97 | vQ10 in 98 | vK2m90 in 1 | vQ6 in 1</t>
        </is>
      </c>
      <c r="D194" s="1" t="inlineStr"/>
      <c r="E194" s="1" t="inlineStr">
        <is>
          <t>vQ11</t>
        </is>
      </c>
      <c r="F194" s="1" t="inlineStr"/>
      <c r="H194" s="1" t="n"/>
      <c r="I194" s="1" t="n"/>
    </row>
    <row r="195">
      <c r="A195" s="1" t="n"/>
      <c r="B195" s="1" t="n"/>
      <c r="C195" s="1" t="inlineStr">
        <is>
          <t>vQ10~=2 &amp; vQ10~=97 &amp; vQ10~=98 &amp; vK2m90~=1 &amp; vQ6~=1 &amp; vQ10~=96 &amp; vQ6~=96</t>
        </is>
      </c>
      <c r="D195" s="1" t="inlineStr">
        <is>
          <t>vQ11</t>
        </is>
      </c>
      <c r="E195" s="1" t="inlineStr"/>
      <c r="F195" s="1" t="inlineStr"/>
      <c r="H195" s="1" t="n"/>
      <c r="I195" s="1" t="n"/>
    </row>
    <row r="196">
      <c r="A196" s="1" t="n"/>
      <c r="B196" s="1" t="n"/>
      <c r="C196" s="1" t="inlineStr">
        <is>
          <t>vQ10 in 2 | vQ10 in 97 | vQ10 in 98 | vK3m90 in 1 | vQ7 in 1</t>
        </is>
      </c>
      <c r="D196" s="1" t="inlineStr"/>
      <c r="E196" s="1" t="inlineStr">
        <is>
          <t>vQ12</t>
        </is>
      </c>
      <c r="F196" s="1" t="inlineStr"/>
      <c r="H196" s="1" t="n"/>
      <c r="I196" s="1" t="n"/>
    </row>
    <row r="197">
      <c r="A197" s="1" t="n"/>
      <c r="B197" s="1" t="n"/>
      <c r="C197" s="1" t="inlineStr">
        <is>
          <t>vQ10~=2 &amp; vQ10~=97 &amp; vQ10~=98 &amp; vK3m90~=1 &amp; vQ7~=1 &amp; vQ10~=96 &amp; vQ7~=96</t>
        </is>
      </c>
      <c r="D197" s="1" t="inlineStr">
        <is>
          <t>vQ12</t>
        </is>
      </c>
      <c r="E197" s="1" t="inlineStr"/>
      <c r="F197" s="1" t="inlineStr"/>
      <c r="H197" s="1" t="n"/>
      <c r="I197" s="1" t="n"/>
    </row>
    <row r="198">
      <c r="A198" s="1" t="n"/>
      <c r="B198" s="1" t="n"/>
      <c r="C198" s="1" t="inlineStr">
        <is>
          <t>vQ10 in 2 | vQ10 in 97 | vQ10 in 98 | vK1m90 in 1 | vQ8 in 1</t>
        </is>
      </c>
      <c r="D198" s="1" t="inlineStr"/>
      <c r="E198" s="1" t="inlineStr">
        <is>
          <t>vQ13</t>
        </is>
      </c>
      <c r="F198" s="1" t="inlineStr"/>
      <c r="H198" s="1" t="n"/>
      <c r="I198" s="1" t="n"/>
    </row>
    <row r="199">
      <c r="A199" s="1" t="n"/>
      <c r="B199" s="1" t="n"/>
      <c r="C199" s="1" t="inlineStr">
        <is>
          <t>vQ10~=2 &amp; vQ10~=97 &amp; vQ10~=98 &amp; vK1m90~=1 &amp; vQ8~=1 &amp; vQ10~=96 &amp; vQ8~=96</t>
        </is>
      </c>
      <c r="D199" s="1" t="inlineStr">
        <is>
          <t>vQ13</t>
        </is>
      </c>
      <c r="E199" s="1" t="inlineStr"/>
      <c r="F199" s="1" t="inlineStr"/>
      <c r="H199" s="1" t="n"/>
      <c r="I199" s="1" t="n"/>
    </row>
    <row r="200">
      <c r="A200" s="1" t="n"/>
      <c r="B200" s="1" t="n"/>
      <c r="C200" s="1" t="inlineStr">
        <is>
          <t>vQ10 in 2 | vQ10 in 97 | vQ10 in 98 | (vG7m90 in 1 &amp; vG8m90 in 1 &amp; vG9m90 in 1 &amp; vG10m90 in 1 &amp; vG11m90 in 1) | vQ9 in 1</t>
        </is>
      </c>
      <c r="D200" s="1" t="inlineStr"/>
      <c r="E200" s="1" t="inlineStr">
        <is>
          <t>vQ14</t>
        </is>
      </c>
      <c r="F200" s="1" t="inlineStr"/>
      <c r="H200" s="1" t="n"/>
      <c r="I200" s="1" t="n"/>
    </row>
    <row r="201">
      <c r="A201" s="1" t="n"/>
      <c r="B201" s="1" t="n"/>
      <c r="C201" s="1" t="inlineStr">
        <is>
          <t>(vQ10~=2 &amp; vQ10~=97 &amp; vQ10~=98 &amp; (vG7m90~=1 | vG8m90~=1 | vG9m90~=1 | vG10m90~=1 | vG11m90~=1) &amp; vQ9~=1) &amp; vQ10~=96 &amp; vG7m90~=96 &amp; vG8m90~=96 &amp; vG9m90~=96 &amp; vG10m90~=96 &amp; vG11m90~=96 &amp; vQ9~=96</t>
        </is>
      </c>
      <c r="D201" s="1" t="inlineStr">
        <is>
          <t>vQ14</t>
        </is>
      </c>
      <c r="E201" s="1" t="inlineStr"/>
      <c r="F201" s="1" t="inlineStr"/>
      <c r="H201" s="1" t="n"/>
      <c r="I201" s="1" t="n"/>
    </row>
    <row r="202">
      <c r="A202" s="1" t="n"/>
      <c r="B202" s="1" t="n"/>
      <c r="C202" s="1" t="inlineStr">
        <is>
          <t>vE1 in 1</t>
        </is>
      </c>
      <c r="D202" s="1" t="inlineStr">
        <is>
          <t>vQ15</t>
        </is>
      </c>
      <c r="E202" s="1" t="inlineStr"/>
      <c r="F202" s="1" t="inlineStr"/>
      <c r="H202" s="1" t="n"/>
      <c r="I202" s="1" t="n"/>
    </row>
    <row r="203">
      <c r="A203" s="1" t="n"/>
      <c r="B203" s="1" t="n"/>
      <c r="C203" s="1" t="inlineStr">
        <is>
          <t>vE1~=1</t>
        </is>
      </c>
      <c r="D203" s="1" t="inlineStr"/>
      <c r="E203" s="1" t="inlineStr">
        <is>
          <t>vQ15</t>
        </is>
      </c>
      <c r="F203" s="1" t="inlineStr"/>
      <c r="H203" s="1" t="n"/>
      <c r="I203" s="1" t="n"/>
    </row>
    <row r="204">
      <c r="A204" s="1" t="n"/>
      <c r="B204" s="1" t="n"/>
      <c r="C204" s="1" t="inlineStr">
        <is>
          <t>vQ15 in 2 | vQ15 in 97 | vQ15 in 98 | vK2m90 in 1</t>
        </is>
      </c>
      <c r="D204" s="1" t="inlineStr"/>
      <c r="E204" s="1" t="inlineStr">
        <is>
          <t>vQ16</t>
        </is>
      </c>
      <c r="F204" s="1" t="inlineStr"/>
      <c r="H204" s="1" t="n"/>
      <c r="I204" s="1" t="n"/>
    </row>
    <row r="205">
      <c r="A205" s="1" t="n"/>
      <c r="B205" s="1" t="n"/>
      <c r="C205" s="1" t="inlineStr">
        <is>
          <t>vQ15~=2 &amp; vQ15~=97 &amp; vQ15~=98 &amp; vK2m90~=1 &amp; vQ15~=96</t>
        </is>
      </c>
      <c r="D205" s="1" t="inlineStr">
        <is>
          <t>vQ16</t>
        </is>
      </c>
      <c r="E205" s="1" t="inlineStr"/>
      <c r="F205" s="1" t="inlineStr"/>
      <c r="G205" s="1" t="n"/>
      <c r="H205" s="1" t="n"/>
      <c r="I205" s="1" t="n"/>
    </row>
    <row r="206">
      <c r="A206" s="1" t="n"/>
      <c r="B206" s="1" t="n"/>
      <c r="C206" s="1" t="inlineStr">
        <is>
          <t>vQ15 in 2 | vQ15 in 97 | vQ15 in 98 | vK3m90 in 1</t>
        </is>
      </c>
      <c r="D206" s="1" t="inlineStr"/>
      <c r="E206" s="1" t="inlineStr">
        <is>
          <t>vQ17</t>
        </is>
      </c>
      <c r="F206" s="1" t="inlineStr"/>
      <c r="G206" s="1" t="n"/>
      <c r="H206" s="1" t="n"/>
      <c r="I206" s="1" t="n"/>
    </row>
    <row r="207">
      <c r="A207" s="1" t="n"/>
      <c r="B207" s="1" t="n"/>
      <c r="C207" s="1" t="inlineStr">
        <is>
          <t>vQ15~=2 &amp; vQ15~=97 &amp; vQ15~=98 &amp; vK3m90~=1 &amp; vQ15~=96</t>
        </is>
      </c>
      <c r="D207" s="1" t="inlineStr">
        <is>
          <t>vQ17</t>
        </is>
      </c>
      <c r="E207" s="1" t="inlineStr"/>
      <c r="F207" s="1" t="inlineStr"/>
      <c r="G207" s="1" t="n"/>
      <c r="H207" s="1" t="n"/>
      <c r="I207" s="1" t="n"/>
    </row>
    <row r="208">
      <c r="A208" s="1" t="n"/>
      <c r="B208" s="1" t="n"/>
      <c r="C208" s="1" t="inlineStr">
        <is>
          <t>vQ15 in 2 | vQ15 in 97 | vQ15 in 98 | vK1m90 in 1</t>
        </is>
      </c>
      <c r="D208" s="1" t="inlineStr"/>
      <c r="E208" s="1" t="inlineStr">
        <is>
          <t>vQ18</t>
        </is>
      </c>
      <c r="F208" s="1" t="inlineStr"/>
      <c r="G208" s="1" t="n"/>
      <c r="H208" s="1" t="n"/>
      <c r="I208" s="1" t="n"/>
    </row>
    <row r="209">
      <c r="A209" s="1" t="n"/>
      <c r="B209" s="1" t="n"/>
      <c r="C209" s="1" t="inlineStr">
        <is>
          <t>vQ15~=2 &amp; vQ15~=97 &amp; vQ15~=98 &amp; vK1m90~=1 &amp; vQ15~=96</t>
        </is>
      </c>
      <c r="D209" s="1" t="inlineStr">
        <is>
          <t>vQ18</t>
        </is>
      </c>
      <c r="E209" s="1" t="inlineStr"/>
      <c r="F209" s="1" t="inlineStr"/>
      <c r="G209" s="1" t="n"/>
      <c r="H209" s="1" t="n"/>
      <c r="I209" s="1" t="n"/>
    </row>
    <row r="210">
      <c r="A210" s="1" t="n"/>
      <c r="B210" s="1" t="n"/>
      <c r="C210" s="1" t="inlineStr">
        <is>
          <t>vQ15 in 2 | vQ15 in 97 | vQ15 in 98 | (vG7m90 in 1 &amp; vG8m90 in 1 &amp; vG9m90 in 1 &amp; vG10m90 in 1 &amp; vG11m90 in 1)</t>
        </is>
      </c>
      <c r="D210" s="1" t="inlineStr"/>
      <c r="E210" s="1" t="inlineStr">
        <is>
          <t>vQ19</t>
        </is>
      </c>
      <c r="F210" s="1" t="inlineStr"/>
      <c r="G210" s="1" t="n"/>
      <c r="H210" s="1" t="n"/>
      <c r="I210" s="1" t="n"/>
    </row>
    <row r="211">
      <c r="A211" s="1" t="n"/>
      <c r="B211" s="1" t="n"/>
      <c r="C211" s="1" t="inlineStr">
        <is>
          <t>(vQ15~=2 &amp; vQ15~=97 &amp; vQ15~=98 &amp; (vG7m90~=1 | vG8m90~=1 | vG9m90~=1 | vG10m90~=1 | vG11m90~=1)) &amp; vQ15~=96 &amp; vG7m90~=96 &amp; vG8m90~=96 &amp; vG9m90~=96 &amp; vG10m90~=96 &amp; vG11m90~=96</t>
        </is>
      </c>
      <c r="D211" s="1" t="inlineStr">
        <is>
          <t>vQ19</t>
        </is>
      </c>
      <c r="E211" s="1" t="inlineStr"/>
      <c r="F211" s="1" t="inlineStr"/>
      <c r="G211" s="1" t="n"/>
      <c r="H211" s="1" t="n"/>
      <c r="I211" s="1" t="n"/>
    </row>
    <row r="212">
      <c r="A212" s="1" t="n"/>
      <c r="B212" s="1" t="n"/>
      <c r="C212" s="1" t="inlineStr">
        <is>
          <t>vQ5 in 2 &amp; (vQ20m02 in 1 | vQ20m03 in 1 | vQ20m04 in 1 | vQ20m05 in 1)</t>
        </is>
      </c>
      <c r="D212" s="1" t="inlineStr">
        <is>
          <t>vQ20m01,vQ20m02,vQ20m03,vQ20m04,vQ20m05,vQ20m06,vQ20m88,vQ20m90</t>
        </is>
      </c>
      <c r="E212" s="1" t="inlineStr"/>
      <c r="F212" s="1" t="inlineStr"/>
      <c r="H212" s="1" t="n"/>
      <c r="I212" s="1" t="n"/>
    </row>
    <row r="213">
      <c r="A213" s="1" t="n"/>
      <c r="B213" s="1" t="n"/>
      <c r="C213" s="1" t="inlineStr">
        <is>
          <t>(vQ5~=2 | (vQ20m02~=1 &amp; vQ20m03~=1 &amp; vQ20m04~=1 &amp; vQ20m05~=1)) &amp; vQ5~=96 &amp; vQ20m02~=96 &amp; vQ20m03~=96 &amp; vQ20m04~=96 &amp; vQ20m05~=96</t>
        </is>
      </c>
      <c r="D213" s="1" t="inlineStr"/>
      <c r="E213" s="1" t="inlineStr">
        <is>
          <t>vQ20m01,vQ20m02,vQ20m03,vQ20m04,vQ20m05,vQ20m06,vQ20m88,vQ20m90</t>
        </is>
      </c>
      <c r="F213" s="1" t="inlineStr"/>
      <c r="H213" s="1" t="n"/>
      <c r="I213" s="1" t="n"/>
    </row>
    <row r="214">
      <c r="A214" s="1" t="n"/>
      <c r="B214" s="1" t="n"/>
      <c r="C214" s="1" t="inlineStr">
        <is>
          <t>vQ5 in 2 &amp; vQ20m01 in 1 &amp; vB1 in 0 &amp; vB3 in 0</t>
        </is>
      </c>
      <c r="D214" s="1" t="inlineStr">
        <is>
          <t>vQ20m01,vQ20m02,vQ20m03,vQ20m04,vQ20m05,vQ20m06,vQ20m88,vQ20m90</t>
        </is>
      </c>
      <c r="E214" s="1" t="inlineStr"/>
      <c r="F214" s="1" t="inlineStr"/>
      <c r="H214" s="1" t="n"/>
      <c r="I214" s="1" t="n"/>
    </row>
    <row r="215">
      <c r="A215" s="1" t="n"/>
      <c r="B215" s="1" t="n"/>
      <c r="C215" s="1" t="inlineStr">
        <is>
          <t>(vQ5~=2 | vQ20m01~=1 | vB1~=0 | vB3~=0) &amp; vQ5~=96 &amp; vQ20m01~=96</t>
        </is>
      </c>
      <c r="D215" s="1" t="inlineStr"/>
      <c r="E215" s="1" t="inlineStr">
        <is>
          <t>vQ20m01,vQ20m02,vQ20m03,vQ20m04,vQ20m05,vQ20m06,vQ20m88,vQ20m90</t>
        </is>
      </c>
      <c r="F215" s="1" t="inlineStr"/>
      <c r="H215" s="1" t="n"/>
      <c r="I215" s="1" t="n"/>
    </row>
    <row r="216">
      <c r="A216" s="1" t="n"/>
      <c r="B216" s="1" t="n"/>
      <c r="C216" s="1" t="inlineStr">
        <is>
          <t>vQ20m01 in 1</t>
        </is>
      </c>
      <c r="D216" s="1" t="inlineStr">
        <is>
          <t>vQ24g1,vQ24g2</t>
        </is>
      </c>
      <c r="E216" s="1" t="inlineStr"/>
      <c r="F216" s="1" t="inlineStr"/>
      <c r="H216" s="1" t="n"/>
      <c r="I216" s="1" t="n"/>
    </row>
    <row r="217">
      <c r="A217" s="1" t="n"/>
      <c r="B217" s="1" t="n"/>
      <c r="C217" s="1" t="inlineStr">
        <is>
          <t>vQ20m01~=1 &amp; vQ20m01~=96</t>
        </is>
      </c>
      <c r="D217" s="1" t="inlineStr"/>
      <c r="E217" s="1" t="inlineStr">
        <is>
          <t>vQ24g1,vQ24g2</t>
        </is>
      </c>
      <c r="F217" s="1" t="inlineStr"/>
      <c r="H217" s="1" t="n"/>
      <c r="I217" s="1" t="n"/>
    </row>
    <row r="218">
      <c r="A218" s="1" t="n"/>
      <c r="B218" s="1" t="n"/>
      <c r="C218" s="1" t="inlineStr">
        <is>
          <t>vQ20m01 in 1</t>
        </is>
      </c>
      <c r="D218" s="1" t="inlineStr">
        <is>
          <t>vQ25m01,vQ25m02,vQ25m03,vQ25m04,vQ25m05,vQ25m06,vQ25m07,vQ25m08,vQ25m09,vQ25m10,vQ25m11,vQ25m12,vQ25m13,vQ25m14,vQ25m15,vQ25m16,vQ25m17,vQ25m18,vQ25m19,vQ25m20,vQ25m21,vQ25m22,vQ25m23,vQ25m24,vQ25m25,vQ25m26,vQ25m27,vQ25m28,vQ25m29,vQ25m30,vQ25m31,vQ25m88</t>
        </is>
      </c>
      <c r="E218" s="1" t="inlineStr"/>
      <c r="F218" s="1" t="inlineStr"/>
      <c r="H218" s="1" t="n"/>
      <c r="I218" s="1" t="n"/>
    </row>
    <row r="219">
      <c r="A219" s="1" t="n"/>
      <c r="B219" s="1" t="n"/>
      <c r="C219" s="1" t="inlineStr">
        <is>
          <t>vQ20m01~=1 &amp; vQ20m01~=96</t>
        </is>
      </c>
      <c r="D219" s="1" t="inlineStr"/>
      <c r="E219" s="1" t="inlineStr">
        <is>
          <t>vQ25m01,vQ25m02,vQ25m03,vQ25m04,vQ25m05,vQ25m06,vQ25m07,vQ25m08,vQ25m09,vQ25m10,vQ25m11,vQ25m12,vQ25m13,vQ25m14,vQ25m15,vQ25m16,vQ25m17,vQ25m18,vQ25m19,vQ25m20,vQ25m21,vQ25m22,vQ25m23,vQ25m24,vQ25m25,vQ25m26,vQ25m27,vQ25m28,vQ25m29,vQ25m30,vQ25m31,vQ25m88</t>
        </is>
      </c>
      <c r="F219" s="1" t="inlineStr"/>
      <c r="H219" s="1" t="n"/>
      <c r="I219" s="1" t="n"/>
    </row>
    <row r="220">
      <c r="A220" s="1" t="n"/>
      <c r="B220" s="1" t="n"/>
      <c r="C220" s="1" t="inlineStr">
        <is>
          <t>vQ20m02 in 1 | vQ20m03 in 1</t>
        </is>
      </c>
      <c r="D220" s="1" t="inlineStr">
        <is>
          <t>vQ21g1,vQ21g2</t>
        </is>
      </c>
      <c r="E220" s="1" t="inlineStr"/>
      <c r="F220" s="1" t="inlineStr"/>
      <c r="H220" s="1" t="n"/>
      <c r="I220" s="1" t="n"/>
    </row>
    <row r="221">
      <c r="A221" s="1" t="n"/>
      <c r="B221" s="1" t="n"/>
      <c r="C221" s="1" t="inlineStr">
        <is>
          <t>vQ20m02~=1 &amp; vQ20m03~=1 &amp; vQ20m02~=96 &amp; vQ20m03~=96</t>
        </is>
      </c>
      <c r="D221" s="1" t="inlineStr"/>
      <c r="E221" s="1" t="inlineStr">
        <is>
          <t>vQ21g1,vQ21g2</t>
        </is>
      </c>
      <c r="F221" s="1" t="inlineStr"/>
      <c r="H221" s="1" t="n"/>
      <c r="I221" s="1" t="n"/>
    </row>
    <row r="222">
      <c r="A222" s="1" t="n"/>
      <c r="B222" s="1" t="n"/>
      <c r="C222" s="1" t="inlineStr">
        <is>
          <t>vQ20m02 in 1</t>
        </is>
      </c>
      <c r="D222" s="1"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c r="E222" s="1" t="inlineStr"/>
      <c r="F222" s="1" t="inlineStr"/>
      <c r="H222" s="1" t="n"/>
      <c r="I222" s="1" t="n"/>
    </row>
    <row r="223">
      <c r="A223" s="1" t="n"/>
      <c r="B223" s="1" t="n"/>
      <c r="C223" s="1" t="inlineStr">
        <is>
          <t>vQ20m02~=1 &amp; vQ20m02~=96</t>
        </is>
      </c>
      <c r="D223" s="1" t="inlineStr"/>
      <c r="E223" s="1"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c r="F223" s="1" t="inlineStr"/>
      <c r="H223" s="1" t="n"/>
      <c r="I223" s="1" t="n"/>
    </row>
    <row r="224">
      <c r="A224" s="1" t="n"/>
      <c r="B224" s="1" t="n"/>
      <c r="C224" s="1" t="inlineStr">
        <is>
          <t>vQ20m03 in 1</t>
        </is>
      </c>
      <c r="D224" s="1" t="inlineStr">
        <is>
          <t>vQ23m01,vQ23m02,vQ23m03,vQ23m04,vQ23m05,vQ23m06,vQ23m07,vQ23m08,vQ23m09,vQ23m10,vQ23m11,vQ23m12,vQ23m13,vQ23m14,vQ23m15,vQ23m16,vQ23m17,vQ23m18,vQ23m19,vQ23m20,vQ23m21,vQ23m22,vQ23m23,vQ23m24,vQ23m25,vQ23m26,vQ23m27,vQ23m88</t>
        </is>
      </c>
      <c r="E224" s="1" t="inlineStr"/>
      <c r="F224" s="1" t="inlineStr"/>
      <c r="H224" s="1" t="n"/>
      <c r="I224" s="1" t="n"/>
    </row>
    <row r="225">
      <c r="A225" s="1" t="n"/>
      <c r="B225" s="1" t="n"/>
      <c r="C225" s="1" t="inlineStr">
        <is>
          <t>vQ20m03~=1 &amp; vQ20m03~=96</t>
        </is>
      </c>
      <c r="D225" s="1" t="inlineStr"/>
      <c r="E225" s="1" t="inlineStr">
        <is>
          <t>vQ23m01,vQ23m02,vQ23m03,vQ23m04,vQ23m05,vQ23m06,vQ23m07,vQ23m08,vQ23m09,vQ23m10,vQ23m11,vQ23m12,vQ23m13,vQ23m14,vQ23m15,vQ23m16,vQ23m17,vQ23m18,vQ23m19,vQ23m20,vQ23m21,vQ23m22,vQ23m23,vQ23m24,vQ23m25,vQ23m26,vQ23m27,vQ23m88</t>
        </is>
      </c>
      <c r="F225" s="1" t="inlineStr"/>
      <c r="H225" s="1" t="n"/>
      <c r="I225" s="1" t="n"/>
    </row>
    <row r="226">
      <c r="A226" s="1" t="n"/>
      <c r="B226" s="1" t="n"/>
      <c r="C226" s="1" t="inlineStr">
        <is>
          <t>vQ20m04 in 1</t>
        </is>
      </c>
      <c r="D226" s="1" t="inlineStr">
        <is>
          <t>vQ26Ag1,vQ26Ag2</t>
        </is>
      </c>
      <c r="E226" s="1" t="inlineStr"/>
      <c r="F226" s="1" t="inlineStr"/>
      <c r="H226" s="1" t="n"/>
      <c r="I226" s="1" t="n"/>
    </row>
    <row r="227">
      <c r="A227" s="1" t="n"/>
      <c r="B227" s="1" t="n"/>
      <c r="C227" s="1" t="inlineStr">
        <is>
          <t>vQ20m04~=1 &amp; vQ20m04~=96</t>
        </is>
      </c>
      <c r="D227" s="1" t="inlineStr"/>
      <c r="E227" s="1" t="inlineStr">
        <is>
          <t>vQ26Ag1,vQ26Ag2</t>
        </is>
      </c>
      <c r="F227" s="1" t="inlineStr"/>
      <c r="H227" s="1" t="n"/>
      <c r="I227" s="1" t="n"/>
    </row>
    <row r="228">
      <c r="A228" s="1" t="n"/>
      <c r="B228" s="1" t="n"/>
      <c r="C228" s="1" t="inlineStr">
        <is>
          <t>vQ20m04 in 1</t>
        </is>
      </c>
      <c r="D228" s="1" t="inlineStr">
        <is>
          <t>vQ26m01,vQ26m02,vQ26m03,vQ26m04,vQ26m05,vQ26m06,vQ26m07,vQ26m08,vQ26m09,vQ26m10,vQ26m11,vQ26m12,vQ26m13,vQ26m14,vQ26m15,vQ26m16,vQ26m17,vQ26m18,vQ26m19,vQ26m20,vQ26m21,vQ26m22,vQ26m23,vQ26m24,vQ26m25,vQ26m26,vQ26m27,vQ26m28,vQ26m29,vQ26m88</t>
        </is>
      </c>
      <c r="E228" s="1" t="inlineStr"/>
      <c r="F228" s="1" t="inlineStr"/>
      <c r="H228" s="1" t="n"/>
      <c r="I228" s="1" t="n"/>
    </row>
    <row r="229">
      <c r="A229" s="1" t="n"/>
      <c r="B229" s="1" t="n"/>
      <c r="C229" s="1" t="inlineStr">
        <is>
          <t>vQ20m04~=1 &amp; vQ20m04~=96</t>
        </is>
      </c>
      <c r="D229" s="1" t="inlineStr"/>
      <c r="E229" s="1" t="inlineStr">
        <is>
          <t>vQ26m01,vQ26m02,vQ26m03,vQ26m04,vQ26m05,vQ26m06,vQ26m07,vQ26m08,vQ26m09,vQ26m10,vQ26m11,vQ26m12,vQ26m13,vQ26m14,vQ26m15,vQ26m16,vQ26m17,vQ26m18,vQ26m19,vQ26m20,vQ26m21,vQ26m22,vQ26m23,vQ26m24,vQ26m25,vQ26m26,vQ26m27,vQ26m28,vQ26m29,vQ26m88</t>
        </is>
      </c>
      <c r="F229" s="1" t="inlineStr"/>
      <c r="H229" s="1" t="n"/>
      <c r="I229" s="1" t="n"/>
    </row>
    <row r="230">
      <c r="A230" s="1" t="n"/>
      <c r="B230" s="1" t="n"/>
      <c r="C230" s="1" t="inlineStr">
        <is>
          <t>vQ1 in 1 &amp; vQ2 in 1 &amp; vQ3 in 1 &amp; vQ4 in 1 &amp; vQ5 in 2 &amp; vQ10 in 2 &amp; vQ15 in 2 &amp; vQ20m90 in 1</t>
        </is>
      </c>
      <c r="D230" s="1" t="inlineStr"/>
      <c r="E230" s="1" t="inlineStr">
        <is>
          <t>vQ27m01,vQ27m02,vQ27m03,vQ27m04,vQ27m05,vQ27m06,vQ27m07,vQ27m88</t>
        </is>
      </c>
      <c r="F230" s="1" t="inlineStr"/>
      <c r="H230" s="1" t="n"/>
      <c r="I230" s="1" t="n"/>
    </row>
    <row r="231">
      <c r="A231" s="1" t="n"/>
      <c r="B231" s="1" t="n"/>
      <c r="C231" s="1" t="inlineStr">
        <is>
          <t>(vQ1~=1 | vQ2~=1 | vQ3~=1 | vQ4~=1 | vQ5~=2 | vQ10~=2 | vQ15~=2 | vQ20m90~=1) &amp; vQ1~=96 &amp; vQ2~=96 &amp; vQ3~=96 &amp; vQ4~=96 &amp; vQ5~=96 &amp; vQ10~=96 &amp; vQ15~=96 &amp; vQ20m90~=96</t>
        </is>
      </c>
      <c r="D231" s="1" t="inlineStr">
        <is>
          <t>vQ27m01,vQ27m02,vQ27m03,vQ27m04,vQ27m05,vQ27m06,vQ27m07,vQ27m88</t>
        </is>
      </c>
      <c r="E231" s="1" t="inlineStr"/>
      <c r="F231" s="1" t="inlineStr"/>
      <c r="H231" s="1" t="n"/>
      <c r="I231" s="1" t="n"/>
    </row>
    <row r="232">
      <c r="A232" s="1" t="n"/>
      <c r="B232" s="1" t="n"/>
      <c r="C232" s="1" t="inlineStr">
        <is>
          <t>vE1 in 1</t>
        </is>
      </c>
      <c r="D232" s="1" t="inlineStr">
        <is>
          <t>vQ27m01,vQ27m02,vQ27m03,vQ27m04,vQ27m05,vQ27m06,vQ27m07,vQ27m88</t>
        </is>
      </c>
      <c r="E232" s="1" t="inlineStr"/>
      <c r="F232" s="1" t="inlineStr"/>
      <c r="H232" s="1" t="n"/>
      <c r="I232" s="1" t="n"/>
    </row>
    <row r="233">
      <c r="A233" s="1" t="n"/>
      <c r="B233" s="1" t="n"/>
      <c r="C233" s="1" t="inlineStr">
        <is>
          <t>vE1~=1</t>
        </is>
      </c>
      <c r="D233" s="1" t="inlineStr"/>
      <c r="E233" s="1" t="inlineStr">
        <is>
          <t>vQ27m01,vQ27m02,vQ27m03,vQ27m04,vQ27m05,vQ27m06,vQ27m07,vQ27m88</t>
        </is>
      </c>
      <c r="F233" s="1" t="inlineStr"/>
      <c r="H233" s="1" t="n"/>
      <c r="I233" s="1" t="n"/>
    </row>
    <row r="234">
      <c r="A234" s="1" t="n"/>
      <c r="B234" s="1" t="n"/>
      <c r="C234" s="1" t="inlineStr">
        <is>
          <t>vQ5 in 2 &amp; (vP3_4 in 2 | vP3_4 in 3 | vP3_4 in 4)</t>
        </is>
      </c>
      <c r="D234" s="1" t="inlineStr">
        <is>
          <t>vQ27m01,vQ27m02,vQ27m03,vQ27m04,vQ27m05,vQ27m06,vQ27m07,vQ27m88</t>
        </is>
      </c>
      <c r="E234" s="1" t="inlineStr"/>
      <c r="F234" s="1" t="inlineStr"/>
      <c r="H234" s="1" t="n"/>
      <c r="I234" s="1" t="n"/>
    </row>
    <row r="235">
      <c r="A235" s="1" t="n"/>
      <c r="B235" s="1" t="n"/>
      <c r="C235" s="1" t="inlineStr">
        <is>
          <t>(vQ5~=2 | (vP3_4~=2 &amp; vP3_4~=3 &amp; vP3_4~=4)) &amp; vQ5~=96</t>
        </is>
      </c>
      <c r="D235" s="1" t="inlineStr"/>
      <c r="E235" s="1" t="inlineStr">
        <is>
          <t>vQ27m01,vQ27m02,vQ27m03,vQ27m04,vQ27m05,vQ27m06,vQ27m07,vQ27m88</t>
        </is>
      </c>
      <c r="F235" s="1" t="inlineStr"/>
      <c r="H235" s="1" t="n"/>
      <c r="I235" s="1" t="n"/>
    </row>
    <row r="236">
      <c r="A236" s="1" t="n"/>
      <c r="B236" s="1" t="n"/>
      <c r="C236" s="1" t="inlineStr">
        <is>
          <t>vQ20m02 in 1 | vQ20m03 in 1</t>
        </is>
      </c>
      <c r="D236" s="1" t="inlineStr">
        <is>
          <t>vQ27m01,vQ27m02,vQ27m03,vQ27m04,vQ27m05,vQ27m06,vQ27m07,vQ27m88</t>
        </is>
      </c>
      <c r="E236" s="1" t="inlineStr"/>
      <c r="F236" s="1" t="inlineStr"/>
      <c r="H236" s="1" t="n"/>
      <c r="I236" s="1" t="n"/>
    </row>
    <row r="237">
      <c r="A237" s="1" t="n"/>
      <c r="B237" s="1" t="n"/>
      <c r="C237" s="1" t="inlineStr">
        <is>
          <t>vQ20m02~=1 &amp; vQ20m03~=1 &amp; vQ20m02~=96 &amp; vQ20m03~=96</t>
        </is>
      </c>
      <c r="D237" s="1" t="inlineStr"/>
      <c r="E237" s="1" t="inlineStr">
        <is>
          <t>vQ27m01,vQ27m02,vQ27m03,vQ27m04,vQ27m05,vQ27m06,vQ27m07,vQ27m88</t>
        </is>
      </c>
      <c r="F237" s="1" t="inlineStr"/>
      <c r="H237" s="1" t="n"/>
      <c r="I237" s="1" t="n"/>
    </row>
    <row r="238">
      <c r="A238" s="1" t="n"/>
      <c r="B238" s="1" t="n"/>
      <c r="C238" s="1" t="inlineStr">
        <is>
          <t>vE1 in 1</t>
        </is>
      </c>
      <c r="D238" s="1" t="inlineStr">
        <is>
          <t>vQ30m01,vQ30m02,vQ30m03,vQ30m04,vQ30m05,vQ30m06,vQ30m07,vQ30m08,vQ30m90</t>
        </is>
      </c>
      <c r="E238" s="1" t="inlineStr"/>
      <c r="F238" s="1" t="inlineStr"/>
      <c r="H238" s="1" t="n"/>
      <c r="I238" s="1" t="n"/>
    </row>
    <row r="239">
      <c r="A239" s="1" t="n"/>
      <c r="B239" s="1" t="n"/>
      <c r="C239" s="1" t="inlineStr">
        <is>
          <t>vE1~=1</t>
        </is>
      </c>
      <c r="D239" s="1" t="inlineStr"/>
      <c r="E239" s="1" t="inlineStr">
        <is>
          <t>vQ30m01,vQ30m02,vQ30m03,vQ30m04,vQ30m05,vQ30m06,vQ30m07,vQ30m08,vQ30m90</t>
        </is>
      </c>
      <c r="F239" s="1" t="inlineStr"/>
      <c r="H239" s="1" t="n"/>
      <c r="I239" s="1" t="n"/>
    </row>
    <row r="240">
      <c r="A240" s="1" t="n"/>
      <c r="B240" s="1" t="n"/>
      <c r="C240" s="1" t="inlineStr">
        <is>
          <t>vA1 in 96 | vA2 in 1</t>
        </is>
      </c>
      <c r="D240" s="1" t="inlineStr"/>
      <c r="E240" s="1" t="inlineStr">
        <is>
          <t>vQ44</t>
        </is>
      </c>
      <c r="F240" s="1" t="inlineStr"/>
      <c r="H240" s="1" t="n"/>
      <c r="I240" s="1" t="n"/>
    </row>
    <row r="241">
      <c r="A241" s="1" t="n"/>
      <c r="B241" s="1" t="n"/>
      <c r="C241" s="1" t="inlineStr">
        <is>
          <t>vA1~=96 &amp; vA2~=1 &amp; vA2~=96</t>
        </is>
      </c>
      <c r="D241" s="1" t="inlineStr">
        <is>
          <t>vQ44</t>
        </is>
      </c>
      <c r="E241" s="1" t="inlineStr"/>
      <c r="F241" s="1" t="inlineStr"/>
      <c r="H241" s="1" t="n"/>
      <c r="I241" s="1" t="n"/>
    </row>
    <row r="242">
      <c r="A242" s="1" t="n"/>
      <c r="B242" s="1" t="n"/>
      <c r="C242" s="1" t="inlineStr">
        <is>
          <t>vQ49 in 2 | vQ49 in 97 | vQ49 in 98</t>
        </is>
      </c>
      <c r="D242" s="1" t="inlineStr">
        <is>
          <t>vQ50</t>
        </is>
      </c>
      <c r="E242" s="1" t="inlineStr"/>
      <c r="F242" s="1" t="inlineStr"/>
      <c r="G242" s="1" t="n"/>
      <c r="H242" s="1" t="n"/>
      <c r="I242" s="1" t="n"/>
    </row>
    <row r="243">
      <c r="A243" s="1" t="n"/>
      <c r="B243" s="1" t="n"/>
      <c r="C243" s="1" t="inlineStr">
        <is>
          <t>vQ49~=2 &amp; vQ49~=97 &amp; vQ49~=98</t>
        </is>
      </c>
      <c r="D243" s="1" t="inlineStr"/>
      <c r="E243" s="1" t="inlineStr">
        <is>
          <t>vQ50</t>
        </is>
      </c>
      <c r="F243" s="1" t="inlineStr"/>
      <c r="H243" s="1" t="n"/>
      <c r="I243" s="1" t="n"/>
    </row>
    <row r="244">
      <c r="A244" s="1" t="n"/>
      <c r="B244" s="1" t="n"/>
      <c r="C244" s="1" t="inlineStr">
        <is>
          <t>vQ49 in 1 | vQ50 in 1</t>
        </is>
      </c>
      <c r="D244" s="1" t="inlineStr">
        <is>
          <t>vQ51</t>
        </is>
      </c>
      <c r="E244" s="1" t="inlineStr"/>
      <c r="F244" s="1" t="inlineStr"/>
      <c r="G244" s="1" t="n"/>
      <c r="H244" s="1" t="n"/>
      <c r="I244" s="1" t="n"/>
    </row>
    <row r="245">
      <c r="A245" s="1" t="n"/>
      <c r="B245" s="1" t="n"/>
      <c r="C245" s="1" t="inlineStr">
        <is>
          <t>vQ49~=1 &amp; vQ50~=1 &amp; vQ50~=96</t>
        </is>
      </c>
      <c r="D245" s="1" t="inlineStr"/>
      <c r="E245" s="1" t="inlineStr">
        <is>
          <t>vQ51</t>
        </is>
      </c>
      <c r="F245" s="1" t="inlineStr"/>
      <c r="H245" s="1" t="n"/>
      <c r="I245" s="1" t="n"/>
    </row>
    <row r="246">
      <c r="A246" s="1" t="n"/>
      <c r="B246" s="1" t="n"/>
      <c r="C246" s="1" t="inlineStr">
        <is>
          <t>vQ51 in 1 | vQ51 in 2 | vQ51 in 3 | vQ51 in 4 | vQ51 in 5 | vQ51 in 6 | vQ51 in 7 | vQ51 in 8 | vQ51 in 9 | vQ51 in 10 | vQ51 in 11 | vQ51 in 12 | vQ51 in 13 | vQ51 in 14 | vQ51 in 15 | vQ51 in 16 | vQ51 in 17 | vQ51 in 18 | vQ51 in 19 | vQ51 in 20 | vQ51 in 21 | vQ51 in 22 | vQ51 in 23 | vQ51 in 24 | vQ51 in 25 | vQ51 in 26 | vQ51 in 27 | vQ51 in 28 | vQ51 in 29 | vQ51 in 30 | vQ51 in 31 | vQ51 in 32 | vQ51 in 33 | vQ51 in 34 | vQ51 in 35 | vQ51 in 36 | vQ51 in 37 | vQ51 in 38 | vQ51 in 39 | vQ51 in 40 | vQ51 in 41 | vQ51 in 42 | vQ51 in 43 | vQ51 in 44 | vQ51 in 45 | vQ51 in 46 | vQ51 in 47 | vQ51 in 48 | vQ51 in 49 | vQ51 in 50 | vQ51 in 51 | vQ51 in 52 | vQ51 in 53 | vQ51 in 54 | vQ51 in 55 | vQ51 in 56 | vQ51 in 57 | vQ51 in 58 | vQ51 in 59 | vQ51 in 60 | vQ51 in 61 | vQ51 in 62 | vQ51 in 63 | vQ51 in 64 | vQ51 in 65 | vQ51 in 66 | vQ51 in 67 | vQ51 in 68 | vQ51 in 69 | vQ51 in 70 | vQ51 in 71 | vQ51 in 72 | vQ51 in 73 | vQ51 in 74 | vQ51 in 75 | vQ51 in 76 | vQ51 in 77 | vQ51 in 78 | vQ51 in 79 | vQ51 in 80 | vQ51 in 81 | vQ51 in 82 | vQ51 in 83 | vQ51 in 84 | vQ51 in 85 | vQ51 in 86 | vQ51 in 87 | vQ51 in 88</t>
        </is>
      </c>
      <c r="D246" s="1" t="inlineStr">
        <is>
          <t>vQ52</t>
        </is>
      </c>
      <c r="E246" s="1" t="inlineStr"/>
      <c r="F246" s="1" t="inlineStr"/>
      <c r="H246" s="1" t="n"/>
      <c r="I246" s="1" t="n"/>
    </row>
    <row r="247">
      <c r="A247" s="1" t="n"/>
      <c r="B247" s="1" t="n"/>
      <c r="C247" s="1" t="inlineStr">
        <is>
          <t>vQ51~=1 &amp; vQ51~=2 &amp; vQ51~=3 &amp; vQ51~=4 &amp; vQ51~=5 &amp; vQ51~=6 &amp; vQ51~=7 &amp; vQ51~=8 &amp; vQ51~=9 &amp; vQ51~=10 &amp; vQ51~=11 &amp; vQ51~=12 &amp; vQ51~=13 &amp; vQ51~=14 &amp; vQ51~=15 &amp; vQ51~=16 &amp; vQ51~=17 &amp; vQ51~=18 &amp; vQ51~=19 &amp; vQ51~=20 &amp; vQ51~=21 &amp; vQ51~=22 &amp; vQ51~=23 &amp; vQ51~=24 &amp; vQ51~=25 &amp; vQ51~=26 &amp; vQ51~=27 &amp; vQ51~=28 &amp; vQ51~=29 &amp; vQ51~=30 &amp; vQ51~=31 &amp; vQ51~=32 &amp; vQ51~=33 &amp; vQ51~=34 &amp; vQ51~=35 &amp; vQ51~=36 &amp; vQ51~=37 &amp; vQ51~=38 &amp; vQ51~=39 &amp; vQ51~=40 &amp; vQ51~=41 &amp; vQ51~=42 &amp; vQ51~=43 &amp; vQ51~=44 &amp; vQ51~=45 &amp; vQ51~=46 &amp; vQ51~=47 &amp; vQ51~=48 &amp; vQ51~=49 &amp; vQ51~=50 &amp; vQ51~=51 &amp; vQ51~=52 &amp; vQ51~=53 &amp; vQ51~=54 &amp; vQ51~=55 &amp; vQ51~=56 &amp; vQ51~=57 &amp; vQ51~=58 &amp; vQ51~=59 &amp; vQ51~=60 &amp; vQ51~=61 &amp; vQ51~=62 &amp; vQ51~=63 &amp; vQ51~=64 &amp; vQ51~=65 &amp; vQ51~=66 &amp; vQ51~=67 &amp; vQ51~=68 &amp; vQ51~=69 &amp; vQ51~=70 &amp; vQ51~=71 &amp; vQ51~=72 &amp; vQ51~=73 &amp; vQ51~=74 &amp; vQ51~=75 &amp; vQ51~=76 &amp; vQ51~=77 &amp; vQ51~=78 &amp; vQ51~=79 &amp; vQ51~=80 &amp; vQ51~=81 &amp; vQ51~=82 &amp; vQ51~=83 &amp; vQ51~=84 &amp; vQ51~=85 &amp; vQ51~=86 &amp; vQ51~=87 &amp; vQ51~=88 &amp; vQ51~=96</t>
        </is>
      </c>
      <c r="D247" s="1" t="inlineStr"/>
      <c r="E247" s="1" t="inlineStr">
        <is>
          <t>vQ52</t>
        </is>
      </c>
      <c r="F247" s="1" t="inlineStr"/>
      <c r="H247" s="1" t="n"/>
      <c r="I247" s="1" t="n"/>
    </row>
    <row r="248">
      <c r="A248" s="1" t="n"/>
      <c r="B248" s="1" t="n"/>
      <c r="C248" s="1" t="inlineStr">
        <is>
          <t>vD1 in 3</t>
        </is>
      </c>
      <c r="D248" s="1" t="inlineStr"/>
      <c r="E248" s="1" t="inlineStr">
        <is>
          <t>vZ2_2</t>
        </is>
      </c>
      <c r="F248" s="1" t="inlineStr"/>
      <c r="H248" s="1" t="n"/>
      <c r="I248" s="1" t="n"/>
    </row>
    <row r="249">
      <c r="A249" s="1" t="n"/>
      <c r="B249" s="1" t="n"/>
      <c r="C249" s="1" t="inlineStr">
        <is>
          <t>vD1~=3</t>
        </is>
      </c>
      <c r="D249" s="1" t="inlineStr">
        <is>
          <t>vZ2_2</t>
        </is>
      </c>
      <c r="E249" s="1" t="inlineStr"/>
      <c r="F249" s="1" t="inlineStr"/>
      <c r="H249" s="1" t="n"/>
      <c r="I249" s="1" t="n"/>
    </row>
    <row r="250">
      <c r="A250" s="1" t="n"/>
      <c r="B250" s="1" t="n"/>
      <c r="C250" s="1" t="inlineStr">
        <is>
          <t>vA9 in 1 | vE1 in 2 | vE1 in 97 | vE1 in 98</t>
        </is>
      </c>
      <c r="D250" s="1" t="inlineStr">
        <is>
          <t>vCkZE1</t>
        </is>
      </c>
      <c r="E250" s="1" t="inlineStr"/>
      <c r="F250" s="1" t="inlineStr"/>
      <c r="H250" s="1" t="n"/>
      <c r="I250" s="1" t="n"/>
    </row>
    <row r="251">
      <c r="A251" s="1" t="n"/>
      <c r="B251" s="1" t="n"/>
      <c r="C251" s="1" t="inlineStr">
        <is>
          <t>vA9~=1 &amp; vE1~=2 &amp; vE1~=97 &amp; vE1~=98</t>
        </is>
      </c>
      <c r="D251" s="1" t="inlineStr"/>
      <c r="E251" s="1" t="inlineStr">
        <is>
          <t>vCkZE1</t>
        </is>
      </c>
      <c r="F251" s="1" t="inlineStr"/>
      <c r="H251" s="1" t="n"/>
      <c r="I251" s="1" t="n"/>
    </row>
    <row r="252">
      <c r="A252" s="1" t="n"/>
      <c r="B252" s="1" t="n"/>
      <c r="C252" s="1" t="inlineStr">
        <is>
          <t>vA9 in 1 | vE1 in 2 | vE1 in 97 | vE1 in 98</t>
        </is>
      </c>
      <c r="D252" s="1" t="inlineStr"/>
      <c r="E252" s="1" t="inlineStr">
        <is>
          <t>vZE2m01,vZE2m02,vZE2m03</t>
        </is>
      </c>
      <c r="F252" s="1" t="inlineStr"/>
      <c r="H252" s="1" t="n"/>
      <c r="I252" s="1" t="n"/>
    </row>
    <row r="253">
      <c r="A253" s="1" t="n"/>
      <c r="B253" s="1" t="n"/>
      <c r="C253" s="1" t="inlineStr">
        <is>
          <t>vA9~=1 &amp; vE1~=2 &amp; vE1~=97 &amp; vE1~=98</t>
        </is>
      </c>
      <c r="D253" s="1" t="inlineStr">
        <is>
          <t>vZE2m01,vZE2m02,vZE2m03</t>
        </is>
      </c>
      <c r="E253" s="1" t="inlineStr"/>
      <c r="F253" s="1" t="inlineStr"/>
      <c r="H253" s="1" t="n"/>
      <c r="I253" s="1" t="n"/>
    </row>
    <row r="254">
      <c r="A254" s="1" t="n"/>
      <c r="B254" s="1" t="n"/>
      <c r="C254" s="1" t="inlineStr">
        <is>
          <t>vZE2m01 in 1</t>
        </is>
      </c>
      <c r="D254" s="1" t="inlineStr">
        <is>
          <t>vZE2_2</t>
        </is>
      </c>
      <c r="E254" s="1" t="inlineStr"/>
      <c r="F254" s="1" t="inlineStr"/>
      <c r="H254" s="1" t="n"/>
      <c r="I254" s="1" t="n"/>
    </row>
    <row r="255">
      <c r="A255" s="1" t="n"/>
      <c r="B255" s="1" t="n"/>
      <c r="C255" s="1" t="inlineStr">
        <is>
          <t>vZE2m01~=1 &amp; vZE2m01~=96</t>
        </is>
      </c>
      <c r="D255" s="1" t="inlineStr"/>
      <c r="E255" s="1" t="inlineStr">
        <is>
          <t>vZE2_2</t>
        </is>
      </c>
      <c r="F255" s="1" t="inlineStr"/>
      <c r="H255" s="1" t="n"/>
      <c r="I255" s="1" t="n"/>
    </row>
    <row r="256">
      <c r="A256" s="1" t="n"/>
      <c r="B256" s="1" t="n"/>
      <c r="C256" s="1" t="inlineStr">
        <is>
          <t>vZE2m02 in 1</t>
        </is>
      </c>
      <c r="D256" s="1" t="inlineStr">
        <is>
          <t>vZE2_3</t>
        </is>
      </c>
      <c r="E256" s="1" t="inlineStr"/>
      <c r="F256" s="1" t="inlineStr"/>
      <c r="H256" s="1" t="n"/>
      <c r="I256" s="1" t="n"/>
    </row>
    <row r="257">
      <c r="A257" s="1" t="n"/>
      <c r="B257" s="1" t="n"/>
      <c r="C257" s="1" t="inlineStr">
        <is>
          <t>vZE2m02~=1 &amp; vZE2m02~=96</t>
        </is>
      </c>
      <c r="D257" s="1" t="inlineStr"/>
      <c r="E257" s="1" t="inlineStr">
        <is>
          <t>vZE2_3</t>
        </is>
      </c>
      <c r="F257" s="1" t="inlineStr"/>
      <c r="H257" s="1" t="n"/>
      <c r="I257" s="1" t="n"/>
    </row>
    <row r="258">
      <c r="A258" s="1" t="n"/>
      <c r="B258" s="1" t="n"/>
      <c r="C258" s="1" t="inlineStr">
        <is>
          <t>not(any(vE5,9797,9898)) &amp; not(any(vE6,9797,9898)) &amp; not(any(vE8,9797,9898)) &amp; not(any(vE9,9797,9898)) &amp; not(any(vE11,9797,9898)) &amp; not(any(vE12,9797,9898)) &amp; ((TRUNC(vE5/100)*60 + mod(vE5,100)) + (TRUNC(vE6/100)*60 + mod(vE6,100)) + (TRUNC(vE8/100)*60 + mod(vE8,100)) + (TRUNC(vE9/100)*60 + mod(vE9,100)) + (TRUNC(vE11/100)*60 + mod(vE11,100)) + (TRUNC(vE12/100)*60 + mod(vE12,100)))&gt;2400</t>
        </is>
      </c>
      <c r="D258" s="1" t="inlineStr">
        <is>
          <t>vE3_1</t>
        </is>
      </c>
      <c r="E258" s="1" t="inlineStr"/>
      <c r="F258" s="1" t="inlineStr"/>
      <c r="H258" s="1" t="n"/>
      <c r="I258" s="1" t="n"/>
    </row>
    <row r="259">
      <c r="A259" s="1" t="n"/>
      <c r="B259" s="1" t="n"/>
      <c r="C259" s="1" t="inlineStr">
        <is>
          <t>not(not(any(vE5,9797,9898)) &amp; not(any(vE6,9797,9898)) &amp; not(any(vE8,9797,9898)) &amp; not(any(vE9,9797,9898)) &amp; not(any(vE11,9797,9898)) &amp; not(any(vE12,9797,9898)) &amp; ((TRUNC(vE5/100)*60 + mod(vE5,100)) + (TRUNC(vE6/100)*60 + mod(vE6,100)) + (TRUNC(vE8/100)*60 + mod(vE8,100)) + (TRUNC(vE9/100)*60 + mod(vE9,100)) + (TRUNC(vE11/100)*60 + mod(vE11,100)) + (TRUNC(vE12/100)*60 + mod(vE12,100)))&gt;2400) &amp; vE5~=99996 &amp; vE6~=99996 &amp; vE8~=99996 &amp; vE9~=99996 &amp; vE11~=99996 &amp; vE12~=99996</t>
        </is>
      </c>
      <c r="D259" s="1" t="inlineStr"/>
      <c r="E259" s="1" t="inlineStr">
        <is>
          <t>vE3_1</t>
        </is>
      </c>
      <c r="F259" s="1" t="inlineStr"/>
      <c r="H259" s="1" t="n"/>
      <c r="I259" s="1" t="n"/>
    </row>
    <row r="260">
      <c r="A260" s="1" t="n"/>
      <c r="B260" s="1" t="n"/>
      <c r="C260" s="1" t="inlineStr">
        <is>
          <t>((vB7am01=1) + (vB7am02=1) + (vB7am03=1) + (vB7am04=1) + (vB7am05=1) + (vB7am06=1) + (vB7am07=1) + (vB7am08=1) + (vB7am09=1) + (vB7am10=1) + (vB7am11=1) + (vB7am12=1) + (vB7am13=1) + (vB7am14=1) + (vB7am15=1) + (vB7am16=1) + (vB7am17=1) + (vB7am18=1) + (vB7am19=1) + (vB7am20=1) + (vB7am21=1) + (vB7am22=1) + (vB7am23=1) + (vB7am24=1) + (vB7am25=1) + (vB7am26=1) + (vB7am27=1) + (vB7am28=1) + (vB7am29=1) + (vB7am30=1) + (vB7am31=1) + (vB7am32=1) + (vB7am33=1) + (vB7am34=1) + (vB7am35=1) + (vB7am36=1) + (vB7am37=1) + (vB7am38=1) + (vB7am39=1) + (vB7am40=1) + (vB7am41=1) + (vB7am42=1) + (vB7am43=1) + (vB7am44=1) + (vB7am45=1) + (vB7am46=1) + (vB7am47=1) + (vB7am48=1) + (vB7am49=1) + (vB7am50=1) + (vB7am51=1) + (vB7am52=1) + (vB7am53=1) + (vB7am54=1) + (vB7am88=1))&lt;=1</t>
        </is>
      </c>
      <c r="D260" s="1" t="inlineStr"/>
      <c r="E260" s="1" t="inlineStr">
        <is>
          <t>vB7</t>
        </is>
      </c>
      <c r="F260" s="1" t="inlineStr"/>
      <c r="H260" s="1" t="n"/>
      <c r="I260" s="1" t="n"/>
    </row>
    <row r="261">
      <c r="A261" s="1" t="n"/>
      <c r="B261" s="1" t="n"/>
      <c r="C261" s="1" t="inlineStr">
        <is>
          <t>((vB7am01=1) + (vB7am02=1) + (vB7am03=1) + (vB7am04=1) + (vB7am05=1) + (vB7am06=1) + (vB7am07=1) + (vB7am08=1) + (vB7am09=1) + (vB7am10=1) + (vB7am11=1) + (vB7am12=1) + (vB7am13=1) + (vB7am14=1) + (vB7am15=1) + (vB7am16=1) + (vB7am17=1) + (vB7am18=1) + (vB7am19=1) + (vB7am20=1) + (vB7am21=1) + (vB7am22=1) + (vB7am23=1) + (vB7am24=1) + (vB7am25=1) + (vB7am26=1) + (vB7am27=1) + (vB7am28=1) + (vB7am29=1) + (vB7am30=1) + (vB7am31=1) + (vB7am32=1) + (vB7am33=1) + (vB7am34=1) + (vB7am35=1) + (vB7am36=1) + (vB7am37=1) + (vB7am38=1) + (vB7am39=1) + (vB7am40=1) + (vB7am41=1) + (vB7am42=1) + (vB7am43=1) + (vB7am44=1) + (vB7am45=1) + (vB7am46=1) + (vB7am47=1) + (vB7am48=1) + (vB7am49=1) + (vB7am50=1) + (vB7am51=1) + (vB7am52=1) + (vB7am53=1) + (vB7am54=1) + (vB7am88=1))&gt;1 &amp; vB7am01~=96 &amp; vB7am02~=96 &amp; vB7am03~=96 &amp; vB7am04~=96 &amp; vB7am05~=96 &amp; vB7am06~=96 &amp; vB7am07~=96 &amp; vB7am08~=96 &amp; vB7am09~=96 &amp; vB7am10~=96 &amp; vB7am11~=96 &amp; vB7am12~=96 &amp; vB7am13~=96 &amp; vB7am14~=96 &amp; vB7am15~=96 &amp; vB7am16~=96 &amp; vB7am17~=96 &amp; vB7am18~=96 &amp; vB7am19~=96 &amp; vB7am20~=96 &amp; vB7am21~=96 &amp; vB7am22~=96 &amp; vB7am23~=96 &amp; vB7am24~=96 &amp; vB7am25~=96 &amp; vB7am26~=96 &amp; vB7am27~=96 &amp; vB7am28~=96 &amp; vB7am29~=96 &amp; vB7am30~=96 &amp; vB7am31~=96 &amp; vB7am32~=96 &amp; vB7am33~=96 &amp; vB7am34~=96 &amp; vB7am35~=96 &amp; vB7am36~=96 &amp; vB7am37~=96 &amp; vB7am38~=96 &amp; vB7am39~=96 &amp; vB7am40~=96 &amp; vB7am41~=96 &amp; vB7am42~=96 &amp; vB7am43~=96 &amp; vB7am44~=96 &amp; vB7am45~=96 &amp; vB7am46~=96 &amp; vB7am47~=96 &amp; vB7am48~=96 &amp; vB7am49~=96 &amp; vB7am50~=96 &amp; vB7am51~=96 &amp; vB7am52~=96 &amp; vB7am53~=96 &amp; vB7am54~=96 &amp; vB7am88~=96</t>
        </is>
      </c>
      <c r="D261" s="1" t="inlineStr">
        <is>
          <t>vB7</t>
        </is>
      </c>
      <c r="E261" s="1" t="inlineStr"/>
      <c r="F261" s="1" t="inlineStr"/>
      <c r="H261" s="1" t="n"/>
      <c r="I261" s="1" t="n"/>
    </row>
    <row r="262">
      <c r="A262" s="1" t="n"/>
      <c r="B262" s="1" t="n"/>
      <c r="C262" s="1" t="inlineStr">
        <is>
          <t>(vB8m03=1 | vB8m06=1) &amp; vI1=0 &amp; vI3=0</t>
        </is>
      </c>
      <c r="D262" s="1" t="inlineStr">
        <is>
          <t>vI4</t>
        </is>
      </c>
      <c r="E262" s="1" t="inlineStr"/>
      <c r="F262" s="1" t="inlineStr"/>
      <c r="H262" s="1" t="n"/>
      <c r="I262" s="1" t="n"/>
    </row>
    <row r="263">
      <c r="A263" s="1" t="n"/>
      <c r="B263" s="1" t="n"/>
      <c r="C263" s="1" t="inlineStr">
        <is>
          <t>(not((vB8m03=1 | vB8m06=1) &amp; vI1=0 &amp; vI3=0)) &amp; vB8m03~=96 &amp; vB8m06~=96</t>
        </is>
      </c>
      <c r="D263" s="1" t="inlineStr"/>
      <c r="E263" s="1" t="inlineStr">
        <is>
          <t>vI4</t>
        </is>
      </c>
      <c r="F263" s="1" t="inlineStr"/>
      <c r="H263" s="1" t="n"/>
      <c r="I263" s="1" t="n"/>
    </row>
    <row r="264">
      <c r="A264" s="1" t="n"/>
      <c r="B264" s="1" t="n"/>
      <c r="C264" s="1" t="inlineStr">
        <is>
          <t>vK2m90=1 | any(vQ5,2,97,98)</t>
        </is>
      </c>
      <c r="D264" s="1" t="inlineStr"/>
      <c r="E264" s="1" t="inlineStr">
        <is>
          <t>vQ27m01,vQ27m02,vQ27m03,vQ27m04,vQ27m05,vQ27m06,vQ27m07,vQ27m88</t>
        </is>
      </c>
      <c r="F264" s="1" t="inlineStr"/>
      <c r="H264" s="1" t="n"/>
      <c r="I264" s="1" t="n"/>
    </row>
    <row r="265">
      <c r="A265" s="1" t="n"/>
      <c r="B265" s="1" t="n"/>
      <c r="C265" s="1" t="inlineStr">
        <is>
          <t>vK2m90~=1 &amp; not(any(vQ5,2,97,98)) &amp; vQ5~=96</t>
        </is>
      </c>
      <c r="D265" s="1" t="inlineStr">
        <is>
          <t>vQ27m01,vQ27m02,vQ27m03,vQ27m04,vQ27m05,vQ27m06,vQ27m07,vQ27m88</t>
        </is>
      </c>
      <c r="E265" s="1" t="inlineStr"/>
      <c r="F265" s="1" t="inlineStr"/>
      <c r="H265" s="1" t="n"/>
      <c r="I265" s="1" t="n"/>
    </row>
    <row r="266">
      <c r="A266" s="1" t="n"/>
      <c r="B266" s="1" t="n"/>
      <c r="C266" s="1" t="inlineStr">
        <is>
          <t>vZE2m01=1 | vZE2m02=1</t>
        </is>
      </c>
      <c r="D266" s="1" t="inlineStr">
        <is>
          <t>vZE2_1</t>
        </is>
      </c>
      <c r="E266" s="1" t="inlineStr"/>
      <c r="F266" s="1" t="inlineStr"/>
      <c r="H266" s="1" t="n"/>
      <c r="I266" s="1" t="n"/>
    </row>
    <row r="267">
      <c r="A267" s="1" t="n"/>
      <c r="B267" s="1" t="n"/>
      <c r="C267" s="1" t="inlineStr">
        <is>
          <t>vZE2m01~=1 &amp; vZE2m02~=1 &amp; vZE2m01~=96 &amp; vZE2m02~=96</t>
        </is>
      </c>
      <c r="D267" s="1" t="inlineStr"/>
      <c r="E267" s="1" t="inlineStr">
        <is>
          <t>vZE2_1</t>
        </is>
      </c>
      <c r="F267" s="1" t="inlineStr"/>
      <c r="H267" s="1" t="n"/>
      <c r="I267" s="1" t="n"/>
    </row>
    <row r="268">
      <c r="A268" s="1" t="n"/>
      <c r="B268" s="1" t="n"/>
      <c r="C268" s="1" t="n"/>
      <c r="D268" s="1" t="n"/>
      <c r="E268" s="1" t="n"/>
      <c r="F268" s="1" t="n"/>
      <c r="H268" s="1" t="n"/>
      <c r="I268" s="1" t="n"/>
    </row>
    <row r="269">
      <c r="A269" s="1" t="n"/>
      <c r="B269" s="1" t="n"/>
      <c r="C269" s="1" t="n"/>
      <c r="D269" s="1" t="n"/>
      <c r="E269" s="1" t="n"/>
      <c r="F269" s="1" t="n"/>
      <c r="H269" s="1" t="n"/>
      <c r="I269" s="1" t="n"/>
    </row>
    <row r="270">
      <c r="A270" s="1" t="n"/>
      <c r="B270" s="1" t="n"/>
      <c r="C270" s="1" t="n"/>
      <c r="D270" s="1" t="n"/>
      <c r="E270" s="1" t="n"/>
      <c r="F270" s="1" t="n"/>
      <c r="H270" s="1" t="n"/>
      <c r="I270" s="1" t="n"/>
    </row>
    <row r="271">
      <c r="A271" s="1" t="n"/>
      <c r="B271" s="1" t="n"/>
      <c r="C271" s="1" t="n"/>
      <c r="D271" s="1" t="n"/>
      <c r="E271" s="1" t="n"/>
      <c r="F271" s="1" t="n"/>
      <c r="H271" s="1" t="n"/>
      <c r="I271" s="1" t="n"/>
    </row>
    <row r="272">
      <c r="A272" s="1" t="n"/>
      <c r="B272" s="1" t="n"/>
      <c r="C272" s="1" t="n"/>
      <c r="D272" s="1" t="n"/>
      <c r="E272" s="1" t="n"/>
      <c r="F272" s="1" t="n"/>
      <c r="H272" s="1" t="n"/>
      <c r="I272" s="1" t="n"/>
    </row>
    <row r="273">
      <c r="A273" s="1" t="n"/>
      <c r="B273" s="1" t="n"/>
      <c r="C273" s="1" t="n"/>
      <c r="D273" s="1" t="n"/>
      <c r="E273" s="1" t="n"/>
      <c r="F273" s="1" t="n"/>
      <c r="H273" s="1" t="n"/>
      <c r="I273" s="1" t="n"/>
    </row>
    <row r="274">
      <c r="A274" s="1" t="n"/>
      <c r="B274" s="1" t="n"/>
      <c r="C274" s="1" t="n"/>
      <c r="D274" s="1" t="n"/>
      <c r="E274" s="1" t="n"/>
      <c r="F274" s="1" t="n"/>
      <c r="H274" s="1" t="n"/>
      <c r="I274" s="1" t="n"/>
    </row>
    <row r="275">
      <c r="A275" s="1" t="n"/>
      <c r="B275" s="1" t="n"/>
      <c r="C275" s="1" t="n"/>
      <c r="D275" s="1" t="n"/>
      <c r="E275" s="1" t="n"/>
      <c r="F275" s="1" t="n"/>
      <c r="H275" s="1" t="n"/>
      <c r="I275" s="1" t="n"/>
    </row>
    <row r="276">
      <c r="A276" s="1" t="n"/>
      <c r="B276" s="1" t="n"/>
      <c r="C276" s="1" t="n"/>
      <c r="D276" s="1" t="n"/>
      <c r="E276" s="1" t="n"/>
      <c r="F276" s="1" t="n"/>
      <c r="G276" s="1" t="n"/>
      <c r="H276" s="1" t="n"/>
      <c r="I276" s="1" t="n"/>
    </row>
    <row r="277">
      <c r="A277" s="1" t="n"/>
      <c r="B277" s="1" t="n"/>
      <c r="C277" s="1" t="n"/>
      <c r="D277" s="1" t="n"/>
      <c r="E277" s="1" t="n"/>
      <c r="F277" s="1" t="n"/>
      <c r="H277" s="1" t="n"/>
      <c r="I277" s="1" t="n"/>
    </row>
    <row r="278">
      <c r="A278" s="1" t="n"/>
      <c r="B278" s="1" t="n"/>
      <c r="C278" s="1" t="n"/>
      <c r="D278" s="1" t="n"/>
      <c r="E278" s="1" t="n"/>
      <c r="F278" s="1" t="n"/>
      <c r="H278" s="1" t="n"/>
      <c r="I278" s="1" t="n"/>
    </row>
    <row r="279">
      <c r="A279" s="1" t="n"/>
      <c r="B279" s="1" t="n"/>
      <c r="C279" s="1" t="n"/>
      <c r="D279" s="1" t="n"/>
      <c r="E279" s="1" t="n"/>
      <c r="F279" s="1" t="n"/>
      <c r="H279" s="1" t="n"/>
      <c r="I279" s="1" t="n"/>
    </row>
    <row r="280">
      <c r="A280" s="1" t="n"/>
      <c r="B280" s="1" t="n"/>
      <c r="C280" s="1" t="n"/>
      <c r="D280" s="1" t="n"/>
      <c r="E280" s="1" t="n"/>
      <c r="F280" s="1" t="n"/>
      <c r="H280" s="1" t="n"/>
      <c r="I280" s="1" t="n"/>
    </row>
    <row r="281">
      <c r="A281" s="1" t="n"/>
      <c r="B281" s="1" t="n"/>
      <c r="C281" s="1" t="n"/>
      <c r="D281" s="1" t="n"/>
      <c r="E281" s="1" t="n"/>
      <c r="F281" s="1" t="n"/>
      <c r="H281" s="1" t="n"/>
      <c r="I281" s="1" t="n"/>
    </row>
    <row r="282">
      <c r="A282" s="1" t="n"/>
      <c r="B282" s="1" t="n"/>
      <c r="C282" s="1" t="n"/>
      <c r="D282" s="1" t="n"/>
      <c r="E282" s="1" t="n"/>
      <c r="F282" s="1" t="n"/>
      <c r="H282" s="1" t="n"/>
      <c r="I282" s="1" t="n"/>
    </row>
    <row r="283">
      <c r="A283" s="1" t="n"/>
      <c r="B283" s="1" t="n"/>
      <c r="C283" s="1" t="n"/>
      <c r="D283" s="1" t="n"/>
      <c r="E283" s="1" t="n"/>
      <c r="F283" s="1" t="n"/>
      <c r="H283" s="1" t="n"/>
      <c r="I283" s="1" t="n"/>
    </row>
    <row r="284">
      <c r="A284" s="1" t="n"/>
      <c r="B284" s="1" t="n"/>
      <c r="C284" s="1" t="n"/>
      <c r="D284" s="1" t="n"/>
      <c r="E284" s="1" t="n"/>
      <c r="F284" s="1" t="n"/>
      <c r="H284" s="1" t="n"/>
      <c r="I284" s="1" t="n"/>
    </row>
    <row r="285">
      <c r="A285" s="1" t="n"/>
      <c r="B285" s="1" t="n"/>
      <c r="C285" s="1" t="n"/>
      <c r="D285" s="1" t="n"/>
      <c r="E285" s="1" t="n"/>
      <c r="F285" s="1" t="n"/>
      <c r="H285" s="1" t="n"/>
      <c r="I285" s="1" t="n"/>
    </row>
    <row r="286">
      <c r="A286" s="1" t="n"/>
      <c r="B286" s="1" t="n"/>
      <c r="C286" s="1" t="n"/>
      <c r="D286" s="1" t="n"/>
      <c r="E286" s="1" t="n"/>
      <c r="F286" s="1" t="n"/>
      <c r="H286" s="1" t="n"/>
      <c r="I286" s="1" t="n"/>
    </row>
    <row r="287">
      <c r="A287" s="1" t="n"/>
      <c r="B287" s="1" t="n"/>
      <c r="C287" s="1" t="n"/>
      <c r="D287" s="1" t="n"/>
      <c r="E287" s="1" t="n"/>
      <c r="F287" s="1" t="n"/>
      <c r="H287" s="1" t="n"/>
      <c r="I287" s="1" t="n"/>
    </row>
    <row r="288">
      <c r="A288" s="1" t="n"/>
      <c r="B288" s="1" t="n"/>
      <c r="C288" s="1" t="n"/>
      <c r="D288" s="1" t="n"/>
      <c r="E288" s="1" t="n"/>
      <c r="F288" s="1" t="n"/>
      <c r="H288" s="1" t="n"/>
      <c r="I288" s="1" t="n"/>
    </row>
    <row r="289">
      <c r="A289" s="1" t="n"/>
      <c r="B289" s="1" t="n"/>
      <c r="C289" s="1" t="n"/>
      <c r="D289" s="1" t="n"/>
      <c r="E289" s="1" t="n"/>
      <c r="F289" s="1" t="n"/>
      <c r="H289" s="1" t="n"/>
      <c r="I289" s="1" t="n"/>
    </row>
    <row r="290">
      <c r="A290" s="1" t="n"/>
      <c r="B290" s="1" t="n"/>
      <c r="C290" s="1" t="n"/>
      <c r="D290" s="1" t="n"/>
      <c r="E290" s="1" t="n"/>
      <c r="F290" s="1" t="n"/>
      <c r="H290" s="1" t="n"/>
      <c r="I290" s="1" t="n"/>
    </row>
    <row r="291">
      <c r="A291" s="1" t="n"/>
      <c r="B291" s="1" t="n"/>
      <c r="C291" s="1" t="n"/>
      <c r="D291" s="1" t="n"/>
      <c r="E291" s="1" t="n"/>
      <c r="F291" s="1" t="n"/>
      <c r="H291" s="1" t="n"/>
      <c r="I291" s="1" t="n"/>
    </row>
    <row r="292">
      <c r="A292" s="1" t="n"/>
      <c r="B292" s="1" t="n"/>
      <c r="C292" s="1" t="n"/>
      <c r="D292" s="1" t="n"/>
      <c r="E292" s="1" t="n"/>
      <c r="F292" s="1" t="n"/>
      <c r="H292" s="1" t="n"/>
      <c r="I292" s="1" t="n"/>
    </row>
    <row r="293">
      <c r="A293" s="1" t="n"/>
      <c r="B293" s="1" t="n"/>
      <c r="C293" s="1" t="n"/>
      <c r="D293" s="1" t="n"/>
      <c r="E293" s="1" t="n"/>
      <c r="F293" s="1" t="n"/>
      <c r="H293" s="1" t="n"/>
      <c r="I293" s="1" t="n"/>
    </row>
    <row r="294">
      <c r="A294" s="1" t="n"/>
      <c r="B294" s="1" t="n"/>
      <c r="C294" s="1" t="n"/>
      <c r="D294" s="1" t="n"/>
      <c r="E294" s="1" t="n"/>
      <c r="F294" s="1" t="n"/>
      <c r="H294" s="1" t="n"/>
      <c r="I294" s="1" t="n"/>
    </row>
    <row r="295">
      <c r="A295" s="1" t="n"/>
      <c r="B295" s="1" t="n"/>
      <c r="C295" s="1" t="n"/>
      <c r="D295" s="1" t="n"/>
      <c r="E295" s="1" t="n"/>
      <c r="F295" s="1" t="n"/>
      <c r="H295" s="1" t="n"/>
      <c r="I295" s="1" t="n"/>
    </row>
    <row r="296">
      <c r="A296" s="1" t="n"/>
      <c r="B296" s="1" t="n"/>
      <c r="C296" s="1" t="n"/>
      <c r="D296" s="1" t="n"/>
      <c r="H296" s="1" t="n"/>
      <c r="I296" s="1" t="n"/>
    </row>
    <row r="297">
      <c r="A297" s="1" t="n"/>
      <c r="B297" s="1" t="n"/>
      <c r="C297" s="1" t="n"/>
      <c r="E297" s="1" t="n"/>
      <c r="H297" s="1" t="n"/>
      <c r="I297" s="1" t="n"/>
    </row>
    <row r="298">
      <c r="A298" s="1" t="n"/>
      <c r="B298" s="1" t="n"/>
      <c r="C298" s="1" t="n"/>
      <c r="D298" s="1" t="n"/>
      <c r="H298" s="1" t="n"/>
      <c r="I298" s="1" t="n"/>
    </row>
    <row r="299">
      <c r="A299" s="1" t="n"/>
      <c r="B299" s="1" t="n"/>
      <c r="C299" s="1" t="n"/>
      <c r="D299" s="1" t="n"/>
      <c r="E299" s="1" t="n"/>
      <c r="H299" s="1" t="n"/>
      <c r="I299" s="1" t="n"/>
    </row>
    <row r="300">
      <c r="A300" s="1" t="n"/>
      <c r="B300" s="1" t="n"/>
      <c r="C300" s="1" t="n"/>
      <c r="D300" s="1" t="n"/>
      <c r="E300" s="1" t="n"/>
      <c r="H300" s="1" t="n"/>
      <c r="I300" s="1" t="n"/>
    </row>
    <row r="301">
      <c r="A301" s="1" t="n"/>
      <c r="B301" s="1" t="n"/>
      <c r="C301" s="1" t="n"/>
      <c r="E301" s="1" t="n"/>
      <c r="H301" s="1" t="n"/>
      <c r="I301" s="1" t="n"/>
    </row>
    <row r="302">
      <c r="A302" s="1" t="n"/>
      <c r="B302" s="1" t="n"/>
      <c r="C302" s="1" t="n"/>
      <c r="D302" s="1" t="n"/>
      <c r="H302" s="1" t="n"/>
      <c r="I302" s="1" t="n"/>
    </row>
    <row r="303">
      <c r="A303" s="1" t="n"/>
      <c r="B303" s="1" t="n"/>
      <c r="C303" s="1" t="n"/>
      <c r="D303" s="1" t="n"/>
      <c r="E303" s="1" t="n"/>
      <c r="H303" s="1" t="n"/>
      <c r="I303" s="1" t="n"/>
    </row>
    <row r="304">
      <c r="A304" s="1" t="n"/>
      <c r="B304" s="1" t="n"/>
      <c r="C304" s="1" t="n"/>
      <c r="D304" s="1" t="n"/>
      <c r="H304" s="1" t="n"/>
      <c r="I304" s="1" t="n"/>
    </row>
    <row r="305">
      <c r="A305" s="1" t="n"/>
      <c r="B305" s="1" t="n"/>
      <c r="C305" s="1" t="n"/>
      <c r="D305" s="1" t="n"/>
      <c r="E305" s="1" t="n"/>
      <c r="H305" s="1" t="n"/>
      <c r="I305" s="1" t="n"/>
    </row>
    <row r="306">
      <c r="A306" s="1" t="n"/>
      <c r="B306" s="1" t="n"/>
      <c r="C306" s="1" t="n"/>
      <c r="D306" s="1" t="n"/>
      <c r="H306" s="1" t="n"/>
      <c r="I306" s="1" t="n"/>
    </row>
    <row r="307">
      <c r="A307" s="1" t="n"/>
      <c r="B307" s="1" t="n"/>
      <c r="C307" s="1" t="n"/>
      <c r="D307" s="1" t="n"/>
      <c r="E307" s="1" t="n"/>
      <c r="H307" s="1" t="n"/>
      <c r="I307" s="1" t="n"/>
    </row>
    <row r="308">
      <c r="A308" s="1" t="n"/>
      <c r="B308" s="1" t="n"/>
      <c r="C308" s="1" t="n"/>
      <c r="D308" s="1" t="n"/>
      <c r="H308" s="1" t="n"/>
      <c r="I308" s="1" t="n"/>
    </row>
    <row r="309">
      <c r="A309" s="1" t="n"/>
      <c r="B309" s="1" t="n"/>
      <c r="C309" s="1" t="n"/>
      <c r="D309" s="1" t="n"/>
      <c r="H309" s="1" t="n"/>
      <c r="I309" s="1" t="n"/>
    </row>
    <row r="310">
      <c r="A310" s="1" t="n"/>
      <c r="B310" s="1" t="n"/>
      <c r="C310" s="1" t="n"/>
      <c r="E310" s="1" t="n"/>
      <c r="H310" s="1" t="n"/>
      <c r="I310" s="1" t="n"/>
    </row>
    <row r="311">
      <c r="A311" s="1" t="n"/>
      <c r="B311" s="1" t="n"/>
      <c r="C311" s="1" t="n"/>
      <c r="D311" s="1" t="n"/>
      <c r="E311" s="1" t="n"/>
      <c r="H311" s="1" t="n"/>
      <c r="I311" s="1" t="n"/>
    </row>
    <row r="312">
      <c r="A312" s="1" t="n"/>
      <c r="B312" s="1" t="n"/>
      <c r="C312" s="1" t="n"/>
      <c r="D312" s="1" t="n"/>
      <c r="H312" s="1" t="n"/>
      <c r="I312" s="1" t="n"/>
    </row>
    <row r="313">
      <c r="A313" s="1" t="n"/>
      <c r="B313" s="1" t="n"/>
      <c r="C313" s="1" t="n"/>
      <c r="D313" s="1" t="n"/>
      <c r="E313" s="1" t="n"/>
      <c r="H313" s="1" t="n"/>
      <c r="I313" s="1" t="n"/>
    </row>
    <row r="314">
      <c r="A314" s="1" t="n"/>
      <c r="B314" s="1" t="n"/>
      <c r="C314" s="1" t="n"/>
      <c r="D314" s="1" t="n"/>
      <c r="E314" s="1" t="n"/>
      <c r="H314" s="1" t="n"/>
      <c r="I314" s="1" t="n"/>
    </row>
    <row r="315">
      <c r="A315" s="1" t="n"/>
      <c r="B315" s="1" t="n"/>
      <c r="C315" s="1" t="n"/>
      <c r="E315" s="1" t="n"/>
      <c r="H315" s="1" t="n"/>
      <c r="I315" s="1" t="n"/>
    </row>
    <row r="316">
      <c r="A316" s="1" t="n"/>
      <c r="B316" s="1" t="n"/>
      <c r="C316" s="1" t="n"/>
      <c r="D316" s="1" t="n"/>
      <c r="H316" s="1" t="n"/>
      <c r="I316" s="1" t="n"/>
    </row>
    <row r="317">
      <c r="A317" s="1" t="n"/>
      <c r="B317" s="1" t="n"/>
      <c r="C317" s="1" t="n"/>
      <c r="E317" s="1" t="n"/>
      <c r="H317" s="1" t="n"/>
      <c r="I317" s="1" t="n"/>
    </row>
    <row r="318">
      <c r="A318" s="1" t="n"/>
      <c r="B318" s="1" t="n"/>
      <c r="C318" s="1" t="n"/>
      <c r="D318" s="1" t="n"/>
      <c r="H318" s="1" t="n"/>
      <c r="I318" s="1" t="n"/>
    </row>
    <row r="319">
      <c r="A319" s="1" t="n"/>
      <c r="B319" s="1" t="n"/>
      <c r="C319" s="1" t="n"/>
      <c r="D319" s="1" t="n"/>
      <c r="H319" s="1" t="n"/>
      <c r="I319" s="1" t="n"/>
    </row>
    <row r="320">
      <c r="A320" s="1" t="n"/>
      <c r="B320" s="1" t="n"/>
      <c r="C320" s="1" t="n"/>
      <c r="E320" s="1" t="n"/>
      <c r="H320" s="1" t="n"/>
      <c r="I320" s="1" t="n"/>
    </row>
    <row r="321">
      <c r="A321" s="1" t="n"/>
      <c r="B321" s="1" t="n"/>
      <c r="C321" s="1" t="n"/>
      <c r="E321" s="1" t="n"/>
      <c r="H321" s="1" t="n"/>
      <c r="I321" s="1" t="n"/>
    </row>
    <row r="322">
      <c r="A322" s="1" t="n"/>
      <c r="B322" s="1" t="n"/>
      <c r="C322" s="1" t="n"/>
      <c r="D322" s="1" t="n"/>
      <c r="H322" s="1" t="n"/>
      <c r="I322" s="1" t="n"/>
    </row>
    <row r="323">
      <c r="A323" s="1" t="n"/>
      <c r="B323" s="1" t="n"/>
      <c r="C323" s="1" t="n"/>
      <c r="D323" s="1" t="n"/>
      <c r="H323" s="1" t="n"/>
      <c r="I323" s="1" t="n"/>
    </row>
    <row r="324">
      <c r="A324" s="1" t="n"/>
      <c r="B324" s="1" t="n"/>
      <c r="C324" s="1" t="n"/>
      <c r="E324" s="1" t="n"/>
      <c r="H324" s="1" t="n"/>
      <c r="I324" s="1" t="n"/>
    </row>
    <row r="325">
      <c r="A325" s="1" t="n"/>
      <c r="B325" s="1" t="n"/>
      <c r="C325" s="1" t="n"/>
      <c r="D325" s="1" t="n"/>
      <c r="H325" s="1" t="n"/>
      <c r="I325" s="1" t="n"/>
    </row>
    <row r="326">
      <c r="A326" s="1" t="n"/>
      <c r="B326" s="1" t="n"/>
      <c r="C326" s="1" t="n"/>
      <c r="E326" s="1" t="n"/>
      <c r="H326" s="1" t="n"/>
      <c r="I326" s="1" t="n"/>
    </row>
    <row r="327">
      <c r="A327" s="1" t="n"/>
      <c r="B327" s="1" t="n"/>
      <c r="C327" s="1" t="n"/>
      <c r="D327" s="1" t="n"/>
      <c r="H327" s="1" t="n"/>
      <c r="I327" s="1" t="n"/>
    </row>
    <row r="328">
      <c r="A328" s="1" t="n"/>
      <c r="B328" s="1" t="n"/>
      <c r="C328" s="1" t="n"/>
      <c r="E328" s="1" t="n"/>
      <c r="H328" s="1" t="n"/>
      <c r="I328" s="1" t="n"/>
    </row>
    <row r="329">
      <c r="A329" s="1" t="n"/>
      <c r="B329" s="1" t="n"/>
      <c r="C329" s="1" t="n"/>
      <c r="D329" s="1" t="n"/>
      <c r="H329" s="1" t="n"/>
      <c r="I329" s="1" t="n"/>
    </row>
    <row r="330">
      <c r="A330" s="1" t="n"/>
      <c r="B330" s="1" t="n"/>
      <c r="C330" s="1" t="n"/>
      <c r="D330" s="1" t="n"/>
      <c r="H330" s="1" t="n"/>
      <c r="I330" s="1" t="n"/>
    </row>
    <row r="331">
      <c r="A331" s="1" t="n"/>
      <c r="B331" s="1" t="n"/>
      <c r="C331" s="1" t="n"/>
      <c r="E331" s="1" t="n"/>
      <c r="H331" s="1" t="n"/>
      <c r="I331" s="1" t="n"/>
    </row>
    <row r="332">
      <c r="A332" s="1" t="n"/>
      <c r="B332" s="1" t="n"/>
      <c r="C332" s="1" t="n"/>
      <c r="D332" s="1" t="n"/>
      <c r="H332" s="1" t="n"/>
      <c r="I332" s="1" t="n"/>
    </row>
    <row r="333">
      <c r="A333" s="1" t="n"/>
      <c r="B333" s="1" t="n"/>
      <c r="C333" s="1" t="n"/>
      <c r="E333" s="1" t="n"/>
      <c r="H333" s="1" t="n"/>
      <c r="I333" s="1" t="n"/>
    </row>
    <row r="334">
      <c r="C334" s="1" t="n"/>
      <c r="D334" s="1" t="n"/>
      <c r="E334" s="1" t="n"/>
      <c r="F334" s="1" t="n"/>
    </row>
    <row r="335">
      <c r="C335" s="1" t="n"/>
      <c r="D335" s="1" t="n"/>
      <c r="E335" s="1" t="n"/>
      <c r="F335" s="1" t="n"/>
    </row>
    <row r="336">
      <c r="C336" s="1" t="n"/>
      <c r="D336" s="1" t="n"/>
      <c r="E336" s="1" t="n"/>
      <c r="F336" s="1" t="n"/>
    </row>
    <row r="337">
      <c r="C337" s="1" t="n"/>
      <c r="D337" s="1" t="n"/>
      <c r="E337" s="1" t="n"/>
      <c r="F337" s="1" t="n"/>
    </row>
    <row r="338">
      <c r="C338" s="1" t="n"/>
      <c r="D338" s="1" t="n"/>
      <c r="E338" s="1" t="n"/>
      <c r="F338" s="1" t="n"/>
    </row>
    <row r="339">
      <c r="C339" s="1" t="n"/>
      <c r="D339" s="1" t="n"/>
      <c r="E339" s="1" t="n"/>
      <c r="F339" s="1" t="n"/>
    </row>
    <row r="340">
      <c r="C340" s="1" t="n"/>
      <c r="D340" s="1" t="n"/>
      <c r="E340" s="1" t="n"/>
      <c r="F340" s="1" t="n"/>
    </row>
    <row r="341">
      <c r="C341" s="1" t="n"/>
      <c r="D341" s="1" t="n"/>
      <c r="E341" s="1" t="n"/>
      <c r="F341" s="1" t="n"/>
    </row>
    <row r="342">
      <c r="C342" s="1" t="n"/>
      <c r="D342" s="1" t="n"/>
      <c r="E342" s="1" t="n"/>
      <c r="F342" s="1" t="n"/>
    </row>
    <row r="343">
      <c r="C343" s="1" t="n"/>
      <c r="D343" s="1" t="n"/>
      <c r="E343" s="1" t="n"/>
      <c r="F343" s="1" t="n"/>
    </row>
    <row r="344">
      <c r="C344" s="1" t="n"/>
      <c r="D344" s="1" t="n"/>
      <c r="E344" s="1" t="n"/>
      <c r="F344" s="1" t="n"/>
    </row>
    <row r="345">
      <c r="C345" s="1" t="n"/>
      <c r="D345" s="1" t="n"/>
      <c r="E345" s="1" t="n"/>
      <c r="F345" s="1" t="n"/>
    </row>
    <row r="346">
      <c r="C346" s="1" t="n"/>
      <c r="D346" s="1" t="n"/>
      <c r="E346" s="1" t="n"/>
      <c r="F346" s="1" t="n"/>
    </row>
    <row r="347">
      <c r="C347" s="1" t="n"/>
      <c r="D347" s="1" t="n"/>
      <c r="E347" s="1" t="n"/>
      <c r="F347" s="1" t="n"/>
    </row>
    <row r="348">
      <c r="C348" s="1" t="n"/>
      <c r="D348" s="1" t="n"/>
      <c r="E348" s="1" t="n"/>
      <c r="F348" s="1" t="n"/>
    </row>
    <row r="349">
      <c r="C349" s="1" t="n"/>
      <c r="D349" s="1" t="n"/>
      <c r="E349" s="1" t="n"/>
      <c r="F349" s="1" t="n"/>
    </row>
    <row r="350">
      <c r="C350" s="1" t="n"/>
      <c r="D350" s="1" t="n"/>
      <c r="E350" s="1" t="n"/>
      <c r="F350" s="1" t="n"/>
    </row>
    <row r="351">
      <c r="C351" s="1" t="n"/>
      <c r="D351" s="1" t="n"/>
      <c r="E351" s="1" t="n"/>
      <c r="F351" s="1" t="n"/>
    </row>
    <row r="352">
      <c r="C352" s="1" t="n"/>
      <c r="D352" s="1" t="n"/>
      <c r="E352" s="1" t="n"/>
      <c r="F352" s="1" t="n"/>
    </row>
    <row r="353">
      <c r="C353" s="1" t="n"/>
      <c r="D353" s="1" t="n"/>
      <c r="E353" s="1" t="n"/>
      <c r="F353" s="1" t="n"/>
    </row>
    <row r="354">
      <c r="C354" s="1" t="n"/>
      <c r="D354" s="1" t="n"/>
      <c r="E354" s="1" t="n"/>
      <c r="F354" s="1" t="n"/>
    </row>
    <row r="355">
      <c r="C355" s="1" t="n"/>
      <c r="D355" s="1" t="n"/>
      <c r="E355" s="1" t="n"/>
      <c r="F355" s="1" t="n"/>
    </row>
    <row r="356">
      <c r="C356" s="1" t="n"/>
      <c r="D356" s="1" t="n"/>
      <c r="E356" s="1" t="n"/>
      <c r="F356" s="1" t="n"/>
    </row>
    <row r="357">
      <c r="C357" s="1" t="n"/>
      <c r="D357" s="1" t="n"/>
      <c r="E357" s="1" t="n"/>
      <c r="F357" s="1" t="n"/>
    </row>
    <row r="358">
      <c r="C358" s="1" t="n"/>
      <c r="D358" s="1" t="n"/>
      <c r="E358" s="1" t="n"/>
      <c r="F358" s="1" t="n"/>
    </row>
    <row r="359">
      <c r="C359" s="1" t="n"/>
      <c r="D359" s="1" t="n"/>
      <c r="E359" s="1" t="n"/>
      <c r="F359" s="1" t="n"/>
    </row>
    <row r="360">
      <c r="C360" s="1" t="n"/>
      <c r="D360" s="1" t="n"/>
      <c r="E360" s="1" t="n"/>
      <c r="F360" s="1" t="n"/>
    </row>
    <row r="361">
      <c r="C361" s="1" t="n"/>
      <c r="D361" s="1" t="n"/>
      <c r="E361" s="1" t="n"/>
      <c r="F361" s="1" t="n"/>
    </row>
    <row r="362">
      <c r="C362" s="1" t="n"/>
      <c r="D362" s="1" t="n"/>
      <c r="E362" s="1" t="n"/>
      <c r="F362" s="1" t="n"/>
    </row>
    <row r="363">
      <c r="C363" s="1" t="n"/>
      <c r="D363" s="1" t="n"/>
      <c r="E363" s="1" t="n"/>
      <c r="F363" s="1" t="n"/>
    </row>
    <row r="364">
      <c r="C364" s="1" t="n"/>
      <c r="D364" s="1" t="n"/>
      <c r="E364" s="1" t="n"/>
      <c r="F364" s="1" t="n"/>
    </row>
    <row r="365">
      <c r="C365" s="1" t="n"/>
      <c r="D365" s="1" t="n"/>
      <c r="E365" s="1" t="n"/>
      <c r="F365" s="1" t="n"/>
    </row>
    <row r="366">
      <c r="C366" s="1" t="n"/>
      <c r="D366" s="1" t="n"/>
      <c r="E366" s="1" t="n"/>
      <c r="F366" s="1" t="n"/>
    </row>
    <row r="367">
      <c r="C367" s="1" t="n"/>
      <c r="D367" s="1" t="n"/>
      <c r="E367" s="1" t="n"/>
      <c r="F367" s="1" t="n"/>
    </row>
    <row r="368">
      <c r="C368" s="1" t="n"/>
      <c r="D368" s="1" t="n"/>
      <c r="E368" s="1" t="n"/>
      <c r="F368" s="1" t="n"/>
    </row>
    <row r="369">
      <c r="C369" s="1" t="n"/>
      <c r="D369" s="1" t="n"/>
      <c r="E369" s="1" t="n"/>
      <c r="F369" s="1" t="n"/>
    </row>
    <row r="370">
      <c r="C370" s="1" t="n"/>
      <c r="D370" s="1" t="n"/>
      <c r="E370" s="1" t="n"/>
      <c r="F370" s="1" t="n"/>
    </row>
    <row r="371">
      <c r="C371" s="1" t="n"/>
      <c r="D371" s="1" t="n"/>
      <c r="E371" s="1" t="n"/>
      <c r="F371" s="1" t="n"/>
    </row>
    <row r="372">
      <c r="C372" s="1" t="n"/>
      <c r="D372" s="1" t="n"/>
      <c r="E372" s="1" t="n"/>
      <c r="F372" s="1" t="n"/>
    </row>
    <row r="373">
      <c r="C373" s="1" t="n"/>
      <c r="D373" s="1" t="n"/>
      <c r="E373" s="1" t="n"/>
      <c r="F373" s="1" t="n"/>
    </row>
    <row r="374">
      <c r="C374" s="1" t="n"/>
      <c r="D374" s="1" t="n"/>
      <c r="E374" s="1" t="n"/>
      <c r="F374" s="1" t="n"/>
    </row>
    <row r="375">
      <c r="C375" s="1" t="n"/>
      <c r="D375" s="1" t="n"/>
      <c r="E375" s="1" t="n"/>
      <c r="F375" s="1" t="n"/>
    </row>
    <row r="376">
      <c r="C376" s="1" t="n"/>
      <c r="D376" s="1" t="n"/>
      <c r="E376" s="1" t="n"/>
      <c r="F376" s="1" t="n"/>
    </row>
    <row r="377">
      <c r="C377" s="1" t="n"/>
      <c r="D377" s="1" t="n"/>
      <c r="E377" s="1" t="n"/>
      <c r="F377" s="1" t="n"/>
    </row>
    <row r="378">
      <c r="C378" s="1" t="n"/>
      <c r="D378" s="1" t="n"/>
      <c r="E378" s="1" t="n"/>
      <c r="F378" s="1" t="n"/>
    </row>
    <row r="379">
      <c r="C379" s="1" t="n"/>
      <c r="D379" s="1" t="n"/>
      <c r="E379" s="1" t="n"/>
      <c r="F379" s="1" t="n"/>
    </row>
    <row r="380">
      <c r="C380" s="1" t="n"/>
      <c r="D380" s="1" t="n"/>
      <c r="E380" s="1" t="n"/>
      <c r="F380" s="1" t="n"/>
    </row>
    <row r="381">
      <c r="C381" s="1" t="n"/>
      <c r="D381" s="1" t="n"/>
      <c r="E381" s="1" t="n"/>
      <c r="F381" s="1" t="n"/>
    </row>
    <row r="382">
      <c r="C382" s="1" t="n"/>
      <c r="D382" s="1" t="n"/>
      <c r="E382" s="1" t="n"/>
      <c r="F382" s="1" t="n"/>
    </row>
    <row r="383">
      <c r="C383" s="1" t="n"/>
      <c r="D383" s="1" t="n"/>
      <c r="E383" s="1" t="n"/>
      <c r="F383" s="1" t="n"/>
    </row>
    <row r="384">
      <c r="C384" s="1" t="n"/>
      <c r="D384" s="1" t="n"/>
      <c r="E384" s="1" t="n"/>
      <c r="F384" s="1" t="n"/>
    </row>
    <row r="385">
      <c r="C385" s="1" t="n"/>
      <c r="D385" s="1" t="n"/>
      <c r="E385" s="1" t="n"/>
      <c r="F385" s="1" t="n"/>
    </row>
    <row r="386">
      <c r="C386" s="1" t="n"/>
      <c r="D386" s="1" t="n"/>
      <c r="E386" s="1" t="n"/>
      <c r="F386" s="1" t="n"/>
    </row>
    <row r="387">
      <c r="C387" s="1" t="n"/>
      <c r="D387" s="1" t="n"/>
      <c r="E387" s="1" t="n"/>
      <c r="F387" s="1" t="n"/>
    </row>
    <row r="388">
      <c r="C388" s="1" t="n"/>
      <c r="D388" s="1" t="n"/>
      <c r="E388" s="1" t="n"/>
      <c r="F388" s="1" t="n"/>
    </row>
    <row r="389">
      <c r="C389" s="1" t="n"/>
      <c r="D389" s="1" t="n"/>
      <c r="E389" s="1" t="n"/>
      <c r="F389" s="1" t="n"/>
    </row>
    <row r="390">
      <c r="C390" s="1" t="n"/>
      <c r="D390" s="1" t="n"/>
      <c r="E390" s="1" t="n"/>
      <c r="F390" s="1" t="n"/>
    </row>
    <row r="391">
      <c r="C391" s="1" t="n"/>
      <c r="D391" s="1" t="n"/>
      <c r="E391" s="1" t="n"/>
      <c r="F391" s="1" t="n"/>
    </row>
    <row r="392">
      <c r="C392" s="1" t="n"/>
      <c r="D392" s="1" t="n"/>
      <c r="E392" s="1" t="n"/>
      <c r="F392" s="1" t="n"/>
    </row>
    <row r="393">
      <c r="C393" s="1" t="n"/>
      <c r="D393" s="1" t="n"/>
      <c r="E393" s="1" t="n"/>
      <c r="F393" s="1" t="n"/>
    </row>
    <row r="394">
      <c r="C394" s="1" t="n"/>
      <c r="D394" s="1" t="n"/>
      <c r="E394" s="1" t="n"/>
      <c r="F394" s="1" t="n"/>
    </row>
    <row r="395">
      <c r="C395" s="1" t="n"/>
      <c r="D395" s="1" t="n"/>
      <c r="E395" s="1" t="n"/>
      <c r="F395" s="1" t="n"/>
    </row>
    <row r="396">
      <c r="C396" s="1" t="n"/>
      <c r="D396" s="1" t="n"/>
      <c r="E396" s="1" t="n"/>
      <c r="F396" s="1" t="n"/>
    </row>
    <row r="397">
      <c r="C397" s="1" t="n"/>
      <c r="D397" s="1" t="n"/>
      <c r="E397" s="1" t="n"/>
      <c r="F397" s="1" t="n"/>
    </row>
    <row r="398">
      <c r="C398" s="1" t="n"/>
      <c r="D398" s="1" t="n"/>
      <c r="E398" s="1" t="n"/>
      <c r="F398" s="1" t="n"/>
    </row>
    <row r="399">
      <c r="C399" s="1" t="n"/>
      <c r="D399" s="1" t="n"/>
      <c r="E399" s="1" t="n"/>
      <c r="F399" s="1" t="n"/>
    </row>
    <row r="400">
      <c r="C400" s="1" t="n"/>
      <c r="D400" s="1" t="n"/>
      <c r="E400" s="1" t="n"/>
      <c r="F400" s="1" t="n"/>
    </row>
    <row r="401">
      <c r="C401" s="1" t="n"/>
      <c r="D401" s="1" t="n"/>
      <c r="E401" s="1" t="n"/>
      <c r="F401" s="1" t="n"/>
    </row>
    <row r="402">
      <c r="C402" s="1" t="n"/>
      <c r="D402" s="1" t="n"/>
      <c r="E402" s="1" t="n"/>
      <c r="F402" s="1" t="n"/>
    </row>
    <row r="403">
      <c r="C403" s="1" t="n"/>
      <c r="D403" s="1" t="n"/>
      <c r="E403" s="1" t="n"/>
      <c r="F403" s="1" t="n"/>
    </row>
    <row r="404">
      <c r="C404" s="1" t="n"/>
      <c r="D404" s="1" t="n"/>
      <c r="E404" s="1" t="n"/>
      <c r="F404" s="1" t="n"/>
    </row>
    <row r="405">
      <c r="C405" s="1" t="n"/>
      <c r="D405" s="1" t="n"/>
      <c r="E405" s="1" t="n"/>
      <c r="F405" s="1" t="n"/>
    </row>
    <row r="406">
      <c r="C406" s="1" t="n"/>
      <c r="D406" s="1" t="n"/>
      <c r="E406" s="1" t="n"/>
      <c r="F406" s="1" t="n"/>
    </row>
    <row r="407">
      <c r="C407" s="1" t="n"/>
      <c r="D407" s="1" t="n"/>
      <c r="E407" s="1" t="n"/>
      <c r="F407" s="1" t="n"/>
    </row>
    <row r="408">
      <c r="C408" s="1" t="n"/>
      <c r="D408" s="1" t="n"/>
      <c r="E408" s="1" t="n"/>
      <c r="F408" s="1" t="n"/>
    </row>
    <row r="409">
      <c r="C409" s="1" t="n"/>
      <c r="D409" s="1" t="n"/>
      <c r="E409" s="1" t="n"/>
      <c r="F409" s="1" t="n"/>
    </row>
    <row r="410">
      <c r="C410" s="1" t="n"/>
      <c r="D410" s="1" t="n"/>
      <c r="E410" s="1" t="n"/>
      <c r="F410" s="1" t="n"/>
    </row>
    <row r="411">
      <c r="C411" s="1" t="n"/>
      <c r="D411" s="1" t="n"/>
      <c r="E411" s="1" t="n"/>
      <c r="F411" s="1" t="n"/>
    </row>
    <row r="412">
      <c r="C412" s="1" t="n"/>
      <c r="D412" s="1" t="n"/>
      <c r="E412" s="1" t="n"/>
      <c r="F412" s="1" t="n"/>
    </row>
    <row r="413">
      <c r="C413" s="1" t="n"/>
      <c r="D413" s="1" t="n"/>
      <c r="E413" s="1" t="n"/>
      <c r="F413" s="1" t="n"/>
    </row>
    <row r="414">
      <c r="C414" s="1" t="n"/>
      <c r="D414" s="1" t="n"/>
      <c r="E414" s="1" t="n"/>
      <c r="F414" s="1" t="n"/>
    </row>
    <row r="415">
      <c r="C415" s="1" t="n"/>
      <c r="D415" s="1" t="n"/>
      <c r="E415" s="1" t="n"/>
      <c r="F415" s="1" t="n"/>
    </row>
    <row r="416">
      <c r="C416" s="1" t="n"/>
      <c r="D416" s="1" t="n"/>
      <c r="E416" s="1" t="n"/>
      <c r="F416" s="1" t="n"/>
    </row>
    <row r="417">
      <c r="C417" s="1" t="n"/>
      <c r="D417" s="1" t="n"/>
      <c r="E417" s="1" t="n"/>
      <c r="F417" s="1" t="n"/>
    </row>
    <row r="418">
      <c r="C418" s="1" t="n"/>
      <c r="D418" s="1" t="n"/>
      <c r="E418" s="1" t="n"/>
      <c r="F418" s="1" t="n"/>
    </row>
    <row r="419">
      <c r="C419" s="1" t="n"/>
      <c r="D419" s="1" t="n"/>
      <c r="E419" s="1" t="n"/>
      <c r="F419" s="1" t="n"/>
    </row>
    <row r="420">
      <c r="C420" s="1" t="n"/>
      <c r="D420" s="1" t="n"/>
      <c r="E420" s="1" t="n"/>
      <c r="F420" s="1" t="n"/>
    </row>
    <row r="421">
      <c r="C421" s="1" t="n"/>
      <c r="D421" s="1" t="n"/>
      <c r="E421" s="1" t="n"/>
      <c r="F421" s="1" t="n"/>
    </row>
    <row r="422">
      <c r="C422" s="1" t="n"/>
      <c r="D422" s="1" t="n"/>
      <c r="E422" s="1" t="n"/>
      <c r="F422" s="1" t="n"/>
    </row>
    <row r="423">
      <c r="C423" s="1" t="n"/>
      <c r="D423" s="1" t="n"/>
      <c r="E423" s="1" t="n"/>
      <c r="F423" s="1" t="n"/>
    </row>
    <row r="424">
      <c r="C424" s="1" t="n"/>
      <c r="D424" s="1" t="n"/>
      <c r="E424" s="1" t="n"/>
      <c r="F424" s="1" t="n"/>
    </row>
    <row r="425">
      <c r="C425" s="1" t="n"/>
      <c r="D425" s="1" t="n"/>
      <c r="E425" s="1" t="n"/>
      <c r="F425" s="1" t="n"/>
    </row>
    <row r="426">
      <c r="C426" s="1" t="n"/>
      <c r="D426" s="1" t="n"/>
      <c r="E426" s="1" t="n"/>
      <c r="F426" s="1" t="n"/>
    </row>
    <row r="427">
      <c r="C427" s="1" t="n"/>
      <c r="D427" s="1" t="n"/>
      <c r="E427" s="1" t="n"/>
      <c r="F427" s="1" t="n"/>
    </row>
    <row r="428">
      <c r="C428" s="1" t="n"/>
      <c r="D428" s="1" t="n"/>
      <c r="E428" s="1" t="n"/>
      <c r="F428" s="1" t="n"/>
    </row>
    <row r="429">
      <c r="C429" s="1" t="n"/>
      <c r="D429" s="1" t="n"/>
      <c r="E429" s="1" t="n"/>
      <c r="F429" s="1" t="n"/>
    </row>
    <row r="430">
      <c r="C430" s="1" t="n"/>
      <c r="D430" s="1" t="n"/>
      <c r="E430" s="1" t="n"/>
      <c r="F430" s="1" t="n"/>
    </row>
    <row r="431">
      <c r="C431" s="1" t="n"/>
      <c r="D431" s="1" t="n"/>
      <c r="E431" s="1" t="n"/>
      <c r="F431" s="1" t="n"/>
    </row>
    <row r="432">
      <c r="C432" s="1" t="n"/>
      <c r="D432" s="1" t="n"/>
      <c r="E432" s="1" t="n"/>
      <c r="F432" s="1" t="n"/>
    </row>
    <row r="433">
      <c r="C433" s="1" t="n"/>
      <c r="D433" s="1" t="n"/>
      <c r="E433" s="1" t="n"/>
      <c r="F433" s="1" t="n"/>
    </row>
    <row r="434">
      <c r="C434" s="1" t="n"/>
      <c r="D434" s="1" t="n"/>
      <c r="E434" s="1" t="n"/>
      <c r="F434" s="1" t="n"/>
    </row>
    <row r="435">
      <c r="C435" s="1" t="n"/>
      <c r="D435" s="1" t="n"/>
      <c r="E435" s="1" t="n"/>
      <c r="F435" s="1" t="n"/>
    </row>
    <row r="436">
      <c r="C436" s="1" t="n"/>
      <c r="D436" s="1" t="n"/>
      <c r="E436" s="1" t="n"/>
      <c r="F436" s="1" t="n"/>
    </row>
    <row r="437">
      <c r="C437" s="1" t="n"/>
      <c r="D437" s="1" t="n"/>
      <c r="E437" s="1" t="n"/>
      <c r="F437" s="1" t="n"/>
    </row>
    <row r="438">
      <c r="C438" s="1" t="n"/>
      <c r="D438" s="1" t="n"/>
      <c r="E438" s="1" t="n"/>
      <c r="F438" s="1" t="n"/>
    </row>
    <row r="439">
      <c r="C439" s="1" t="n"/>
      <c r="D439" s="1" t="n"/>
      <c r="E439" s="1" t="n"/>
      <c r="F439" s="1" t="n"/>
    </row>
    <row r="440">
      <c r="C440" s="1" t="n"/>
      <c r="D440" s="1" t="n"/>
      <c r="E440" s="1" t="n"/>
      <c r="F440" s="1" t="n"/>
    </row>
    <row r="441">
      <c r="C441" s="1" t="n"/>
      <c r="D441" s="1" t="n"/>
      <c r="E441" s="1" t="n"/>
      <c r="F441" s="1" t="n"/>
    </row>
    <row r="442">
      <c r="C442" s="1" t="n"/>
      <c r="D442" s="1" t="n"/>
      <c r="E442" s="1" t="n"/>
      <c r="F442" s="1" t="n"/>
    </row>
    <row r="443">
      <c r="C443" s="1" t="n"/>
      <c r="D443" s="1" t="n"/>
      <c r="E443" s="1" t="n"/>
      <c r="F443" s="1" t="n"/>
    </row>
    <row r="444">
      <c r="C444" s="1" t="n"/>
      <c r="D444" s="1" t="n"/>
      <c r="E444" s="1" t="n"/>
      <c r="F444" s="1" t="n"/>
    </row>
    <row r="445">
      <c r="C445" s="1" t="n"/>
      <c r="D445" s="1" t="n"/>
      <c r="E445" s="1" t="n"/>
      <c r="F445" s="1" t="n"/>
    </row>
    <row r="446">
      <c r="C446" s="1" t="n"/>
      <c r="D446" s="1" t="n"/>
      <c r="E446" s="1" t="n"/>
      <c r="F446" s="1" t="n"/>
    </row>
    <row r="447">
      <c r="C447" s="1" t="n"/>
      <c r="D447" s="1" t="n"/>
      <c r="E447" s="1" t="n"/>
      <c r="F447" s="1" t="n"/>
    </row>
    <row r="448">
      <c r="C448" s="1" t="n"/>
      <c r="D448" s="1" t="n"/>
      <c r="E448" s="1" t="n"/>
      <c r="F448" s="1" t="n"/>
    </row>
    <row r="449">
      <c r="C449" s="1" t="n"/>
      <c r="D449" s="1" t="n"/>
      <c r="E449" s="1" t="n"/>
      <c r="F449" s="1" t="n"/>
    </row>
    <row r="450">
      <c r="C450" s="1" t="n"/>
      <c r="D450" s="1" t="n"/>
      <c r="E450" s="1" t="n"/>
      <c r="F450" s="1" t="n"/>
    </row>
    <row r="451">
      <c r="C451" s="1" t="n"/>
      <c r="D451" s="1" t="n"/>
      <c r="E451" s="1" t="n"/>
      <c r="F451" s="1" t="n"/>
    </row>
    <row r="452">
      <c r="C452" s="1" t="n"/>
      <c r="D452" s="1" t="n"/>
      <c r="E452" s="1" t="n"/>
      <c r="F452" s="1" t="n"/>
    </row>
    <row r="453">
      <c r="C453" s="1" t="n"/>
      <c r="D453" s="1" t="n"/>
      <c r="E453" s="1" t="n"/>
      <c r="F453" s="1" t="n"/>
    </row>
    <row r="454">
      <c r="C454" s="1" t="n"/>
      <c r="D454" s="1" t="n"/>
      <c r="E454" s="1" t="n"/>
      <c r="F454" s="1" t="n"/>
    </row>
    <row r="455">
      <c r="C455" s="1" t="n"/>
      <c r="D455" s="1" t="n"/>
      <c r="E455" s="1" t="n"/>
      <c r="F455" s="1" t="n"/>
    </row>
    <row r="456">
      <c r="C456" s="1" t="n"/>
      <c r="D456" s="1" t="n"/>
      <c r="E456" s="1" t="n"/>
      <c r="F456" s="1" t="n"/>
    </row>
    <row r="457">
      <c r="C457" s="1" t="n"/>
      <c r="D457" s="1" t="n"/>
      <c r="E457" s="1" t="n"/>
      <c r="F457" s="1" t="n"/>
    </row>
    <row r="458">
      <c r="C458" s="1" t="n"/>
      <c r="D458" s="1" t="n"/>
      <c r="E458" s="1" t="n"/>
      <c r="F458" s="1" t="n"/>
    </row>
    <row r="459">
      <c r="C459" s="1" t="n"/>
      <c r="D459" s="1" t="n"/>
      <c r="E459" s="1" t="n"/>
      <c r="F459" s="1" t="n"/>
    </row>
    <row r="460">
      <c r="C460" s="1" t="n"/>
      <c r="D460" s="1" t="n"/>
      <c r="E460" s="1" t="n"/>
      <c r="F460" s="1" t="n"/>
    </row>
    <row r="461">
      <c r="C461" s="1" t="n"/>
      <c r="D461" s="1" t="n"/>
      <c r="E461" s="1" t="n"/>
      <c r="F461" s="1" t="n"/>
    </row>
    <row r="462">
      <c r="C462" s="1" t="n"/>
      <c r="D462" s="1" t="n"/>
      <c r="E462" s="1" t="n"/>
      <c r="F462" s="1" t="n"/>
    </row>
    <row r="463">
      <c r="C463" s="1" t="n"/>
      <c r="D463" s="1" t="n"/>
      <c r="E463" s="1" t="n"/>
      <c r="F463" s="1" t="n"/>
    </row>
    <row r="464">
      <c r="C464" s="1" t="n"/>
      <c r="D464" s="1" t="n"/>
      <c r="E464" s="1" t="n"/>
      <c r="F464" s="1" t="n"/>
    </row>
    <row r="465">
      <c r="C465" s="1" t="n"/>
      <c r="D465" s="1" t="n"/>
      <c r="E465" s="1" t="n"/>
      <c r="F465" s="1" t="n"/>
    </row>
    <row r="466">
      <c r="C466" s="1" t="n"/>
      <c r="D466" s="1" t="n"/>
      <c r="E466" s="1" t="n"/>
      <c r="F466" s="1" t="n"/>
    </row>
    <row r="467">
      <c r="C467" s="1" t="n"/>
      <c r="D467" s="1" t="n"/>
      <c r="E467" s="1" t="n"/>
      <c r="F467" s="1" t="n"/>
    </row>
    <row r="468">
      <c r="C468" s="1" t="n"/>
      <c r="D468" s="1" t="n"/>
      <c r="E468" s="1" t="n"/>
      <c r="F468" s="1" t="n"/>
    </row>
    <row r="469">
      <c r="C469" s="1" t="n"/>
      <c r="D469" s="1" t="n"/>
      <c r="E469" s="1" t="n"/>
      <c r="F469" s="1" t="n"/>
    </row>
    <row r="470">
      <c r="C470" s="1" t="n"/>
      <c r="D470" s="1" t="n"/>
      <c r="E470" s="1" t="n"/>
      <c r="F470" s="1" t="n"/>
    </row>
    <row r="471">
      <c r="C471" s="1" t="n"/>
      <c r="D471" s="1" t="n"/>
      <c r="E471" s="1" t="n"/>
      <c r="F471" s="1" t="n"/>
    </row>
    <row r="472">
      <c r="C472" s="1" t="n"/>
      <c r="D472" s="1" t="n"/>
      <c r="E472" s="1" t="n"/>
      <c r="F472" s="1" t="n"/>
    </row>
    <row r="473">
      <c r="C473" s="1" t="n"/>
      <c r="D473" s="1" t="n"/>
      <c r="E473" s="1" t="n"/>
      <c r="F473" s="1" t="n"/>
    </row>
    <row r="474">
      <c r="C474" s="1" t="n"/>
      <c r="D474" s="1" t="n"/>
      <c r="E474" s="1" t="n"/>
      <c r="F474" s="1" t="n"/>
    </row>
    <row r="475">
      <c r="C475" s="1" t="n"/>
      <c r="D475" s="1" t="n"/>
      <c r="E475" s="1" t="n"/>
      <c r="F475" s="1" t="n"/>
    </row>
    <row r="476">
      <c r="C476" s="1" t="n"/>
      <c r="D476" s="1" t="n"/>
      <c r="E476" s="1" t="n"/>
      <c r="F476" s="1" t="n"/>
    </row>
    <row r="477">
      <c r="C477" s="1" t="n"/>
      <c r="D477" s="1" t="n"/>
      <c r="E477" s="1" t="n"/>
      <c r="F477" s="1" t="n"/>
    </row>
    <row r="478">
      <c r="C478" s="1" t="n"/>
      <c r="D478" s="1" t="n"/>
      <c r="E478" s="1" t="n"/>
      <c r="F478" s="1" t="n"/>
    </row>
    <row r="479">
      <c r="C479" s="1" t="n"/>
      <c r="D479" s="1" t="n"/>
      <c r="E479" s="1" t="n"/>
      <c r="F479" s="1" t="n"/>
    </row>
    <row r="480">
      <c r="C480" s="1" t="n"/>
      <c r="D480" s="1" t="n"/>
      <c r="E480" s="1" t="n"/>
      <c r="F480" s="1" t="n"/>
    </row>
    <row r="481">
      <c r="C481" s="1" t="n"/>
      <c r="D481" s="1" t="n"/>
      <c r="E481" s="1" t="n"/>
      <c r="F481" s="1" t="n"/>
    </row>
    <row r="482">
      <c r="C482" s="1" t="n"/>
      <c r="D482" s="1" t="n"/>
      <c r="E482" s="1" t="n"/>
      <c r="F482" s="1" t="n"/>
    </row>
    <row r="483">
      <c r="C483" s="1" t="n"/>
      <c r="D483" s="1" t="n"/>
      <c r="E483" s="1" t="n"/>
      <c r="F483" s="1" t="n"/>
    </row>
    <row r="484">
      <c r="C484" s="1" t="n"/>
      <c r="D484" s="1" t="n"/>
      <c r="E484" s="1" t="n"/>
      <c r="F484" s="1" t="n"/>
    </row>
    <row r="485">
      <c r="C485" s="1" t="n"/>
      <c r="D485" s="1" t="n"/>
      <c r="E485" s="1" t="n"/>
      <c r="F485" s="1" t="n"/>
    </row>
    <row r="486">
      <c r="C486" s="1" t="n"/>
      <c r="D486" s="1" t="n"/>
      <c r="E486" s="1" t="n"/>
      <c r="F486" s="1" t="n"/>
    </row>
    <row r="487">
      <c r="C487" s="1" t="n"/>
      <c r="D487" s="1" t="n"/>
      <c r="E487" s="1" t="n"/>
      <c r="F487" s="1" t="n"/>
    </row>
    <row r="488">
      <c r="C488" s="1" t="n"/>
      <c r="D488" s="1" t="n"/>
      <c r="E488" s="1" t="n"/>
      <c r="F488" s="1" t="n"/>
    </row>
    <row r="489">
      <c r="C489" s="1" t="n"/>
      <c r="D489" s="1" t="n"/>
      <c r="E489" s="1" t="n"/>
      <c r="F489" s="1" t="n"/>
    </row>
    <row r="490">
      <c r="C490" s="1" t="n"/>
      <c r="D490" s="1" t="n"/>
      <c r="E490" s="1" t="n"/>
      <c r="F490" s="1" t="n"/>
    </row>
    <row r="491">
      <c r="C491" s="1" t="n"/>
      <c r="D491" s="1" t="n"/>
      <c r="E491" s="1" t="n"/>
      <c r="F491" s="1" t="n"/>
    </row>
    <row r="492">
      <c r="C492" s="1" t="n"/>
      <c r="D492" s="1" t="n"/>
      <c r="E492" s="1" t="n"/>
      <c r="F492" s="1" t="n"/>
    </row>
    <row r="493">
      <c r="C493" s="1" t="n"/>
      <c r="D493" s="1" t="n"/>
      <c r="E493" s="1" t="n"/>
      <c r="F493" s="1" t="n"/>
    </row>
    <row r="494">
      <c r="C494" s="1" t="n"/>
      <c r="D494" s="1" t="n"/>
      <c r="E494" s="1" t="n"/>
      <c r="F494" s="1" t="n"/>
    </row>
    <row r="495">
      <c r="C495" s="1" t="n"/>
      <c r="D495" s="1" t="n"/>
      <c r="E495" s="1" t="n"/>
      <c r="F495" s="1" t="n"/>
    </row>
    <row r="496">
      <c r="C496" s="1" t="n"/>
      <c r="D496" s="1" t="n"/>
      <c r="E496" s="1" t="n"/>
      <c r="F496" s="1" t="n"/>
    </row>
    <row r="497">
      <c r="C497" s="1" t="n"/>
      <c r="D497" s="1" t="n"/>
      <c r="E497" s="1" t="n"/>
      <c r="F497" s="1" t="n"/>
    </row>
    <row r="498">
      <c r="C498" s="1" t="n"/>
      <c r="D498" s="1" t="n"/>
      <c r="E498" s="1" t="n"/>
      <c r="F498" s="1" t="n"/>
    </row>
    <row r="499">
      <c r="C499" s="1" t="n"/>
      <c r="D499" s="1" t="n"/>
      <c r="E499" s="1" t="n"/>
      <c r="F499" s="1" t="n"/>
    </row>
    <row r="500">
      <c r="C500" s="1" t="n"/>
      <c r="D500" s="1" t="n"/>
      <c r="E500" s="1" t="n"/>
      <c r="F500" s="1" t="n"/>
    </row>
    <row r="501">
      <c r="C501" s="1" t="n"/>
      <c r="D501" s="1" t="n"/>
      <c r="E501" s="1" t="n"/>
      <c r="F501" s="1" t="n"/>
    </row>
    <row r="502">
      <c r="C502" s="1" t="n"/>
      <c r="D502" s="1" t="n"/>
      <c r="E502" s="1" t="n"/>
      <c r="F502" s="1" t="n"/>
    </row>
    <row r="503">
      <c r="C503" s="1" t="n"/>
      <c r="D503" s="1" t="n"/>
      <c r="E503" s="1" t="n"/>
      <c r="F503" s="1" t="n"/>
    </row>
    <row r="504">
      <c r="C504" s="1" t="n"/>
      <c r="D504" s="1" t="n"/>
      <c r="E504" s="1" t="n"/>
      <c r="F504" s="1" t="n"/>
    </row>
    <row r="505">
      <c r="C505" s="1" t="n"/>
      <c r="D505" s="1" t="n"/>
      <c r="E505" s="1" t="n"/>
      <c r="F505" s="1" t="n"/>
    </row>
    <row r="506">
      <c r="C506" s="1" t="n"/>
      <c r="D506" s="1" t="n"/>
      <c r="E506" s="1" t="n"/>
      <c r="F506" s="1" t="n"/>
    </row>
    <row r="507">
      <c r="C507" s="1" t="n"/>
      <c r="D507" s="1" t="n"/>
      <c r="E507" s="1" t="n"/>
      <c r="F507" s="1" t="n"/>
    </row>
    <row r="508">
      <c r="C508" s="1" t="n"/>
      <c r="D508" s="1" t="n"/>
      <c r="E508" s="1" t="n"/>
      <c r="F508" s="1" t="n"/>
    </row>
    <row r="509">
      <c r="C509" s="1" t="n"/>
      <c r="D509" s="1" t="n"/>
      <c r="E509" s="1" t="n"/>
      <c r="F509" s="1" t="n"/>
    </row>
    <row r="510">
      <c r="C510" s="1" t="n"/>
      <c r="D510" s="1" t="n"/>
      <c r="E510" s="1" t="n"/>
      <c r="F510" s="1" t="n"/>
    </row>
    <row r="511">
      <c r="C511" s="1" t="n"/>
      <c r="D511" s="1" t="n"/>
      <c r="E511" s="1" t="n"/>
      <c r="F511" s="1" t="n"/>
    </row>
    <row r="512">
      <c r="C512" s="1" t="n"/>
      <c r="D512" s="1" t="n"/>
      <c r="E512" s="1" t="n"/>
      <c r="F512" s="1" t="n"/>
    </row>
    <row r="513">
      <c r="C513" s="1" t="n"/>
      <c r="D513" s="1" t="n"/>
      <c r="E513" s="1" t="n"/>
      <c r="F513" s="1" t="n"/>
    </row>
    <row r="514">
      <c r="C514" s="1" t="n"/>
      <c r="D514" s="1" t="n"/>
      <c r="E514" s="1" t="n"/>
      <c r="F514" s="1" t="n"/>
    </row>
    <row r="515">
      <c r="C515" s="1" t="n"/>
      <c r="D515" s="1" t="n"/>
      <c r="E515" s="1" t="n"/>
      <c r="F515" s="1" t="n"/>
    </row>
    <row r="516">
      <c r="C516" s="1" t="n"/>
      <c r="D516" s="1" t="n"/>
      <c r="E516" s="1" t="n"/>
      <c r="F516" s="1" t="n"/>
    </row>
    <row r="517">
      <c r="C517" s="1" t="n"/>
      <c r="D517" s="1" t="n"/>
      <c r="E517" s="1" t="n"/>
      <c r="F517" s="1" t="n"/>
    </row>
    <row r="518">
      <c r="C518" s="1" t="n"/>
      <c r="D518" s="1" t="n"/>
      <c r="E518" s="1" t="n"/>
      <c r="F518" s="1" t="n"/>
    </row>
    <row r="519">
      <c r="C519" s="1" t="n"/>
      <c r="D519" s="1" t="n"/>
      <c r="E519" s="1" t="n"/>
      <c r="F519" s="1" t="n"/>
    </row>
    <row r="520">
      <c r="C520" s="1" t="n"/>
      <c r="D520" s="1" t="n"/>
      <c r="E520" s="1" t="n"/>
      <c r="F520" s="1" t="n"/>
    </row>
    <row r="521">
      <c r="C521" s="1" t="n"/>
      <c r="D521" s="1" t="n"/>
      <c r="E521" s="1" t="n"/>
      <c r="F521" s="1" t="n"/>
    </row>
    <row r="522">
      <c r="C522" s="1" t="n"/>
      <c r="D522" s="1" t="n"/>
      <c r="E522" s="1" t="n"/>
      <c r="F522" s="1" t="n"/>
    </row>
    <row r="523">
      <c r="C523" s="1" t="n"/>
      <c r="D523" s="1" t="n"/>
      <c r="E523" s="1" t="n"/>
      <c r="F523" s="1" t="n"/>
    </row>
    <row r="524">
      <c r="C524" s="1" t="n"/>
      <c r="D524" s="1" t="n"/>
      <c r="E524" s="1" t="n"/>
      <c r="F524" s="1" t="n"/>
    </row>
    <row r="525">
      <c r="C525" s="1" t="n"/>
      <c r="D525" s="1" t="n"/>
      <c r="E525" s="1" t="n"/>
      <c r="F525" s="1" t="n"/>
    </row>
    <row r="526">
      <c r="C526" s="1" t="n"/>
      <c r="D526" s="1" t="n"/>
      <c r="E526" s="1" t="n"/>
      <c r="F526" s="1" t="n"/>
    </row>
    <row r="527">
      <c r="C527" s="1" t="n"/>
      <c r="D527" s="1" t="n"/>
      <c r="E527" s="1" t="n"/>
      <c r="F527" s="1" t="n"/>
    </row>
    <row r="528">
      <c r="C528" s="1" t="n"/>
      <c r="D528" s="1" t="n"/>
      <c r="E528" s="1" t="n"/>
      <c r="F528" s="1" t="n"/>
    </row>
    <row r="529">
      <c r="C529" s="1" t="n"/>
      <c r="D529" s="1" t="n"/>
      <c r="E529" s="1" t="n"/>
      <c r="F529" s="1" t="n"/>
    </row>
    <row r="530">
      <c r="C530" s="1" t="n"/>
      <c r="D530" s="1" t="n"/>
      <c r="E530" s="1" t="n"/>
      <c r="F530" s="1" t="n"/>
    </row>
    <row r="531">
      <c r="C531" s="1" t="n"/>
      <c r="D531" s="1" t="n"/>
      <c r="E531" s="1" t="n"/>
      <c r="F531" s="1" t="n"/>
    </row>
    <row r="532">
      <c r="C532" s="1" t="n"/>
      <c r="D532" s="1" t="n"/>
      <c r="E532" s="1" t="n"/>
      <c r="F532" s="1" t="n"/>
    </row>
    <row r="533">
      <c r="C533" s="1" t="n"/>
      <c r="D533" s="1" t="n"/>
      <c r="E533" s="1" t="n"/>
      <c r="F533" s="1" t="n"/>
    </row>
    <row r="534">
      <c r="C534" s="1" t="n"/>
      <c r="D534" s="1" t="n"/>
      <c r="E534" s="1" t="n"/>
      <c r="F534" s="1" t="n"/>
    </row>
    <row r="535">
      <c r="C535" s="1" t="n"/>
      <c r="D535" s="1" t="n"/>
      <c r="E535" s="1" t="n"/>
      <c r="F535" s="1" t="n"/>
    </row>
    <row r="536">
      <c r="C536" s="1" t="n"/>
      <c r="D536" s="1" t="n"/>
      <c r="E536" s="1" t="n"/>
      <c r="F536" s="1" t="n"/>
    </row>
    <row r="537">
      <c r="C537" s="1" t="n"/>
      <c r="D537" s="1" t="n"/>
      <c r="E537" s="1" t="n"/>
      <c r="F537" s="1" t="n"/>
    </row>
    <row r="538">
      <c r="C538" s="1" t="n"/>
      <c r="D538" s="1" t="n"/>
      <c r="E538" s="1" t="n"/>
      <c r="F538" s="1" t="n"/>
    </row>
    <row r="539">
      <c r="C539" s="1" t="n"/>
      <c r="D539" s="1" t="n"/>
      <c r="E539" s="1" t="n"/>
      <c r="F539" s="1" t="n"/>
    </row>
    <row r="540">
      <c r="C540" s="1" t="n"/>
      <c r="D540" s="1" t="n"/>
      <c r="E540" s="1" t="n"/>
      <c r="F540" s="1" t="n"/>
    </row>
    <row r="541">
      <c r="C541" s="1" t="n"/>
      <c r="D541" s="1" t="n"/>
      <c r="E541" s="1" t="n"/>
      <c r="F541" s="1" t="n"/>
    </row>
    <row r="542">
      <c r="C542" s="1" t="n"/>
      <c r="D542" s="1" t="n"/>
      <c r="E542" s="1" t="n"/>
      <c r="F542" s="1" t="n"/>
    </row>
    <row r="543">
      <c r="C543" s="1" t="n"/>
      <c r="D543" s="1" t="n"/>
      <c r="E543" s="1" t="n"/>
      <c r="F543" s="1" t="n"/>
    </row>
    <row r="544">
      <c r="C544" s="1" t="n"/>
      <c r="D544" s="1" t="n"/>
      <c r="E544" s="1" t="n"/>
      <c r="F544" s="1" t="n"/>
    </row>
    <row r="545">
      <c r="C545" s="1" t="n"/>
      <c r="D545" s="1" t="n"/>
      <c r="E545" s="1" t="n"/>
      <c r="F545" s="1" t="n"/>
    </row>
    <row r="546">
      <c r="C546" s="1" t="n"/>
      <c r="D546" s="1" t="n"/>
      <c r="E546" s="1" t="n"/>
      <c r="F546" s="1" t="n"/>
    </row>
    <row r="547">
      <c r="C547" s="1" t="n"/>
      <c r="D547" s="1" t="n"/>
      <c r="E547" s="1" t="n"/>
      <c r="F547" s="1" t="n"/>
    </row>
    <row r="548">
      <c r="C548" s="1" t="n"/>
      <c r="D548" s="1" t="n"/>
      <c r="E548" s="1" t="n"/>
      <c r="F548" s="1" t="n"/>
    </row>
    <row r="549">
      <c r="C549" s="1" t="n"/>
      <c r="D549" s="1" t="n"/>
      <c r="E549" s="1" t="n"/>
      <c r="F549" s="1" t="n"/>
    </row>
    <row r="550">
      <c r="C550" s="1" t="n"/>
      <c r="D550" s="1" t="n"/>
      <c r="E550" s="1" t="n"/>
      <c r="F550" s="1" t="n"/>
    </row>
    <row r="551">
      <c r="C551" s="1" t="n"/>
      <c r="D551" s="1" t="n"/>
      <c r="E551" s="1" t="n"/>
      <c r="F551" s="1" t="n"/>
    </row>
    <row r="552">
      <c r="C552" s="1" t="n"/>
      <c r="D552" s="1" t="n"/>
      <c r="E552" s="1" t="n"/>
      <c r="F552" s="1" t="n"/>
    </row>
    <row r="553">
      <c r="C553" s="1" t="n"/>
      <c r="D553" s="1" t="n"/>
      <c r="E553" s="1" t="n"/>
      <c r="F553" s="1" t="n"/>
    </row>
    <row r="554">
      <c r="C554" s="1" t="n"/>
      <c r="D554" s="1" t="n"/>
      <c r="E554" s="1" t="n"/>
      <c r="F554" s="1" t="n"/>
    </row>
    <row r="555">
      <c r="C555" s="1" t="n"/>
      <c r="D555" s="1" t="n"/>
      <c r="E555" s="1" t="n"/>
      <c r="F555" s="1" t="n"/>
    </row>
    <row r="556">
      <c r="C556" s="1" t="n"/>
      <c r="D556" s="1" t="n"/>
      <c r="E556" s="1" t="n"/>
      <c r="F556" s="1" t="n"/>
    </row>
    <row r="557">
      <c r="C557" s="1" t="n"/>
      <c r="D557" s="1" t="n"/>
      <c r="E557" s="1" t="n"/>
      <c r="F557" s="1" t="n"/>
    </row>
    <row r="558">
      <c r="C558" s="1" t="n"/>
      <c r="D558" s="1" t="n"/>
      <c r="E558" s="1" t="n"/>
      <c r="F558" s="1" t="n"/>
    </row>
    <row r="559">
      <c r="C559" s="1" t="n"/>
      <c r="D559" s="1" t="n"/>
      <c r="E559" s="1" t="n"/>
      <c r="F559" s="1" t="n"/>
    </row>
    <row r="560">
      <c r="C560" s="1" t="n"/>
      <c r="D560" s="1" t="n"/>
      <c r="E560" s="1" t="n"/>
      <c r="F560" s="1" t="n"/>
    </row>
    <row r="561">
      <c r="C561" s="1" t="n"/>
      <c r="D561" s="1" t="n"/>
      <c r="E561" s="1" t="n"/>
      <c r="F561" s="1" t="n"/>
    </row>
    <row r="562">
      <c r="C562" s="1" t="n"/>
      <c r="D562" s="1" t="n"/>
      <c r="E562" s="1" t="n"/>
      <c r="F562" s="1" t="n"/>
    </row>
    <row r="563">
      <c r="C563" s="1" t="n"/>
      <c r="D563" s="1" t="n"/>
      <c r="E563" s="1" t="n"/>
      <c r="F563" s="1" t="n"/>
    </row>
    <row r="564">
      <c r="C564" s="1" t="n"/>
      <c r="D564" s="1" t="n"/>
      <c r="E564" s="1" t="n"/>
      <c r="F564" s="1" t="n"/>
    </row>
    <row r="565">
      <c r="C565" s="1" t="n"/>
      <c r="D565" s="1" t="n"/>
      <c r="E565" s="1" t="n"/>
      <c r="F565" s="1" t="n"/>
    </row>
    <row r="566">
      <c r="C566" s="1" t="n"/>
      <c r="D566" s="1" t="n"/>
      <c r="E566" s="1" t="n"/>
      <c r="F566" s="1" t="n"/>
    </row>
    <row r="567">
      <c r="C567" s="1" t="n"/>
      <c r="D567" s="1" t="n"/>
      <c r="E567" s="1" t="n"/>
      <c r="F567" s="1" t="n"/>
    </row>
    <row r="568">
      <c r="C568" s="1" t="n"/>
      <c r="D568" s="1" t="n"/>
      <c r="E568" s="1" t="n"/>
      <c r="F568" s="1" t="n"/>
    </row>
    <row r="569">
      <c r="C569" s="1" t="n"/>
      <c r="D569" s="1" t="n"/>
      <c r="E569" s="1" t="n"/>
      <c r="F569" s="1" t="n"/>
    </row>
    <row r="570">
      <c r="C570" s="1" t="n"/>
      <c r="D570" s="1" t="n"/>
      <c r="E570" s="1" t="n"/>
      <c r="F570" s="1" t="n"/>
    </row>
    <row r="571">
      <c r="C571" s="1" t="n"/>
      <c r="D571" s="1" t="n"/>
      <c r="E571" s="1" t="n"/>
      <c r="F571" s="1" t="n"/>
    </row>
    <row r="572">
      <c r="C572" s="1" t="n"/>
      <c r="D572" s="1" t="n"/>
      <c r="E572" s="1" t="n"/>
      <c r="F572" s="1" t="n"/>
    </row>
    <row r="573">
      <c r="C573" s="1" t="n"/>
      <c r="D573" s="1" t="n"/>
      <c r="E573" s="1" t="n"/>
      <c r="F573" s="1" t="n"/>
    </row>
    <row r="574">
      <c r="C574" s="1" t="n"/>
      <c r="D574" s="1" t="n"/>
      <c r="E574" s="1" t="n"/>
      <c r="F574" s="1" t="n"/>
    </row>
    <row r="575">
      <c r="C575" s="1" t="n"/>
      <c r="D575" s="1" t="n"/>
      <c r="E575" s="1" t="n"/>
      <c r="F575" s="1" t="n"/>
    </row>
    <row r="576">
      <c r="C576" s="1" t="n"/>
      <c r="D576" s="1" t="n"/>
      <c r="E576" s="1" t="n"/>
      <c r="F576" s="1" t="n"/>
    </row>
    <row r="577">
      <c r="C577" s="1" t="n"/>
      <c r="D577" s="1" t="n"/>
      <c r="E577" s="1" t="n"/>
      <c r="F577" s="1" t="n"/>
    </row>
    <row r="578">
      <c r="C578" s="1" t="n"/>
      <c r="D578" s="1" t="n"/>
      <c r="E578" s="1" t="n"/>
      <c r="F578" s="1" t="n"/>
    </row>
    <row r="579">
      <c r="C579" s="1" t="n"/>
      <c r="D579" s="1" t="n"/>
      <c r="E579" s="1" t="n"/>
      <c r="F579" s="1" t="n"/>
    </row>
    <row r="580">
      <c r="C580" s="1" t="n"/>
      <c r="D580" s="1" t="n"/>
      <c r="E580" s="1" t="n"/>
      <c r="F580" s="1" t="n"/>
    </row>
    <row r="581">
      <c r="C581" s="1" t="n"/>
      <c r="D581" s="1" t="n"/>
      <c r="E581" s="1" t="n"/>
      <c r="F581" s="1" t="n"/>
    </row>
    <row r="582">
      <c r="C582" s="1" t="n"/>
      <c r="D582" s="1" t="n"/>
      <c r="E582" s="1" t="n"/>
      <c r="F582" s="1" t="n"/>
    </row>
    <row r="583">
      <c r="C583" s="1" t="n"/>
      <c r="D583" s="1" t="n"/>
      <c r="E583" s="1" t="n"/>
      <c r="F583" s="1" t="n"/>
    </row>
    <row r="584">
      <c r="C584" s="1" t="n"/>
      <c r="D584" s="1" t="n"/>
      <c r="E584" s="1" t="n"/>
      <c r="F584" s="1" t="n"/>
    </row>
    <row r="585">
      <c r="C585" s="1" t="n"/>
      <c r="D585" s="1" t="n"/>
      <c r="E585" s="1" t="n"/>
      <c r="F585" s="1" t="n"/>
    </row>
    <row r="586">
      <c r="C586" s="1" t="n"/>
      <c r="D586" s="1" t="n"/>
      <c r="E586" s="1" t="n"/>
      <c r="F586" s="1" t="n"/>
    </row>
    <row r="587">
      <c r="C587" s="1" t="n"/>
      <c r="D587" s="1" t="n"/>
      <c r="E587" s="1" t="n"/>
      <c r="F587" s="1" t="n"/>
    </row>
    <row r="588">
      <c r="C588" s="1" t="n"/>
      <c r="D588" s="1" t="n"/>
      <c r="E588" s="1" t="n"/>
      <c r="F588" s="1" t="n"/>
    </row>
    <row r="589">
      <c r="C589" s="1" t="n"/>
      <c r="D589" s="1" t="n"/>
      <c r="E589" s="1" t="n"/>
      <c r="F589" s="1" t="n"/>
    </row>
  </sheetData>
  <autoFilter ref="A1:I333"/>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F36" sqref="F36"/>
    </sheetView>
  </sheetViews>
  <sheetFormatPr baseColWidth="8" defaultRowHeight="16.5"/>
  <cols>
    <col width="10" customWidth="1" style="16" min="1" max="2"/>
    <col width="10" customWidth="1" style="16" min="2" max="2"/>
    <col width="10" customWidth="1" style="16" min="3" max="3"/>
    <col width="10" bestFit="1" customWidth="1" style="16" min="4" max="4"/>
    <col width="14" customWidth="1" style="16" min="5" max="5"/>
    <col width="22" customWidth="1" style="1" min="6" max="6"/>
    <col width="36" customWidth="1" style="16" min="7" max="7"/>
    <col width="80" customWidth="1" style="16" min="8" max="8"/>
    <col width="44" customWidth="1" style="16" min="9" max="9"/>
    <col width="90" customWidth="1" style="16" min="10" max="10"/>
    <col width="44" customWidth="1" style="16" min="11" max="11"/>
  </cols>
  <sheetData>
    <row r="1">
      <c r="A1" s="1" t="inlineStr">
        <is>
          <t>m</t>
        </is>
      </c>
      <c r="B1" s="1" t="inlineStr">
        <is>
          <t>p</t>
        </is>
      </c>
      <c r="C1" s="1" t="inlineStr">
        <is>
          <t>s</t>
        </is>
      </c>
      <c r="D1" s="1" t="inlineStr">
        <is>
          <t>s=</t>
        </is>
      </c>
      <c r="E1" s="1" t="inlineStr">
        <is>
          <t>項目編號</t>
        </is>
      </c>
      <c r="F1" s="1" t="inlineStr">
        <is>
          <t>題號</t>
        </is>
      </c>
      <c r="G1" s="1" t="inlineStr">
        <is>
          <t>變項名稱</t>
        </is>
      </c>
      <c r="H1" s="1" t="inlineStr">
        <is>
          <t>檢核說明</t>
        </is>
      </c>
      <c r="I1" s="1" t="inlineStr">
        <is>
          <t>備註</t>
        </is>
      </c>
      <c r="J1" s="1" t="inlineStr">
        <is>
          <t>條件</t>
        </is>
      </c>
      <c r="K1" s="1" t="inlineStr">
        <is>
          <t>額外列出變項</t>
        </is>
      </c>
    </row>
    <row r="2">
      <c r="A2" s="1" t="inlineStr">
        <is>
          <t>1201</t>
        </is>
      </c>
      <c r="B2" s="1" t="inlineStr">
        <is>
          <t>1201</t>
        </is>
      </c>
      <c r="C2" s="1" t="inlineStr">
        <is>
          <t>1201</t>
        </is>
      </c>
      <c r="D2" s="1" t="inlineStr"/>
      <c r="E2" s="1" t="inlineStr">
        <is>
          <t>【A01】</t>
        </is>
      </c>
      <c r="F2" s="1" t="inlineStr">
        <is>
          <t>sel_gen,O1</t>
        </is>
      </c>
      <c r="G2" s="1" t="inlineStr">
        <is>
          <t>sel_gen,vO1</t>
        </is>
      </c>
      <c r="H2" s="1" t="inlineStr">
        <is>
          <t>受訪者為女性,但vO1工作狀況選(12)服義務役或(13)服(研發)替代役。</t>
        </is>
      </c>
      <c r="I2" s="1" t="inlineStr">
        <is>
          <t>*品管項目</t>
        </is>
      </c>
      <c r="J2" s="1" t="inlineStr">
        <is>
          <t>sel_gen=2 &amp; any(vO1,12,13)</t>
        </is>
      </c>
      <c r="K2" s="1" t="inlineStr"/>
    </row>
    <row r="3">
      <c r="A3" s="1" t="inlineStr">
        <is>
          <t>1202</t>
        </is>
      </c>
      <c r="B3" s="1" t="inlineStr">
        <is>
          <t>1202</t>
        </is>
      </c>
      <c r="C3" s="1" t="inlineStr">
        <is>
          <t>1202</t>
        </is>
      </c>
      <c r="D3" s="1" t="inlineStr"/>
      <c r="E3" s="1" t="inlineStr">
        <is>
          <t>【B01】</t>
        </is>
      </c>
      <c r="F3" s="1" t="inlineStr">
        <is>
          <t>A1,A2,A3,A9</t>
        </is>
      </c>
      <c r="G3" s="1" t="inlineStr">
        <is>
          <t>vA1,vA2,vA3,vA9</t>
        </is>
      </c>
      <c r="H3" s="1" t="inlineStr">
        <is>
          <t>57年施行九年國民義務教育,出生年在57年次以後(57歲及以下),且為台灣出生者(vA3選1-22、97、98),於vA9教育程度,不應為(01)不識字、(02)自修/小學 | (年齡計算以114年減出生年)。</t>
        </is>
      </c>
      <c r="I3" s="1" t="inlineStr">
        <is>
          <t>*品管項目</t>
        </is>
      </c>
      <c r="J3" s="1" t="inlineStr">
        <is>
          <t>vA1&gt;=57 &amp; any(vA3,1,2,3,4,5,6,7,8,9,10,11,12,13,14,15,16,17,18,19,20,21,22,97,98) &amp; any(vA9,1,2)</t>
        </is>
      </c>
      <c r="K3" s="1" t="inlineStr"/>
    </row>
    <row r="4">
      <c r="A4" s="1" t="inlineStr">
        <is>
          <t>1203</t>
        </is>
      </c>
      <c r="B4" s="1" t="inlineStr">
        <is>
          <t>1203</t>
        </is>
      </c>
      <c r="C4" s="1" t="inlineStr">
        <is>
          <t>1203</t>
        </is>
      </c>
      <c r="D4" s="1" t="inlineStr"/>
      <c r="E4" s="1" t="inlineStr">
        <is>
          <t>【B02】</t>
        </is>
      </c>
      <c r="F4" s="1" t="inlineStr">
        <is>
          <t>A1,A2,A9</t>
        </is>
      </c>
      <c r="G4" s="1" t="inlineStr">
        <is>
          <t>vA1,vA2,vA9</t>
        </is>
      </c>
      <c r="H4" s="1" t="inlineStr">
        <is>
          <t>出生年超過民國92年次(未滿22歲者),vA9教育程度不應為(07)碩士、(08)博士 | (年齡計算以114年減出生年)。</t>
        </is>
      </c>
      <c r="I4" s="1" t="inlineStr">
        <is>
          <t>*品管項目</t>
        </is>
      </c>
      <c r="J4" s="1" t="inlineStr">
        <is>
          <t>vA1&gt;92 &amp; any(vA9,7,8)</t>
        </is>
      </c>
      <c r="K4" s="1" t="inlineStr"/>
    </row>
    <row r="5">
      <c r="A5" s="1" t="inlineStr">
        <is>
          <t>1204</t>
        </is>
      </c>
      <c r="B5" s="1" t="inlineStr">
        <is>
          <t>1204</t>
        </is>
      </c>
      <c r="C5" s="1" t="inlineStr">
        <is>
          <t>1204</t>
        </is>
      </c>
      <c r="D5" s="1" t="inlineStr"/>
      <c r="E5" s="1" t="inlineStr">
        <is>
          <t>【B03】</t>
        </is>
      </c>
      <c r="F5" s="1" t="inlineStr">
        <is>
          <t>B2</t>
        </is>
      </c>
      <c r="G5" s="1" t="inlineStr">
        <is>
          <t>vB2</t>
        </is>
      </c>
      <c r="H5" s="1" t="inlineStr">
        <is>
          <t>vB2看電視的平常日(週一到週五),一整天看超過12小時,列出確認。</t>
        </is>
      </c>
      <c r="I5" s="1" t="inlineStr"/>
      <c r="J5" s="1" t="inlineStr">
        <is>
          <t>not(any(vB2,9797,9898)) &amp; vB2&gt;1200</t>
        </is>
      </c>
      <c r="K5" s="1" t="inlineStr"/>
    </row>
    <row r="6">
      <c r="A6" s="1" t="inlineStr">
        <is>
          <t>1205</t>
        </is>
      </c>
      <c r="B6" s="1" t="inlineStr">
        <is>
          <t>1205</t>
        </is>
      </c>
      <c r="C6" s="1" t="inlineStr">
        <is>
          <t>1205</t>
        </is>
      </c>
      <c r="D6" s="1" t="inlineStr"/>
      <c r="E6" s="1" t="inlineStr">
        <is>
          <t>【B04】</t>
        </is>
      </c>
      <c r="F6" s="1" t="inlineStr">
        <is>
          <t>B4</t>
        </is>
      </c>
      <c r="G6" s="1" t="inlineStr">
        <is>
          <t>vB4</t>
        </is>
      </c>
      <c r="H6" s="1" t="inlineStr">
        <is>
          <t>vB4有看電視的週六或週日,一整天看超過12小時,列出確認。</t>
        </is>
      </c>
      <c r="I6" s="1" t="inlineStr"/>
      <c r="J6" s="1" t="inlineStr">
        <is>
          <t>not(any(vB4,9797,9898)) &amp; vB4&gt;1200</t>
        </is>
      </c>
      <c r="K6" s="1" t="inlineStr"/>
    </row>
    <row r="7">
      <c r="A7" s="1" t="inlineStr">
        <is>
          <t>1206</t>
        </is>
      </c>
      <c r="B7" s="1" t="inlineStr">
        <is>
          <t>1206</t>
        </is>
      </c>
      <c r="C7" s="1" t="inlineStr">
        <is>
          <t>1206</t>
        </is>
      </c>
      <c r="D7" s="1" t="inlineStr"/>
      <c r="E7" s="1" t="inlineStr">
        <is>
          <t>【B05】</t>
        </is>
      </c>
      <c r="F7" s="1" t="inlineStr">
        <is>
          <t>B6</t>
        </is>
      </c>
      <c r="G7" s="1" t="inlineStr">
        <is>
          <t>vB6</t>
        </is>
      </c>
      <c r="H7" s="1" t="inlineStr">
        <is>
          <t>vB6看電視新聞的那一天,一整天看超過12小時,列出確認。</t>
        </is>
      </c>
      <c r="I7" s="1" t="inlineStr"/>
      <c r="J7" s="1" t="inlineStr">
        <is>
          <t>not(any(vB6,9797,9898)) &amp; vB6&gt;1200</t>
        </is>
      </c>
      <c r="K7" s="1" t="inlineStr"/>
    </row>
    <row r="8">
      <c r="A8" s="1" t="inlineStr">
        <is>
          <t>1207</t>
        </is>
      </c>
      <c r="B8" s="1" t="inlineStr">
        <is>
          <t>1207</t>
        </is>
      </c>
      <c r="C8" s="1" t="inlineStr">
        <is>
          <t>1207</t>
        </is>
      </c>
      <c r="D8" s="1" t="inlineStr"/>
      <c r="E8" s="1" t="inlineStr">
        <is>
          <t>【B06】</t>
        </is>
      </c>
      <c r="F8" s="1" t="inlineStr">
        <is>
          <t>C2</t>
        </is>
      </c>
      <c r="G8" s="1" t="inlineStr">
        <is>
          <t>vC2</t>
        </is>
      </c>
      <c r="H8" s="1" t="inlineStr">
        <is>
          <t>vC2有聽廣播的那一天,一整天聽超過12小時,列出確認。</t>
        </is>
      </c>
      <c r="I8" s="1" t="inlineStr"/>
      <c r="J8" s="1" t="inlineStr">
        <is>
          <t>not(any(vC2,9797,9898)) &amp; vC2&gt;1200</t>
        </is>
      </c>
      <c r="K8" s="1" t="inlineStr"/>
    </row>
    <row r="9">
      <c r="A9" s="1" t="inlineStr">
        <is>
          <t>1208</t>
        </is>
      </c>
      <c r="B9" s="1" t="inlineStr">
        <is>
          <t>1208</t>
        </is>
      </c>
      <c r="C9" s="1" t="inlineStr">
        <is>
          <t>1208</t>
        </is>
      </c>
      <c r="D9" s="1" t="inlineStr"/>
      <c r="E9" s="1" t="inlineStr">
        <is>
          <t>【B07】</t>
        </is>
      </c>
      <c r="F9" s="1" t="inlineStr">
        <is>
          <t>D3</t>
        </is>
      </c>
      <c r="G9" s="1" t="inlineStr">
        <is>
          <t>vD3</t>
        </is>
      </c>
      <c r="H9" s="1" t="inlineStr">
        <is>
          <t>vD3有用手機的那一天,一整天用超過16小時,列出確認。</t>
        </is>
      </c>
      <c r="I9" s="1" t="inlineStr"/>
      <c r="J9" s="1" t="inlineStr">
        <is>
          <t>not(any(vD3,9797,9898)) &amp; vD3&gt;1600</t>
        </is>
      </c>
      <c r="K9" s="1" t="inlineStr"/>
    </row>
    <row r="10">
      <c r="A10" s="1" t="inlineStr">
        <is>
          <t>1209</t>
        </is>
      </c>
      <c r="B10" s="1" t="inlineStr">
        <is>
          <t>1209</t>
        </is>
      </c>
      <c r="C10" s="1" t="inlineStr">
        <is>
          <t>1209</t>
        </is>
      </c>
      <c r="D10" s="1" t="inlineStr"/>
      <c r="E10" s="1" t="inlineStr">
        <is>
          <t>【B08】</t>
        </is>
      </c>
      <c r="F10" s="1" t="inlineStr">
        <is>
          <t>E5,E8,E11</t>
        </is>
      </c>
      <c r="G10" s="1" t="inlineStr">
        <is>
          <t>vE5,vE8,vE11</t>
        </is>
      </c>
      <c r="H10" s="1" t="inlineStr">
        <is>
          <t>各項裝置(手機、平板及電腦)因工作與課業而上網的時間相加超過16小時,列出確認。</t>
        </is>
      </c>
      <c r="I10" s="1" t="inlineStr">
        <is>
          <t>列出E5~E12加總合計時數、該檢核項的合計時數、以及vE5 | ~vE12共計6變項資料。</t>
        </is>
      </c>
      <c r="J10" s="1" t="inlineStr">
        <is>
          <t>not(any(vE5,9797,9898)) &amp; not(any(vE8,9797,9898)) &amp; not(any(vE11,9797,9898)) &amp; ((trunc(vE5/100)*60 + mod(vE5,100)) + (trunc(vE8/100)*60 + mod(vE8,100)) + (trunc(vE11/100)*60 + mod(vE11,100)))&gt;960</t>
        </is>
      </c>
      <c r="K10" s="1" t="inlineStr">
        <is>
          <t>sumE5_E12_min,sumE5_E8_E11_min,vE5,vE6,vE8,vE9,vE11,vE12</t>
        </is>
      </c>
    </row>
    <row r="11">
      <c r="A11" s="1" t="inlineStr">
        <is>
          <t>1210</t>
        </is>
      </c>
      <c r="B11" s="1" t="inlineStr">
        <is>
          <t>1210</t>
        </is>
      </c>
      <c r="C11" s="1" t="inlineStr">
        <is>
          <t>1210</t>
        </is>
      </c>
      <c r="D11" s="1" t="inlineStr"/>
      <c r="E11" s="1" t="inlineStr">
        <is>
          <t>【B09】</t>
        </is>
      </c>
      <c r="F11" s="1" t="inlineStr">
        <is>
          <t>E5,E8,E11</t>
        </is>
      </c>
      <c r="G11" s="1" t="inlineStr">
        <is>
          <t>vE6,vE9,vE12</t>
        </is>
      </c>
      <c r="H11" s="1" t="inlineStr">
        <is>
          <t>各項裝置(手機、平板及電腦)非因工作與課業而上網的時間相加超過16小時,列出確認。</t>
        </is>
      </c>
      <c r="I11" s="1" t="inlineStr">
        <is>
          <t>列出E5~E12加總合計時數、該檢核項的合計時數、以及vE5 | ~vE12共計6變項資料。</t>
        </is>
      </c>
      <c r="J11" s="1" t="inlineStr">
        <is>
          <t>not(any(vE6,9797,9898)) &amp; not(any(vE9,9797,9898)) &amp; not(any(vE12,9797,9898)) &amp; ((trunc(vE6/100)*60 + mod(vE6,100)) + (trunc(vE9/100)*60 + mod(vE9,100)) + (trunc(vE12/100)*60 + mod(vE12,100)))&gt;960</t>
        </is>
      </c>
      <c r="K11" s="1" t="inlineStr">
        <is>
          <t>sumE5_E12_min,sumE6_E9_E12_min,vE5,vE6,vE8,vE9,vE11,vE12</t>
        </is>
      </c>
    </row>
    <row r="12">
      <c r="A12" s="1" t="inlineStr">
        <is>
          <t>1211</t>
        </is>
      </c>
      <c r="B12" s="1" t="inlineStr">
        <is>
          <t>1211</t>
        </is>
      </c>
      <c r="C12" s="1" t="inlineStr">
        <is>
          <t>1211</t>
        </is>
      </c>
      <c r="D12" s="1" t="inlineStr"/>
      <c r="E12" s="1" t="inlineStr">
        <is>
          <t>【B10】</t>
        </is>
      </c>
      <c r="F12" s="1" t="inlineStr">
        <is>
          <t>E5,E6</t>
        </is>
      </c>
      <c r="G12" s="1" t="inlineStr">
        <is>
          <t>vE5,vE6</t>
        </is>
      </c>
      <c r="H12" s="1" t="inlineStr">
        <is>
          <t>vE5、vE6使用手機上網的時間相加超過16小時。</t>
        </is>
      </c>
      <c r="I12" s="1" t="inlineStr">
        <is>
          <t>列出E5~E12加總合計時數、該檢核項的合計時數、以及vE5 | ~vE12共計6變項資料。</t>
        </is>
      </c>
      <c r="J12" s="1" t="inlineStr">
        <is>
          <t>not(any(vE5,9797,9898)) &amp; not(any(vE6,9797,9898)) &amp; ((trunc(vE5/100)*60 + mod(vE5,100)) + (trunc(vE6/100)*60 + mod(vE6,100)))&gt;960</t>
        </is>
      </c>
      <c r="K12" s="1" t="inlineStr">
        <is>
          <t>sumE5_E12_min,sumE5_E6_min,vE5,vE6,vE8,vE9,vE11,vE12</t>
        </is>
      </c>
    </row>
    <row r="13">
      <c r="A13" s="1" t="inlineStr">
        <is>
          <t>1212</t>
        </is>
      </c>
      <c r="B13" s="1" t="inlineStr">
        <is>
          <t>1212</t>
        </is>
      </c>
      <c r="C13" s="1" t="inlineStr">
        <is>
          <t>1212</t>
        </is>
      </c>
      <c r="D13" s="1" t="inlineStr"/>
      <c r="E13" s="1" t="inlineStr">
        <is>
          <t>【B11】</t>
        </is>
      </c>
      <c r="F13" s="1" t="inlineStr">
        <is>
          <t>E8,E9</t>
        </is>
      </c>
      <c r="G13" s="1" t="inlineStr">
        <is>
          <t>vE8,vE9</t>
        </is>
      </c>
      <c r="H13" s="1" t="inlineStr">
        <is>
          <t>vE8、vE9使用平板上網的時間相加超過16小時。</t>
        </is>
      </c>
      <c r="I13" s="1" t="inlineStr">
        <is>
          <t>列出E5~E12加總合計時數、該檢核項的合計時數、以及vE5 | ~vE12共計6變項資料。</t>
        </is>
      </c>
      <c r="J13" s="1" t="inlineStr">
        <is>
          <t>not(any(vE8,9797,9898)) &amp; not(any(vE9,9797,9898)) &amp; ((trunc(vE8/100)*60 + mod(vE8,100)) + (trunc(vE9/100)*60 + mod(vE9,100)))&gt;960</t>
        </is>
      </c>
      <c r="K13" s="1" t="inlineStr">
        <is>
          <t>sumE5_E12_min,sumE8_E9_min,vE5,vE6,vE8,vE9,vE11,vE12</t>
        </is>
      </c>
    </row>
    <row r="14">
      <c r="A14" s="1" t="inlineStr">
        <is>
          <t>1213</t>
        </is>
      </c>
      <c r="B14" s="1" t="inlineStr">
        <is>
          <t>1213</t>
        </is>
      </c>
      <c r="C14" s="1" t="inlineStr">
        <is>
          <t>1213</t>
        </is>
      </c>
      <c r="D14" s="1" t="inlineStr"/>
      <c r="E14" s="1" t="inlineStr">
        <is>
          <t>【B12】</t>
        </is>
      </c>
      <c r="F14" s="1" t="inlineStr">
        <is>
          <t>E11,E12</t>
        </is>
      </c>
      <c r="G14" s="1" t="inlineStr">
        <is>
          <t>vE11,vE12</t>
        </is>
      </c>
      <c r="H14" s="1" t="inlineStr">
        <is>
          <t>vE11、vE12使用電腦上網的時間相加超過16小時。</t>
        </is>
      </c>
      <c r="I14" s="1" t="inlineStr">
        <is>
          <t>列出E5~E12加總合計時數、該檢核項的合計時數、以及vE5 | ~vE12共計6變項資料。</t>
        </is>
      </c>
      <c r="J14" s="1" t="inlineStr">
        <is>
          <t>not(any(vE11,9797,9898)) &amp; not(any(vE12,9797,9898)) &amp; ((trunc(vE11/100)*60 + mod(vE11,100)) + (trunc(vE12/100)*60 + mod(vE12,100)))&gt;960</t>
        </is>
      </c>
      <c r="K14" s="1" t="inlineStr">
        <is>
          <t>sumE5_E12_min,sumE11_E12_min,vE5,vE6,vE8,vE9,vE11,vE12</t>
        </is>
      </c>
    </row>
    <row r="15">
      <c r="A15" s="1" t="inlineStr">
        <is>
          <t>1214</t>
        </is>
      </c>
      <c r="B15" s="1" t="inlineStr">
        <is>
          <t>1214</t>
        </is>
      </c>
      <c r="C15" s="1" t="inlineStr">
        <is>
          <t>1214</t>
        </is>
      </c>
      <c r="D15" s="1" t="inlineStr"/>
      <c r="E15" s="1" t="inlineStr">
        <is>
          <t>【B13】</t>
        </is>
      </c>
      <c r="F15" s="1" t="inlineStr">
        <is>
          <t>E5,E6,D3</t>
        </is>
      </c>
      <c r="G15" s="1" t="inlineStr">
        <is>
          <t>vE5,vE6,vD3</t>
        </is>
      </c>
      <c r="H15" s="1" t="inlineStr">
        <is>
          <t>vE5、vE6使用手機上網的時間相加大於vD3的時間2小時,列出確認。</t>
        </is>
      </c>
      <c r="I15" s="1" t="inlineStr">
        <is>
          <t>另列出合計時數</t>
        </is>
      </c>
      <c r="J15" s="1" t="inlineStr">
        <is>
          <t>(vE5+vE6)&gt;(vD3+200)</t>
        </is>
      </c>
      <c r="K15" s="1" t="inlineStr"/>
    </row>
    <row r="16">
      <c r="A16" s="1" t="inlineStr">
        <is>
          <t>1215</t>
        </is>
      </c>
      <c r="B16" s="1" t="inlineStr">
        <is>
          <t>1215</t>
        </is>
      </c>
      <c r="C16" s="1" t="inlineStr">
        <is>
          <t>1215</t>
        </is>
      </c>
      <c r="D16" s="1" t="inlineStr"/>
      <c r="E16" s="1" t="inlineStr">
        <is>
          <t>【B14】</t>
        </is>
      </c>
      <c r="F16" s="1" t="inlineStr">
        <is>
          <t>E14</t>
        </is>
      </c>
      <c r="G16" s="1" t="inlineStr">
        <is>
          <t>vE14</t>
        </is>
      </c>
      <c r="H16" s="1" t="inlineStr">
        <is>
          <t>vE14平均每月在網路上消費(買東西)超過O5收入題,列出確認。</t>
        </is>
      </c>
      <c r="I16" s="1" t="inlineStr"/>
      <c r="J16" s="1" t="inlineStr"/>
      <c r="K16" s="1" t="inlineStr"/>
    </row>
    <row r="17">
      <c r="A17" s="1" t="inlineStr">
        <is>
          <t>1216</t>
        </is>
      </c>
      <c r="B17" s="1" t="inlineStr">
        <is>
          <t>1216</t>
        </is>
      </c>
      <c r="C17" s="1" t="inlineStr">
        <is>
          <t>1216</t>
        </is>
      </c>
      <c r="D17" s="1" t="inlineStr"/>
      <c r="E17" s="1" t="inlineStr">
        <is>
          <t>【B15】</t>
        </is>
      </c>
      <c r="F17" s="1" t="inlineStr">
        <is>
          <t>F2</t>
        </is>
      </c>
      <c r="G17" s="1" t="inlineStr">
        <is>
          <t>vF2</t>
        </is>
      </c>
      <c r="H17" s="1" t="inlineStr">
        <is>
          <t>vF2有讀雜誌(紙本),一整天看超過5小時,列出確認。</t>
        </is>
      </c>
      <c r="I17" s="1" t="inlineStr"/>
      <c r="J17" s="1" t="inlineStr">
        <is>
          <t>not(any(vF2,9797,9898)) &amp; vF2&gt;500</t>
        </is>
      </c>
      <c r="K17" s="1" t="inlineStr"/>
    </row>
    <row r="18">
      <c r="A18" s="1" t="inlineStr">
        <is>
          <t>1217</t>
        </is>
      </c>
      <c r="B18" s="1" t="inlineStr">
        <is>
          <t>1217</t>
        </is>
      </c>
      <c r="C18" s="1" t="inlineStr">
        <is>
          <t>1217</t>
        </is>
      </c>
      <c r="D18" s="1" t="inlineStr"/>
      <c r="E18" s="1" t="inlineStr">
        <is>
          <t>【B16】</t>
        </is>
      </c>
      <c r="F18" s="1" t="inlineStr">
        <is>
          <t>F4</t>
        </is>
      </c>
      <c r="G18" s="1" t="inlineStr">
        <is>
          <t>vF4</t>
        </is>
      </c>
      <c r="H18" s="1" t="inlineStr">
        <is>
          <t>vF4有讀雜誌(網路),一整天看超過5小時,列出確認。</t>
        </is>
      </c>
      <c r="I18" s="1" t="inlineStr"/>
      <c r="J18" s="1" t="inlineStr">
        <is>
          <t>not(any(vF4,9797,9898)) &amp; vF4&gt;500</t>
        </is>
      </c>
      <c r="K18" s="1" t="inlineStr"/>
    </row>
    <row r="19">
      <c r="A19" s="1" t="inlineStr">
        <is>
          <t>1218</t>
        </is>
      </c>
      <c r="B19" s="1" t="inlineStr">
        <is>
          <t>1218</t>
        </is>
      </c>
      <c r="C19" s="1" t="inlineStr">
        <is>
          <t>1218</t>
        </is>
      </c>
      <c r="D19" s="1" t="inlineStr"/>
      <c r="E19" s="1" t="inlineStr">
        <is>
          <t>【B17】</t>
        </is>
      </c>
      <c r="F19" s="1" t="inlineStr">
        <is>
          <t>G2</t>
        </is>
      </c>
      <c r="G19" s="1" t="inlineStr">
        <is>
          <t>vG2</t>
        </is>
      </c>
      <c r="H19" s="1" t="inlineStr">
        <is>
          <t>vG2有讀報紙(紙本),一整天看超過5小時,列出確認。</t>
        </is>
      </c>
      <c r="I19" s="1" t="inlineStr"/>
      <c r="J19" s="1" t="inlineStr">
        <is>
          <t>not(any(vG2,9797,9898)) &amp; vG2&gt;500</t>
        </is>
      </c>
      <c r="K19" s="1" t="inlineStr"/>
    </row>
    <row r="20">
      <c r="A20" s="1" t="inlineStr">
        <is>
          <t>1219</t>
        </is>
      </c>
      <c r="B20" s="1" t="inlineStr">
        <is>
          <t>1219</t>
        </is>
      </c>
      <c r="C20" s="1" t="inlineStr">
        <is>
          <t>1219</t>
        </is>
      </c>
      <c r="D20" s="1" t="inlineStr"/>
      <c r="E20" s="1" t="inlineStr">
        <is>
          <t>【B18】</t>
        </is>
      </c>
      <c r="F20" s="1" t="inlineStr">
        <is>
          <t>G5</t>
        </is>
      </c>
      <c r="G20" s="1" t="inlineStr">
        <is>
          <t>vG5</t>
        </is>
      </c>
      <c r="H20" s="1" t="inlineStr">
        <is>
          <t>vG5有上網看新聞的那一天,一整天看超過5小時,列出確認。</t>
        </is>
      </c>
      <c r="I20" s="1" t="inlineStr"/>
      <c r="J20" s="1" t="inlineStr">
        <is>
          <t>not(any(vG5,9797,9898)) &amp; vG5&gt;500</t>
        </is>
      </c>
      <c r="K20" s="1" t="inlineStr"/>
    </row>
    <row r="21">
      <c r="A21" s="1" t="inlineStr">
        <is>
          <t>1220</t>
        </is>
      </c>
      <c r="B21" s="1" t="inlineStr">
        <is>
          <t>1220</t>
        </is>
      </c>
      <c r="C21" s="1" t="inlineStr">
        <is>
          <t>1220</t>
        </is>
      </c>
      <c r="D21" s="1" t="inlineStr"/>
      <c r="E21" s="1" t="inlineStr">
        <is>
          <t>【B19】</t>
        </is>
      </c>
      <c r="F21" s="1" t="inlineStr">
        <is>
          <t>H1,H4,H7</t>
        </is>
      </c>
      <c r="G21" s="1" t="inlineStr">
        <is>
          <t>vH1,vH4,vH7</t>
        </is>
      </c>
      <c r="H21" s="1" t="inlineStr">
        <is>
          <t>vH1「面對面」接觸人數回答0~990且vH4「網路上」接觸人數回答0~990,在vH7「面對面」且「網路上」接觸的人數卻回答(997)不知道。</t>
        </is>
      </c>
      <c r="I21" s="1" t="inlineStr">
        <is>
          <t>*品管項目</t>
        </is>
      </c>
      <c r="J21" s="1" t="inlineStr">
        <is>
          <t>range(vH1,0,990) &amp; range(vH4,0,990) &amp; vH7=997</t>
        </is>
      </c>
      <c r="K21" s="1" t="inlineStr"/>
    </row>
    <row r="22">
      <c r="A22" s="1" t="inlineStr">
        <is>
          <t>1221</t>
        </is>
      </c>
      <c r="B22" s="1" t="inlineStr">
        <is>
          <t>1221</t>
        </is>
      </c>
      <c r="C22" s="1" t="inlineStr">
        <is>
          <t>1221</t>
        </is>
      </c>
      <c r="D22" s="1" t="inlineStr"/>
      <c r="E22" s="1" t="inlineStr">
        <is>
          <t>【B20】</t>
        </is>
      </c>
      <c r="F22" s="1" t="inlineStr">
        <is>
          <t>H7,H7_1,H7_2,H7_3</t>
        </is>
      </c>
      <c r="G22" s="1" t="inlineStr">
        <is>
          <t>vH7,vH7_1,vH7_2,vH7_3</t>
        </is>
      </c>
      <c r="H22" s="1" t="inlineStr">
        <is>
          <t>vH7-vH7_3平常一天「面對面」且「網路上」接觸的人數超過30人,列出確認。</t>
        </is>
      </c>
      <c r="I22" s="1" t="inlineStr"/>
      <c r="J22" s="1" t="inlineStr">
        <is>
          <t>(not(any(vH7,991,997,998)) &amp; vH7&gt;30) | (not(any(vH7_1,991,997,998)) &amp; vH7_1&gt;30) | (not(any(vH7_2,991,997,998)) &amp; vH7_2&gt;30) | (not(any(vH7_3,991,997,998)) &amp; vH7_3&gt;30)</t>
        </is>
      </c>
      <c r="K22" s="1" t="inlineStr"/>
    </row>
    <row r="23">
      <c r="A23" s="1" t="inlineStr">
        <is>
          <t>1222</t>
        </is>
      </c>
      <c r="B23" s="1" t="inlineStr">
        <is>
          <t>1222</t>
        </is>
      </c>
      <c r="C23" s="1" t="inlineStr">
        <is>
          <t>1222</t>
        </is>
      </c>
      <c r="D23" s="1" t="inlineStr"/>
      <c r="E23" s="1" t="inlineStr">
        <is>
          <t>【B21】</t>
        </is>
      </c>
      <c r="F23" s="1" t="inlineStr">
        <is>
          <t>Q24</t>
        </is>
      </c>
      <c r="G23" s="1" t="inlineStr">
        <is>
          <t>vQ24g1</t>
        </is>
      </c>
      <c r="H23" s="1" t="inlineStr">
        <is>
          <t>vQ24看談話性政論節目,每星期看超過35小時,列出確認。</t>
        </is>
      </c>
      <c r="I23" s="1" t="inlineStr"/>
      <c r="J23" s="1" t="inlineStr">
        <is>
          <t>not(any(vQ24g1,997,998)) &amp; vQ24g1&gt;35</t>
        </is>
      </c>
      <c r="K23" s="1" t="inlineStr"/>
    </row>
    <row r="24">
      <c r="A24" s="1" t="inlineStr">
        <is>
          <t>1223</t>
        </is>
      </c>
      <c r="B24" s="1" t="inlineStr">
        <is>
          <t>1223</t>
        </is>
      </c>
      <c r="C24" s="1" t="inlineStr">
        <is>
          <t>1223</t>
        </is>
      </c>
      <c r="D24" s="1" t="inlineStr"/>
      <c r="E24" s="1" t="inlineStr">
        <is>
          <t>【B22】</t>
        </is>
      </c>
      <c r="F24" s="1" t="inlineStr">
        <is>
          <t>Q21</t>
        </is>
      </c>
      <c r="G24" s="1" t="inlineStr">
        <is>
          <t>vQ21g1</t>
        </is>
      </c>
      <c r="H24" s="1" t="inlineStr">
        <is>
          <t>vQ21看政治人物或政治網紅影片,每星期看超過35小時,列出確認。</t>
        </is>
      </c>
      <c r="I24" s="1" t="inlineStr"/>
      <c r="J24" s="1" t="inlineStr">
        <is>
          <t>not(any(vQ21g1,997,998)) &amp; vQ21g1&gt;35</t>
        </is>
      </c>
      <c r="K24" s="1" t="inlineStr"/>
    </row>
    <row r="25">
      <c r="A25" s="1" t="inlineStr">
        <is>
          <t>1224</t>
        </is>
      </c>
      <c r="B25" s="1" t="inlineStr">
        <is>
          <t>1224</t>
        </is>
      </c>
      <c r="C25" s="1" t="inlineStr">
        <is>
          <t>1224</t>
        </is>
      </c>
      <c r="D25" s="1" t="inlineStr"/>
      <c r="E25" s="1" t="inlineStr">
        <is>
          <t>【B23】</t>
        </is>
      </c>
      <c r="F25" s="1" t="inlineStr">
        <is>
          <t>Q26A</t>
        </is>
      </c>
      <c r="G25" s="1" t="inlineStr">
        <is>
          <t>vQ26Ag1</t>
        </is>
      </c>
      <c r="H25" s="1" t="inlineStr">
        <is>
          <t>vQ26A聽政治或公共事務播客,每星期聽超過35小時,列出確認。</t>
        </is>
      </c>
      <c r="I25" s="1" t="inlineStr"/>
      <c r="J25" s="1" t="inlineStr">
        <is>
          <t>not(any(vQ26Ag1,997,998)) &amp; vQ26Ag1&gt;35</t>
        </is>
      </c>
      <c r="K25" s="1" t="inlineStr"/>
    </row>
    <row r="26">
      <c r="A26" s="1" t="inlineStr">
        <is>
          <t>1225</t>
        </is>
      </c>
      <c r="B26" s="1" t="inlineStr">
        <is>
          <t>1225</t>
        </is>
      </c>
      <c r="C26" s="1" t="inlineStr">
        <is>
          <t>1225</t>
        </is>
      </c>
      <c r="D26" s="1" t="inlineStr"/>
      <c r="E26" s="1" t="inlineStr">
        <is>
          <t>【B24】</t>
        </is>
      </c>
      <c r="F26" s="1" t="inlineStr">
        <is>
          <t>Q28</t>
        </is>
      </c>
      <c r="G26" s="1" t="inlineStr">
        <is>
          <t>vQ28</t>
        </is>
      </c>
      <c r="H26" s="1" t="inlineStr">
        <is>
          <t>vQ28經常一起討論政治或公共事務的人數超過50人,列出確認。</t>
        </is>
      </c>
      <c r="I26" s="1" t="inlineStr"/>
      <c r="J26" s="1" t="inlineStr">
        <is>
          <t>(not(any(vQ28,991,997,998)) &amp; vQ28&gt;50)</t>
        </is>
      </c>
      <c r="K26" s="1" t="inlineStr"/>
    </row>
    <row r="27">
      <c r="A27" s="1" t="inlineStr">
        <is>
          <t>1226</t>
        </is>
      </c>
      <c r="B27" s="1" t="inlineStr">
        <is>
          <t>1226</t>
        </is>
      </c>
      <c r="C27" s="1" t="inlineStr">
        <is>
          <t>1226</t>
        </is>
      </c>
      <c r="D27" s="1" t="inlineStr"/>
      <c r="E27" s="1" t="inlineStr">
        <is>
          <t>【B25】</t>
        </is>
      </c>
      <c r="F27" s="1" t="inlineStr">
        <is>
          <t>H8</t>
        </is>
      </c>
      <c r="G27" s="1" t="inlineStr">
        <is>
          <t>vH8</t>
        </is>
      </c>
      <c r="H27" s="1" t="inlineStr">
        <is>
          <t>vH8經常會一起討論「個人」問題或心事的人超過50人,列出確認。</t>
        </is>
      </c>
      <c r="I27" s="1" t="inlineStr"/>
      <c r="J27" s="1" t="inlineStr">
        <is>
          <t>(not(any(vH8,991,997,998)) &amp; vH8&gt;50)</t>
        </is>
      </c>
      <c r="K27" s="1" t="inlineStr"/>
    </row>
    <row r="28">
      <c r="A28" s="1" t="inlineStr">
        <is>
          <t>1227</t>
        </is>
      </c>
      <c r="B28" s="1" t="inlineStr">
        <is>
          <t>1227</t>
        </is>
      </c>
      <c r="C28" s="1" t="inlineStr">
        <is>
          <t>1227</t>
        </is>
      </c>
      <c r="D28" s="1" t="inlineStr"/>
      <c r="E28" s="1" t="inlineStr">
        <is>
          <t>【B26】</t>
        </is>
      </c>
      <c r="F28" s="1" t="inlineStr">
        <is>
          <t>I2</t>
        </is>
      </c>
      <c r="G28" s="1" t="inlineStr">
        <is>
          <t>vI2</t>
        </is>
      </c>
      <c r="H28" s="1" t="inlineStr">
        <is>
          <t>vI2看戲劇節目的平常日(週一到週五),一整天看超過12小時,列出確認。</t>
        </is>
      </c>
      <c r="I28" s="1" t="inlineStr"/>
      <c r="J28" s="1" t="inlineStr">
        <is>
          <t>not(any(vI2,9797,9898)) &amp; vI2&gt;1200</t>
        </is>
      </c>
      <c r="K28" s="1" t="inlineStr"/>
    </row>
    <row r="29">
      <c r="A29" s="1" t="inlineStr">
        <is>
          <t>1228</t>
        </is>
      </c>
      <c r="B29" s="1" t="inlineStr">
        <is>
          <t>1228</t>
        </is>
      </c>
      <c r="C29" s="1" t="inlineStr">
        <is>
          <t>1228</t>
        </is>
      </c>
      <c r="D29" s="1" t="inlineStr"/>
      <c r="E29" s="1" t="inlineStr">
        <is>
          <t>【B27】</t>
        </is>
      </c>
      <c r="F29" s="1" t="inlineStr">
        <is>
          <t>I4</t>
        </is>
      </c>
      <c r="G29" s="1" t="inlineStr">
        <is>
          <t>vI4</t>
        </is>
      </c>
      <c r="H29" s="1" t="inlineStr">
        <is>
          <t>vI4看戲劇節目的週六或週日,一整天看超過12小時,列出確認。</t>
        </is>
      </c>
      <c r="I29" s="1" t="inlineStr"/>
      <c r="J29" s="1" t="inlineStr">
        <is>
          <t>not(any(vI4,9797,9898)) &amp; vI4&gt;1200</t>
        </is>
      </c>
      <c r="K29" s="1" t="inlineStr"/>
    </row>
    <row r="30">
      <c r="A30" s="1" t="inlineStr">
        <is>
          <t>1229</t>
        </is>
      </c>
      <c r="B30" s="1" t="inlineStr">
        <is>
          <t>1229</t>
        </is>
      </c>
      <c r="C30" s="1" t="inlineStr">
        <is>
          <t>1229</t>
        </is>
      </c>
      <c r="D30" s="1" t="inlineStr"/>
      <c r="E30" s="1" t="inlineStr">
        <is>
          <t>【B28】</t>
        </is>
      </c>
      <c r="F30" s="1" t="inlineStr">
        <is>
          <t>KFB2</t>
        </is>
      </c>
      <c r="G30" s="1" t="inlineStr">
        <is>
          <t>vKFB2</t>
        </is>
      </c>
      <c r="H30" s="1" t="inlineStr">
        <is>
          <t>vKFB2有使用臉書,一整天用超過16小時,列出確認。</t>
        </is>
      </c>
      <c r="I30" s="1" t="inlineStr"/>
      <c r="J30" s="1" t="inlineStr">
        <is>
          <t>not(any(vKFB2,9797,9898)) &amp; vKFB2&gt;1600</t>
        </is>
      </c>
      <c r="K30" s="1" t="inlineStr"/>
    </row>
    <row r="31">
      <c r="A31" s="1" t="inlineStr">
        <is>
          <t>1230</t>
        </is>
      </c>
      <c r="B31" s="1" t="inlineStr">
        <is>
          <t>1230</t>
        </is>
      </c>
      <c r="C31" s="1" t="inlineStr">
        <is>
          <t>1230</t>
        </is>
      </c>
      <c r="D31" s="1" t="inlineStr"/>
      <c r="E31" s="1" t="inlineStr">
        <is>
          <t>【B29】</t>
        </is>
      </c>
      <c r="F31" s="1" t="inlineStr">
        <is>
          <t>KIG2</t>
        </is>
      </c>
      <c r="G31" s="1" t="inlineStr">
        <is>
          <t>vKIG2</t>
        </is>
      </c>
      <c r="H31" s="1" t="inlineStr">
        <is>
          <t>vKIG2有使用IG,一整天用超過16小時,列出確認。</t>
        </is>
      </c>
      <c r="I31" s="1" t="inlineStr"/>
      <c r="J31" s="1" t="inlineStr">
        <is>
          <t>not(any(vKIG2,9797,9898)) &amp; vKIG2&gt;1600</t>
        </is>
      </c>
      <c r="K31" s="1" t="inlineStr"/>
    </row>
    <row r="32">
      <c r="A32" s="1" t="inlineStr">
        <is>
          <t>1231</t>
        </is>
      </c>
      <c r="B32" s="1" t="inlineStr">
        <is>
          <t>1231</t>
        </is>
      </c>
      <c r="C32" s="1" t="inlineStr">
        <is>
          <t>1231</t>
        </is>
      </c>
      <c r="D32" s="1" t="inlineStr"/>
      <c r="E32" s="1" t="inlineStr">
        <is>
          <t>【B30】</t>
        </is>
      </c>
      <c r="F32" s="1" t="inlineStr">
        <is>
          <t>KLI2</t>
        </is>
      </c>
      <c r="G32" s="1" t="inlineStr">
        <is>
          <t>vKLI2</t>
        </is>
      </c>
      <c r="H32" s="1" t="inlineStr">
        <is>
          <t>vKLI2有使用LINE,一整天用超過16小時,列出確認。</t>
        </is>
      </c>
      <c r="I32" s="1" t="inlineStr"/>
      <c r="J32" s="1" t="inlineStr">
        <is>
          <t>not(any(vKLI2,9797,9898)) &amp; vKLI2&gt;1600</t>
        </is>
      </c>
      <c r="K32" s="1" t="inlineStr"/>
    </row>
    <row r="33">
      <c r="A33" s="1" t="inlineStr">
        <is>
          <t>1232</t>
        </is>
      </c>
      <c r="B33" s="1" t="inlineStr">
        <is>
          <t>1232</t>
        </is>
      </c>
      <c r="C33" s="1" t="inlineStr">
        <is>
          <t>1232</t>
        </is>
      </c>
      <c r="D33" s="1" t="inlineStr"/>
      <c r="E33" s="1" t="inlineStr">
        <is>
          <t>【B31】</t>
        </is>
      </c>
      <c r="F33" s="1" t="inlineStr">
        <is>
          <t>KTT2</t>
        </is>
      </c>
      <c r="G33" s="1" t="inlineStr">
        <is>
          <t>vKTT2</t>
        </is>
      </c>
      <c r="H33" s="1" t="inlineStr">
        <is>
          <t>vKTT2有使用抖音(TikTok),一整天用超過16小時,列出確認。</t>
        </is>
      </c>
      <c r="I33" s="1" t="inlineStr"/>
      <c r="J33" s="1" t="inlineStr">
        <is>
          <t>not(any(vKTT2,9797,9898)) &amp; vKTT2&gt;1600</t>
        </is>
      </c>
      <c r="K33" s="1" t="inlineStr"/>
    </row>
    <row r="34">
      <c r="A34" s="1" t="inlineStr">
        <is>
          <t>1233</t>
        </is>
      </c>
      <c r="B34" s="1" t="inlineStr">
        <is>
          <t>1233</t>
        </is>
      </c>
      <c r="C34" s="1" t="inlineStr">
        <is>
          <t>1233</t>
        </is>
      </c>
      <c r="D34" s="1" t="inlineStr"/>
      <c r="E34" s="1" t="inlineStr">
        <is>
          <t>【B32】</t>
        </is>
      </c>
      <c r="F34" s="1" t="inlineStr">
        <is>
          <t>KYT2</t>
        </is>
      </c>
      <c r="G34" s="1" t="inlineStr">
        <is>
          <t>vKYT2</t>
        </is>
      </c>
      <c r="H34" s="1" t="inlineStr">
        <is>
          <t>vKYT2有使用YouTube,一整天用超過16小時,列出確認。</t>
        </is>
      </c>
      <c r="I34" s="1" t="inlineStr"/>
      <c r="J34" s="1" t="inlineStr">
        <is>
          <t>not(any(vKYT2,9797,9898)) &amp; vKYT2&gt;1600</t>
        </is>
      </c>
      <c r="K34" s="1" t="inlineStr"/>
    </row>
    <row r="35">
      <c r="A35" s="1" t="inlineStr">
        <is>
          <t>1234</t>
        </is>
      </c>
      <c r="B35" s="1" t="inlineStr">
        <is>
          <t>1234</t>
        </is>
      </c>
      <c r="C35" s="1" t="inlineStr">
        <is>
          <t>1234</t>
        </is>
      </c>
      <c r="D35" s="1" t="inlineStr"/>
      <c r="E35" s="1" t="inlineStr">
        <is>
          <t>【B33】</t>
        </is>
      </c>
      <c r="F35" s="1" t="inlineStr">
        <is>
          <t>P5_2</t>
        </is>
      </c>
      <c r="G35" s="1" t="inlineStr">
        <is>
          <t>vP5_2</t>
        </is>
      </c>
      <c r="H35" s="1" t="inlineStr">
        <is>
          <t>vP5_2有使用Threads,一整天用超過16小時,列出確認。</t>
        </is>
      </c>
      <c r="I35" s="1" t="inlineStr"/>
      <c r="J35" s="1" t="inlineStr">
        <is>
          <t>not(any(vP5_2,9797,9898)) &amp; vP5_2&gt;1600</t>
        </is>
      </c>
      <c r="K35" s="1" t="inlineStr"/>
    </row>
    <row r="36">
      <c r="A36" s="1" t="inlineStr">
        <is>
          <t>1235</t>
        </is>
      </c>
      <c r="B36" s="1" t="inlineStr">
        <is>
          <t>1235</t>
        </is>
      </c>
      <c r="C36" s="1" t="inlineStr">
        <is>
          <t>1235</t>
        </is>
      </c>
      <c r="D36" s="1" t="inlineStr"/>
      <c r="E36" s="1" t="inlineStr">
        <is>
          <t>【B34】</t>
        </is>
      </c>
      <c r="F36" s="1" t="inlineStr">
        <is>
          <t>M1</t>
        </is>
      </c>
      <c r="G36" s="1" t="inlineStr">
        <is>
          <t>vM1g01,vM1g02</t>
        </is>
      </c>
      <c r="H36" s="1" t="inlineStr">
        <is>
          <t>vM1玩電玩遊戲一週超過64小時列出確認。</t>
        </is>
      </c>
      <c r="I36" s="1" t="inlineStr"/>
      <c r="J36" s="1" t="inlineStr">
        <is>
          <t>not(any(vM1g01,9797,9898)) &amp; not(any(vM1g02,9797,9898)) &amp; ((trunc(vM1g01/100)*60 + mod(vM1g01,100)) + (trunc(vM1g02/100)*60 + mod(vM1g02,100)))&gt;3840</t>
        </is>
      </c>
      <c r="K36" s="1" t="inlineStr"/>
    </row>
    <row r="37">
      <c r="A37" s="1" t="inlineStr">
        <is>
          <t>1236</t>
        </is>
      </c>
      <c r="B37" s="1" t="inlineStr">
        <is>
          <t>1236</t>
        </is>
      </c>
      <c r="C37" s="1" t="inlineStr">
        <is>
          <t>1236</t>
        </is>
      </c>
      <c r="D37" s="1" t="inlineStr"/>
      <c r="E37" s="1" t="inlineStr">
        <is>
          <t>【B35】</t>
        </is>
      </c>
      <c r="F37" s="1" t="inlineStr">
        <is>
          <t>vA1,O1</t>
        </is>
      </c>
      <c r="G37" s="1" t="inlineStr">
        <is>
          <t>vA1,vO1</t>
        </is>
      </c>
      <c r="H37" s="1" t="inlineStr">
        <is>
          <t>出生年超過民國74年次(未滿40歲者),vO1目前工作不應為(09)已經退休 | (年齡計算以114減出生年)。</t>
        </is>
      </c>
      <c r="I37" s="1" t="inlineStr"/>
      <c r="J37" s="1" t="inlineStr">
        <is>
          <t>vA1&gt;74 &amp; vO1=9</t>
        </is>
      </c>
      <c r="K37" s="1" t="inlineStr"/>
    </row>
    <row r="38">
      <c r="A38" s="1" t="inlineStr">
        <is>
          <t>1237</t>
        </is>
      </c>
      <c r="B38" s="1" t="inlineStr">
        <is>
          <t>1237</t>
        </is>
      </c>
      <c r="C38" s="1" t="inlineStr">
        <is>
          <t>1237</t>
        </is>
      </c>
      <c r="D38" s="1" t="inlineStr"/>
      <c r="E38" s="1" t="inlineStr">
        <is>
          <t>【B36】</t>
        </is>
      </c>
      <c r="F38" s="1" t="inlineStr">
        <is>
          <t>Z2_1</t>
        </is>
      </c>
      <c r="G38" s="1" t="inlineStr">
        <is>
          <t>vZ2_1g1,vZ2_1g2</t>
        </is>
      </c>
      <c r="H38" s="1" t="inlineStr">
        <is>
          <t>1.市話號碼長度為9碼(北北基、台中、南投以外縣市電話),前兩碼應為03、05、06、07、08或前三碼為047、048。 | 2.市話號碼長度為10碼(北北基、台中、南投電話),前兩碼應為02或前三碼為042、043、049。 | 3.市話號碼不可重複。 | 4.分機號碼長度超過4碼,列出確認。 | 5.市話號碼不應該為系統範例電話0227887792或0212345678。</t>
        </is>
      </c>
      <c r="I38" s="1" t="inlineStr">
        <is>
          <t>*品管項目</t>
        </is>
      </c>
      <c r="J38" s="1" t="inlineStr"/>
      <c r="K38" s="1" t="inlineStr"/>
    </row>
    <row r="39">
      <c r="A39" s="1" t="inlineStr">
        <is>
          <t>1238</t>
        </is>
      </c>
      <c r="B39" s="1" t="inlineStr">
        <is>
          <t>1238</t>
        </is>
      </c>
      <c r="C39" s="1" t="inlineStr">
        <is>
          <t>1238</t>
        </is>
      </c>
      <c r="D39" s="1" t="inlineStr"/>
      <c r="E39" s="1" t="inlineStr">
        <is>
          <t>【B37】</t>
        </is>
      </c>
      <c r="F39" s="1" t="inlineStr">
        <is>
          <t>Z2_2,ZE2_1</t>
        </is>
      </c>
      <c r="G39" s="1" t="inlineStr">
        <is>
          <t>vZ2_2,vZE2_1</t>
        </is>
      </c>
      <c r="H39" s="1" t="inlineStr">
        <is>
          <t>1.手機號碼長度應為10碼且前兩碼應為09。 | 2.手機號碼不可重複。 | 3.手機號碼不應該為0912345678。</t>
        </is>
      </c>
      <c r="I39" s="1" t="inlineStr">
        <is>
          <t>*品管項目</t>
        </is>
      </c>
      <c r="J39" s="1" t="inlineStr"/>
      <c r="K39" s="1" t="inlineStr"/>
    </row>
    <row r="40">
      <c r="A40" s="1" t="inlineStr">
        <is>
          <t>1239</t>
        </is>
      </c>
      <c r="B40" s="1" t="inlineStr">
        <is>
          <t>1239</t>
        </is>
      </c>
      <c r="C40" s="1" t="inlineStr">
        <is>
          <t>1239</t>
        </is>
      </c>
      <c r="D40" s="1" t="inlineStr"/>
      <c r="E40" s="1" t="inlineStr">
        <is>
          <t>【B38】</t>
        </is>
      </c>
      <c r="F40" s="1" t="inlineStr">
        <is>
          <t>ZE2_3</t>
        </is>
      </c>
      <c r="G40" s="1" t="inlineStr">
        <is>
          <t>vZE2_3</t>
        </is>
      </c>
      <c r="H40" s="1" t="inlineStr">
        <is>
          <t>1.Email的@為全形。 | 2.Email帳號長度&lt;=2。 | 3.Email網域長度&lt;=4或不在網域清單內。 | 4.Email不可有特殊符號。 | 5.Email不可重複。</t>
        </is>
      </c>
      <c r="I40" s="1" t="inlineStr">
        <is>
          <t>*品管項目</t>
        </is>
      </c>
      <c r="J40" s="1" t="inlineStr"/>
      <c r="K40" s="1" t="inlineStr"/>
    </row>
    <row r="41">
      <c r="A41" s="1" t="inlineStr">
        <is>
          <t>1240</t>
        </is>
      </c>
      <c r="B41" s="1" t="inlineStr">
        <is>
          <t>1240</t>
        </is>
      </c>
      <c r="C41" s="1" t="inlineStr">
        <is>
          <t>1240</t>
        </is>
      </c>
      <c r="D41" s="1" t="inlineStr"/>
      <c r="E41" s="1" t="inlineStr">
        <is>
          <t>【B39】</t>
        </is>
      </c>
      <c r="F41" s="1" t="inlineStr">
        <is>
          <t>K1,KTT4</t>
        </is>
      </c>
      <c r="G41" s="1" t="inlineStr">
        <is>
          <t>vK1m11,vKTT4m13,vKTT4m14</t>
        </is>
      </c>
      <c r="H41" s="1" t="inlineStr">
        <is>
          <t>K1有選(11)抖音,KTT4非選(97)不知道(98)拒答者,沒有選(13)分享或轉貼、轉寄影片,也沒有選(14)傳送訊息或視訊</t>
        </is>
      </c>
      <c r="I41" s="1" t="inlineStr">
        <is>
          <t>計畫小組要求列出 | 列出Q11題答案協助檢核參考</t>
        </is>
      </c>
      <c r="J41" s="1" t="inlineStr">
        <is>
          <t>vK1m11=1 &amp; vKTT4m13~=1 &amp; vKTT4m14~=1</t>
        </is>
      </c>
      <c r="K41" s="1" t="inlineStr"/>
    </row>
    <row r="42">
      <c r="A42" s="1" t="inlineStr">
        <is>
          <t>1241</t>
        </is>
      </c>
      <c r="B42" s="1" t="inlineStr">
        <is>
          <t>1241</t>
        </is>
      </c>
      <c r="C42" s="1" t="inlineStr">
        <is>
          <t>1241</t>
        </is>
      </c>
      <c r="D42" s="1" t="inlineStr"/>
      <c r="E42" s="1" t="inlineStr">
        <is>
          <t>【B40】</t>
        </is>
      </c>
      <c r="F42" s="1" t="inlineStr">
        <is>
          <t>Q5,Q6,Q7,Q8,Q9</t>
        </is>
      </c>
      <c r="G42" s="1" t="inlineStr">
        <is>
          <t>vQ5,vQ6,vQ7,vQ8,vQ9</t>
        </is>
      </c>
      <c r="H42" s="1" t="inlineStr">
        <is>
          <t>Q5答有透過網路接觸到政治消息,但Q6-Q9皆回答(01)從來沒有</t>
        </is>
      </c>
      <c r="I42" s="1" t="inlineStr">
        <is>
          <t>計畫小組要求列出</t>
        </is>
      </c>
      <c r="J42" s="1" t="inlineStr">
        <is>
          <t>vQ5=1 &amp; vQ6=1 &amp; vQ7=1 &amp; vQ8=1 &amp; vQ9=1</t>
        </is>
      </c>
      <c r="K42" s="1" t="inlineStr"/>
    </row>
    <row r="43">
      <c r="A43" s="1" t="inlineStr">
        <is>
          <t>1242</t>
        </is>
      </c>
      <c r="B43" s="1" t="inlineStr">
        <is>
          <t>1242</t>
        </is>
      </c>
      <c r="C43" s="1" t="inlineStr">
        <is>
          <t>1242</t>
        </is>
      </c>
      <c r="D43" s="1" t="inlineStr"/>
      <c r="E43" s="1" t="inlineStr">
        <is>
          <t>【B41】</t>
        </is>
      </c>
      <c r="F43" s="1" t="inlineStr">
        <is>
          <t>Q10,Q11,Q12,Q13,Q14</t>
        </is>
      </c>
      <c r="G43" s="1" t="inlineStr">
        <is>
          <t>vQ10,vQ11,vQ12,vQ13,vQ14</t>
        </is>
      </c>
      <c r="H43" s="1" t="inlineStr">
        <is>
          <t>Q10答有透過網路轉貼或分享政治消息,但Q11-Q14皆回答(01)從來沒有</t>
        </is>
      </c>
      <c r="I43" s="1" t="inlineStr">
        <is>
          <t>計畫小組要求列出</t>
        </is>
      </c>
      <c r="J43" s="1" t="inlineStr">
        <is>
          <t>vQ10=1 &amp; vQ11=1 &amp; vQ12=1 &amp; vQ13=1 &amp; vQ14=1</t>
        </is>
      </c>
      <c r="K43" s="1" t="inlineStr"/>
    </row>
    <row r="44">
      <c r="A44" s="1" t="inlineStr">
        <is>
          <t>1243</t>
        </is>
      </c>
      <c r="B44" s="1" t="inlineStr">
        <is>
          <t>1243</t>
        </is>
      </c>
      <c r="C44" s="1" t="inlineStr">
        <is>
          <t>1243</t>
        </is>
      </c>
      <c r="D44" s="1" t="inlineStr"/>
      <c r="E44" s="1" t="inlineStr">
        <is>
          <t>【B42】</t>
        </is>
      </c>
      <c r="F44" s="1" t="inlineStr">
        <is>
          <t>Q47,Q51</t>
        </is>
      </c>
      <c r="G44" s="1" t="inlineStr">
        <is>
          <t>vQ47,vQ51</t>
        </is>
      </c>
      <c r="H44" s="1" t="inlineStr">
        <is>
          <t>Q47答0分者,在Q51答(01)國民黨,請列出檢核。</t>
        </is>
      </c>
      <c r="I44" s="1" t="inlineStr">
        <is>
          <t>TCS4-1計畫小組要求列出,不會進行補問</t>
        </is>
      </c>
      <c r="J44" s="1" t="inlineStr">
        <is>
          <t>vQ47=0 &amp; vQ51=1</t>
        </is>
      </c>
      <c r="K44" s="1" t="inlineStr"/>
    </row>
    <row r="45">
      <c r="A45" s="1" t="inlineStr">
        <is>
          <t>1244</t>
        </is>
      </c>
      <c r="B45" s="1" t="inlineStr">
        <is>
          <t>1244</t>
        </is>
      </c>
      <c r="C45" s="1" t="inlineStr">
        <is>
          <t>1244</t>
        </is>
      </c>
      <c r="D45" s="1" t="inlineStr"/>
      <c r="E45" s="1" t="inlineStr">
        <is>
          <t>【B43】</t>
        </is>
      </c>
      <c r="F45" s="1" t="inlineStr">
        <is>
          <t>Q48,Q51</t>
        </is>
      </c>
      <c r="G45" s="1" t="inlineStr">
        <is>
          <t>vQ48,vQ51</t>
        </is>
      </c>
      <c r="H45" s="1" t="inlineStr">
        <is>
          <t>Q48答0分者,在Q51答(02)民進黨,請列出檢核。</t>
        </is>
      </c>
      <c r="I45" s="1" t="inlineStr">
        <is>
          <t>TCS4-1計畫小組要求列出,不會進行補問</t>
        </is>
      </c>
      <c r="J45" s="1" t="inlineStr">
        <is>
          <t>vQ48=0 &amp; vQ51=2</t>
        </is>
      </c>
      <c r="K45" s="1" t="inlineStr"/>
    </row>
    <row r="46">
      <c r="A46" s="1" t="inlineStr">
        <is>
          <t>1245</t>
        </is>
      </c>
      <c r="B46" s="1" t="inlineStr">
        <is>
          <t>1245</t>
        </is>
      </c>
      <c r="C46" s="1" t="inlineStr">
        <is>
          <t>1245</t>
        </is>
      </c>
      <c r="D46" s="1" t="inlineStr"/>
      <c r="E46" s="1" t="inlineStr">
        <is>
          <t>【B44】</t>
        </is>
      </c>
      <c r="F46" s="1" t="inlineStr">
        <is>
          <t>Q62,Q51</t>
        </is>
      </c>
      <c r="G46" s="1" t="inlineStr">
        <is>
          <t>vQ62,vQ51</t>
        </is>
      </c>
      <c r="H46" s="1" t="inlineStr">
        <is>
          <t>Q62答0分者,在Q51答(08)台灣民眾黨,請列出檢核。</t>
        </is>
      </c>
      <c r="I46" s="1" t="inlineStr">
        <is>
          <t>TCS4-1計畫小組要求列出,不會進行補問</t>
        </is>
      </c>
      <c r="J46" s="1" t="inlineStr">
        <is>
          <t>vQ62=0 &amp; vQ51=8</t>
        </is>
      </c>
      <c r="K46" s="1" t="inlineStr"/>
    </row>
    <row r="47">
      <c r="A47" s="1" t="inlineStr">
        <is>
          <t>1246</t>
        </is>
      </c>
      <c r="B47" s="1" t="inlineStr">
        <is>
          <t>1246</t>
        </is>
      </c>
      <c r="C47" s="1" t="inlineStr">
        <is>
          <t>1246</t>
        </is>
      </c>
      <c r="D47" s="1" t="inlineStr"/>
      <c r="E47" s="1" t="inlineStr">
        <is>
          <t>【B45】</t>
        </is>
      </c>
      <c r="F47" s="1" t="inlineStr">
        <is>
          <t>Q53,P3_1</t>
        </is>
      </c>
      <c r="G47" s="1" t="inlineStr">
        <is>
          <t>vQ53,vP3_1</t>
        </is>
      </c>
      <c r="H47" s="1" t="inlineStr">
        <is>
          <t>Q53答(01)儘快統一者,P3_1答0分者,請列出檢核。</t>
        </is>
      </c>
      <c r="I47" s="1" t="inlineStr">
        <is>
          <t>TCS4-1計畫小組要求列出,不會進行補問</t>
        </is>
      </c>
      <c r="J47" s="1" t="inlineStr">
        <is>
          <t>vQ53=1 &amp; vP3_1=0</t>
        </is>
      </c>
      <c r="K47" s="1" t="inlineStr"/>
    </row>
    <row r="48">
      <c r="A48" s="1" t="inlineStr">
        <is>
          <t>1247</t>
        </is>
      </c>
      <c r="B48" s="1" t="inlineStr">
        <is>
          <t>1247</t>
        </is>
      </c>
      <c r="C48" s="1" t="inlineStr">
        <is>
          <t>1247</t>
        </is>
      </c>
      <c r="D48" s="1" t="inlineStr"/>
      <c r="E48" s="1" t="inlineStr">
        <is>
          <t>【B46】</t>
        </is>
      </c>
      <c r="F48" s="1" t="inlineStr">
        <is>
          <t>Q53,P3_1</t>
        </is>
      </c>
      <c r="G48" s="1" t="inlineStr">
        <is>
          <t>vQ53,vP3_1</t>
        </is>
      </c>
      <c r="H48" s="1" t="inlineStr">
        <is>
          <t>Q53答(02)儘快宣佈獨立,P3_1答10分者,請列出檢核。</t>
        </is>
      </c>
      <c r="I48" s="1" t="inlineStr">
        <is>
          <t>TCS4-1計畫小組要求列出,不會進行補問</t>
        </is>
      </c>
      <c r="J48" s="1" t="inlineStr">
        <is>
          <t>vQ53=2 &amp; vP3_1=10</t>
        </is>
      </c>
      <c r="K48" s="1" t="inlineStr"/>
    </row>
  </sheetData>
  <autoFilter ref="A1:H48"/>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S35"/>
  <sheetViews>
    <sheetView topLeftCell="A13" workbookViewId="0">
      <selection activeCell="I14" sqref="I14"/>
    </sheetView>
  </sheetViews>
  <sheetFormatPr baseColWidth="8" defaultRowHeight="16.5"/>
  <cols>
    <col width="11.25" customWidth="1" style="16" min="2" max="2"/>
    <col width="8.875" customWidth="1" style="1" min="4" max="4"/>
    <col width="15" customWidth="1" style="16" min="9" max="9"/>
    <col width="30.5" customWidth="1" style="16" min="10" max="10"/>
  </cols>
  <sheetData>
    <row r="1" customFormat="1" s="1">
      <c r="A1" s="1" t="inlineStr">
        <is>
          <t>var</t>
        </is>
      </c>
      <c r="B1" s="1" t="inlineStr">
        <is>
          <t>變項屬性</t>
        </is>
      </c>
      <c r="C1" s="7" t="inlineStr">
        <is>
          <t>寬度</t>
        </is>
      </c>
      <c r="D1" s="7" t="inlineStr">
        <is>
          <t>in_or_not</t>
        </is>
      </c>
      <c r="E1" s="12" t="inlineStr">
        <is>
          <t>r1</t>
        </is>
      </c>
      <c r="F1" s="9" t="inlineStr">
        <is>
          <t>r2</t>
        </is>
      </c>
      <c r="G1" s="9" t="inlineStr">
        <is>
          <t>r3</t>
        </is>
      </c>
      <c r="H1" s="9" t="inlineStr">
        <is>
          <t>r4</t>
        </is>
      </c>
      <c r="I1" s="9" t="inlineStr">
        <is>
          <t>真實跳答碼</t>
        </is>
      </c>
      <c r="J1" s="9" t="inlineStr">
        <is>
          <t>syntax</t>
        </is>
      </c>
    </row>
    <row r="2">
      <c r="A2" s="1" t="inlineStr">
        <is>
          <t>vB2</t>
        </is>
      </c>
      <c r="B2" s="1" t="inlineStr">
        <is>
          <t>數值</t>
        </is>
      </c>
      <c r="C2" s="1" t="n">
        <v>5</v>
      </c>
      <c r="D2" s="1" t="inlineStr">
        <is>
          <t>range</t>
        </is>
      </c>
      <c r="E2" s="12" t="inlineStr">
        <is>
          <t>1,2359</t>
        </is>
      </c>
      <c r="F2" s="9" t="inlineStr">
        <is>
          <t>9797</t>
        </is>
      </c>
      <c r="G2" s="9" t="inlineStr">
        <is>
          <t>9898</t>
        </is>
      </c>
      <c r="H2" s="9" t="inlineStr">
        <is>
          <t>99996</t>
        </is>
      </c>
      <c r="I2" s="9">
        <f>H2</f>
        <v/>
      </c>
      <c r="J2" s="1">
        <f>"if  "&amp;A2&amp;"~="&amp;I2&amp;" "&amp;A2&amp;"_96=0."</f>
        <v/>
      </c>
      <c r="L2" s="6" t="inlineStr">
        <is>
          <t>這邊的程式碼要貼到"96程式"裡</t>
        </is>
      </c>
      <c r="M2" s="1" t="n"/>
      <c r="N2" s="1" t="n"/>
      <c r="O2" s="1" t="n"/>
      <c r="P2" s="12" t="n"/>
      <c r="Q2" s="9" t="n"/>
      <c r="R2" s="9" t="n"/>
      <c r="S2" s="9" t="n"/>
    </row>
    <row r="3">
      <c r="A3" s="1" t="inlineStr">
        <is>
          <t>vB4</t>
        </is>
      </c>
      <c r="B3" s="1" t="inlineStr">
        <is>
          <t>數值</t>
        </is>
      </c>
      <c r="C3" s="1" t="n">
        <v>5</v>
      </c>
      <c r="D3" s="1" t="inlineStr">
        <is>
          <t>range</t>
        </is>
      </c>
      <c r="E3" s="12" t="inlineStr">
        <is>
          <t>1,2359</t>
        </is>
      </c>
      <c r="F3" s="9" t="inlineStr">
        <is>
          <t>9797</t>
        </is>
      </c>
      <c r="G3" s="9" t="inlineStr">
        <is>
          <t>9898</t>
        </is>
      </c>
      <c r="H3" s="9" t="inlineStr">
        <is>
          <t>99996</t>
        </is>
      </c>
      <c r="I3" s="9">
        <f>H3</f>
        <v/>
      </c>
      <c r="J3" s="1">
        <f>"if  "&amp;A3&amp;"~="&amp;I3&amp;" "&amp;A3&amp;"_96=0."</f>
        <v/>
      </c>
      <c r="K3" s="1" t="n"/>
      <c r="L3" s="1" t="n"/>
      <c r="M3" s="1" t="n"/>
      <c r="N3" s="1" t="n"/>
      <c r="O3" s="1" t="n"/>
      <c r="P3" s="12" t="n"/>
      <c r="Q3" s="9" t="n"/>
      <c r="R3" s="9" t="n"/>
      <c r="S3" s="9" t="n"/>
    </row>
    <row r="4">
      <c r="A4" s="1" t="inlineStr">
        <is>
          <t>vB6</t>
        </is>
      </c>
      <c r="B4" s="1" t="inlineStr">
        <is>
          <t>數值</t>
        </is>
      </c>
      <c r="C4" s="1" t="n">
        <v>5</v>
      </c>
      <c r="D4" s="1" t="inlineStr">
        <is>
          <t>range</t>
        </is>
      </c>
      <c r="E4" s="12" t="inlineStr">
        <is>
          <t>1,2359</t>
        </is>
      </c>
      <c r="F4" s="9" t="inlineStr">
        <is>
          <t>9797</t>
        </is>
      </c>
      <c r="G4" s="9" t="inlineStr">
        <is>
          <t>9898</t>
        </is>
      </c>
      <c r="H4" s="9" t="inlineStr">
        <is>
          <t>99996</t>
        </is>
      </c>
      <c r="I4" s="9">
        <f>H4</f>
        <v/>
      </c>
      <c r="J4" s="1">
        <f>"if  "&amp;A4&amp;"~="&amp;I4&amp;" "&amp;A4&amp;"_96=0."</f>
        <v/>
      </c>
      <c r="K4" s="1" t="n"/>
      <c r="L4" s="1" t="n"/>
      <c r="M4" s="1" t="n"/>
      <c r="N4" s="1" t="n"/>
      <c r="O4" s="1" t="n"/>
      <c r="P4" s="12" t="n"/>
      <c r="Q4" s="9" t="n"/>
      <c r="R4" s="9" t="n"/>
      <c r="S4" s="9" t="n"/>
    </row>
    <row r="5">
      <c r="A5" s="1" t="inlineStr">
        <is>
          <t>vC2</t>
        </is>
      </c>
      <c r="B5" s="1" t="inlineStr">
        <is>
          <t>數值</t>
        </is>
      </c>
      <c r="C5" s="1" t="n">
        <v>5</v>
      </c>
      <c r="D5" s="1" t="inlineStr">
        <is>
          <t>range</t>
        </is>
      </c>
      <c r="E5" s="12" t="inlineStr">
        <is>
          <t>1,2359</t>
        </is>
      </c>
      <c r="F5" s="9" t="inlineStr">
        <is>
          <t>9797</t>
        </is>
      </c>
      <c r="G5" s="9" t="inlineStr">
        <is>
          <t>9898</t>
        </is>
      </c>
      <c r="H5" s="9" t="inlineStr">
        <is>
          <t>99996</t>
        </is>
      </c>
      <c r="I5" s="9">
        <f>H5</f>
        <v/>
      </c>
      <c r="J5" s="1">
        <f>"if  "&amp;A5&amp;"~="&amp;I5&amp;" "&amp;A5&amp;"_96=0."</f>
        <v/>
      </c>
      <c r="K5" s="1" t="n"/>
      <c r="L5" s="1" t="n"/>
      <c r="M5" s="1" t="n"/>
      <c r="N5" s="1" t="n"/>
      <c r="O5" s="1" t="n"/>
      <c r="P5" s="12" t="n"/>
      <c r="Q5" s="9" t="n"/>
      <c r="R5" s="9" t="n"/>
      <c r="S5" s="9" t="n"/>
    </row>
    <row r="6">
      <c r="A6" s="1" t="inlineStr">
        <is>
          <t>vD3</t>
        </is>
      </c>
      <c r="B6" s="1" t="inlineStr">
        <is>
          <t>數值</t>
        </is>
      </c>
      <c r="C6" s="1" t="n">
        <v>5</v>
      </c>
      <c r="D6" s="1" t="inlineStr">
        <is>
          <t>range</t>
        </is>
      </c>
      <c r="E6" s="12" t="inlineStr">
        <is>
          <t>1,2359</t>
        </is>
      </c>
      <c r="F6" s="9" t="inlineStr">
        <is>
          <t>9797</t>
        </is>
      </c>
      <c r="G6" s="9" t="inlineStr">
        <is>
          <t>9898</t>
        </is>
      </c>
      <c r="H6" s="9" t="inlineStr">
        <is>
          <t>99996</t>
        </is>
      </c>
      <c r="I6" s="9">
        <f>H6</f>
        <v/>
      </c>
      <c r="J6" s="1">
        <f>"if  "&amp;A6&amp;"~="&amp;I6&amp;" "&amp;A6&amp;"_96=0."</f>
        <v/>
      </c>
      <c r="K6" s="1" t="n"/>
      <c r="L6" s="1" t="n"/>
      <c r="M6" s="1" t="n"/>
      <c r="N6" s="1" t="n"/>
      <c r="O6" s="1" t="n"/>
      <c r="P6" s="12" t="n"/>
      <c r="Q6" s="9" t="n"/>
      <c r="R6" s="9" t="n"/>
      <c r="S6" s="9" t="n"/>
    </row>
    <row r="7">
      <c r="A7" s="1" t="inlineStr">
        <is>
          <t>vE5sE5</t>
        </is>
      </c>
      <c r="B7" s="1" t="inlineStr">
        <is>
          <t>數值</t>
        </is>
      </c>
      <c r="C7" s="1" t="n">
        <v>5</v>
      </c>
      <c r="D7" s="1" t="inlineStr">
        <is>
          <t>range</t>
        </is>
      </c>
      <c r="E7" s="12" t="inlineStr">
        <is>
          <t>0,2359</t>
        </is>
      </c>
      <c r="F7" s="9" t="inlineStr">
        <is>
          <t>9797</t>
        </is>
      </c>
      <c r="G7" s="9" t="inlineStr">
        <is>
          <t>9898</t>
        </is>
      </c>
      <c r="H7" s="9" t="inlineStr">
        <is>
          <t>99996</t>
        </is>
      </c>
      <c r="I7" s="9">
        <f>H7</f>
        <v/>
      </c>
      <c r="J7" s="1">
        <f>"if  "&amp;A7&amp;"~="&amp;I7&amp;" "&amp;A7&amp;"_96=0."</f>
        <v/>
      </c>
      <c r="K7" s="1" t="n"/>
      <c r="L7" s="1" t="n"/>
      <c r="M7" s="1" t="n"/>
      <c r="N7" s="1" t="n"/>
      <c r="O7" s="1" t="n"/>
      <c r="P7" s="12" t="n"/>
      <c r="Q7" s="9" t="n"/>
      <c r="R7" s="9" t="n"/>
      <c r="S7" s="9" t="n"/>
    </row>
    <row r="8">
      <c r="A8" s="1" t="inlineStr">
        <is>
          <t>vE5sE6</t>
        </is>
      </c>
      <c r="B8" s="1" t="inlineStr">
        <is>
          <t>數值</t>
        </is>
      </c>
      <c r="C8" s="1" t="n">
        <v>5</v>
      </c>
      <c r="D8" s="1" t="inlineStr">
        <is>
          <t>range</t>
        </is>
      </c>
      <c r="E8" s="12" t="inlineStr">
        <is>
          <t>0,2359</t>
        </is>
      </c>
      <c r="F8" s="9" t="inlineStr">
        <is>
          <t>9797</t>
        </is>
      </c>
      <c r="G8" s="9" t="inlineStr">
        <is>
          <t>9898</t>
        </is>
      </c>
      <c r="H8" s="9" t="inlineStr">
        <is>
          <t>99996</t>
        </is>
      </c>
      <c r="I8" s="9">
        <f>H8</f>
        <v/>
      </c>
      <c r="J8" s="1">
        <f>"if  "&amp;A8&amp;"~="&amp;I8&amp;" "&amp;A8&amp;"_96=0."</f>
        <v/>
      </c>
      <c r="K8" s="1" t="n"/>
      <c r="L8" s="1" t="n"/>
      <c r="M8" s="1" t="n"/>
      <c r="N8" s="1" t="n"/>
      <c r="O8" s="1" t="n"/>
      <c r="P8" s="12" t="n"/>
      <c r="Q8" s="9" t="n"/>
      <c r="R8" s="9" t="n"/>
      <c r="S8" s="9" t="n"/>
    </row>
    <row r="9">
      <c r="A9" s="1" t="inlineStr">
        <is>
          <t>vE8sE8</t>
        </is>
      </c>
      <c r="B9" s="1" t="inlineStr">
        <is>
          <t>數值</t>
        </is>
      </c>
      <c r="C9" s="1" t="n">
        <v>5</v>
      </c>
      <c r="D9" s="1" t="inlineStr">
        <is>
          <t>range</t>
        </is>
      </c>
      <c r="E9" s="12" t="inlineStr">
        <is>
          <t>0,2359</t>
        </is>
      </c>
      <c r="F9" s="9" t="inlineStr">
        <is>
          <t>9797</t>
        </is>
      </c>
      <c r="G9" s="9" t="inlineStr">
        <is>
          <t>9898</t>
        </is>
      </c>
      <c r="H9" s="9" t="inlineStr">
        <is>
          <t>99996</t>
        </is>
      </c>
      <c r="I9" s="9">
        <f>H9</f>
        <v/>
      </c>
      <c r="J9" s="1">
        <f>"if  "&amp;A9&amp;"~="&amp;I9&amp;" "&amp;A9&amp;"_96=0."</f>
        <v/>
      </c>
      <c r="K9" s="1" t="n"/>
      <c r="L9" s="1" t="n"/>
      <c r="M9" s="1" t="n"/>
      <c r="N9" s="1" t="n"/>
      <c r="O9" s="1" t="n"/>
      <c r="P9" s="12" t="n"/>
      <c r="Q9" s="9" t="n"/>
      <c r="R9" s="9" t="n"/>
      <c r="S9" s="9" t="n"/>
    </row>
    <row r="10">
      <c r="A10" s="1" t="inlineStr">
        <is>
          <t>vE8sE9</t>
        </is>
      </c>
      <c r="B10" s="1" t="inlineStr">
        <is>
          <t>數值</t>
        </is>
      </c>
      <c r="C10" s="1" t="n">
        <v>5</v>
      </c>
      <c r="D10" s="1" t="inlineStr">
        <is>
          <t>range</t>
        </is>
      </c>
      <c r="E10" s="12" t="inlineStr">
        <is>
          <t>0,2359</t>
        </is>
      </c>
      <c r="F10" s="9" t="inlineStr">
        <is>
          <t>9797</t>
        </is>
      </c>
      <c r="G10" s="9" t="inlineStr">
        <is>
          <t>9898</t>
        </is>
      </c>
      <c r="H10" s="9" t="inlineStr">
        <is>
          <t>99996</t>
        </is>
      </c>
      <c r="I10" s="9">
        <f>H10</f>
        <v/>
      </c>
      <c r="J10" s="1">
        <f>"if  "&amp;A10&amp;"~="&amp;I10&amp;" "&amp;A10&amp;"_96=0."</f>
        <v/>
      </c>
      <c r="K10" s="1" t="n"/>
      <c r="L10" s="1" t="n"/>
      <c r="M10" s="1" t="n"/>
      <c r="N10" s="1" t="n"/>
      <c r="O10" s="1" t="n"/>
      <c r="P10" s="12" t="n"/>
      <c r="Q10" s="9" t="n"/>
      <c r="R10" s="9" t="n"/>
      <c r="S10" s="9" t="n"/>
    </row>
    <row r="11">
      <c r="A11" s="1" t="inlineStr">
        <is>
          <t>vE11sE11</t>
        </is>
      </c>
      <c r="B11" s="1" t="inlineStr">
        <is>
          <t>數值</t>
        </is>
      </c>
      <c r="C11" s="1" t="n">
        <v>5</v>
      </c>
      <c r="D11" s="1" t="inlineStr">
        <is>
          <t>range</t>
        </is>
      </c>
      <c r="E11" s="12" t="inlineStr">
        <is>
          <t>0,2359</t>
        </is>
      </c>
      <c r="F11" s="9" t="inlineStr">
        <is>
          <t>9797</t>
        </is>
      </c>
      <c r="G11" s="9" t="inlineStr">
        <is>
          <t>9898</t>
        </is>
      </c>
      <c r="H11" s="9" t="inlineStr">
        <is>
          <t>99996</t>
        </is>
      </c>
      <c r="I11" s="9">
        <f>H11</f>
        <v/>
      </c>
      <c r="J11" s="1">
        <f>"if  "&amp;A11&amp;"~="&amp;I11&amp;" "&amp;A11&amp;"_96=0."</f>
        <v/>
      </c>
      <c r="K11" s="1" t="n"/>
      <c r="L11" s="1" t="n"/>
      <c r="M11" s="1" t="n"/>
      <c r="N11" s="1" t="n"/>
      <c r="O11" s="1" t="n"/>
      <c r="P11" s="12" t="n"/>
      <c r="Q11" s="9" t="n"/>
      <c r="R11" s="9" t="n"/>
      <c r="S11" s="9" t="n"/>
    </row>
    <row r="12">
      <c r="A12" s="1" t="inlineStr">
        <is>
          <t>vE11sE12</t>
        </is>
      </c>
      <c r="B12" s="1" t="inlineStr">
        <is>
          <t>數值</t>
        </is>
      </c>
      <c r="C12" s="1" t="n">
        <v>5</v>
      </c>
      <c r="D12" s="1" t="inlineStr">
        <is>
          <t>range</t>
        </is>
      </c>
      <c r="E12" s="12" t="inlineStr">
        <is>
          <t>0,2359</t>
        </is>
      </c>
      <c r="F12" s="9" t="inlineStr">
        <is>
          <t>9797</t>
        </is>
      </c>
      <c r="G12" s="9" t="inlineStr">
        <is>
          <t>9898</t>
        </is>
      </c>
      <c r="H12" s="9" t="inlineStr">
        <is>
          <t>99996</t>
        </is>
      </c>
      <c r="I12" s="9">
        <f>H12</f>
        <v/>
      </c>
      <c r="J12" s="1">
        <f>"if  "&amp;A12&amp;"~="&amp;I12&amp;" "&amp;A12&amp;"_96=0."</f>
        <v/>
      </c>
      <c r="K12" s="1" t="n"/>
      <c r="L12" s="1" t="n"/>
      <c r="M12" s="1" t="n"/>
      <c r="N12" s="1" t="n"/>
      <c r="O12" s="1" t="n"/>
      <c r="P12" s="12" t="n"/>
      <c r="Q12" s="9" t="n"/>
      <c r="R12" s="9" t="n"/>
      <c r="S12" s="9" t="n"/>
    </row>
    <row r="13">
      <c r="A13" s="1" t="inlineStr">
        <is>
          <t>vE3</t>
        </is>
      </c>
      <c r="B13" s="1" t="inlineStr">
        <is>
          <t>數值</t>
        </is>
      </c>
      <c r="C13" s="1" t="n">
        <v>5</v>
      </c>
      <c r="D13" s="1" t="inlineStr">
        <is>
          <t>range</t>
        </is>
      </c>
      <c r="E13" s="12" t="inlineStr">
        <is>
          <t>1,2359</t>
        </is>
      </c>
      <c r="F13" s="9" t="inlineStr">
        <is>
          <t>9797</t>
        </is>
      </c>
      <c r="G13" s="9" t="inlineStr">
        <is>
          <t>9898</t>
        </is>
      </c>
      <c r="H13" s="9" t="inlineStr">
        <is>
          <t>99996</t>
        </is>
      </c>
      <c r="I13" s="9">
        <f>H13</f>
        <v/>
      </c>
      <c r="J13" s="1">
        <f>"if  "&amp;A13&amp;"~="&amp;I13&amp;" "&amp;A13&amp;"_96=0."</f>
        <v/>
      </c>
      <c r="K13" s="1" t="n"/>
      <c r="L13" s="1" t="n"/>
      <c r="M13" s="1" t="n"/>
      <c r="N13" s="1" t="n"/>
      <c r="O13" s="1" t="n"/>
      <c r="P13" s="12" t="n"/>
      <c r="Q13" s="9" t="n"/>
      <c r="R13" s="9" t="n"/>
      <c r="S13" s="9" t="n"/>
    </row>
    <row r="14">
      <c r="A14" s="1" t="inlineStr">
        <is>
          <t>vE14</t>
        </is>
      </c>
      <c r="B14" s="1" t="inlineStr">
        <is>
          <t>數值</t>
        </is>
      </c>
      <c r="C14" s="1" t="n">
        <v>7</v>
      </c>
      <c r="D14" s="1" t="inlineStr">
        <is>
          <t>range</t>
        </is>
      </c>
      <c r="E14" s="12" t="inlineStr">
        <is>
          <t>0,100000</t>
        </is>
      </c>
      <c r="F14" s="9" t="inlineStr">
        <is>
          <t>999991</t>
        </is>
      </c>
      <c r="G14" s="9" t="inlineStr">
        <is>
          <t>99997,99998</t>
        </is>
      </c>
      <c r="H14" s="9" t="inlineStr">
        <is>
          <t>9999996</t>
        </is>
      </c>
      <c r="I14" s="9">
        <f>H14</f>
        <v/>
      </c>
      <c r="J14" s="1">
        <f>"if  "&amp;A14&amp;"~="&amp;I14&amp;" "&amp;A14&amp;"_96=0."</f>
        <v/>
      </c>
      <c r="K14" s="1" t="n"/>
      <c r="L14" s="1" t="n"/>
      <c r="M14" s="1" t="n"/>
      <c r="N14" s="1" t="n"/>
      <c r="O14" s="1" t="n"/>
      <c r="P14" s="12" t="n"/>
      <c r="Q14" s="9" t="n"/>
      <c r="R14" s="9" t="n"/>
      <c r="S14" s="9" t="n"/>
    </row>
    <row r="15">
      <c r="A15" s="1" t="inlineStr">
        <is>
          <t>vF2</t>
        </is>
      </c>
      <c r="B15" s="1" t="inlineStr">
        <is>
          <t>數值</t>
        </is>
      </c>
      <c r="C15" s="1" t="n">
        <v>5</v>
      </c>
      <c r="D15" s="1" t="inlineStr">
        <is>
          <t>range</t>
        </is>
      </c>
      <c r="E15" s="12" t="inlineStr">
        <is>
          <t>1,2359</t>
        </is>
      </c>
      <c r="F15" s="9" t="inlineStr">
        <is>
          <t>9797</t>
        </is>
      </c>
      <c r="G15" s="9" t="inlineStr">
        <is>
          <t>9898</t>
        </is>
      </c>
      <c r="H15" s="9" t="inlineStr">
        <is>
          <t>99996</t>
        </is>
      </c>
      <c r="I15" s="9">
        <f>H15</f>
        <v/>
      </c>
      <c r="J15" s="1">
        <f>"if  "&amp;A15&amp;"~="&amp;I15&amp;" "&amp;A15&amp;"_96=0."</f>
        <v/>
      </c>
      <c r="K15" s="1" t="n"/>
      <c r="L15" s="1" t="n"/>
      <c r="M15" s="1" t="n"/>
      <c r="N15" s="1" t="n"/>
      <c r="O15" s="1" t="n"/>
      <c r="P15" s="12" t="n"/>
      <c r="Q15" s="9" t="n"/>
      <c r="R15" s="9" t="n"/>
      <c r="S15" s="9" t="n"/>
    </row>
    <row r="16">
      <c r="A16" s="1" t="inlineStr">
        <is>
          <t>vF4</t>
        </is>
      </c>
      <c r="B16" s="1" t="inlineStr">
        <is>
          <t>數值</t>
        </is>
      </c>
      <c r="C16" s="1" t="n">
        <v>5</v>
      </c>
      <c r="D16" s="1" t="inlineStr">
        <is>
          <t>range</t>
        </is>
      </c>
      <c r="E16" s="12" t="inlineStr">
        <is>
          <t>1,2359</t>
        </is>
      </c>
      <c r="F16" s="9" t="inlineStr">
        <is>
          <t>9797</t>
        </is>
      </c>
      <c r="G16" s="9" t="inlineStr">
        <is>
          <t>9898</t>
        </is>
      </c>
      <c r="H16" s="9" t="inlineStr">
        <is>
          <t>99996</t>
        </is>
      </c>
      <c r="I16" s="9">
        <f>H16</f>
        <v/>
      </c>
      <c r="J16" s="1">
        <f>"if  "&amp;A16&amp;"~="&amp;I16&amp;" "&amp;A16&amp;"_96=0."</f>
        <v/>
      </c>
      <c r="K16" s="1" t="n"/>
      <c r="L16" s="1" t="n"/>
      <c r="M16" s="1" t="n"/>
      <c r="N16" s="1" t="n"/>
      <c r="O16" s="1" t="n"/>
      <c r="P16" s="12" t="n"/>
      <c r="Q16" s="9" t="n"/>
      <c r="R16" s="9" t="n"/>
      <c r="S16" s="9" t="n"/>
    </row>
    <row r="17">
      <c r="A17" s="1" t="inlineStr">
        <is>
          <t>vG2</t>
        </is>
      </c>
      <c r="B17" s="1" t="inlineStr">
        <is>
          <t>數值</t>
        </is>
      </c>
      <c r="C17" s="1" t="n">
        <v>5</v>
      </c>
      <c r="D17" s="1" t="inlineStr">
        <is>
          <t>range</t>
        </is>
      </c>
      <c r="E17" s="12" t="inlineStr">
        <is>
          <t>1,2359</t>
        </is>
      </c>
      <c r="F17" s="9" t="inlineStr">
        <is>
          <t>9797</t>
        </is>
      </c>
      <c r="G17" s="9" t="inlineStr">
        <is>
          <t>9898</t>
        </is>
      </c>
      <c r="H17" s="9" t="inlineStr">
        <is>
          <t>99996</t>
        </is>
      </c>
      <c r="I17" s="9">
        <f>H17</f>
        <v/>
      </c>
      <c r="J17" s="1">
        <f>"if  "&amp;A17&amp;"~="&amp;I17&amp;" "&amp;A17&amp;"_96=0."</f>
        <v/>
      </c>
      <c r="K17" s="1" t="n"/>
      <c r="L17" s="1" t="n"/>
      <c r="M17" s="1" t="n"/>
      <c r="N17" s="1" t="n"/>
      <c r="O17" s="1" t="n"/>
      <c r="P17" s="12" t="n"/>
      <c r="Q17" s="9" t="n"/>
      <c r="R17" s="9" t="n"/>
      <c r="S17" s="9" t="n"/>
    </row>
    <row r="18">
      <c r="A18" s="1" t="inlineStr">
        <is>
          <t>vG5</t>
        </is>
      </c>
      <c r="B18" s="1" t="inlineStr">
        <is>
          <t>數值</t>
        </is>
      </c>
      <c r="C18" s="1" t="n">
        <v>5</v>
      </c>
      <c r="D18" s="1" t="inlineStr">
        <is>
          <t>range</t>
        </is>
      </c>
      <c r="E18" s="12" t="inlineStr">
        <is>
          <t>1,2359</t>
        </is>
      </c>
      <c r="F18" s="9" t="inlineStr">
        <is>
          <t>9797</t>
        </is>
      </c>
      <c r="G18" s="9" t="inlineStr">
        <is>
          <t>9898</t>
        </is>
      </c>
      <c r="H18" s="9" t="inlineStr">
        <is>
          <t>99996</t>
        </is>
      </c>
      <c r="I18" s="9">
        <f>H18</f>
        <v/>
      </c>
      <c r="J18" s="1">
        <f>"if  "&amp;A18&amp;"~="&amp;I18&amp;" "&amp;A18&amp;"_96=0."</f>
        <v/>
      </c>
      <c r="K18" s="1" t="n"/>
      <c r="L18" s="1" t="n"/>
      <c r="M18" s="1" t="n"/>
      <c r="N18" s="1" t="n"/>
      <c r="O18" s="1" t="n"/>
      <c r="P18" s="12" t="n"/>
      <c r="Q18" s="9" t="n"/>
      <c r="R18" s="9" t="n"/>
      <c r="S18" s="9" t="n"/>
    </row>
    <row r="19">
      <c r="A19" s="1" t="inlineStr">
        <is>
          <t>vH1</t>
        </is>
      </c>
      <c r="B19" s="1" t="inlineStr">
        <is>
          <t>數值</t>
        </is>
      </c>
      <c r="C19" s="1" t="n">
        <v>4</v>
      </c>
      <c r="D19" s="1" t="inlineStr">
        <is>
          <t>range</t>
        </is>
      </c>
      <c r="E19" s="12" t="inlineStr">
        <is>
          <t>0,990</t>
        </is>
      </c>
      <c r="F19" s="9" t="inlineStr">
        <is>
          <t>991</t>
        </is>
      </c>
      <c r="G19" s="9" t="inlineStr">
        <is>
          <t>997,998</t>
        </is>
      </c>
      <c r="H19" s="9" t="n"/>
      <c r="I19" s="9" t="inlineStr">
        <is>
          <t>9996</t>
        </is>
      </c>
      <c r="J19" s="1">
        <f>"if  "&amp;A19&amp;"~="&amp;I19&amp;" "&amp;A19&amp;"_96=0."</f>
        <v/>
      </c>
      <c r="K19" s="1" t="n"/>
      <c r="L19" s="1" t="n"/>
      <c r="M19" s="1" t="n"/>
      <c r="N19" s="1" t="n"/>
      <c r="O19" s="1" t="n"/>
      <c r="P19" s="12" t="n"/>
      <c r="Q19" s="9" t="n"/>
      <c r="R19" s="9" t="n"/>
      <c r="S19" s="9" t="n"/>
    </row>
    <row r="20">
      <c r="A20" s="1" t="inlineStr">
        <is>
          <t>vH4</t>
        </is>
      </c>
      <c r="B20" s="1" t="inlineStr">
        <is>
          <t>數值</t>
        </is>
      </c>
      <c r="C20" s="1" t="n">
        <v>4</v>
      </c>
      <c r="D20" s="1" t="inlineStr">
        <is>
          <t>range</t>
        </is>
      </c>
      <c r="E20" s="12" t="inlineStr">
        <is>
          <t>0,990</t>
        </is>
      </c>
      <c r="F20" s="9" t="inlineStr">
        <is>
          <t>991</t>
        </is>
      </c>
      <c r="G20" s="9" t="inlineStr">
        <is>
          <t>997,998</t>
        </is>
      </c>
      <c r="H20" s="9" t="inlineStr">
        <is>
          <t>9996</t>
        </is>
      </c>
      <c r="I20" s="9">
        <f>H20</f>
        <v/>
      </c>
      <c r="J20" s="1">
        <f>"if  "&amp;A20&amp;"~="&amp;I20&amp;" "&amp;A20&amp;"_96=0."</f>
        <v/>
      </c>
      <c r="K20" s="1" t="n"/>
      <c r="L20" s="1" t="n"/>
      <c r="M20" s="1" t="n"/>
      <c r="N20" s="1" t="n"/>
      <c r="O20" s="1" t="n"/>
      <c r="P20" s="12" t="n"/>
      <c r="Q20" s="9" t="n"/>
      <c r="R20" s="9" t="n"/>
      <c r="S20" s="9" t="n"/>
    </row>
    <row r="21">
      <c r="A21" s="1" t="inlineStr">
        <is>
          <t>vH7</t>
        </is>
      </c>
      <c r="B21" s="1" t="inlineStr">
        <is>
          <t>數值</t>
        </is>
      </c>
      <c r="C21" s="1" t="n">
        <v>4</v>
      </c>
      <c r="D21" s="1" t="inlineStr">
        <is>
          <t>range</t>
        </is>
      </c>
      <c r="E21" s="12" t="inlineStr">
        <is>
          <t>0,990</t>
        </is>
      </c>
      <c r="F21" s="9" t="inlineStr">
        <is>
          <t>991</t>
        </is>
      </c>
      <c r="G21" s="9" t="inlineStr">
        <is>
          <t>997,998</t>
        </is>
      </c>
      <c r="H21" s="9" t="inlineStr">
        <is>
          <t>9996</t>
        </is>
      </c>
      <c r="I21" s="9">
        <f>H21</f>
        <v/>
      </c>
      <c r="J21" s="1">
        <f>"if  "&amp;A21&amp;"~="&amp;I21&amp;" "&amp;A21&amp;"_96=0."</f>
        <v/>
      </c>
      <c r="K21" s="1" t="n"/>
      <c r="L21" s="1" t="n"/>
      <c r="M21" s="1" t="n"/>
      <c r="N21" s="1" t="n"/>
      <c r="O21" s="1" t="n"/>
      <c r="P21" s="12" t="n"/>
      <c r="Q21" s="9" t="n"/>
      <c r="R21" s="9" t="n"/>
      <c r="S21" s="9" t="n"/>
    </row>
    <row r="22">
      <c r="A22" s="1" t="inlineStr">
        <is>
          <t>vH7_1</t>
        </is>
      </c>
      <c r="B22" s="1" t="inlineStr">
        <is>
          <t>數值</t>
        </is>
      </c>
      <c r="C22" s="1" t="n">
        <v>4</v>
      </c>
      <c r="D22" s="1" t="inlineStr">
        <is>
          <t>range</t>
        </is>
      </c>
      <c r="E22" s="12" t="inlineStr">
        <is>
          <t>0,990</t>
        </is>
      </c>
      <c r="F22" s="9" t="inlineStr">
        <is>
          <t>991</t>
        </is>
      </c>
      <c r="G22" s="9" t="inlineStr">
        <is>
          <t>997,998</t>
        </is>
      </c>
      <c r="H22" s="9" t="inlineStr">
        <is>
          <t>9996</t>
        </is>
      </c>
      <c r="I22" s="9">
        <f>H22</f>
        <v/>
      </c>
      <c r="J22" s="1">
        <f>"if  "&amp;A22&amp;"~="&amp;I22&amp;" "&amp;A22&amp;"_96=0."</f>
        <v/>
      </c>
      <c r="K22" s="1" t="n"/>
      <c r="L22" s="1" t="n"/>
      <c r="M22" s="1" t="n"/>
      <c r="N22" s="1" t="n"/>
      <c r="O22" s="1" t="n"/>
      <c r="P22" s="12" t="n"/>
      <c r="Q22" s="9" t="n"/>
      <c r="R22" s="9" t="n"/>
      <c r="S22" s="9" t="n"/>
    </row>
    <row r="23">
      <c r="A23" s="1" t="inlineStr">
        <is>
          <t>vH7_2</t>
        </is>
      </c>
      <c r="B23" s="1" t="inlineStr">
        <is>
          <t>數值</t>
        </is>
      </c>
      <c r="C23" s="1" t="n">
        <v>4</v>
      </c>
      <c r="D23" s="1" t="inlineStr">
        <is>
          <t>range</t>
        </is>
      </c>
      <c r="E23" s="12" t="inlineStr">
        <is>
          <t>0,990</t>
        </is>
      </c>
      <c r="F23" s="9" t="inlineStr">
        <is>
          <t>991</t>
        </is>
      </c>
      <c r="G23" s="9" t="inlineStr">
        <is>
          <t>997,998</t>
        </is>
      </c>
      <c r="H23" s="9" t="inlineStr">
        <is>
          <t>9996</t>
        </is>
      </c>
      <c r="I23" s="9">
        <f>H23</f>
        <v/>
      </c>
      <c r="J23" s="1">
        <f>"if  "&amp;A23&amp;"~="&amp;I23&amp;" "&amp;A23&amp;"_96=0."</f>
        <v/>
      </c>
      <c r="K23" s="1" t="n"/>
      <c r="L23" s="1" t="n"/>
      <c r="M23" s="1" t="n"/>
      <c r="N23" s="1" t="n"/>
      <c r="O23" s="1" t="n"/>
      <c r="P23" s="12" t="n"/>
      <c r="Q23" s="9" t="n"/>
      <c r="R23" s="9" t="n"/>
      <c r="S23" s="9" t="n"/>
    </row>
    <row r="24">
      <c r="A24" s="1" t="inlineStr">
        <is>
          <t>vH7_3</t>
        </is>
      </c>
      <c r="B24" s="1" t="inlineStr">
        <is>
          <t>數值</t>
        </is>
      </c>
      <c r="C24" s="1" t="n">
        <v>4</v>
      </c>
      <c r="D24" s="1" t="inlineStr">
        <is>
          <t>range</t>
        </is>
      </c>
      <c r="E24" s="12" t="inlineStr">
        <is>
          <t>0,990</t>
        </is>
      </c>
      <c r="F24" s="9" t="inlineStr">
        <is>
          <t>991</t>
        </is>
      </c>
      <c r="G24" s="9" t="inlineStr">
        <is>
          <t>997,998</t>
        </is>
      </c>
      <c r="H24" s="9" t="inlineStr">
        <is>
          <t>9996</t>
        </is>
      </c>
      <c r="I24" s="9">
        <f>H24</f>
        <v/>
      </c>
      <c r="J24" s="1">
        <f>"if  "&amp;A24&amp;"~="&amp;I24&amp;" "&amp;A24&amp;"_96=0."</f>
        <v/>
      </c>
      <c r="K24" s="1" t="n"/>
      <c r="L24" s="1" t="n"/>
      <c r="M24" s="1" t="n"/>
      <c r="N24" s="1" t="n"/>
      <c r="O24" s="1" t="n"/>
      <c r="P24" s="12" t="n"/>
      <c r="Q24" s="9" t="n"/>
      <c r="R24" s="9" t="n"/>
      <c r="S24" s="9" t="n"/>
    </row>
    <row r="25">
      <c r="A25" s="1" t="inlineStr">
        <is>
          <t>vH8</t>
        </is>
      </c>
      <c r="B25" s="1" t="inlineStr">
        <is>
          <t>數值</t>
        </is>
      </c>
      <c r="C25" s="1" t="n">
        <v>4</v>
      </c>
      <c r="D25" s="1" t="inlineStr">
        <is>
          <t>range</t>
        </is>
      </c>
      <c r="E25" s="12" t="inlineStr">
        <is>
          <t>0,500</t>
        </is>
      </c>
      <c r="F25" s="9" t="inlineStr">
        <is>
          <t>991</t>
        </is>
      </c>
      <c r="G25" s="9" t="inlineStr">
        <is>
          <t>997,998</t>
        </is>
      </c>
      <c r="H25" s="9" t="n"/>
      <c r="I25" s="9" t="inlineStr">
        <is>
          <t>9996</t>
        </is>
      </c>
      <c r="J25" s="1">
        <f>"if  "&amp;A25&amp;"~="&amp;I25&amp;" "&amp;A25&amp;"_96=0."</f>
        <v/>
      </c>
      <c r="K25" s="1" t="n"/>
      <c r="L25" s="1" t="n"/>
      <c r="M25" s="1" t="n"/>
      <c r="N25" s="1" t="n"/>
      <c r="O25" s="1" t="n"/>
      <c r="P25" s="12" t="n"/>
      <c r="Q25" s="9" t="n"/>
      <c r="R25" s="9" t="n"/>
      <c r="S25" s="9" t="n"/>
    </row>
    <row r="26">
      <c r="A26" s="1" t="inlineStr">
        <is>
          <t>vI2</t>
        </is>
      </c>
      <c r="B26" s="1" t="inlineStr">
        <is>
          <t>數值</t>
        </is>
      </c>
      <c r="C26" s="1" t="n">
        <v>5</v>
      </c>
      <c r="D26" s="1" t="inlineStr">
        <is>
          <t>range</t>
        </is>
      </c>
      <c r="E26" s="12" t="inlineStr">
        <is>
          <t>1,2359</t>
        </is>
      </c>
      <c r="F26" s="9" t="inlineStr">
        <is>
          <t>9797</t>
        </is>
      </c>
      <c r="G26" s="9" t="inlineStr">
        <is>
          <t>9898</t>
        </is>
      </c>
      <c r="H26" s="9" t="inlineStr">
        <is>
          <t>99996</t>
        </is>
      </c>
      <c r="I26" s="9">
        <f>H26</f>
        <v/>
      </c>
      <c r="J26" s="1">
        <f>"if  "&amp;A26&amp;"~="&amp;I26&amp;" "&amp;A26&amp;"_96=0."</f>
        <v/>
      </c>
      <c r="K26" s="1" t="n"/>
      <c r="L26" s="1" t="n"/>
      <c r="M26" s="1" t="n"/>
      <c r="N26" s="1" t="n"/>
      <c r="O26" s="1" t="n"/>
      <c r="P26" s="12" t="n"/>
      <c r="Q26" s="9" t="n"/>
      <c r="R26" s="9" t="n"/>
      <c r="S26" s="9" t="n"/>
    </row>
    <row r="27">
      <c r="A27" s="1" t="inlineStr">
        <is>
          <t>vI4</t>
        </is>
      </c>
      <c r="B27" s="1" t="inlineStr">
        <is>
          <t>數值</t>
        </is>
      </c>
      <c r="C27" s="1" t="n">
        <v>5</v>
      </c>
      <c r="D27" s="1" t="inlineStr">
        <is>
          <t>range</t>
        </is>
      </c>
      <c r="E27" s="12" t="inlineStr">
        <is>
          <t>1,2359</t>
        </is>
      </c>
      <c r="F27" s="9" t="inlineStr">
        <is>
          <t>9797</t>
        </is>
      </c>
      <c r="G27" s="9" t="inlineStr">
        <is>
          <t>9898</t>
        </is>
      </c>
      <c r="H27" s="9" t="inlineStr">
        <is>
          <t>99996</t>
        </is>
      </c>
      <c r="I27" s="9">
        <f>H27</f>
        <v/>
      </c>
      <c r="J27" s="1">
        <f>"if  "&amp;A27&amp;"~="&amp;I27&amp;" "&amp;A27&amp;"_96=0."</f>
        <v/>
      </c>
      <c r="K27" s="1" t="n"/>
      <c r="L27" s="1" t="n"/>
      <c r="M27" s="1" t="n"/>
      <c r="N27" s="1" t="n"/>
      <c r="O27" s="1" t="n"/>
      <c r="P27" s="12" t="n"/>
      <c r="Q27" s="9" t="n"/>
      <c r="R27" s="9" t="n"/>
      <c r="S27" s="9" t="n"/>
    </row>
    <row r="28">
      <c r="A28" s="1" t="inlineStr">
        <is>
          <t>vKFB2</t>
        </is>
      </c>
      <c r="B28" s="1" t="inlineStr">
        <is>
          <t>數值</t>
        </is>
      </c>
      <c r="C28" s="1" t="n">
        <v>5</v>
      </c>
      <c r="D28" s="1" t="inlineStr">
        <is>
          <t>range</t>
        </is>
      </c>
      <c r="E28" s="12" t="inlineStr">
        <is>
          <t>1,2359</t>
        </is>
      </c>
      <c r="F28" s="9" t="inlineStr">
        <is>
          <t>9797</t>
        </is>
      </c>
      <c r="G28" s="9" t="inlineStr">
        <is>
          <t>9898</t>
        </is>
      </c>
      <c r="H28" s="9" t="inlineStr">
        <is>
          <t>99996</t>
        </is>
      </c>
      <c r="I28" s="9">
        <f>H28</f>
        <v/>
      </c>
      <c r="J28" s="1">
        <f>"if  "&amp;A28&amp;"~="&amp;I28&amp;" "&amp;A28&amp;"_96=0."</f>
        <v/>
      </c>
      <c r="K28" s="1" t="n"/>
      <c r="L28" s="1" t="n"/>
      <c r="M28" s="1" t="n"/>
      <c r="N28" s="1" t="n"/>
      <c r="O28" s="1" t="n"/>
      <c r="P28" s="12" t="n"/>
      <c r="Q28" s="9" t="n"/>
      <c r="R28" s="9" t="n"/>
      <c r="S28" s="9" t="n"/>
    </row>
    <row r="29">
      <c r="A29" s="1" t="inlineStr">
        <is>
          <t>vKIG2</t>
        </is>
      </c>
      <c r="B29" s="1" t="inlineStr">
        <is>
          <t>數值</t>
        </is>
      </c>
      <c r="C29" s="1" t="n">
        <v>5</v>
      </c>
      <c r="D29" s="1" t="inlineStr">
        <is>
          <t>range</t>
        </is>
      </c>
      <c r="E29" s="12" t="inlineStr">
        <is>
          <t>1,2359</t>
        </is>
      </c>
      <c r="F29" s="9" t="inlineStr">
        <is>
          <t>9797</t>
        </is>
      </c>
      <c r="G29" s="9" t="inlineStr">
        <is>
          <t>9898</t>
        </is>
      </c>
      <c r="H29" s="9" t="inlineStr">
        <is>
          <t>99996</t>
        </is>
      </c>
      <c r="I29" s="9">
        <f>H29</f>
        <v/>
      </c>
      <c r="J29" s="1">
        <f>"if  "&amp;A29&amp;"~="&amp;I29&amp;" "&amp;A29&amp;"_96=0."</f>
        <v/>
      </c>
      <c r="K29" s="1" t="n"/>
      <c r="L29" s="1" t="n"/>
      <c r="M29" s="1" t="n"/>
      <c r="N29" s="1" t="n"/>
      <c r="O29" s="1" t="n"/>
      <c r="P29" s="12" t="n"/>
      <c r="Q29" s="9" t="n"/>
      <c r="R29" s="9" t="n"/>
      <c r="S29" s="9" t="n"/>
    </row>
    <row r="30">
      <c r="A30" s="1" t="inlineStr">
        <is>
          <t>vKTT2</t>
        </is>
      </c>
      <c r="B30" s="1" t="inlineStr">
        <is>
          <t>數值</t>
        </is>
      </c>
      <c r="C30" s="1" t="n">
        <v>5</v>
      </c>
      <c r="D30" s="1" t="inlineStr">
        <is>
          <t>range</t>
        </is>
      </c>
      <c r="E30" s="12" t="inlineStr">
        <is>
          <t>1,2359</t>
        </is>
      </c>
      <c r="F30" s="9" t="inlineStr">
        <is>
          <t>9797</t>
        </is>
      </c>
      <c r="G30" s="9" t="inlineStr">
        <is>
          <t>9898</t>
        </is>
      </c>
      <c r="H30" s="9" t="inlineStr">
        <is>
          <t>99996</t>
        </is>
      </c>
      <c r="I30" s="9">
        <f>H30</f>
        <v/>
      </c>
      <c r="J30" s="1">
        <f>"if  "&amp;A30&amp;"~="&amp;I30&amp;" "&amp;A30&amp;"_96=0."</f>
        <v/>
      </c>
      <c r="K30" s="1" t="n"/>
      <c r="L30" s="1" t="n"/>
      <c r="M30" s="1" t="n"/>
      <c r="N30" s="1" t="n"/>
      <c r="O30" s="1" t="n"/>
      <c r="P30" s="12" t="n"/>
      <c r="Q30" s="9" t="n"/>
      <c r="R30" s="9" t="n"/>
      <c r="S30" s="9" t="n"/>
    </row>
    <row r="31">
      <c r="A31" s="1" t="inlineStr">
        <is>
          <t>vP2_2</t>
        </is>
      </c>
      <c r="B31" s="1" t="inlineStr">
        <is>
          <t>數值</t>
        </is>
      </c>
      <c r="C31" s="1" t="n">
        <v>6</v>
      </c>
      <c r="D31" s="1" t="inlineStr">
        <is>
          <t>range</t>
        </is>
      </c>
      <c r="E31" s="12" t="inlineStr">
        <is>
          <t>1,5000</t>
        </is>
      </c>
      <c r="F31" s="9" t="inlineStr">
        <is>
          <t>9991</t>
        </is>
      </c>
      <c r="G31" s="9" t="inlineStr">
        <is>
          <t>9997,9998</t>
        </is>
      </c>
      <c r="H31" s="9" t="inlineStr">
        <is>
          <t>999996</t>
        </is>
      </c>
      <c r="I31" s="9">
        <f>H31</f>
        <v/>
      </c>
      <c r="J31" s="1">
        <f>"if  "&amp;A31&amp;"~="&amp;I31&amp;" "&amp;A31&amp;"_96=0."</f>
        <v/>
      </c>
      <c r="K31" s="1" t="n"/>
      <c r="L31" s="1" t="n"/>
      <c r="M31" s="1" t="n"/>
      <c r="N31" s="1" t="n"/>
      <c r="O31" s="1" t="n"/>
      <c r="P31" s="12" t="n"/>
      <c r="Q31" s="9" t="n"/>
      <c r="R31" s="9" t="n"/>
      <c r="S31" s="9" t="n"/>
    </row>
    <row r="32">
      <c r="A32" s="1" t="inlineStr">
        <is>
          <t>vKLI2</t>
        </is>
      </c>
      <c r="B32" s="1" t="inlineStr">
        <is>
          <t>數值</t>
        </is>
      </c>
      <c r="C32" s="1" t="n">
        <v>5</v>
      </c>
      <c r="D32" s="1" t="inlineStr">
        <is>
          <t>range</t>
        </is>
      </c>
      <c r="E32" s="12" t="inlineStr">
        <is>
          <t>1,2359</t>
        </is>
      </c>
      <c r="F32" s="9" t="inlineStr">
        <is>
          <t>9797</t>
        </is>
      </c>
      <c r="G32" s="9" t="inlineStr">
        <is>
          <t>9898</t>
        </is>
      </c>
      <c r="H32" s="9" t="inlineStr">
        <is>
          <t>99996</t>
        </is>
      </c>
      <c r="I32" s="9">
        <f>H32</f>
        <v/>
      </c>
      <c r="J32" s="1">
        <f>"if  "&amp;A32&amp;"~="&amp;I32&amp;" "&amp;A32&amp;"_96=0."</f>
        <v/>
      </c>
      <c r="K32" s="1" t="n"/>
      <c r="L32" s="1" t="n"/>
      <c r="M32" s="1" t="n"/>
      <c r="N32" s="1" t="n"/>
      <c r="O32" s="1" t="n"/>
      <c r="P32" s="12" t="n"/>
      <c r="Q32" s="9" t="n"/>
      <c r="R32" s="9" t="n"/>
      <c r="S32" s="9" t="n"/>
    </row>
    <row r="33">
      <c r="A33" s="1" t="inlineStr">
        <is>
          <t>vKYT2</t>
        </is>
      </c>
      <c r="B33" s="1" t="inlineStr">
        <is>
          <t>數值</t>
        </is>
      </c>
      <c r="C33" s="1" t="n">
        <v>5</v>
      </c>
      <c r="D33" s="1" t="inlineStr">
        <is>
          <t>range</t>
        </is>
      </c>
      <c r="E33" s="12" t="inlineStr">
        <is>
          <t>1,2359</t>
        </is>
      </c>
      <c r="F33" s="9" t="inlineStr">
        <is>
          <t>9797</t>
        </is>
      </c>
      <c r="G33" s="9" t="inlineStr">
        <is>
          <t>9898</t>
        </is>
      </c>
      <c r="H33" s="9" t="inlineStr">
        <is>
          <t>99996</t>
        </is>
      </c>
      <c r="I33" s="9">
        <f>H33</f>
        <v/>
      </c>
      <c r="J33" s="1">
        <f>"if  "&amp;A33&amp;"~="&amp;I33&amp;" "&amp;A33&amp;"_96=0."</f>
        <v/>
      </c>
      <c r="K33" s="1" t="n"/>
      <c r="L33" s="1" t="n"/>
      <c r="M33" s="1" t="n"/>
      <c r="N33" s="1" t="n"/>
      <c r="O33" s="1" t="n"/>
      <c r="P33" s="12" t="n"/>
      <c r="Q33" s="9" t="n"/>
      <c r="R33" s="9" t="n"/>
      <c r="S33" s="9" t="n"/>
    </row>
    <row r="34">
      <c r="A34" s="1" t="inlineStr">
        <is>
          <t>vM1g1</t>
        </is>
      </c>
      <c r="B34" s="1" t="inlineStr">
        <is>
          <t>數值</t>
        </is>
      </c>
      <c r="C34" s="1" t="n">
        <v>4</v>
      </c>
      <c r="D34" s="1" t="inlineStr">
        <is>
          <t>range</t>
        </is>
      </c>
      <c r="E34" s="12" t="inlineStr">
        <is>
          <t>0,140</t>
        </is>
      </c>
      <c r="F34" s="9" t="inlineStr">
        <is>
          <t>995</t>
        </is>
      </c>
      <c r="G34" s="9" t="inlineStr">
        <is>
          <t>997,998</t>
        </is>
      </c>
      <c r="H34" s="9" t="n"/>
      <c r="I34" s="9" t="inlineStr">
        <is>
          <t>9996</t>
        </is>
      </c>
      <c r="J34" s="1">
        <f>"if  "&amp;A34&amp;"~="&amp;I34&amp;" "&amp;A34&amp;"_96=0."</f>
        <v/>
      </c>
      <c r="K34" s="1" t="n"/>
      <c r="L34" s="1" t="n"/>
      <c r="M34" s="1" t="n"/>
      <c r="N34" s="1" t="n"/>
      <c r="O34" s="1" t="n"/>
      <c r="P34" s="12" t="n"/>
      <c r="Q34" s="9" t="n"/>
      <c r="R34" s="9" t="n"/>
      <c r="S34" s="9" t="n"/>
    </row>
    <row r="35">
      <c r="A35" s="1" t="inlineStr">
        <is>
          <t>vO4B</t>
        </is>
      </c>
      <c r="B35" s="1" t="inlineStr">
        <is>
          <t>數值</t>
        </is>
      </c>
      <c r="C35" s="1" t="n">
        <v>5</v>
      </c>
      <c r="D35" s="1" t="inlineStr">
        <is>
          <t>range</t>
        </is>
      </c>
      <c r="E35" s="12" t="inlineStr">
        <is>
          <t>1,5000</t>
        </is>
      </c>
      <c r="F35" s="9" t="inlineStr">
        <is>
          <t>9991</t>
        </is>
      </c>
      <c r="G35" s="9" t="inlineStr">
        <is>
          <t>9997,9998</t>
        </is>
      </c>
      <c r="H35" s="9" t="inlineStr">
        <is>
          <t>99996</t>
        </is>
      </c>
      <c r="I35" s="9">
        <f>H35</f>
        <v/>
      </c>
      <c r="J35" s="1">
        <f>"if  "&amp;A35&amp;"~="&amp;I35&amp;" "&amp;A35&amp;"_96=0."</f>
        <v/>
      </c>
      <c r="K35" s="1" t="n"/>
      <c r="L35" s="1" t="n"/>
      <c r="M35" s="1" t="n"/>
      <c r="N35" s="1" t="n"/>
      <c r="O35" s="1" t="n"/>
      <c r="P35" s="12" t="n"/>
      <c r="Q35" s="9" t="n"/>
      <c r="R35" s="9" t="n"/>
      <c r="S35" s="9" t="n"/>
    </row>
  </sheetData>
  <autoFilter ref="A1:J35"/>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2.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16">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16">
      <c r="A6" s="1" t="inlineStr">
        <is>
          <t>vZB1o01</t>
        </is>
      </c>
      <c r="B6" s="1" t="inlineStr">
        <is>
          <t>字串</t>
        </is>
      </c>
      <c r="C6" s="1" t="n">
        <v>150</v>
      </c>
    </row>
    <row r="7" hidden="1" s="16">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16">
      <c r="A16" s="1" t="inlineStr">
        <is>
          <t>vZB3o07</t>
        </is>
      </c>
      <c r="B16" s="1" t="inlineStr">
        <is>
          <t>字串</t>
        </is>
      </c>
      <c r="C16" s="1" t="n">
        <v>150</v>
      </c>
    </row>
    <row r="17">
      <c r="A17" s="1" t="inlineStr">
        <is>
          <t>vZB4</t>
        </is>
      </c>
      <c r="B17" s="1" t="inlineStr">
        <is>
          <t>數值</t>
        </is>
      </c>
      <c r="C17" s="1" t="n">
        <v>2</v>
      </c>
    </row>
    <row r="18" hidden="1" s="16">
      <c r="A18" s="1" t="inlineStr">
        <is>
          <t>vZB4o07</t>
        </is>
      </c>
      <c r="B18" s="1" t="inlineStr">
        <is>
          <t>字串</t>
        </is>
      </c>
      <c r="C18" s="1" t="n">
        <v>150</v>
      </c>
    </row>
    <row r="19">
      <c r="A19" s="1" t="inlineStr">
        <is>
          <t>vZB5_1</t>
        </is>
      </c>
      <c r="B19" s="1" t="inlineStr">
        <is>
          <t>數值</t>
        </is>
      </c>
      <c r="C19" s="1" t="n">
        <v>2</v>
      </c>
    </row>
    <row r="20" hidden="1" s="16">
      <c r="A20" s="1" t="inlineStr">
        <is>
          <t>vZB5_1o03</t>
        </is>
      </c>
      <c r="B20" s="1" t="inlineStr">
        <is>
          <t>字串</t>
        </is>
      </c>
      <c r="C20" s="1" t="n">
        <v>150</v>
      </c>
    </row>
    <row r="21" hidden="1" s="16">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16">
      <c r="A35" s="1" t="inlineStr">
        <is>
          <t>vZB7o11</t>
        </is>
      </c>
      <c r="B35" s="1" t="inlineStr">
        <is>
          <t>字串</t>
        </is>
      </c>
      <c r="C35" s="1" t="n">
        <v>150</v>
      </c>
    </row>
    <row r="36">
      <c r="A36" s="1" t="inlineStr">
        <is>
          <t>vZB8</t>
        </is>
      </c>
      <c r="B36" s="1" t="inlineStr">
        <is>
          <t>數值</t>
        </is>
      </c>
      <c r="C36" s="1" t="n">
        <v>2</v>
      </c>
    </row>
    <row r="37" hidden="1" s="16">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16">
      <c r="A44" s="1" t="inlineStr">
        <is>
          <t>vZB9o03</t>
        </is>
      </c>
      <c r="B44" s="1" t="inlineStr">
        <is>
          <t>字串</t>
        </is>
      </c>
      <c r="C44" s="1" t="n">
        <v>150</v>
      </c>
    </row>
    <row r="45" hidden="1" s="16">
      <c r="A45" s="1" t="inlineStr">
        <is>
          <t>vZB9o04</t>
        </is>
      </c>
      <c r="B45" s="1" t="inlineStr">
        <is>
          <t>字串</t>
        </is>
      </c>
      <c r="C45" s="1" t="n">
        <v>150</v>
      </c>
    </row>
    <row r="46" hidden="1" s="16">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16">
      <c r="A53" s="1" t="inlineStr">
        <is>
          <t>vZC3o01</t>
        </is>
      </c>
      <c r="B53" s="1" t="inlineStr">
        <is>
          <t>字串</t>
        </is>
      </c>
      <c r="C53" s="1" t="n">
        <v>150</v>
      </c>
    </row>
    <row r="54" hidden="1" s="16">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574"/>
  <sheetViews>
    <sheetView topLeftCell="A1495" workbookViewId="0">
      <selection activeCell="I1571" sqref="I1571"/>
    </sheetView>
  </sheetViews>
  <sheetFormatPr baseColWidth="8" defaultRowHeight="16.5"/>
  <cols>
    <col width="29.125" customWidth="1" style="16"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8" t="inlineStr">
        <is>
          <t>vZX</t>
        </is>
      </c>
      <c r="B888" s="8" t="inlineStr">
        <is>
          <t>字串</t>
        </is>
      </c>
      <c r="C888" s="8" t="n">
        <v>1500</v>
      </c>
      <c r="D888" s="8" t="n">
        <v>0</v>
      </c>
      <c r="E888" s="1">
        <f>IF(B888="數值","(F"&amp;C888&amp;"."&amp;D888&amp;")","(A"&amp;C888&amp;")")</f>
        <v/>
      </c>
      <c r="F888" s="1">
        <f>"alter type "&amp;A888&amp;" "&amp;E888&amp;"."</f>
        <v/>
      </c>
    </row>
    <row r="889">
      <c r="A889" s="8" t="inlineStr">
        <is>
          <t>vZB1m01</t>
        </is>
      </c>
      <c r="B889" s="8" t="inlineStr">
        <is>
          <t>數值</t>
        </is>
      </c>
      <c r="C889" s="8" t="n">
        <v>2</v>
      </c>
      <c r="D889" s="8" t="n">
        <v>0</v>
      </c>
      <c r="E889" s="1">
        <f>IF(B889="數值","(F"&amp;C889&amp;"."&amp;D889&amp;")","(A"&amp;C889&amp;")")</f>
        <v/>
      </c>
      <c r="F889" s="1">
        <f>"alter type "&amp;A889&amp;" "&amp;E889&amp;"."</f>
        <v/>
      </c>
    </row>
    <row r="890">
      <c r="A890" s="8" t="inlineStr">
        <is>
          <t>vZB1m02</t>
        </is>
      </c>
      <c r="B890" s="8" t="inlineStr">
        <is>
          <t>數值</t>
        </is>
      </c>
      <c r="C890" s="8" t="n">
        <v>2</v>
      </c>
      <c r="D890" s="8" t="n">
        <v>0</v>
      </c>
      <c r="E890" s="1">
        <f>IF(B890="數值","(F"&amp;C890&amp;"."&amp;D890&amp;")","(A"&amp;C890&amp;")")</f>
        <v/>
      </c>
      <c r="F890" s="1">
        <f>"alter type "&amp;A890&amp;" "&amp;E890&amp;"."</f>
        <v/>
      </c>
    </row>
    <row r="891">
      <c r="A891" s="8" t="inlineStr">
        <is>
          <t>vZB1m03</t>
        </is>
      </c>
      <c r="B891" s="8" t="inlineStr">
        <is>
          <t>數值</t>
        </is>
      </c>
      <c r="C891" s="8" t="n">
        <v>2</v>
      </c>
      <c r="D891" s="8" t="n">
        <v>0</v>
      </c>
      <c r="E891" s="1">
        <f>IF(B891="數值","(F"&amp;C891&amp;"."&amp;D891&amp;")","(A"&amp;C891&amp;")")</f>
        <v/>
      </c>
      <c r="F891" s="1">
        <f>"alter type "&amp;A891&amp;" "&amp;E891&amp;"."</f>
        <v/>
      </c>
    </row>
    <row r="892">
      <c r="A892" s="8" t="inlineStr">
        <is>
          <t>vZB1o01</t>
        </is>
      </c>
      <c r="B892" s="8" t="inlineStr">
        <is>
          <t>字串</t>
        </is>
      </c>
      <c r="C892" s="8" t="n">
        <v>150</v>
      </c>
      <c r="D892" s="8" t="n">
        <v>0</v>
      </c>
      <c r="E892" s="1">
        <f>IF(B892="數值","(F"&amp;C892&amp;"."&amp;D892&amp;")","(A"&amp;C892&amp;")")</f>
        <v/>
      </c>
      <c r="F892" s="1">
        <f>"alter type "&amp;A892&amp;" "&amp;E892&amp;"."</f>
        <v/>
      </c>
    </row>
    <row r="893">
      <c r="A893" s="8" t="inlineStr">
        <is>
          <t>vZB1o02</t>
        </is>
      </c>
      <c r="B893" s="8" t="inlineStr">
        <is>
          <t>字串</t>
        </is>
      </c>
      <c r="C893" s="8" t="n">
        <v>150</v>
      </c>
      <c r="D893" s="8" t="n">
        <v>0</v>
      </c>
      <c r="E893" s="1">
        <f>IF(B893="數值","(F"&amp;C893&amp;"."&amp;D893&amp;")","(A"&amp;C893&amp;")")</f>
        <v/>
      </c>
      <c r="F893" s="1">
        <f>"alter type "&amp;A893&amp;" "&amp;E893&amp;"."</f>
        <v/>
      </c>
    </row>
    <row r="894">
      <c r="A894" s="8" t="inlineStr">
        <is>
          <t>vZB2</t>
        </is>
      </c>
      <c r="B894" s="8" t="inlineStr">
        <is>
          <t>數值</t>
        </is>
      </c>
      <c r="C894" s="8" t="n">
        <v>2</v>
      </c>
      <c r="D894" s="8" t="n">
        <v>0</v>
      </c>
      <c r="E894" s="1">
        <f>IF(B894="數值","(F"&amp;C894&amp;"."&amp;D894&amp;")","(A"&amp;C894&amp;")")</f>
        <v/>
      </c>
      <c r="F894" s="1">
        <f>"alter type "&amp;A894&amp;" "&amp;E894&amp;"."</f>
        <v/>
      </c>
    </row>
    <row r="895">
      <c r="A895" s="8" t="inlineStr">
        <is>
          <t>vZB3m01</t>
        </is>
      </c>
      <c r="B895" s="8" t="inlineStr">
        <is>
          <t>數值</t>
        </is>
      </c>
      <c r="C895" s="8" t="n">
        <v>2</v>
      </c>
      <c r="D895" s="8" t="n">
        <v>0</v>
      </c>
      <c r="E895" s="1">
        <f>IF(B895="數值","(F"&amp;C895&amp;"."&amp;D895&amp;")","(A"&amp;C895&amp;")")</f>
        <v/>
      </c>
      <c r="F895" s="1">
        <f>"alter type "&amp;A895&amp;" "&amp;E895&amp;"."</f>
        <v/>
      </c>
    </row>
    <row r="896">
      <c r="A896" s="8" t="inlineStr">
        <is>
          <t>vZB3m02</t>
        </is>
      </c>
      <c r="B896" s="8" t="inlineStr">
        <is>
          <t>數值</t>
        </is>
      </c>
      <c r="C896" s="8" t="n">
        <v>2</v>
      </c>
      <c r="D896" s="8" t="n">
        <v>0</v>
      </c>
      <c r="E896" s="1">
        <f>IF(B896="數值","(F"&amp;C896&amp;"."&amp;D896&amp;")","(A"&amp;C896&amp;")")</f>
        <v/>
      </c>
      <c r="F896" s="1">
        <f>"alter type "&amp;A896&amp;" "&amp;E896&amp;"."</f>
        <v/>
      </c>
    </row>
    <row r="897">
      <c r="A897" s="8" t="inlineStr">
        <is>
          <t>vZB3m03</t>
        </is>
      </c>
      <c r="B897" s="8" t="inlineStr">
        <is>
          <t>數值</t>
        </is>
      </c>
      <c r="C897" s="8" t="n">
        <v>2</v>
      </c>
      <c r="D897" s="8" t="n">
        <v>0</v>
      </c>
      <c r="E897" s="1">
        <f>IF(B897="數值","(F"&amp;C897&amp;"."&amp;D897&amp;")","(A"&amp;C897&amp;")")</f>
        <v/>
      </c>
      <c r="F897" s="1">
        <f>"alter type "&amp;A897&amp;" "&amp;E897&amp;"."</f>
        <v/>
      </c>
    </row>
    <row r="898">
      <c r="A898" s="8" t="inlineStr">
        <is>
          <t>vZB3m04</t>
        </is>
      </c>
      <c r="B898" s="8" t="inlineStr">
        <is>
          <t>數值</t>
        </is>
      </c>
      <c r="C898" s="8" t="n">
        <v>2</v>
      </c>
      <c r="D898" s="8" t="n">
        <v>0</v>
      </c>
      <c r="E898" s="1">
        <f>IF(B898="數值","(F"&amp;C898&amp;"."&amp;D898&amp;")","(A"&amp;C898&amp;")")</f>
        <v/>
      </c>
      <c r="F898" s="1">
        <f>"alter type "&amp;A898&amp;" "&amp;E898&amp;"."</f>
        <v/>
      </c>
    </row>
    <row r="899">
      <c r="A899" s="8" t="inlineStr">
        <is>
          <t>vZB3m05</t>
        </is>
      </c>
      <c r="B899" s="8" t="inlineStr">
        <is>
          <t>數值</t>
        </is>
      </c>
      <c r="C899" s="8" t="n">
        <v>2</v>
      </c>
      <c r="D899" s="8" t="n">
        <v>0</v>
      </c>
      <c r="E899" s="1">
        <f>IF(B899="數值","(F"&amp;C899&amp;"."&amp;D899&amp;")","(A"&amp;C899&amp;")")</f>
        <v/>
      </c>
      <c r="F899" s="1">
        <f>"alter type "&amp;A899&amp;" "&amp;E899&amp;"."</f>
        <v/>
      </c>
    </row>
    <row r="900">
      <c r="A900" s="8" t="inlineStr">
        <is>
          <t>vZB3m06</t>
        </is>
      </c>
      <c r="B900" s="8" t="inlineStr">
        <is>
          <t>數值</t>
        </is>
      </c>
      <c r="C900" s="8" t="n">
        <v>2</v>
      </c>
      <c r="D900" s="8" t="n">
        <v>0</v>
      </c>
      <c r="E900" s="1">
        <f>IF(B900="數值","(F"&amp;C900&amp;"."&amp;D900&amp;")","(A"&amp;C900&amp;")")</f>
        <v/>
      </c>
      <c r="F900" s="1">
        <f>"alter type "&amp;A900&amp;" "&amp;E900&amp;"."</f>
        <v/>
      </c>
    </row>
    <row r="901">
      <c r="A901" s="8" t="inlineStr">
        <is>
          <t>vZB3m07</t>
        </is>
      </c>
      <c r="B901" s="8" t="inlineStr">
        <is>
          <t>數值</t>
        </is>
      </c>
      <c r="C901" s="8" t="n">
        <v>2</v>
      </c>
      <c r="D901" s="8" t="n">
        <v>0</v>
      </c>
      <c r="E901" s="1">
        <f>IF(B901="數值","(F"&amp;C901&amp;"."&amp;D901&amp;")","(A"&amp;C901&amp;")")</f>
        <v/>
      </c>
      <c r="F901" s="1">
        <f>"alter type "&amp;A901&amp;" "&amp;E901&amp;"."</f>
        <v/>
      </c>
    </row>
    <row r="902">
      <c r="A902" s="8" t="inlineStr">
        <is>
          <t>vZB3o07</t>
        </is>
      </c>
      <c r="B902" s="8" t="inlineStr">
        <is>
          <t>字串</t>
        </is>
      </c>
      <c r="C902" s="8" t="n">
        <v>150</v>
      </c>
      <c r="D902" s="8" t="n">
        <v>0</v>
      </c>
      <c r="E902" s="1">
        <f>IF(B902="數值","(F"&amp;C902&amp;"."&amp;D902&amp;")","(A"&amp;C902&amp;")")</f>
        <v/>
      </c>
      <c r="F902" s="1">
        <f>"alter type "&amp;A902&amp;" "&amp;E902&amp;"."</f>
        <v/>
      </c>
    </row>
    <row r="903">
      <c r="A903" s="8" t="inlineStr">
        <is>
          <t>vZB4</t>
        </is>
      </c>
      <c r="B903" s="8" t="inlineStr">
        <is>
          <t>數值</t>
        </is>
      </c>
      <c r="C903" s="8" t="n">
        <v>2</v>
      </c>
      <c r="D903" s="8" t="n">
        <v>0</v>
      </c>
      <c r="E903" s="1">
        <f>IF(B903="數值","(F"&amp;C903&amp;"."&amp;D903&amp;")","(A"&amp;C903&amp;")")</f>
        <v/>
      </c>
      <c r="F903" s="1">
        <f>"alter type "&amp;A903&amp;" "&amp;E903&amp;"."</f>
        <v/>
      </c>
    </row>
    <row r="904">
      <c r="A904" s="8" t="inlineStr">
        <is>
          <t>vZB4o07</t>
        </is>
      </c>
      <c r="B904" s="8" t="inlineStr">
        <is>
          <t>字串</t>
        </is>
      </c>
      <c r="C904" s="8" t="n">
        <v>150</v>
      </c>
      <c r="D904" s="8" t="n">
        <v>0</v>
      </c>
      <c r="E904" s="1">
        <f>IF(B904="數值","(F"&amp;C904&amp;"."&amp;D904&amp;")","(A"&amp;C904&amp;")")</f>
        <v/>
      </c>
      <c r="F904" s="1">
        <f>"alter type "&amp;A904&amp;" "&amp;E904&amp;"."</f>
        <v/>
      </c>
    </row>
    <row r="905">
      <c r="A905" s="8" t="inlineStr">
        <is>
          <t>vZB5_1</t>
        </is>
      </c>
      <c r="B905" s="8" t="inlineStr">
        <is>
          <t>數值</t>
        </is>
      </c>
      <c r="C905" s="8" t="n">
        <v>2</v>
      </c>
      <c r="D905" s="8" t="n">
        <v>0</v>
      </c>
      <c r="E905" s="1">
        <f>IF(B905="數值","(F"&amp;C905&amp;"."&amp;D905&amp;")","(A"&amp;C905&amp;")")</f>
        <v/>
      </c>
      <c r="F905" s="1">
        <f>"alter type "&amp;A905&amp;" "&amp;E905&amp;"."</f>
        <v/>
      </c>
    </row>
    <row r="906">
      <c r="A906" s="8" t="inlineStr">
        <is>
          <t>vZB5_1o03</t>
        </is>
      </c>
      <c r="B906" s="8" t="inlineStr">
        <is>
          <t>字串</t>
        </is>
      </c>
      <c r="C906" s="8" t="n">
        <v>150</v>
      </c>
      <c r="D906" s="8" t="n">
        <v>0</v>
      </c>
      <c r="E906" s="1">
        <f>IF(B906="數值","(F"&amp;C906&amp;"."&amp;D906&amp;")","(A"&amp;C906&amp;")")</f>
        <v/>
      </c>
      <c r="F906" s="1">
        <f>"alter type "&amp;A906&amp;" "&amp;E906&amp;"."</f>
        <v/>
      </c>
    </row>
    <row r="907">
      <c r="A907" s="8" t="inlineStr">
        <is>
          <t>vZB5_1o04</t>
        </is>
      </c>
      <c r="B907" s="8" t="inlineStr">
        <is>
          <t>字串</t>
        </is>
      </c>
      <c r="C907" s="8" t="n">
        <v>150</v>
      </c>
      <c r="D907" s="8" t="n">
        <v>0</v>
      </c>
      <c r="E907" s="1">
        <f>IF(B907="數值","(F"&amp;C907&amp;"."&amp;D907&amp;")","(A"&amp;C907&amp;")")</f>
        <v/>
      </c>
      <c r="F907" s="1">
        <f>"alter type "&amp;A907&amp;" "&amp;E907&amp;"."</f>
        <v/>
      </c>
    </row>
    <row r="908">
      <c r="A908" s="8" t="inlineStr">
        <is>
          <t>vZB5_2</t>
        </is>
      </c>
      <c r="B908" s="8" t="inlineStr">
        <is>
          <t>數值</t>
        </is>
      </c>
      <c r="C908" s="8" t="n">
        <v>2</v>
      </c>
      <c r="D908" s="8" t="n">
        <v>0</v>
      </c>
      <c r="E908" s="1">
        <f>IF(B908="數值","(F"&amp;C908&amp;"."&amp;D908&amp;")","(A"&amp;C908&amp;")")</f>
        <v/>
      </c>
      <c r="F908" s="1">
        <f>"alter type "&amp;A908&amp;" "&amp;E908&amp;"."</f>
        <v/>
      </c>
    </row>
    <row r="909">
      <c r="A909" s="8" t="inlineStr">
        <is>
          <t>vZB6</t>
        </is>
      </c>
      <c r="B909" s="8" t="inlineStr">
        <is>
          <t>數值</t>
        </is>
      </c>
      <c r="C909" s="8" t="n">
        <v>2</v>
      </c>
      <c r="D909" s="8" t="n">
        <v>0</v>
      </c>
      <c r="E909" s="1">
        <f>IF(B909="數值","(F"&amp;C909&amp;"."&amp;D909&amp;")","(A"&amp;C909&amp;")")</f>
        <v/>
      </c>
      <c r="F909" s="1">
        <f>"alter type "&amp;A909&amp;" "&amp;E909&amp;"."</f>
        <v/>
      </c>
    </row>
    <row r="910">
      <c r="A910" s="8" t="inlineStr">
        <is>
          <t>vZB7m01</t>
        </is>
      </c>
      <c r="B910" s="8" t="inlineStr">
        <is>
          <t>數值</t>
        </is>
      </c>
      <c r="C910" s="8" t="n">
        <v>2</v>
      </c>
      <c r="D910" s="8" t="n">
        <v>0</v>
      </c>
      <c r="E910" s="1">
        <f>IF(B910="數值","(F"&amp;C910&amp;"."&amp;D910&amp;")","(A"&amp;C910&amp;")")</f>
        <v/>
      </c>
      <c r="F910" s="1">
        <f>"alter type "&amp;A910&amp;" "&amp;E910&amp;"."</f>
        <v/>
      </c>
    </row>
    <row r="911">
      <c r="A911" s="8" t="inlineStr">
        <is>
          <t>vZB7m02</t>
        </is>
      </c>
      <c r="B911" s="8" t="inlineStr">
        <is>
          <t>數值</t>
        </is>
      </c>
      <c r="C911" s="8" t="n">
        <v>2</v>
      </c>
      <c r="D911" s="8" t="n">
        <v>0</v>
      </c>
      <c r="E911" s="1">
        <f>IF(B911="數值","(F"&amp;C911&amp;"."&amp;D911&amp;")","(A"&amp;C911&amp;")")</f>
        <v/>
      </c>
      <c r="F911" s="1">
        <f>"alter type "&amp;A911&amp;" "&amp;E911&amp;"."</f>
        <v/>
      </c>
    </row>
    <row r="912">
      <c r="A912" s="8" t="inlineStr">
        <is>
          <t>vZB7m03</t>
        </is>
      </c>
      <c r="B912" s="8" t="inlineStr">
        <is>
          <t>數值</t>
        </is>
      </c>
      <c r="C912" s="8" t="n">
        <v>2</v>
      </c>
      <c r="D912" s="8" t="n">
        <v>0</v>
      </c>
      <c r="E912" s="1">
        <f>IF(B912="數值","(F"&amp;C912&amp;"."&amp;D912&amp;")","(A"&amp;C912&amp;")")</f>
        <v/>
      </c>
      <c r="F912" s="1">
        <f>"alter type "&amp;A912&amp;" "&amp;E912&amp;"."</f>
        <v/>
      </c>
    </row>
    <row r="913">
      <c r="A913" s="8" t="inlineStr">
        <is>
          <t>vZB7m04</t>
        </is>
      </c>
      <c r="B913" s="8" t="inlineStr">
        <is>
          <t>數值</t>
        </is>
      </c>
      <c r="C913" s="8" t="n">
        <v>2</v>
      </c>
      <c r="D913" s="8" t="n">
        <v>0</v>
      </c>
      <c r="E913" s="1">
        <f>IF(B913="數值","(F"&amp;C913&amp;"."&amp;D913&amp;")","(A"&amp;C913&amp;")")</f>
        <v/>
      </c>
      <c r="F913" s="1">
        <f>"alter type "&amp;A913&amp;" "&amp;E913&amp;"."</f>
        <v/>
      </c>
    </row>
    <row r="914">
      <c r="A914" s="8" t="inlineStr">
        <is>
          <t>vZB7m05</t>
        </is>
      </c>
      <c r="B914" s="8" t="inlineStr">
        <is>
          <t>數值</t>
        </is>
      </c>
      <c r="C914" s="8" t="n">
        <v>2</v>
      </c>
      <c r="D914" s="8" t="n">
        <v>0</v>
      </c>
      <c r="E914" s="1">
        <f>IF(B914="數值","(F"&amp;C914&amp;"."&amp;D914&amp;")","(A"&amp;C914&amp;")")</f>
        <v/>
      </c>
      <c r="F914" s="1">
        <f>"alter type "&amp;A914&amp;" "&amp;E914&amp;"."</f>
        <v/>
      </c>
    </row>
    <row r="915">
      <c r="A915" s="8" t="inlineStr">
        <is>
          <t>vZB7m06</t>
        </is>
      </c>
      <c r="B915" s="8" t="inlineStr">
        <is>
          <t>數值</t>
        </is>
      </c>
      <c r="C915" s="8" t="n">
        <v>2</v>
      </c>
      <c r="D915" s="8" t="n">
        <v>0</v>
      </c>
      <c r="E915" s="1">
        <f>IF(B915="數值","(F"&amp;C915&amp;"."&amp;D915&amp;")","(A"&amp;C915&amp;")")</f>
        <v/>
      </c>
      <c r="F915" s="1">
        <f>"alter type "&amp;A915&amp;" "&amp;E915&amp;"."</f>
        <v/>
      </c>
    </row>
    <row r="916">
      <c r="A916" s="8" t="inlineStr">
        <is>
          <t>vZB7m07</t>
        </is>
      </c>
      <c r="B916" s="8" t="inlineStr">
        <is>
          <t>數值</t>
        </is>
      </c>
      <c r="C916" s="8" t="n">
        <v>2</v>
      </c>
      <c r="D916" s="8" t="n">
        <v>0</v>
      </c>
      <c r="E916" s="1">
        <f>IF(B916="數值","(F"&amp;C916&amp;"."&amp;D916&amp;")","(A"&amp;C916&amp;")")</f>
        <v/>
      </c>
      <c r="F916" s="1">
        <f>"alter type "&amp;A916&amp;" "&amp;E916&amp;"."</f>
        <v/>
      </c>
    </row>
    <row r="917">
      <c r="A917" s="8" t="inlineStr">
        <is>
          <t>vZB7m08</t>
        </is>
      </c>
      <c r="B917" s="8" t="inlineStr">
        <is>
          <t>數值</t>
        </is>
      </c>
      <c r="C917" s="8" t="n">
        <v>2</v>
      </c>
      <c r="D917" s="8" t="n">
        <v>0</v>
      </c>
      <c r="E917" s="1">
        <f>IF(B917="數值","(F"&amp;C917&amp;"."&amp;D917&amp;")","(A"&amp;C917&amp;")")</f>
        <v/>
      </c>
      <c r="F917" s="1">
        <f>"alter type "&amp;A917&amp;" "&amp;E917&amp;"."</f>
        <v/>
      </c>
    </row>
    <row r="918">
      <c r="A918" s="8" t="inlineStr">
        <is>
          <t>vZB7m09</t>
        </is>
      </c>
      <c r="B918" s="8" t="inlineStr">
        <is>
          <t>數值</t>
        </is>
      </c>
      <c r="C918" s="8" t="n">
        <v>2</v>
      </c>
      <c r="D918" s="8" t="n">
        <v>0</v>
      </c>
      <c r="E918" s="1">
        <f>IF(B918="數值","(F"&amp;C918&amp;"."&amp;D918&amp;")","(A"&amp;C918&amp;")")</f>
        <v/>
      </c>
      <c r="F918" s="1">
        <f>"alter type "&amp;A918&amp;" "&amp;E918&amp;"."</f>
        <v/>
      </c>
    </row>
    <row r="919">
      <c r="A919" s="8" t="inlineStr">
        <is>
          <t>vZB7m10</t>
        </is>
      </c>
      <c r="B919" s="8" t="inlineStr">
        <is>
          <t>數值</t>
        </is>
      </c>
      <c r="C919" s="8" t="n">
        <v>2</v>
      </c>
      <c r="D919" s="8" t="n">
        <v>0</v>
      </c>
      <c r="E919" s="1">
        <f>IF(B919="數值","(F"&amp;C919&amp;"."&amp;D919&amp;")","(A"&amp;C919&amp;")")</f>
        <v/>
      </c>
      <c r="F919" s="1">
        <f>"alter type "&amp;A919&amp;" "&amp;E919&amp;"."</f>
        <v/>
      </c>
    </row>
    <row r="920">
      <c r="A920" s="8" t="inlineStr">
        <is>
          <t>vZB7m11</t>
        </is>
      </c>
      <c r="B920" s="8" t="inlineStr">
        <is>
          <t>數值</t>
        </is>
      </c>
      <c r="C920" s="8" t="n">
        <v>2</v>
      </c>
      <c r="D920" s="8" t="n">
        <v>0</v>
      </c>
      <c r="E920" s="1">
        <f>IF(B920="數值","(F"&amp;C920&amp;"."&amp;D920&amp;")","(A"&amp;C920&amp;")")</f>
        <v/>
      </c>
      <c r="F920" s="1">
        <f>"alter type "&amp;A920&amp;" "&amp;E920&amp;"."</f>
        <v/>
      </c>
    </row>
    <row r="921">
      <c r="A921" s="8" t="inlineStr">
        <is>
          <t>vZB7o11</t>
        </is>
      </c>
      <c r="B921" s="8" t="inlineStr">
        <is>
          <t>字串</t>
        </is>
      </c>
      <c r="C921" s="8" t="n">
        <v>150</v>
      </c>
      <c r="D921" s="8" t="n">
        <v>0</v>
      </c>
      <c r="E921" s="1">
        <f>IF(B921="數值","(F"&amp;C921&amp;"."&amp;D921&amp;")","(A"&amp;C921&amp;")")</f>
        <v/>
      </c>
      <c r="F921" s="1">
        <f>"alter type "&amp;A921&amp;" "&amp;E921&amp;"."</f>
        <v/>
      </c>
    </row>
    <row r="922">
      <c r="A922" s="8" t="inlineStr">
        <is>
          <t>vZB8</t>
        </is>
      </c>
      <c r="B922" s="8" t="inlineStr">
        <is>
          <t>數值</t>
        </is>
      </c>
      <c r="C922" s="8" t="n">
        <v>2</v>
      </c>
      <c r="D922" s="8" t="n">
        <v>0</v>
      </c>
      <c r="E922" s="1">
        <f>IF(B922="數值","(F"&amp;C922&amp;"."&amp;D922&amp;")","(A"&amp;C922&amp;")")</f>
        <v/>
      </c>
      <c r="F922" s="1">
        <f>"alter type "&amp;A922&amp;" "&amp;E922&amp;"."</f>
        <v/>
      </c>
    </row>
    <row r="923">
      <c r="A923" s="8" t="inlineStr">
        <is>
          <t>vZB8o01</t>
        </is>
      </c>
      <c r="B923" s="8" t="inlineStr">
        <is>
          <t>字串</t>
        </is>
      </c>
      <c r="C923" s="8" t="n">
        <v>150</v>
      </c>
      <c r="D923" s="8" t="n">
        <v>0</v>
      </c>
      <c r="E923" s="1">
        <f>IF(B923="數值","(F"&amp;C923&amp;"."&amp;D923&amp;")","(A"&amp;C923&amp;")")</f>
        <v/>
      </c>
      <c r="F923" s="1">
        <f>"alter type "&amp;A923&amp;" "&amp;E923&amp;"."</f>
        <v/>
      </c>
    </row>
    <row r="924">
      <c r="A924" s="8" t="inlineStr">
        <is>
          <t>vZB9m01</t>
        </is>
      </c>
      <c r="B924" s="8" t="inlineStr">
        <is>
          <t>數值</t>
        </is>
      </c>
      <c r="C924" s="8" t="n">
        <v>2</v>
      </c>
      <c r="D924" s="8" t="n">
        <v>0</v>
      </c>
      <c r="E924" s="1">
        <f>IF(B924="數值","(F"&amp;C924&amp;"."&amp;D924&amp;")","(A"&amp;C924&amp;")")</f>
        <v/>
      </c>
      <c r="F924" s="1">
        <f>"alter type "&amp;A924&amp;" "&amp;E924&amp;"."</f>
        <v/>
      </c>
    </row>
    <row r="925">
      <c r="A925" s="8" t="inlineStr">
        <is>
          <t>vZB9m02</t>
        </is>
      </c>
      <c r="B925" s="8" t="inlineStr">
        <is>
          <t>數值</t>
        </is>
      </c>
      <c r="C925" s="8" t="n">
        <v>2</v>
      </c>
      <c r="D925" s="8" t="n">
        <v>0</v>
      </c>
      <c r="E925" s="1">
        <f>IF(B925="數值","(F"&amp;C925&amp;"."&amp;D925&amp;")","(A"&amp;C925&amp;")")</f>
        <v/>
      </c>
      <c r="F925" s="1">
        <f>"alter type "&amp;A925&amp;" "&amp;E925&amp;"."</f>
        <v/>
      </c>
    </row>
    <row r="926">
      <c r="A926" s="8" t="inlineStr">
        <is>
          <t>vZB9m03</t>
        </is>
      </c>
      <c r="B926" s="8" t="inlineStr">
        <is>
          <t>數值</t>
        </is>
      </c>
      <c r="C926" s="8" t="n">
        <v>2</v>
      </c>
      <c r="D926" s="8" t="n">
        <v>0</v>
      </c>
      <c r="E926" s="1">
        <f>IF(B926="數值","(F"&amp;C926&amp;"."&amp;D926&amp;")","(A"&amp;C926&amp;")")</f>
        <v/>
      </c>
      <c r="F926" s="1">
        <f>"alter type "&amp;A926&amp;" "&amp;E926&amp;"."</f>
        <v/>
      </c>
    </row>
    <row r="927">
      <c r="A927" s="8" t="inlineStr">
        <is>
          <t>vZB9m04</t>
        </is>
      </c>
      <c r="B927" s="8" t="inlineStr">
        <is>
          <t>數值</t>
        </is>
      </c>
      <c r="C927" s="8" t="n">
        <v>2</v>
      </c>
      <c r="D927" s="8" t="n">
        <v>0</v>
      </c>
      <c r="E927" s="1">
        <f>IF(B927="數值","(F"&amp;C927&amp;"."&amp;D927&amp;")","(A"&amp;C927&amp;")")</f>
        <v/>
      </c>
      <c r="F927" s="1">
        <f>"alter type "&amp;A927&amp;" "&amp;E927&amp;"."</f>
        <v/>
      </c>
    </row>
    <row r="928">
      <c r="A928" s="8" t="inlineStr">
        <is>
          <t>vZB9m05</t>
        </is>
      </c>
      <c r="B928" s="8" t="inlineStr">
        <is>
          <t>數值</t>
        </is>
      </c>
      <c r="C928" s="8" t="n">
        <v>2</v>
      </c>
      <c r="D928" s="8" t="n">
        <v>0</v>
      </c>
      <c r="E928" s="1">
        <f>IF(B928="數值","(F"&amp;C928&amp;"."&amp;D928&amp;")","(A"&amp;C928&amp;")")</f>
        <v/>
      </c>
      <c r="F928" s="1">
        <f>"alter type "&amp;A928&amp;" "&amp;E928&amp;"."</f>
        <v/>
      </c>
    </row>
    <row r="929">
      <c r="A929" s="8" t="inlineStr">
        <is>
          <t>vZB9m06</t>
        </is>
      </c>
      <c r="B929" s="8" t="inlineStr">
        <is>
          <t>數值</t>
        </is>
      </c>
      <c r="C929" s="8" t="n">
        <v>2</v>
      </c>
      <c r="D929" s="8" t="n">
        <v>0</v>
      </c>
      <c r="E929" s="1">
        <f>IF(B929="數值","(F"&amp;C929&amp;"."&amp;D929&amp;")","(A"&amp;C929&amp;")")</f>
        <v/>
      </c>
      <c r="F929" s="1">
        <f>"alter type "&amp;A929&amp;" "&amp;E929&amp;"."</f>
        <v/>
      </c>
    </row>
    <row r="930">
      <c r="A930" s="8" t="inlineStr">
        <is>
          <t>vZB9o03</t>
        </is>
      </c>
      <c r="B930" s="8" t="inlineStr">
        <is>
          <t>字串</t>
        </is>
      </c>
      <c r="C930" s="8" t="n">
        <v>150</v>
      </c>
      <c r="D930" s="8" t="n">
        <v>0</v>
      </c>
      <c r="E930" s="1">
        <f>IF(B930="數值","(F"&amp;C930&amp;"."&amp;D930&amp;")","(A"&amp;C930&amp;")")</f>
        <v/>
      </c>
      <c r="F930" s="1">
        <f>"alter type "&amp;A930&amp;" "&amp;E930&amp;"."</f>
        <v/>
      </c>
    </row>
    <row r="931">
      <c r="A931" s="8" t="inlineStr">
        <is>
          <t>vZB9o04</t>
        </is>
      </c>
      <c r="B931" s="8" t="inlineStr">
        <is>
          <t>字串</t>
        </is>
      </c>
      <c r="C931" s="8" t="n">
        <v>150</v>
      </c>
      <c r="D931" s="8" t="n">
        <v>0</v>
      </c>
      <c r="E931" s="1">
        <f>IF(B931="數值","(F"&amp;C931&amp;"."&amp;D931&amp;")","(A"&amp;C931&amp;")")</f>
        <v/>
      </c>
      <c r="F931" s="1">
        <f>"alter type "&amp;A931&amp;" "&amp;E931&amp;"."</f>
        <v/>
      </c>
    </row>
    <row r="932">
      <c r="A932" s="8" t="inlineStr">
        <is>
          <t>vZB9o05</t>
        </is>
      </c>
      <c r="B932" s="8" t="inlineStr">
        <is>
          <t>字串</t>
        </is>
      </c>
      <c r="C932" s="8" t="n">
        <v>150</v>
      </c>
      <c r="D932" s="8" t="n">
        <v>0</v>
      </c>
      <c r="E932" s="1">
        <f>IF(B932="數值","(F"&amp;C932&amp;"."&amp;D932&amp;")","(A"&amp;C932&amp;")")</f>
        <v/>
      </c>
      <c r="F932" s="1">
        <f>"alter type "&amp;A932&amp;" "&amp;E932&amp;"."</f>
        <v/>
      </c>
    </row>
    <row r="933">
      <c r="A933" s="8" t="inlineStr">
        <is>
          <t>vZC1m01</t>
        </is>
      </c>
      <c r="B933" s="8" t="inlineStr">
        <is>
          <t>數值</t>
        </is>
      </c>
      <c r="C933" s="8" t="n">
        <v>2</v>
      </c>
      <c r="D933" s="8" t="n">
        <v>0</v>
      </c>
      <c r="E933" s="1">
        <f>IF(B933="數值","(F"&amp;C933&amp;"."&amp;D933&amp;")","(A"&amp;C933&amp;")")</f>
        <v/>
      </c>
      <c r="F933" s="1">
        <f>"alter type "&amp;A933&amp;" "&amp;E933&amp;"."</f>
        <v/>
      </c>
    </row>
    <row r="934">
      <c r="A934" s="8" t="inlineStr">
        <is>
          <t>vZC1m02</t>
        </is>
      </c>
      <c r="B934" s="8" t="inlineStr">
        <is>
          <t>數值</t>
        </is>
      </c>
      <c r="C934" s="8" t="n">
        <v>2</v>
      </c>
      <c r="D934" s="8" t="n">
        <v>0</v>
      </c>
      <c r="E934" s="1">
        <f>IF(B934="數值","(F"&amp;C934&amp;"."&amp;D934&amp;")","(A"&amp;C934&amp;")")</f>
        <v/>
      </c>
      <c r="F934" s="1">
        <f>"alter type "&amp;A934&amp;" "&amp;E934&amp;"."</f>
        <v/>
      </c>
    </row>
    <row r="935">
      <c r="A935" s="8" t="inlineStr">
        <is>
          <t>vZC1m03</t>
        </is>
      </c>
      <c r="B935" s="8" t="inlineStr">
        <is>
          <t>數值</t>
        </is>
      </c>
      <c r="C935" s="8" t="n">
        <v>2</v>
      </c>
      <c r="D935" s="8" t="n">
        <v>0</v>
      </c>
      <c r="E935" s="1">
        <f>IF(B935="數值","(F"&amp;C935&amp;"."&amp;D935&amp;")","(A"&amp;C935&amp;")")</f>
        <v/>
      </c>
      <c r="F935" s="1">
        <f>"alter type "&amp;A935&amp;" "&amp;E935&amp;"."</f>
        <v/>
      </c>
    </row>
    <row r="936">
      <c r="A936" s="8" t="inlineStr">
        <is>
          <t>vZC1m04</t>
        </is>
      </c>
      <c r="B936" s="8" t="inlineStr">
        <is>
          <t>數值</t>
        </is>
      </c>
      <c r="C936" s="8" t="n">
        <v>2</v>
      </c>
      <c r="D936" s="8" t="n">
        <v>0</v>
      </c>
      <c r="E936" s="1">
        <f>IF(B936="數值","(F"&amp;C936&amp;"."&amp;D936&amp;")","(A"&amp;C936&amp;")")</f>
        <v/>
      </c>
      <c r="F936" s="1">
        <f>"alter type "&amp;A936&amp;" "&amp;E936&amp;"."</f>
        <v/>
      </c>
    </row>
    <row r="937">
      <c r="A937" s="8" t="inlineStr">
        <is>
          <t>vZC2</t>
        </is>
      </c>
      <c r="B937" s="8" t="inlineStr">
        <is>
          <t>數值</t>
        </is>
      </c>
      <c r="C937" s="8" t="n">
        <v>2</v>
      </c>
      <c r="D937" s="8" t="n">
        <v>0</v>
      </c>
      <c r="E937" s="1">
        <f>IF(B937="數值","(F"&amp;C937&amp;"."&amp;D937&amp;")","(A"&amp;C937&amp;")")</f>
        <v/>
      </c>
      <c r="F937" s="1">
        <f>"alter type "&amp;A937&amp;" "&amp;E937&amp;"."</f>
        <v/>
      </c>
    </row>
    <row r="938">
      <c r="A938" s="8" t="inlineStr">
        <is>
          <t>vZC3</t>
        </is>
      </c>
      <c r="B938" s="8" t="inlineStr">
        <is>
          <t>數值</t>
        </is>
      </c>
      <c r="C938" s="8" t="n">
        <v>2</v>
      </c>
      <c r="D938" s="8" t="n">
        <v>0</v>
      </c>
      <c r="E938" s="1">
        <f>IF(B938="數值","(F"&amp;C938&amp;"."&amp;D938&amp;")","(A"&amp;C938&amp;")")</f>
        <v/>
      </c>
      <c r="F938" s="1">
        <f>"alter type "&amp;A938&amp;" "&amp;E938&amp;"."</f>
        <v/>
      </c>
    </row>
    <row r="939">
      <c r="A939" s="8" t="inlineStr">
        <is>
          <t>vZC3o01</t>
        </is>
      </c>
      <c r="B939" s="8" t="inlineStr">
        <is>
          <t>字串</t>
        </is>
      </c>
      <c r="C939" s="8" t="n">
        <v>150</v>
      </c>
      <c r="D939" s="8" t="n">
        <v>0</v>
      </c>
      <c r="E939" s="1">
        <f>IF(B939="數值","(F"&amp;C939&amp;"."&amp;D939&amp;")","(A"&amp;C939&amp;")")</f>
        <v/>
      </c>
      <c r="F939" s="1">
        <f>"alter type "&amp;A939&amp;" "&amp;E939&amp;"."</f>
        <v/>
      </c>
    </row>
    <row r="940">
      <c r="A940" s="8" t="inlineStr">
        <is>
          <t>vZC3o02</t>
        </is>
      </c>
      <c r="B940" s="8" t="inlineStr">
        <is>
          <t>字串</t>
        </is>
      </c>
      <c r="C940" s="8" t="n">
        <v>150</v>
      </c>
      <c r="D940" s="8" t="n">
        <v>0</v>
      </c>
      <c r="E940" s="1">
        <f>IF(B940="數值","(F"&amp;C940&amp;"."&amp;D940&amp;")","(A"&amp;C940&amp;")")</f>
        <v/>
      </c>
      <c r="F940" s="1">
        <f>"alter type "&amp;A940&amp;" "&amp;E940&amp;"."</f>
        <v/>
      </c>
    </row>
    <row r="941">
      <c r="A941" s="8" t="inlineStr">
        <is>
          <t>vZC4</t>
        </is>
      </c>
      <c r="B941" s="8" t="inlineStr">
        <is>
          <t>數值</t>
        </is>
      </c>
      <c r="C941" s="8" t="n">
        <v>2</v>
      </c>
      <c r="D941" s="8" t="n">
        <v>0</v>
      </c>
      <c r="E941" s="1">
        <f>IF(B941="數值","(F"&amp;C941&amp;"."&amp;D941&amp;")","(A"&amp;C941&amp;")")</f>
        <v/>
      </c>
      <c r="F941" s="1">
        <f>"alter type "&amp;A941&amp;" "&amp;E941&amp;"."</f>
        <v/>
      </c>
    </row>
    <row r="942">
      <c r="A942" s="8" t="inlineStr">
        <is>
          <t>vZC5</t>
        </is>
      </c>
      <c r="B942" s="8" t="inlineStr">
        <is>
          <t>數值</t>
        </is>
      </c>
      <c r="C942" s="8" t="n">
        <v>2</v>
      </c>
      <c r="D942" s="8" t="n">
        <v>0</v>
      </c>
      <c r="E942" s="1">
        <f>IF(B942="數值","(F"&amp;C942&amp;"."&amp;D942&amp;")","(A"&amp;C942&amp;")")</f>
        <v/>
      </c>
      <c r="F942" s="1">
        <f>"alter type "&amp;A942&amp;" "&amp;E942&amp;"."</f>
        <v/>
      </c>
    </row>
    <row r="943">
      <c r="A943" s="8" t="inlineStr">
        <is>
          <t>vEND</t>
        </is>
      </c>
      <c r="B943" s="8" t="inlineStr">
        <is>
          <t>數值</t>
        </is>
      </c>
      <c r="C943" s="8" t="n">
        <v>14</v>
      </c>
      <c r="D943" s="8"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2026-06-26T09:42:21Z</dcterms:modified>
  <cp:lastModifiedBy>kuang</cp:lastModifiedBy>
</cp:coreProperties>
</file>