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5" yWindow="-105" windowWidth="23250" windowHeight="12450" tabRatio="600" firstSheet="1" activeTab="8" autoFilterDateGrouping="1"/>
  </bookViews>
  <sheets>
    <sheet xmlns:r="http://schemas.openxmlformats.org/officeDocument/2006/relationships" name="m&amp;P變項配置範圍" sheetId="1" state="visible" r:id="rId1"/>
    <sheet xmlns:r="http://schemas.openxmlformats.org/officeDocument/2006/relationships" name="all" sheetId="2" state="visible" r:id="rId2"/>
    <sheet xmlns:r="http://schemas.openxmlformats.org/officeDocument/2006/relationships" name="數值題" sheetId="3" state="visible" r:id="rId3"/>
    <sheet xmlns:r="http://schemas.openxmlformats.org/officeDocument/2006/relationships" name="開放欄位" sheetId="4" state="visible" r:id="rId4"/>
    <sheet xmlns:r="http://schemas.openxmlformats.org/officeDocument/2006/relationships" name="複選題1101" sheetId="5" state="visible" r:id="rId5"/>
    <sheet xmlns:r="http://schemas.openxmlformats.org/officeDocument/2006/relationships" name="複選題內_互斥" sheetId="6" state="visible" r:id="rId6"/>
    <sheet xmlns:r="http://schemas.openxmlformats.org/officeDocument/2006/relationships" name="複選題變項清單" sheetId="7" state="visible" r:id="rId7"/>
    <sheet xmlns:r="http://schemas.openxmlformats.org/officeDocument/2006/relationships" name="特殊變項範圍" sheetId="8" state="visible" r:id="rId8"/>
    <sheet xmlns:r="http://schemas.openxmlformats.org/officeDocument/2006/relationships" name="邏輯組" sheetId="9" state="visible" r:id="rId9"/>
    <sheet xmlns:r="http://schemas.openxmlformats.org/officeDocument/2006/relationships" name="檢核項目清單" sheetId="10" state="visible" r:id="rId10"/>
    <sheet xmlns:r="http://schemas.openxmlformats.org/officeDocument/2006/relationships" name="96特殊處理變項" sheetId="11" state="visible" r:id="rId11"/>
    <sheet xmlns:r="http://schemas.openxmlformats.org/officeDocument/2006/relationships" name="變項清單_問卷" sheetId="12" state="hidden" r:id="rId12"/>
    <sheet xmlns:r="http://schemas.openxmlformats.org/officeDocument/2006/relationships" name="變項清單_訪問紀錄" sheetId="13" state="hidden" r:id="rId13"/>
    <sheet xmlns:r="http://schemas.openxmlformats.org/officeDocument/2006/relationships" name="問卷＋訪問紀錄" sheetId="14" state="visible" r:id="rId14"/>
    <sheet xmlns:r="http://schemas.openxmlformats.org/officeDocument/2006/relationships" name="可輸入小數點清單" sheetId="15" state="visible" r:id="rId15"/>
  </sheets>
  <definedNames>
    <definedName name="_xlnm._FilterDatabase" localSheetId="1" hidden="1">'all'!$A$1:$C$886</definedName>
    <definedName name="_xlnm._FilterDatabase" localSheetId="2" hidden="1">'數值題'!$A$1:$L$808</definedName>
    <definedName name="_xlnm._FilterDatabase" localSheetId="3" hidden="1">'開放欄位'!$A$1:$I$5</definedName>
    <definedName name="_xlnm._FilterDatabase" localSheetId="4" hidden="1">'複選題1101'!$A$1:$V$2</definedName>
    <definedName name="_xlnm._FilterDatabase" localSheetId="10" hidden="1">'96特殊處理變項'!$A$1:$J$35</definedName>
    <definedName name="_xlnm._FilterDatabase" localSheetId="12" hidden="1">'變項清單_訪問紀錄'!$A$1:$C$57</definedName>
    <definedName name="_xlnm._FilterDatabase" localSheetId="13" hidden="1">'問卷＋訪問紀錄'!$A$1:$D$943</definedName>
  </definedNames>
  <calcPr calcId="191029" fullCalcOnLoad="1"/>
</workbook>
</file>

<file path=xl/styles.xml><?xml version="1.0" encoding="utf-8"?>
<styleSheet xmlns="http://schemas.openxmlformats.org/spreadsheetml/2006/main">
  <numFmts count="0"/>
  <fonts count="6">
    <font>
      <name val="新細明體"/>
      <charset val="136"/>
      <family val="2"/>
      <color theme="1"/>
      <sz val="12"/>
      <scheme val="minor"/>
    </font>
    <font>
      <name val="新細明體"/>
      <charset val="136"/>
      <family val="2"/>
      <sz val="9"/>
      <scheme val="minor"/>
    </font>
    <font>
      <name val="新細明體"/>
      <charset val="136"/>
      <family val="2"/>
      <color rgb="FFFF0000"/>
      <sz val="12"/>
      <scheme val="minor"/>
    </font>
    <font>
      <name val="新細明體"/>
      <family val="2"/>
      <color indexed="8"/>
      <sz val="11"/>
      <scheme val="minor"/>
    </font>
    <font>
      <name val="微軟正黑體"/>
      <charset val="136"/>
      <family val="2"/>
      <color theme="1"/>
      <sz val="12"/>
    </font>
    <font>
      <name val="微軟正黑體"/>
      <charset val="136"/>
      <family val="2"/>
      <color rgb="FFFF0000"/>
      <sz val="12"/>
    </font>
  </fonts>
  <fills count="6">
    <fill>
      <patternFill/>
    </fill>
    <fill>
      <patternFill patternType="gray125"/>
    </fill>
    <fill>
      <patternFill patternType="solid">
        <fgColor rgb="FFFFFF00"/>
        <bgColor indexed="64"/>
      </patternFill>
    </fill>
    <fill>
      <patternFill patternType="solid">
        <fgColor theme="9" tint="0.5999938962981048"/>
        <bgColor indexed="64"/>
      </patternFill>
    </fill>
    <fill>
      <patternFill patternType="solid">
        <fgColor theme="7" tint="0.7999816888943144"/>
        <bgColor indexed="64"/>
      </patternFill>
    </fill>
    <fill>
      <patternFill patternType="solid">
        <fgColor theme="9" tint="0.7999816888943144"/>
        <bgColor indexed="64"/>
      </patternFill>
    </fill>
  </fills>
  <borders count="1">
    <border>
      <left/>
      <right/>
      <top/>
      <bottom/>
      <diagonal/>
    </border>
  </borders>
  <cellStyleXfs count="2">
    <xf numFmtId="0" fontId="0" fillId="0" borderId="0" applyAlignment="1">
      <alignment vertical="center"/>
    </xf>
    <xf numFmtId="0" fontId="3" fillId="0" borderId="0" applyAlignment="1">
      <alignment vertical="center"/>
    </xf>
  </cellStyleXfs>
  <cellXfs count="23">
    <xf numFmtId="0" fontId="0" fillId="0" borderId="0" applyAlignment="1" pivotButton="0" quotePrefix="0" xfId="0">
      <alignment vertical="center"/>
    </xf>
    <xf numFmtId="0" fontId="0" fillId="0" borderId="0" applyAlignment="1" pivotButton="0" quotePrefix="0" xfId="0">
      <alignment vertical="center"/>
    </xf>
    <xf numFmtId="0" fontId="0" fillId="0" borderId="0" applyAlignment="1" pivotButton="0" quotePrefix="0" xfId="0">
      <alignment vertical="center" wrapText="1"/>
    </xf>
    <xf numFmtId="0" fontId="0" fillId="0" borderId="0" applyAlignment="1" pivotButton="0" quotePrefix="0" xfId="0">
      <alignment horizontal="left" vertical="center"/>
    </xf>
    <xf numFmtId="0" fontId="0" fillId="0" borderId="0" applyAlignment="1" pivotButton="0" quotePrefix="0" xfId="0">
      <alignment horizontal="left" vertical="center" wrapText="1"/>
    </xf>
    <xf numFmtId="0" fontId="0" fillId="2" borderId="0" applyAlignment="1" pivotButton="0" quotePrefix="0" xfId="0">
      <alignment vertical="center"/>
    </xf>
    <xf numFmtId="0" fontId="0" fillId="3" borderId="0" applyAlignment="1" pivotButton="0" quotePrefix="0" xfId="0">
      <alignment vertical="center"/>
    </xf>
    <xf numFmtId="0" fontId="0" fillId="3" borderId="0" applyAlignment="1" pivotButton="0" quotePrefix="0" xfId="0">
      <alignment horizontal="center" vertical="center"/>
    </xf>
    <xf numFmtId="0" fontId="2" fillId="0" borderId="0" applyAlignment="1" pivotButton="0" quotePrefix="0" xfId="0">
      <alignment vertical="center"/>
    </xf>
    <xf numFmtId="0" fontId="0" fillId="0" borderId="0" applyAlignment="1" pivotButton="0" quotePrefix="0" xfId="0">
      <alignment horizontal="center" vertical="center"/>
    </xf>
    <xf numFmtId="0" fontId="0" fillId="4" borderId="0" applyAlignment="1" pivotButton="0" quotePrefix="0" xfId="0">
      <alignment vertical="center"/>
    </xf>
    <xf numFmtId="49" fontId="0" fillId="0" borderId="0" applyAlignment="1" pivotButton="0" quotePrefix="0" xfId="0">
      <alignment horizontal="center" vertical="center"/>
    </xf>
    <xf numFmtId="0" fontId="0" fillId="2" borderId="0" applyAlignment="1" pivotButton="0" quotePrefix="0" xfId="0">
      <alignment horizontal="center" vertical="center"/>
    </xf>
    <xf numFmtId="49" fontId="0" fillId="2" borderId="0" applyAlignment="1" pivotButton="0" quotePrefix="0" xfId="0">
      <alignment horizontal="center" vertical="center"/>
    </xf>
    <xf numFmtId="49" fontId="0" fillId="0" borderId="0" applyAlignment="1" pivotButton="0" quotePrefix="0" xfId="0">
      <alignment horizontal="left" vertical="center"/>
    </xf>
    <xf numFmtId="0" fontId="0" fillId="5" borderId="0" applyAlignment="1" pivotButton="0" quotePrefix="0" xfId="0">
      <alignment horizontal="center" vertical="center"/>
    </xf>
    <xf numFmtId="49" fontId="0" fillId="2" borderId="0" applyAlignment="1" pivotButton="0" quotePrefix="0" xfId="0">
      <alignment horizontal="left" vertical="center"/>
    </xf>
    <xf numFmtId="0" fontId="4" fillId="0" borderId="0" applyAlignment="1" pivotButton="0" quotePrefix="0" xfId="0">
      <alignment vertical="center"/>
    </xf>
    <xf numFmtId="0" fontId="4" fillId="0" borderId="0" applyAlignment="1" pivotButton="0" quotePrefix="0" xfId="0">
      <alignment horizontal="left" vertical="center"/>
    </xf>
    <xf numFmtId="0" fontId="4" fillId="0" borderId="0" applyAlignment="1" pivotButton="0" quotePrefix="0" xfId="0">
      <alignment horizontal="right" vertical="center"/>
    </xf>
    <xf numFmtId="0" fontId="5" fillId="0" borderId="0" applyAlignment="1" pivotButton="0" quotePrefix="0" xfId="0">
      <alignment vertical="center"/>
    </xf>
    <xf numFmtId="0" fontId="0" fillId="0" borderId="0" pivotButton="0" quotePrefix="0" xfId="0"/>
    <xf numFmtId="0" fontId="0" fillId="0" borderId="0" applyAlignment="1" pivotButton="0" quotePrefix="0" xfId="0">
      <alignment horizontal="center"/>
    </xf>
  </cellXfs>
  <cellStyles count="2">
    <cellStyle name="一般" xfId="0" builtinId="0"/>
    <cellStyle name="一般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tabColor rgb="FFFF0000"/>
    <outlinePr summaryBelow="1" summaryRight="1"/>
    <pageSetUpPr/>
  </sheetPr>
  <dimension ref="A1:D9"/>
  <sheetViews>
    <sheetView workbookViewId="0">
      <selection activeCell="D8" sqref="D8"/>
    </sheetView>
  </sheetViews>
  <sheetFormatPr baseColWidth="8" defaultColWidth="8.875" defaultRowHeight="15.75"/>
  <cols>
    <col width="15.5" customWidth="1" style="17" min="1" max="1"/>
    <col width="7.75" customWidth="1" style="17" min="2" max="2"/>
    <col width="41.25" customWidth="1" style="17" min="3" max="3"/>
    <col width="36.5" customWidth="1" style="17" min="4" max="4"/>
    <col width="8.875" customWidth="1" style="17" min="5" max="8"/>
    <col width="8.875" customWidth="1" style="17" min="9" max="16384"/>
  </cols>
  <sheetData>
    <row r="1">
      <c r="A1" s="17" t="inlineStr">
        <is>
          <t>範圍</t>
        </is>
      </c>
      <c r="B1" s="17" t="inlineStr">
        <is>
          <t>數量</t>
        </is>
      </c>
      <c r="C1" s="17" t="inlineStr">
        <is>
          <t>用途</t>
        </is>
      </c>
      <c r="D1" s="17" t="inlineStr">
        <is>
          <t>程式產生方式</t>
        </is>
      </c>
    </row>
    <row r="2">
      <c r="A2" s="17" t="inlineStr">
        <is>
          <t>1-50</t>
        </is>
      </c>
      <c r="B2" s="19" t="n">
        <v>50</v>
      </c>
      <c r="C2" s="17" t="inlineStr">
        <is>
          <t>戶抽詢問題＋戶抽訪問紀錄</t>
        </is>
      </c>
      <c r="D2" s="17" t="inlineStr">
        <is>
          <t>引用範本</t>
        </is>
      </c>
    </row>
    <row r="3">
      <c r="A3" s="17" t="inlineStr">
        <is>
          <t>51-100</t>
        </is>
      </c>
      <c r="B3" s="19" t="n">
        <v>50</v>
      </c>
      <c r="C3" s="17" t="inlineStr">
        <is>
          <t>備用</t>
        </is>
      </c>
    </row>
    <row r="4">
      <c r="A4" s="17" t="inlineStr">
        <is>
          <t>101-1100</t>
        </is>
      </c>
      <c r="B4" s="19" t="n">
        <v>1000</v>
      </c>
      <c r="C4" s="17" t="inlineStr">
        <is>
          <t>問卷_不合理值</t>
        </is>
      </c>
      <c r="D4" s="17" t="inlineStr">
        <is>
          <t>套印檔</t>
        </is>
      </c>
    </row>
    <row r="5">
      <c r="A5" s="18" t="inlineStr">
        <is>
          <t>1101-1400</t>
        </is>
      </c>
      <c r="B5" s="19" t="n">
        <v>200</v>
      </c>
      <c r="C5" s="17" t="inlineStr">
        <is>
          <t>問卷_開放欄位</t>
        </is>
      </c>
      <c r="D5" s="17" t="inlineStr">
        <is>
          <t>套印檔</t>
        </is>
      </c>
    </row>
    <row r="6">
      <c r="A6" s="17" t="inlineStr">
        <is>
          <t>1401-1700</t>
        </is>
      </c>
      <c r="B6" s="17" t="n">
        <v>300</v>
      </c>
      <c r="C6" s="17" t="inlineStr">
        <is>
          <t>問卷_複選題(含題內互斥邏輯1601起)</t>
        </is>
      </c>
      <c r="D6" s="17" t="inlineStr">
        <is>
          <t>套印檔</t>
        </is>
      </c>
    </row>
    <row r="7">
      <c r="A7" s="17" t="inlineStr">
        <is>
          <t>1701-2000</t>
        </is>
      </c>
      <c r="B7" s="17" t="n">
        <v>300</v>
      </c>
      <c r="C7" s="17" t="inlineStr">
        <is>
          <t>問卷_跳題邏輯(含跨題間互斥)</t>
        </is>
      </c>
      <c r="D7" s="17" t="inlineStr">
        <is>
          <t>客製化撰寫</t>
        </is>
      </c>
    </row>
    <row r="8">
      <c r="A8" s="17" t="inlineStr">
        <is>
          <t>2001-2300</t>
        </is>
      </c>
      <c r="B8" s="17" t="n">
        <v>300</v>
      </c>
      <c r="C8" s="17" t="inlineStr">
        <is>
          <t>問卷_檢核項目清單</t>
        </is>
      </c>
      <c r="D8" s="17" t="inlineStr">
        <is>
          <t>客製化撰寫</t>
        </is>
      </c>
    </row>
    <row r="9">
      <c r="A9" s="17" t="inlineStr">
        <is>
          <t>2301-2500</t>
        </is>
      </c>
      <c r="B9" s="17" t="n">
        <v>200</v>
      </c>
      <c r="C9" s="17" t="inlineStr">
        <is>
          <t>問卷_訪問紀錄</t>
        </is>
      </c>
      <c r="D9" s="17" t="inlineStr">
        <is>
          <t>引用範本</t>
        </is>
      </c>
    </row>
  </sheetData>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E886"/>
  <sheetViews>
    <sheetView topLeftCell="A802" zoomScale="110" zoomScaleNormal="110" workbookViewId="0">
      <selection activeCell="A816" sqref="A816"/>
    </sheetView>
  </sheetViews>
  <sheetFormatPr baseColWidth="8" defaultRowHeight="16.5"/>
  <cols>
    <col width="14.375" customWidth="1" style="1" min="1" max="1"/>
    <col width="8.875" customWidth="1" style="1" min="2" max="3"/>
    <col width="17.125" customWidth="1" style="21" min="5" max="5"/>
  </cols>
  <sheetData>
    <row r="1">
      <c r="A1" s="1" t="inlineStr">
        <is>
          <t>變項名稱</t>
        </is>
      </c>
      <c r="B1" s="1" t="inlineStr">
        <is>
          <t>變項屬性</t>
        </is>
      </c>
      <c r="C1" s="1" t="inlineStr">
        <is>
          <t>寬度</t>
        </is>
      </c>
    </row>
    <row r="2">
      <c r="A2" s="1" t="inlineStr">
        <is>
          <t>id</t>
        </is>
      </c>
      <c r="B2" s="1" t="inlineStr">
        <is>
          <t>字串</t>
        </is>
      </c>
      <c r="C2" s="1" t="n">
        <v>20</v>
      </c>
      <c r="D2" s="1">
        <f>IF(B2="數值","F","A")</f>
        <v/>
      </c>
      <c r="E2" s="1">
        <f>A2&amp;" "&amp;D2&amp;C2</f>
        <v/>
      </c>
    </row>
    <row r="3">
      <c r="A3" s="1" t="inlineStr">
        <is>
          <t>no</t>
        </is>
      </c>
      <c r="B3" s="1" t="inlineStr">
        <is>
          <t>字串</t>
        </is>
      </c>
      <c r="C3" s="1" t="n">
        <v>8</v>
      </c>
      <c r="D3" s="1">
        <f>IF(B3="數值","F","A")</f>
        <v/>
      </c>
      <c r="E3" s="1">
        <f>A3&amp;" "&amp;D3&amp;C3</f>
        <v/>
      </c>
    </row>
    <row r="4">
      <c r="A4" s="1" t="inlineStr">
        <is>
          <t>starttime</t>
        </is>
      </c>
      <c r="B4" s="1" t="inlineStr">
        <is>
          <t>數值</t>
        </is>
      </c>
      <c r="C4" s="1" t="n">
        <v>14</v>
      </c>
      <c r="D4" s="1">
        <f>IF(B4="數值","F","A")</f>
        <v/>
      </c>
      <c r="E4" s="1">
        <f>A4&amp;" "&amp;D4&amp;C4</f>
        <v/>
      </c>
    </row>
    <row r="5">
      <c r="A5" s="1" t="inlineStr">
        <is>
          <t>endtime</t>
        </is>
      </c>
      <c r="B5" s="1" t="inlineStr">
        <is>
          <t>數值</t>
        </is>
      </c>
      <c r="C5" s="1" t="n">
        <v>14</v>
      </c>
      <c r="D5" s="1">
        <f>IF(B5="數值","F","A")</f>
        <v/>
      </c>
      <c r="E5" s="1">
        <f>A5&amp;" "&amp;D5&amp;C5</f>
        <v/>
      </c>
    </row>
    <row r="6">
      <c r="A6" s="1" t="inlineStr">
        <is>
          <t>st1</t>
        </is>
      </c>
      <c r="B6" s="1" t="inlineStr">
        <is>
          <t>數值</t>
        </is>
      </c>
      <c r="C6" s="1" t="n">
        <v>14</v>
      </c>
      <c r="D6" s="1">
        <f>IF(B6="數值","F","A")</f>
        <v/>
      </c>
      <c r="E6" s="1">
        <f>A6&amp;" "&amp;D6&amp;C6</f>
        <v/>
      </c>
    </row>
    <row r="7">
      <c r="A7" s="1" t="inlineStr">
        <is>
          <t>et1</t>
        </is>
      </c>
      <c r="B7" s="1" t="inlineStr">
        <is>
          <t>數值</t>
        </is>
      </c>
      <c r="C7" s="1" t="n">
        <v>14</v>
      </c>
      <c r="D7" s="1">
        <f>IF(B7="數值","F","A")</f>
        <v/>
      </c>
      <c r="E7" s="1">
        <f>A7&amp;" "&amp;D7&amp;C7</f>
        <v/>
      </c>
    </row>
    <row r="8">
      <c r="A8" s="1" t="inlineStr">
        <is>
          <t>st2</t>
        </is>
      </c>
      <c r="B8" s="1" t="inlineStr">
        <is>
          <t>數值</t>
        </is>
      </c>
      <c r="C8" s="1" t="n">
        <v>14</v>
      </c>
      <c r="D8" s="1">
        <f>IF(B8="數值","F","A")</f>
        <v/>
      </c>
      <c r="E8" s="1">
        <f>A8&amp;" "&amp;D8&amp;C8</f>
        <v/>
      </c>
    </row>
    <row r="9">
      <c r="A9" s="1" t="inlineStr">
        <is>
          <t>et2</t>
        </is>
      </c>
      <c r="B9" s="1" t="inlineStr">
        <is>
          <t>數值</t>
        </is>
      </c>
      <c r="C9" s="1" t="n">
        <v>14</v>
      </c>
      <c r="D9" s="1">
        <f>IF(B9="數值","F","A")</f>
        <v/>
      </c>
      <c r="E9" s="1">
        <f>A9&amp;" "&amp;D9&amp;C9</f>
        <v/>
      </c>
    </row>
    <row r="10">
      <c r="A10" s="1" t="inlineStr">
        <is>
          <t>st3</t>
        </is>
      </c>
      <c r="B10" s="1" t="inlineStr">
        <is>
          <t>數值</t>
        </is>
      </c>
      <c r="C10" s="1" t="n">
        <v>14</v>
      </c>
      <c r="D10" s="1">
        <f>IF(B10="數值","F","A")</f>
        <v/>
      </c>
      <c r="E10" s="1">
        <f>A10&amp;" "&amp;D10&amp;C10</f>
        <v/>
      </c>
    </row>
    <row r="11">
      <c r="A11" s="1" t="inlineStr">
        <is>
          <t>et3</t>
        </is>
      </c>
      <c r="B11" s="1" t="inlineStr">
        <is>
          <t>數值</t>
        </is>
      </c>
      <c r="C11" s="1" t="n">
        <v>14</v>
      </c>
      <c r="D11" s="1">
        <f>IF(B11="數值","F","A")</f>
        <v/>
      </c>
      <c r="E11" s="1">
        <f>A11&amp;" "&amp;D11&amp;C11</f>
        <v/>
      </c>
    </row>
    <row r="12">
      <c r="A12" s="1" t="inlineStr">
        <is>
          <t>st4</t>
        </is>
      </c>
      <c r="B12" s="1" t="inlineStr">
        <is>
          <t>數值</t>
        </is>
      </c>
      <c r="C12" s="1" t="n">
        <v>14</v>
      </c>
      <c r="D12" s="1">
        <f>IF(B12="數值","F","A")</f>
        <v/>
      </c>
      <c r="E12" s="1">
        <f>A12&amp;" "&amp;D12&amp;C12</f>
        <v/>
      </c>
    </row>
    <row r="13">
      <c r="A13" s="1" t="inlineStr">
        <is>
          <t>et4</t>
        </is>
      </c>
      <c r="B13" s="1" t="inlineStr">
        <is>
          <t>數值</t>
        </is>
      </c>
      <c r="C13" s="1" t="n">
        <v>14</v>
      </c>
      <c r="D13" s="1">
        <f>IF(B13="數值","F","A")</f>
        <v/>
      </c>
      <c r="E13" s="1">
        <f>A13&amp;" "&amp;D13&amp;C13</f>
        <v/>
      </c>
    </row>
    <row r="14">
      <c r="A14" s="1" t="inlineStr">
        <is>
          <t>st5</t>
        </is>
      </c>
      <c r="B14" s="1" t="inlineStr">
        <is>
          <t>數值</t>
        </is>
      </c>
      <c r="C14" s="1" t="n">
        <v>14</v>
      </c>
      <c r="D14" s="1">
        <f>IF(B14="數值","F","A")</f>
        <v/>
      </c>
      <c r="E14" s="1">
        <f>A14&amp;" "&amp;D14&amp;C14</f>
        <v/>
      </c>
    </row>
    <row r="15">
      <c r="A15" s="1" t="inlineStr">
        <is>
          <t>et5</t>
        </is>
      </c>
      <c r="B15" s="1" t="inlineStr">
        <is>
          <t>數值</t>
        </is>
      </c>
      <c r="C15" s="1" t="n">
        <v>14</v>
      </c>
      <c r="D15" s="1">
        <f>IF(B15="數值","F","A")</f>
        <v/>
      </c>
      <c r="E15" s="1">
        <f>A15&amp;" "&amp;D15&amp;C15</f>
        <v/>
      </c>
    </row>
    <row r="16">
      <c r="A16" s="1" t="inlineStr">
        <is>
          <t>st6</t>
        </is>
      </c>
      <c r="B16" s="1" t="inlineStr">
        <is>
          <t>數值</t>
        </is>
      </c>
      <c r="C16" s="1" t="n">
        <v>14</v>
      </c>
      <c r="D16" s="1">
        <f>IF(B16="數值","F","A")</f>
        <v/>
      </c>
      <c r="E16" s="1">
        <f>A16&amp;" "&amp;D16&amp;C16</f>
        <v/>
      </c>
    </row>
    <row r="17">
      <c r="A17" s="1" t="inlineStr">
        <is>
          <t>et6</t>
        </is>
      </c>
      <c r="B17" s="1" t="inlineStr">
        <is>
          <t>數值</t>
        </is>
      </c>
      <c r="C17" s="1" t="n">
        <v>14</v>
      </c>
      <c r="D17" s="1">
        <f>IF(B17="數值","F","A")</f>
        <v/>
      </c>
      <c r="E17" s="1">
        <f>A17&amp;" "&amp;D17&amp;C17</f>
        <v/>
      </c>
    </row>
    <row r="18">
      <c r="A18" s="1" t="inlineStr">
        <is>
          <t>st7</t>
        </is>
      </c>
      <c r="B18" s="1" t="inlineStr">
        <is>
          <t>數值</t>
        </is>
      </c>
      <c r="C18" s="1" t="n">
        <v>14</v>
      </c>
      <c r="D18" s="1">
        <f>IF(B18="數值","F","A")</f>
        <v/>
      </c>
      <c r="E18" s="1">
        <f>A18&amp;" "&amp;D18&amp;C18</f>
        <v/>
      </c>
    </row>
    <row r="19">
      <c r="A19" s="1" t="inlineStr">
        <is>
          <t>et7</t>
        </is>
      </c>
      <c r="B19" s="1" t="inlineStr">
        <is>
          <t>數值</t>
        </is>
      </c>
      <c r="C19" s="1" t="n">
        <v>14</v>
      </c>
      <c r="D19" s="1">
        <f>IF(B19="數值","F","A")</f>
        <v/>
      </c>
      <c r="E19" s="1">
        <f>A19&amp;" "&amp;D19&amp;C19</f>
        <v/>
      </c>
    </row>
    <row r="20">
      <c r="A20" s="1" t="inlineStr">
        <is>
          <t>st8</t>
        </is>
      </c>
      <c r="B20" s="1" t="inlineStr">
        <is>
          <t>數值</t>
        </is>
      </c>
      <c r="C20" s="1" t="n">
        <v>14</v>
      </c>
      <c r="D20" s="1">
        <f>IF(B20="數值","F","A")</f>
        <v/>
      </c>
      <c r="E20" s="1">
        <f>A20&amp;" "&amp;D20&amp;C20</f>
        <v/>
      </c>
    </row>
    <row r="21">
      <c r="A21" s="1" t="inlineStr">
        <is>
          <t>et8</t>
        </is>
      </c>
      <c r="B21" s="1" t="inlineStr">
        <is>
          <t>數值</t>
        </is>
      </c>
      <c r="C21" s="1" t="n">
        <v>14</v>
      </c>
      <c r="D21" s="1">
        <f>IF(B21="數值","F","A")</f>
        <v/>
      </c>
      <c r="E21" s="1">
        <f>A21&amp;" "&amp;D21&amp;C21</f>
        <v/>
      </c>
    </row>
    <row r="22">
      <c r="A22" s="1" t="inlineStr">
        <is>
          <t>last</t>
        </is>
      </c>
      <c r="B22" s="1" t="inlineStr">
        <is>
          <t>數值</t>
        </is>
      </c>
      <c r="C22" s="1" t="n">
        <v>5</v>
      </c>
      <c r="D22" s="1">
        <f>IF(B22="數值","F","A")</f>
        <v/>
      </c>
      <c r="E22" s="1">
        <f>A22&amp;" "&amp;D22&amp;C22</f>
        <v/>
      </c>
    </row>
    <row r="23">
      <c r="A23" s="1" t="inlineStr">
        <is>
          <t>vZA</t>
        </is>
      </c>
      <c r="B23" s="1" t="inlineStr">
        <is>
          <t>數值</t>
        </is>
      </c>
      <c r="C23" s="1" t="n">
        <v>2</v>
      </c>
      <c r="D23" s="1">
        <f>IF(B23="數值","F","A")</f>
        <v/>
      </c>
      <c r="E23" s="1">
        <f>A23&amp;" "&amp;D23&amp;C23</f>
        <v/>
      </c>
    </row>
    <row r="24">
      <c r="A24" s="1" t="inlineStr">
        <is>
          <t>vZAo03</t>
        </is>
      </c>
      <c r="B24" s="1" t="inlineStr">
        <is>
          <t>字串</t>
        </is>
      </c>
      <c r="C24" s="1" t="n">
        <v>150</v>
      </c>
      <c r="D24" s="1">
        <f>IF(B24="數值","F","A")</f>
        <v/>
      </c>
      <c r="E24" s="1">
        <f>A24&amp;" "&amp;D24&amp;C24</f>
        <v/>
      </c>
    </row>
    <row r="25">
      <c r="A25" s="1" t="inlineStr">
        <is>
          <t>vZA0</t>
        </is>
      </c>
      <c r="B25" s="1" t="inlineStr">
        <is>
          <t>數值</t>
        </is>
      </c>
      <c r="C25" s="1" t="n">
        <v>2</v>
      </c>
      <c r="D25" s="1">
        <f>IF(B25="數值","F","A")</f>
        <v/>
      </c>
      <c r="E25" s="1">
        <f>A25&amp;" "&amp;D25&amp;C25</f>
        <v/>
      </c>
    </row>
    <row r="26">
      <c r="A26" s="1" t="inlineStr">
        <is>
          <t>vZA0_1</t>
        </is>
      </c>
      <c r="B26" s="1" t="inlineStr">
        <is>
          <t>數值</t>
        </is>
      </c>
      <c r="C26" s="1" t="n">
        <v>2</v>
      </c>
      <c r="D26" s="1">
        <f>IF(B26="數值","F","A")</f>
        <v/>
      </c>
      <c r="E26" s="1">
        <f>A26&amp;" "&amp;D26&amp;C26</f>
        <v/>
      </c>
    </row>
    <row r="27">
      <c r="A27" s="1" t="inlineStr">
        <is>
          <t>vSF0</t>
        </is>
      </c>
      <c r="B27" s="1" t="inlineStr">
        <is>
          <t>數值</t>
        </is>
      </c>
      <c r="C27" s="1" t="n">
        <v>2</v>
      </c>
      <c r="D27" s="1">
        <f>IF(B27="數值","F","A")</f>
        <v/>
      </c>
      <c r="E27" s="1">
        <f>A27&amp;" "&amp;D27&amp;C27</f>
        <v/>
      </c>
    </row>
    <row r="28">
      <c r="A28" s="1" t="inlineStr">
        <is>
          <t>vA1</t>
        </is>
      </c>
      <c r="B28" s="1" t="inlineStr">
        <is>
          <t>數值</t>
        </is>
      </c>
      <c r="C28" s="1" t="n">
        <v>4</v>
      </c>
      <c r="D28" s="1">
        <f>IF(B28="數值","F","A")</f>
        <v/>
      </c>
      <c r="E28" s="1">
        <f>A28&amp;" "&amp;D28&amp;C28</f>
        <v/>
      </c>
    </row>
    <row r="29">
      <c r="A29" s="1" t="inlineStr">
        <is>
          <t>vA2</t>
        </is>
      </c>
      <c r="B29" s="1" t="inlineStr">
        <is>
          <t>數值</t>
        </is>
      </c>
      <c r="C29" s="1" t="n">
        <v>2</v>
      </c>
      <c r="D29" s="1">
        <f>IF(B29="數值","F","A")</f>
        <v/>
      </c>
      <c r="E29" s="1">
        <f>A29&amp;" "&amp;D29&amp;C29</f>
        <v/>
      </c>
    </row>
    <row r="30">
      <c r="A30" s="1" t="inlineStr">
        <is>
          <t>vA3</t>
        </is>
      </c>
      <c r="B30" s="1" t="inlineStr">
        <is>
          <t>數值</t>
        </is>
      </c>
      <c r="C30" s="1" t="n">
        <v>2</v>
      </c>
      <c r="D30" s="1">
        <f>IF(B30="數值","F","A")</f>
        <v/>
      </c>
      <c r="E30" s="1">
        <f>A30&amp;" "&amp;D30&amp;C30</f>
        <v/>
      </c>
    </row>
    <row r="31">
      <c r="A31" s="1" t="inlineStr">
        <is>
          <t>vA3o88</t>
        </is>
      </c>
      <c r="B31" s="1" t="inlineStr">
        <is>
          <t>字串</t>
        </is>
      </c>
      <c r="C31" s="1" t="n">
        <v>150</v>
      </c>
      <c r="D31" s="1">
        <f>IF(B31="數值","F","A")</f>
        <v/>
      </c>
      <c r="E31" s="1">
        <f>A31&amp;" "&amp;D31&amp;C31</f>
        <v/>
      </c>
    </row>
    <row r="32">
      <c r="A32" s="1" t="inlineStr">
        <is>
          <t>vA4</t>
        </is>
      </c>
      <c r="B32" s="1" t="inlineStr">
        <is>
          <t>數值</t>
        </is>
      </c>
      <c r="C32" s="1" t="n">
        <v>2</v>
      </c>
      <c r="D32" s="1">
        <f>IF(B32="數值","F","A")</f>
        <v/>
      </c>
      <c r="E32" s="1">
        <f>A32&amp;" "&amp;D32&amp;C32</f>
        <v/>
      </c>
    </row>
    <row r="33">
      <c r="A33" s="1" t="inlineStr">
        <is>
          <t>vA5city</t>
        </is>
      </c>
      <c r="B33" s="1" t="inlineStr">
        <is>
          <t>數值</t>
        </is>
      </c>
      <c r="C33" s="1" t="n">
        <v>2</v>
      </c>
      <c r="D33" s="1">
        <f>IF(B33="數值","F","A")</f>
        <v/>
      </c>
      <c r="E33" s="1">
        <f>A33&amp;" "&amp;D33&amp;C33</f>
        <v/>
      </c>
    </row>
    <row r="34">
      <c r="A34" s="1" t="inlineStr">
        <is>
          <t>vA5city_oth</t>
        </is>
      </c>
      <c r="B34" s="1" t="inlineStr">
        <is>
          <t>字串</t>
        </is>
      </c>
      <c r="C34" s="1" t="n">
        <v>150</v>
      </c>
      <c r="D34" s="1">
        <f>IF(B34="數值","F","A")</f>
        <v/>
      </c>
      <c r="E34" s="1">
        <f>A34&amp;" "&amp;D34&amp;C34</f>
        <v/>
      </c>
    </row>
    <row r="35">
      <c r="A35" s="1" t="inlineStr">
        <is>
          <t>vA5town</t>
        </is>
      </c>
      <c r="B35" s="1" t="inlineStr">
        <is>
          <t>數值</t>
        </is>
      </c>
      <c r="C35" s="1" t="n">
        <v>4</v>
      </c>
      <c r="D35" s="1">
        <f>IF(B35="數值","F","A")</f>
        <v/>
      </c>
      <c r="E35" s="1">
        <f>A35&amp;" "&amp;D35&amp;C35</f>
        <v/>
      </c>
    </row>
    <row r="36">
      <c r="A36" s="1" t="inlineStr">
        <is>
          <t>vA6</t>
        </is>
      </c>
      <c r="B36" s="1" t="inlineStr">
        <is>
          <t>數值</t>
        </is>
      </c>
      <c r="C36" s="1" t="n">
        <v>2</v>
      </c>
      <c r="D36" s="1">
        <f>IF(B36="數值","F","A")</f>
        <v/>
      </c>
      <c r="E36" s="1">
        <f>A36&amp;" "&amp;D36&amp;C36</f>
        <v/>
      </c>
    </row>
    <row r="37">
      <c r="A37" s="1" t="inlineStr">
        <is>
          <t>vA6o88</t>
        </is>
      </c>
      <c r="B37" s="1" t="inlineStr">
        <is>
          <t>字串</t>
        </is>
      </c>
      <c r="C37" s="1" t="n">
        <v>150</v>
      </c>
      <c r="D37" s="1">
        <f>IF(B37="數值","F","A")</f>
        <v/>
      </c>
      <c r="E37" s="1">
        <f>A37&amp;" "&amp;D37&amp;C37</f>
        <v/>
      </c>
    </row>
    <row r="38">
      <c r="A38" s="1" t="inlineStr">
        <is>
          <t>vA7</t>
        </is>
      </c>
      <c r="B38" s="1" t="inlineStr">
        <is>
          <t>數值</t>
        </is>
      </c>
      <c r="C38" s="1" t="n">
        <v>2</v>
      </c>
      <c r="D38" s="1">
        <f>IF(B38="數值","F","A")</f>
        <v/>
      </c>
      <c r="E38" s="1">
        <f>A38&amp;" "&amp;D38&amp;C38</f>
        <v/>
      </c>
    </row>
    <row r="39">
      <c r="A39" s="1" t="inlineStr">
        <is>
          <t>vA7o88</t>
        </is>
      </c>
      <c r="B39" s="1" t="inlineStr">
        <is>
          <t>字串</t>
        </is>
      </c>
      <c r="C39" s="1" t="n">
        <v>150</v>
      </c>
      <c r="D39" s="1">
        <f>IF(B39="數值","F","A")</f>
        <v/>
      </c>
      <c r="E39" s="1">
        <f>A39&amp;" "&amp;D39&amp;C39</f>
        <v/>
      </c>
    </row>
    <row r="40">
      <c r="A40" s="1" t="inlineStr">
        <is>
          <t>vA8</t>
        </is>
      </c>
      <c r="B40" s="1" t="inlineStr">
        <is>
          <t>數值</t>
        </is>
      </c>
      <c r="C40" s="1" t="n">
        <v>2</v>
      </c>
      <c r="D40" s="1">
        <f>IF(B40="數值","F","A")</f>
        <v/>
      </c>
      <c r="E40" s="1">
        <f>A40&amp;" "&amp;D40&amp;C40</f>
        <v/>
      </c>
    </row>
    <row r="41">
      <c r="A41" s="1" t="inlineStr">
        <is>
          <t>vA8o88</t>
        </is>
      </c>
      <c r="B41" s="1" t="inlineStr">
        <is>
          <t>字串</t>
        </is>
      </c>
      <c r="C41" s="1" t="n">
        <v>150</v>
      </c>
      <c r="D41" s="1">
        <f>IF(B41="數值","F","A")</f>
        <v/>
      </c>
      <c r="E41" s="1">
        <f>A41&amp;" "&amp;D41&amp;C41</f>
        <v/>
      </c>
    </row>
    <row r="42">
      <c r="A42" s="1" t="inlineStr">
        <is>
          <t>vA9</t>
        </is>
      </c>
      <c r="B42" s="1" t="inlineStr">
        <is>
          <t>數值</t>
        </is>
      </c>
      <c r="C42" s="1" t="n">
        <v>2</v>
      </c>
      <c r="D42" s="1">
        <f>IF(B42="數值","F","A")</f>
        <v/>
      </c>
      <c r="E42" s="1">
        <f>A42&amp;" "&amp;D42&amp;C42</f>
        <v/>
      </c>
    </row>
    <row r="43">
      <c r="A43" s="1" t="inlineStr">
        <is>
          <t>vA9o88</t>
        </is>
      </c>
      <c r="B43" s="1" t="inlineStr">
        <is>
          <t>字串</t>
        </is>
      </c>
      <c r="C43" s="1" t="n">
        <v>150</v>
      </c>
      <c r="D43" s="1">
        <f>IF(B43="數值","F","A")</f>
        <v/>
      </c>
      <c r="E43" s="1">
        <f>A43&amp;" "&amp;D43&amp;C43</f>
        <v/>
      </c>
    </row>
    <row r="44">
      <c r="A44" s="1" t="inlineStr">
        <is>
          <t>vO1_1</t>
        </is>
      </c>
      <c r="B44" s="1" t="inlineStr">
        <is>
          <t>數值</t>
        </is>
      </c>
      <c r="C44" s="1" t="n">
        <v>2</v>
      </c>
      <c r="D44" s="1">
        <f>IF(B44="數值","F","A")</f>
        <v/>
      </c>
      <c r="E44" s="1">
        <f>A44&amp;" "&amp;D44&amp;C44</f>
        <v/>
      </c>
    </row>
    <row r="45">
      <c r="A45" s="1" t="inlineStr">
        <is>
          <t>vO1_1o88</t>
        </is>
      </c>
      <c r="B45" s="1" t="inlineStr">
        <is>
          <t>字串</t>
        </is>
      </c>
      <c r="C45" s="1" t="n">
        <v>150</v>
      </c>
      <c r="D45" s="1">
        <f>IF(B45="數值","F","A")</f>
        <v/>
      </c>
      <c r="E45" s="1">
        <f>A45&amp;" "&amp;D45&amp;C45</f>
        <v/>
      </c>
    </row>
    <row r="46">
      <c r="A46" s="1" t="inlineStr">
        <is>
          <t>vO1</t>
        </is>
      </c>
      <c r="B46" s="1" t="inlineStr">
        <is>
          <t>數值</t>
        </is>
      </c>
      <c r="C46" s="1" t="n">
        <v>2</v>
      </c>
      <c r="D46" s="1">
        <f>IF(B46="數值","F","A")</f>
        <v/>
      </c>
      <c r="E46" s="1">
        <f>A46&amp;" "&amp;D46&amp;C46</f>
        <v/>
      </c>
    </row>
    <row r="47">
      <c r="A47" s="1" t="inlineStr">
        <is>
          <t>vO1o88</t>
        </is>
      </c>
      <c r="B47" s="1" t="inlineStr">
        <is>
          <t>字串</t>
        </is>
      </c>
      <c r="C47" s="1" t="n">
        <v>150</v>
      </c>
      <c r="D47" s="1">
        <f>IF(B47="數值","F","A")</f>
        <v/>
      </c>
      <c r="E47" s="1">
        <f>A47&amp;" "&amp;D47&amp;C47</f>
        <v/>
      </c>
    </row>
    <row r="48">
      <c r="A48" s="1" t="inlineStr">
        <is>
          <t>vO2</t>
        </is>
      </c>
      <c r="B48" s="1" t="inlineStr">
        <is>
          <t>數值</t>
        </is>
      </c>
      <c r="C48" s="1" t="n">
        <v>2</v>
      </c>
      <c r="D48" s="1">
        <f>IF(B48="數值","F","A")</f>
        <v/>
      </c>
      <c r="E48" s="1">
        <f>A48&amp;" "&amp;D48&amp;C48</f>
        <v/>
      </c>
    </row>
    <row r="49">
      <c r="A49" s="1" t="inlineStr">
        <is>
          <t>vO2o88</t>
        </is>
      </c>
      <c r="B49" s="1" t="inlineStr">
        <is>
          <t>字串</t>
        </is>
      </c>
      <c r="C49" s="1" t="n">
        <v>150</v>
      </c>
      <c r="D49" s="1">
        <f>IF(B49="數值","F","A")</f>
        <v/>
      </c>
      <c r="E49" s="1">
        <f>A49&amp;" "&amp;D49&amp;C49</f>
        <v/>
      </c>
    </row>
    <row r="50">
      <c r="A50" s="1" t="inlineStr">
        <is>
          <t>vO3</t>
        </is>
      </c>
      <c r="B50" s="1" t="inlineStr">
        <is>
          <t>數值</t>
        </is>
      </c>
      <c r="C50" s="1" t="n">
        <v>2</v>
      </c>
      <c r="D50" s="1">
        <f>IF(B50="數值","F","A")</f>
        <v/>
      </c>
      <c r="E50" s="1">
        <f>A50&amp;" "&amp;D50&amp;C50</f>
        <v/>
      </c>
    </row>
    <row r="51">
      <c r="A51" s="1" t="inlineStr">
        <is>
          <t>vO3o88</t>
        </is>
      </c>
      <c r="B51" s="1" t="inlineStr">
        <is>
          <t>字串</t>
        </is>
      </c>
      <c r="C51" s="1" t="n">
        <v>150</v>
      </c>
      <c r="D51" s="1">
        <f>IF(B51="數值","F","A")</f>
        <v/>
      </c>
      <c r="E51" s="1">
        <f>A51&amp;" "&amp;D51&amp;C51</f>
        <v/>
      </c>
    </row>
    <row r="52">
      <c r="A52" s="1" t="inlineStr">
        <is>
          <t>vO4</t>
        </is>
      </c>
      <c r="B52" s="1" t="inlineStr">
        <is>
          <t>數值</t>
        </is>
      </c>
      <c r="C52" s="1" t="n">
        <v>5</v>
      </c>
      <c r="D52" s="1">
        <f>IF(B52="數值","F","A")</f>
        <v/>
      </c>
      <c r="E52" s="1">
        <f>A52&amp;" "&amp;D52&amp;C52</f>
        <v/>
      </c>
    </row>
    <row r="53">
      <c r="A53" s="1" t="inlineStr">
        <is>
          <t>vD1</t>
        </is>
      </c>
      <c r="B53" s="1" t="inlineStr">
        <is>
          <t>數值</t>
        </is>
      </c>
      <c r="C53" s="1" t="n">
        <v>2</v>
      </c>
      <c r="D53" s="1">
        <f>IF(B53="數值","F","A")</f>
        <v/>
      </c>
      <c r="E53" s="1">
        <f>A53&amp;" "&amp;D53&amp;C53</f>
        <v/>
      </c>
    </row>
    <row r="54">
      <c r="A54" s="1" t="inlineStr">
        <is>
          <t>vD2</t>
        </is>
      </c>
      <c r="B54" s="1" t="inlineStr">
        <is>
          <t>數值</t>
        </is>
      </c>
      <c r="C54" s="1" t="n">
        <v>4</v>
      </c>
      <c r="D54" s="1">
        <f>IF(B54="數值","F","A")</f>
        <v/>
      </c>
      <c r="E54" s="1">
        <f>A54&amp;" "&amp;D54&amp;C54</f>
        <v/>
      </c>
    </row>
    <row r="55">
      <c r="A55" s="1" t="inlineStr">
        <is>
          <t>vD3</t>
        </is>
      </c>
      <c r="B55" s="1" t="inlineStr">
        <is>
          <t>數值</t>
        </is>
      </c>
      <c r="C55" s="1" t="n">
        <v>5</v>
      </c>
      <c r="D55" s="1">
        <f>IF(B55="數值","F","A")</f>
        <v/>
      </c>
      <c r="E55" s="1">
        <f>A55&amp;" "&amp;D55&amp;C55</f>
        <v/>
      </c>
    </row>
    <row r="56">
      <c r="A56" s="1" t="inlineStr">
        <is>
          <t>vD4sD4</t>
        </is>
      </c>
      <c r="B56" s="1" t="inlineStr">
        <is>
          <t>數值</t>
        </is>
      </c>
      <c r="C56" s="1" t="n">
        <v>2</v>
      </c>
      <c r="D56" s="1">
        <f>IF(B56="數值","F","A")</f>
        <v/>
      </c>
      <c r="E56" s="1">
        <f>A56&amp;" "&amp;D56&amp;C56</f>
        <v/>
      </c>
    </row>
    <row r="57">
      <c r="A57" s="1" t="inlineStr">
        <is>
          <t>vD4sD5</t>
        </is>
      </c>
      <c r="B57" s="1" t="inlineStr">
        <is>
          <t>數值</t>
        </is>
      </c>
      <c r="C57" s="1" t="n">
        <v>2</v>
      </c>
      <c r="D57" s="1">
        <f>IF(B57="數值","F","A")</f>
        <v/>
      </c>
      <c r="E57" s="1">
        <f>A57&amp;" "&amp;D57&amp;C57</f>
        <v/>
      </c>
    </row>
    <row r="58">
      <c r="A58" s="1" t="inlineStr">
        <is>
          <t>vD4sD6</t>
        </is>
      </c>
      <c r="B58" s="1" t="inlineStr">
        <is>
          <t>數值</t>
        </is>
      </c>
      <c r="C58" s="1" t="n">
        <v>2</v>
      </c>
      <c r="D58" s="1">
        <f>IF(B58="數值","F","A")</f>
        <v/>
      </c>
      <c r="E58" s="1">
        <f>A58&amp;" "&amp;D58&amp;C58</f>
        <v/>
      </c>
    </row>
    <row r="59">
      <c r="A59" s="1" t="inlineStr">
        <is>
          <t>vD4sD7</t>
        </is>
      </c>
      <c r="B59" s="1" t="inlineStr">
        <is>
          <t>數值</t>
        </is>
      </c>
      <c r="C59" s="1" t="n">
        <v>2</v>
      </c>
      <c r="D59" s="1">
        <f>IF(B59="數值","F","A")</f>
        <v/>
      </c>
      <c r="E59" s="1">
        <f>A59&amp;" "&amp;D59&amp;C59</f>
        <v/>
      </c>
    </row>
    <row r="60">
      <c r="A60" s="1" t="inlineStr">
        <is>
          <t>vD4sD8</t>
        </is>
      </c>
      <c r="B60" s="1" t="inlineStr">
        <is>
          <t>數值</t>
        </is>
      </c>
      <c r="C60" s="1" t="n">
        <v>2</v>
      </c>
      <c r="D60" s="1">
        <f>IF(B60="數值","F","A")</f>
        <v/>
      </c>
      <c r="E60" s="1">
        <f>A60&amp;" "&amp;D60&amp;C60</f>
        <v/>
      </c>
    </row>
    <row r="61">
      <c r="A61" s="1" t="inlineStr">
        <is>
          <t>vK1m01</t>
        </is>
      </c>
      <c r="B61" s="1" t="inlineStr">
        <is>
          <t>數值</t>
        </is>
      </c>
      <c r="C61" s="1" t="n">
        <v>2</v>
      </c>
      <c r="D61" s="1">
        <f>IF(B61="數值","F","A")</f>
        <v/>
      </c>
      <c r="E61" s="1">
        <f>A61&amp;" "&amp;D61&amp;C61</f>
        <v/>
      </c>
    </row>
    <row r="62">
      <c r="A62" s="1" t="inlineStr">
        <is>
          <t>vK1m02</t>
        </is>
      </c>
      <c r="B62" s="1" t="inlineStr">
        <is>
          <t>數值</t>
        </is>
      </c>
      <c r="C62" s="1" t="n">
        <v>2</v>
      </c>
      <c r="D62" s="1">
        <f>IF(B62="數值","F","A")</f>
        <v/>
      </c>
      <c r="E62" s="1">
        <f>A62&amp;" "&amp;D62&amp;C62</f>
        <v/>
      </c>
    </row>
    <row r="63">
      <c r="A63" s="1" t="inlineStr">
        <is>
          <t>vK1m03</t>
        </is>
      </c>
      <c r="B63" s="1" t="inlineStr">
        <is>
          <t>數值</t>
        </is>
      </c>
      <c r="C63" s="1" t="n">
        <v>2</v>
      </c>
      <c r="D63" s="1">
        <f>IF(B63="數值","F","A")</f>
        <v/>
      </c>
      <c r="E63" s="1">
        <f>A63&amp;" "&amp;D63&amp;C63</f>
        <v/>
      </c>
    </row>
    <row r="64">
      <c r="A64" s="1" t="inlineStr">
        <is>
          <t>vK1m04</t>
        </is>
      </c>
      <c r="B64" s="1" t="inlineStr">
        <is>
          <t>數值</t>
        </is>
      </c>
      <c r="C64" s="1" t="n">
        <v>2</v>
      </c>
      <c r="D64" s="1">
        <f>IF(B64="數值","F","A")</f>
        <v/>
      </c>
      <c r="E64" s="1">
        <f>A64&amp;" "&amp;D64&amp;C64</f>
        <v/>
      </c>
    </row>
    <row r="65">
      <c r="A65" s="1" t="inlineStr">
        <is>
          <t>vK1m05</t>
        </is>
      </c>
      <c r="B65" s="1" t="inlineStr">
        <is>
          <t>數值</t>
        </is>
      </c>
      <c r="C65" s="1" t="n">
        <v>2</v>
      </c>
      <c r="D65" s="1">
        <f>IF(B65="數值","F","A")</f>
        <v/>
      </c>
      <c r="E65" s="1">
        <f>A65&amp;" "&amp;D65&amp;C65</f>
        <v/>
      </c>
    </row>
    <row r="66">
      <c r="A66" s="1" t="inlineStr">
        <is>
          <t>vK1m06</t>
        </is>
      </c>
      <c r="B66" s="1" t="inlineStr">
        <is>
          <t>數值</t>
        </is>
      </c>
      <c r="C66" s="1" t="n">
        <v>2</v>
      </c>
      <c r="D66" s="1">
        <f>IF(B66="數值","F","A")</f>
        <v/>
      </c>
      <c r="E66" s="1">
        <f>A66&amp;" "&amp;D66&amp;C66</f>
        <v/>
      </c>
    </row>
    <row r="67">
      <c r="A67" s="1" t="inlineStr">
        <is>
          <t>vK1m07</t>
        </is>
      </c>
      <c r="B67" s="1" t="inlineStr">
        <is>
          <t>數值</t>
        </is>
      </c>
      <c r="C67" s="1" t="n">
        <v>2</v>
      </c>
      <c r="D67" s="1">
        <f>IF(B67="數值","F","A")</f>
        <v/>
      </c>
      <c r="E67" s="1">
        <f>A67&amp;" "&amp;D67&amp;C67</f>
        <v/>
      </c>
    </row>
    <row r="68">
      <c r="A68" s="1" t="inlineStr">
        <is>
          <t>vK1m08</t>
        </is>
      </c>
      <c r="B68" s="1" t="inlineStr">
        <is>
          <t>數值</t>
        </is>
      </c>
      <c r="C68" s="1" t="n">
        <v>2</v>
      </c>
      <c r="D68" s="1">
        <f>IF(B68="數值","F","A")</f>
        <v/>
      </c>
      <c r="E68" s="1">
        <f>A68&amp;" "&amp;D68&amp;C68</f>
        <v/>
      </c>
    </row>
    <row r="69">
      <c r="A69" s="1" t="inlineStr">
        <is>
          <t>vK1m09</t>
        </is>
      </c>
      <c r="B69" s="1" t="inlineStr">
        <is>
          <t>數值</t>
        </is>
      </c>
      <c r="C69" s="1" t="n">
        <v>2</v>
      </c>
      <c r="D69" s="1">
        <f>IF(B69="數值","F","A")</f>
        <v/>
      </c>
      <c r="E69" s="1">
        <f>A69&amp;" "&amp;D69&amp;C69</f>
        <v/>
      </c>
    </row>
    <row r="70">
      <c r="A70" s="1" t="inlineStr">
        <is>
          <t>vK1m10</t>
        </is>
      </c>
      <c r="B70" s="1" t="inlineStr">
        <is>
          <t>數值</t>
        </is>
      </c>
      <c r="C70" s="1" t="n">
        <v>2</v>
      </c>
      <c r="D70" s="1">
        <f>IF(B70="數值","F","A")</f>
        <v/>
      </c>
      <c r="E70" s="1">
        <f>A70&amp;" "&amp;D70&amp;C70</f>
        <v/>
      </c>
    </row>
    <row r="71">
      <c r="A71" s="1" t="inlineStr">
        <is>
          <t>vK1m11</t>
        </is>
      </c>
      <c r="B71" s="1" t="inlineStr">
        <is>
          <t>數值</t>
        </is>
      </c>
      <c r="C71" s="1" t="n">
        <v>2</v>
      </c>
      <c r="D71" s="1">
        <f>IF(B71="數值","F","A")</f>
        <v/>
      </c>
      <c r="E71" s="1">
        <f>A71&amp;" "&amp;D71&amp;C71</f>
        <v/>
      </c>
    </row>
    <row r="72">
      <c r="A72" s="1" t="inlineStr">
        <is>
          <t>vK1m12</t>
        </is>
      </c>
      <c r="B72" s="1" t="inlineStr">
        <is>
          <t>數值</t>
        </is>
      </c>
      <c r="C72" s="1" t="n">
        <v>2</v>
      </c>
      <c r="D72" s="1">
        <f>IF(B72="數值","F","A")</f>
        <v/>
      </c>
      <c r="E72" s="1">
        <f>A72&amp;" "&amp;D72&amp;C72</f>
        <v/>
      </c>
    </row>
    <row r="73">
      <c r="A73" s="1" t="inlineStr">
        <is>
          <t>vK1m13</t>
        </is>
      </c>
      <c r="B73" s="1" t="inlineStr">
        <is>
          <t>數值</t>
        </is>
      </c>
      <c r="C73" s="1" t="n">
        <v>2</v>
      </c>
      <c r="D73" s="1">
        <f>IF(B73="數值","F","A")</f>
        <v/>
      </c>
      <c r="E73" s="1">
        <f>A73&amp;" "&amp;D73&amp;C73</f>
        <v/>
      </c>
    </row>
    <row r="74">
      <c r="A74" s="1" t="inlineStr">
        <is>
          <t>vK1m88</t>
        </is>
      </c>
      <c r="B74" s="1" t="inlineStr">
        <is>
          <t>數值</t>
        </is>
      </c>
      <c r="C74" s="1" t="n">
        <v>2</v>
      </c>
      <c r="D74" s="1">
        <f>IF(B74="數值","F","A")</f>
        <v/>
      </c>
      <c r="E74" s="1">
        <f>A74&amp;" "&amp;D74&amp;C74</f>
        <v/>
      </c>
    </row>
    <row r="75">
      <c r="A75" s="1" t="inlineStr">
        <is>
          <t>vK1m90</t>
        </is>
      </c>
      <c r="B75" s="1" t="inlineStr">
        <is>
          <t>數值</t>
        </is>
      </c>
      <c r="C75" s="1" t="n">
        <v>2</v>
      </c>
      <c r="D75" s="1">
        <f>IF(B75="數值","F","A")</f>
        <v/>
      </c>
      <c r="E75" s="1">
        <f>A75&amp;" "&amp;D75&amp;C75</f>
        <v/>
      </c>
    </row>
    <row r="76">
      <c r="A76" s="1" t="inlineStr">
        <is>
          <t>vK1o88</t>
        </is>
      </c>
      <c r="B76" s="1" t="inlineStr">
        <is>
          <t>字串</t>
        </is>
      </c>
      <c r="C76" s="1" t="n">
        <v>150</v>
      </c>
      <c r="D76" s="1">
        <f>IF(B76="數值","F","A")</f>
        <v/>
      </c>
      <c r="E76" s="1">
        <f>A76&amp;" "&amp;D76&amp;C76</f>
        <v/>
      </c>
    </row>
    <row r="77">
      <c r="A77" s="1" t="inlineStr">
        <is>
          <t>vK2m01</t>
        </is>
      </c>
      <c r="B77" s="1" t="inlineStr">
        <is>
          <t>數值</t>
        </is>
      </c>
      <c r="C77" s="1" t="n">
        <v>2</v>
      </c>
      <c r="D77" s="1">
        <f>IF(B77="數值","F","A")</f>
        <v/>
      </c>
      <c r="E77" s="1">
        <f>A77&amp;" "&amp;D77&amp;C77</f>
        <v/>
      </c>
    </row>
    <row r="78">
      <c r="A78" s="1" t="inlineStr">
        <is>
          <t>vK2m02</t>
        </is>
      </c>
      <c r="B78" s="1" t="inlineStr">
        <is>
          <t>數值</t>
        </is>
      </c>
      <c r="C78" s="1" t="n">
        <v>2</v>
      </c>
      <c r="D78" s="1">
        <f>IF(B78="數值","F","A")</f>
        <v/>
      </c>
      <c r="E78" s="1">
        <f>A78&amp;" "&amp;D78&amp;C78</f>
        <v/>
      </c>
    </row>
    <row r="79">
      <c r="A79" s="1" t="inlineStr">
        <is>
          <t>vK2m03</t>
        </is>
      </c>
      <c r="B79" s="1" t="inlineStr">
        <is>
          <t>數值</t>
        </is>
      </c>
      <c r="C79" s="1" t="n">
        <v>2</v>
      </c>
      <c r="D79" s="1">
        <f>IF(B79="數值","F","A")</f>
        <v/>
      </c>
      <c r="E79" s="1">
        <f>A79&amp;" "&amp;D79&amp;C79</f>
        <v/>
      </c>
    </row>
    <row r="80">
      <c r="A80" s="1" t="inlineStr">
        <is>
          <t>vK2m04</t>
        </is>
      </c>
      <c r="B80" s="1" t="inlineStr">
        <is>
          <t>數值</t>
        </is>
      </c>
      <c r="C80" s="1" t="n">
        <v>2</v>
      </c>
      <c r="D80" s="1">
        <f>IF(B80="數值","F","A")</f>
        <v/>
      </c>
      <c r="E80" s="1">
        <f>A80&amp;" "&amp;D80&amp;C80</f>
        <v/>
      </c>
    </row>
    <row r="81">
      <c r="A81" s="1" t="inlineStr">
        <is>
          <t>vK2m05</t>
        </is>
      </c>
      <c r="B81" s="1" t="inlineStr">
        <is>
          <t>數值</t>
        </is>
      </c>
      <c r="C81" s="1" t="n">
        <v>2</v>
      </c>
      <c r="D81" s="1">
        <f>IF(B81="數值","F","A")</f>
        <v/>
      </c>
      <c r="E81" s="1">
        <f>A81&amp;" "&amp;D81&amp;C81</f>
        <v/>
      </c>
    </row>
    <row r="82">
      <c r="A82" s="1" t="inlineStr">
        <is>
          <t>vK2m06</t>
        </is>
      </c>
      <c r="B82" s="1" t="inlineStr">
        <is>
          <t>數值</t>
        </is>
      </c>
      <c r="C82" s="1" t="n">
        <v>2</v>
      </c>
      <c r="D82" s="1">
        <f>IF(B82="數值","F","A")</f>
        <v/>
      </c>
      <c r="E82" s="1">
        <f>A82&amp;" "&amp;D82&amp;C82</f>
        <v/>
      </c>
    </row>
    <row r="83">
      <c r="A83" s="1" t="inlineStr">
        <is>
          <t>vK2m07</t>
        </is>
      </c>
      <c r="B83" s="1" t="inlineStr">
        <is>
          <t>數值</t>
        </is>
      </c>
      <c r="C83" s="1" t="n">
        <v>2</v>
      </c>
      <c r="D83" s="1">
        <f>IF(B83="數值","F","A")</f>
        <v/>
      </c>
      <c r="E83" s="1">
        <f>A83&amp;" "&amp;D83&amp;C83</f>
        <v/>
      </c>
    </row>
    <row r="84">
      <c r="A84" s="1" t="inlineStr">
        <is>
          <t>vK2m08</t>
        </is>
      </c>
      <c r="B84" s="1" t="inlineStr">
        <is>
          <t>數值</t>
        </is>
      </c>
      <c r="C84" s="1" t="n">
        <v>2</v>
      </c>
      <c r="D84" s="1">
        <f>IF(B84="數值","F","A")</f>
        <v/>
      </c>
      <c r="E84" s="1">
        <f>A84&amp;" "&amp;D84&amp;C84</f>
        <v/>
      </c>
    </row>
    <row r="85">
      <c r="A85" s="1" t="inlineStr">
        <is>
          <t>vK2m09</t>
        </is>
      </c>
      <c r="B85" s="1" t="inlineStr">
        <is>
          <t>數值</t>
        </is>
      </c>
      <c r="C85" s="1" t="n">
        <v>2</v>
      </c>
      <c r="D85" s="1">
        <f>IF(B85="數值","F","A")</f>
        <v/>
      </c>
      <c r="E85" s="1">
        <f>A85&amp;" "&amp;D85&amp;C85</f>
        <v/>
      </c>
    </row>
    <row r="86">
      <c r="A86" s="1" t="inlineStr">
        <is>
          <t>vK2m11</t>
        </is>
      </c>
      <c r="B86" s="1" t="inlineStr">
        <is>
          <t>數值</t>
        </is>
      </c>
      <c r="C86" s="1" t="n">
        <v>2</v>
      </c>
      <c r="D86" s="1">
        <f>IF(B86="數值","F","A")</f>
        <v/>
      </c>
      <c r="E86" s="1">
        <f>A86&amp;" "&amp;D86&amp;C86</f>
        <v/>
      </c>
    </row>
    <row r="87">
      <c r="A87" s="1" t="inlineStr">
        <is>
          <t>vK2m12</t>
        </is>
      </c>
      <c r="B87" s="1" t="inlineStr">
        <is>
          <t>數值</t>
        </is>
      </c>
      <c r="C87" s="1" t="n">
        <v>2</v>
      </c>
      <c r="D87" s="1">
        <f>IF(B87="數值","F","A")</f>
        <v/>
      </c>
      <c r="E87" s="1">
        <f>A87&amp;" "&amp;D87&amp;C87</f>
        <v/>
      </c>
    </row>
    <row r="88">
      <c r="A88" s="1" t="inlineStr">
        <is>
          <t>vK2m13</t>
        </is>
      </c>
      <c r="B88" s="1" t="inlineStr">
        <is>
          <t>數值</t>
        </is>
      </c>
      <c r="C88" s="1" t="n">
        <v>2</v>
      </c>
      <c r="D88" s="1">
        <f>IF(B88="數值","F","A")</f>
        <v/>
      </c>
      <c r="E88" s="1">
        <f>A88&amp;" "&amp;D88&amp;C88</f>
        <v/>
      </c>
    </row>
    <row r="89">
      <c r="A89" s="1" t="inlineStr">
        <is>
          <t>vK2m88</t>
        </is>
      </c>
      <c r="B89" s="1" t="inlineStr">
        <is>
          <t>數值</t>
        </is>
      </c>
      <c r="C89" s="1" t="n">
        <v>2</v>
      </c>
      <c r="D89" s="1">
        <f>IF(B89="數值","F","A")</f>
        <v/>
      </c>
      <c r="E89" s="1">
        <f>A89&amp;" "&amp;D89&amp;C89</f>
        <v/>
      </c>
    </row>
    <row r="90">
      <c r="A90" s="1" t="inlineStr">
        <is>
          <t>vK2m90</t>
        </is>
      </c>
      <c r="B90" s="1" t="inlineStr">
        <is>
          <t>數值</t>
        </is>
      </c>
      <c r="C90" s="1" t="n">
        <v>2</v>
      </c>
      <c r="D90" s="1">
        <f>IF(B90="數值","F","A")</f>
        <v/>
      </c>
      <c r="E90" s="1">
        <f>A90&amp;" "&amp;D90&amp;C90</f>
        <v/>
      </c>
    </row>
    <row r="91">
      <c r="A91" s="1" t="inlineStr">
        <is>
          <t>vK2o88</t>
        </is>
      </c>
      <c r="B91" s="1" t="inlineStr">
        <is>
          <t>字串</t>
        </is>
      </c>
      <c r="C91" s="1" t="n">
        <v>150</v>
      </c>
      <c r="D91" s="1">
        <f>IF(B91="數值","F","A")</f>
        <v/>
      </c>
      <c r="E91" s="1">
        <f>A91&amp;" "&amp;D91&amp;C91</f>
        <v/>
      </c>
    </row>
    <row r="92">
      <c r="A92" s="1" t="inlineStr">
        <is>
          <t>vE17</t>
        </is>
      </c>
      <c r="B92" s="1" t="inlineStr">
        <is>
          <t>數值</t>
        </is>
      </c>
      <c r="C92" s="1" t="n">
        <v>2</v>
      </c>
      <c r="D92" s="1">
        <f>IF(B92="數值","F","A")</f>
        <v/>
      </c>
      <c r="E92" s="1">
        <f>A92&amp;" "&amp;D92&amp;C92</f>
        <v/>
      </c>
    </row>
    <row r="93">
      <c r="A93" s="1" t="inlineStr">
        <is>
          <t>vE17o88</t>
        </is>
      </c>
      <c r="B93" s="1" t="inlineStr">
        <is>
          <t>字串</t>
        </is>
      </c>
      <c r="C93" s="1" t="n">
        <v>150</v>
      </c>
      <c r="D93" s="1">
        <f>IF(B93="數值","F","A")</f>
        <v/>
      </c>
      <c r="E93" s="1">
        <f>A93&amp;" "&amp;D93&amp;C93</f>
        <v/>
      </c>
    </row>
    <row r="94">
      <c r="A94" s="1" t="inlineStr">
        <is>
          <t>vKLI1</t>
        </is>
      </c>
      <c r="B94" s="1" t="inlineStr">
        <is>
          <t>數值</t>
        </is>
      </c>
      <c r="C94" s="1" t="n">
        <v>4</v>
      </c>
      <c r="D94" s="1">
        <f>IF(B94="數值","F","A")</f>
        <v/>
      </c>
      <c r="E94" s="1">
        <f>A94&amp;" "&amp;D94&amp;C94</f>
        <v/>
      </c>
    </row>
    <row r="95">
      <c r="A95" s="1" t="inlineStr">
        <is>
          <t>vKLI2</t>
        </is>
      </c>
      <c r="B95" s="1" t="inlineStr">
        <is>
          <t>數值</t>
        </is>
      </c>
      <c r="C95" s="1" t="n">
        <v>5</v>
      </c>
      <c r="D95" s="1">
        <f>IF(B95="數值","F","A")</f>
        <v/>
      </c>
      <c r="E95" s="1">
        <f>A95&amp;" "&amp;D95&amp;C95</f>
        <v/>
      </c>
    </row>
    <row r="96">
      <c r="A96" s="1" t="inlineStr">
        <is>
          <t>vKFB1</t>
        </is>
      </c>
      <c r="B96" s="1" t="inlineStr">
        <is>
          <t>數值</t>
        </is>
      </c>
      <c r="C96" s="1" t="n">
        <v>4</v>
      </c>
      <c r="D96" s="1">
        <f>IF(B96="數值","F","A")</f>
        <v/>
      </c>
      <c r="E96" s="1">
        <f>A96&amp;" "&amp;D96&amp;C96</f>
        <v/>
      </c>
    </row>
    <row r="97">
      <c r="A97" s="1" t="inlineStr">
        <is>
          <t>vKFB2</t>
        </is>
      </c>
      <c r="B97" s="1" t="inlineStr">
        <is>
          <t>數值</t>
        </is>
      </c>
      <c r="C97" s="1" t="n">
        <v>5</v>
      </c>
      <c r="D97" s="1">
        <f>IF(B97="數值","F","A")</f>
        <v/>
      </c>
      <c r="E97" s="1">
        <f>A97&amp;" "&amp;D97&amp;C97</f>
        <v/>
      </c>
    </row>
    <row r="98">
      <c r="A98" s="1" t="inlineStr">
        <is>
          <t>vKFB3m01</t>
        </is>
      </c>
      <c r="B98" s="1" t="inlineStr">
        <is>
          <t>數值</t>
        </is>
      </c>
      <c r="C98" s="1" t="n">
        <v>2</v>
      </c>
      <c r="D98" s="1">
        <f>IF(B98="數值","F","A")</f>
        <v/>
      </c>
      <c r="E98" s="1">
        <f>A98&amp;" "&amp;D98&amp;C98</f>
        <v/>
      </c>
    </row>
    <row r="99">
      <c r="A99" s="1" t="inlineStr">
        <is>
          <t>vKFB3m02</t>
        </is>
      </c>
      <c r="B99" s="1" t="inlineStr">
        <is>
          <t>數值</t>
        </is>
      </c>
      <c r="C99" s="1" t="n">
        <v>2</v>
      </c>
      <c r="D99" s="1">
        <f>IF(B99="數值","F","A")</f>
        <v/>
      </c>
      <c r="E99" s="1">
        <f>A99&amp;" "&amp;D99&amp;C99</f>
        <v/>
      </c>
    </row>
    <row r="100">
      <c r="A100" s="1" t="inlineStr">
        <is>
          <t>vKFB3m03</t>
        </is>
      </c>
      <c r="B100" s="1" t="inlineStr">
        <is>
          <t>數值</t>
        </is>
      </c>
      <c r="C100" s="1" t="n">
        <v>2</v>
      </c>
      <c r="D100" s="1">
        <f>IF(B100="數值","F","A")</f>
        <v/>
      </c>
      <c r="E100" s="1">
        <f>A100&amp;" "&amp;D100&amp;C100</f>
        <v/>
      </c>
    </row>
    <row r="101">
      <c r="A101" s="1" t="inlineStr">
        <is>
          <t>vKFB3m04</t>
        </is>
      </c>
      <c r="B101" s="1" t="inlineStr">
        <is>
          <t>數值</t>
        </is>
      </c>
      <c r="C101" s="1" t="n">
        <v>2</v>
      </c>
      <c r="D101" s="1">
        <f>IF(B101="數值","F","A")</f>
        <v/>
      </c>
      <c r="E101" s="1">
        <f>A101&amp;" "&amp;D101&amp;C101</f>
        <v/>
      </c>
    </row>
    <row r="102">
      <c r="A102" s="1" t="inlineStr">
        <is>
          <t>vKFB3m05</t>
        </is>
      </c>
      <c r="B102" s="1" t="inlineStr">
        <is>
          <t>數值</t>
        </is>
      </c>
      <c r="C102" s="1" t="n">
        <v>2</v>
      </c>
      <c r="D102" s="1">
        <f>IF(B102="數值","F","A")</f>
        <v/>
      </c>
      <c r="E102" s="1">
        <f>A102&amp;" "&amp;D102&amp;C102</f>
        <v/>
      </c>
    </row>
    <row r="103">
      <c r="A103" s="1" t="inlineStr">
        <is>
          <t>vKFB3m06</t>
        </is>
      </c>
      <c r="B103" s="1" t="inlineStr">
        <is>
          <t>數值</t>
        </is>
      </c>
      <c r="C103" s="1" t="n">
        <v>2</v>
      </c>
      <c r="D103" s="1">
        <f>IF(B103="數值","F","A")</f>
        <v/>
      </c>
      <c r="E103" s="1">
        <f>A103&amp;" "&amp;D103&amp;C103</f>
        <v/>
      </c>
    </row>
    <row r="104">
      <c r="A104" s="1" t="inlineStr">
        <is>
          <t>vKFB3m07</t>
        </is>
      </c>
      <c r="B104" s="1" t="inlineStr">
        <is>
          <t>數值</t>
        </is>
      </c>
      <c r="C104" s="1" t="n">
        <v>2</v>
      </c>
      <c r="D104" s="1">
        <f>IF(B104="數值","F","A")</f>
        <v/>
      </c>
      <c r="E104" s="1">
        <f>A104&amp;" "&amp;D104&amp;C104</f>
        <v/>
      </c>
    </row>
    <row r="105">
      <c r="A105" s="1" t="inlineStr">
        <is>
          <t>vKFB3m08</t>
        </is>
      </c>
      <c r="B105" s="1" t="inlineStr">
        <is>
          <t>數值</t>
        </is>
      </c>
      <c r="C105" s="1" t="n">
        <v>2</v>
      </c>
      <c r="D105" s="1">
        <f>IF(B105="數值","F","A")</f>
        <v/>
      </c>
      <c r="E105" s="1">
        <f>A105&amp;" "&amp;D105&amp;C105</f>
        <v/>
      </c>
    </row>
    <row r="106">
      <c r="A106" s="1" t="inlineStr">
        <is>
          <t>vKFB3m09</t>
        </is>
      </c>
      <c r="B106" s="1" t="inlineStr">
        <is>
          <t>數值</t>
        </is>
      </c>
      <c r="C106" s="1" t="n">
        <v>2</v>
      </c>
      <c r="D106" s="1">
        <f>IF(B106="數值","F","A")</f>
        <v/>
      </c>
      <c r="E106" s="1">
        <f>A106&amp;" "&amp;D106&amp;C106</f>
        <v/>
      </c>
    </row>
    <row r="107">
      <c r="A107" s="1" t="inlineStr">
        <is>
          <t>vKFB3m10</t>
        </is>
      </c>
      <c r="B107" s="1" t="inlineStr">
        <is>
          <t>數值</t>
        </is>
      </c>
      <c r="C107" s="1" t="n">
        <v>2</v>
      </c>
      <c r="D107" s="1">
        <f>IF(B107="數值","F","A")</f>
        <v/>
      </c>
      <c r="E107" s="1">
        <f>A107&amp;" "&amp;D107&amp;C107</f>
        <v/>
      </c>
    </row>
    <row r="108">
      <c r="A108" s="1" t="inlineStr">
        <is>
          <t>vKFB3m11</t>
        </is>
      </c>
      <c r="B108" s="1" t="inlineStr">
        <is>
          <t>數值</t>
        </is>
      </c>
      <c r="C108" s="1" t="n">
        <v>2</v>
      </c>
      <c r="D108" s="1">
        <f>IF(B108="數值","F","A")</f>
        <v/>
      </c>
      <c r="E108" s="1">
        <f>A108&amp;" "&amp;D108&amp;C108</f>
        <v/>
      </c>
    </row>
    <row r="109">
      <c r="A109" s="1" t="inlineStr">
        <is>
          <t>vKFB3m12</t>
        </is>
      </c>
      <c r="B109" s="1" t="inlineStr">
        <is>
          <t>數值</t>
        </is>
      </c>
      <c r="C109" s="1" t="n">
        <v>2</v>
      </c>
      <c r="D109" s="1">
        <f>IF(B109="數值","F","A")</f>
        <v/>
      </c>
      <c r="E109" s="1">
        <f>A109&amp;" "&amp;D109&amp;C109</f>
        <v/>
      </c>
    </row>
    <row r="110">
      <c r="A110" s="1" t="inlineStr">
        <is>
          <t>vKFB3m13</t>
        </is>
      </c>
      <c r="B110" s="1" t="inlineStr">
        <is>
          <t>數值</t>
        </is>
      </c>
      <c r="C110" s="1" t="n">
        <v>2</v>
      </c>
      <c r="D110" s="1">
        <f>IF(B110="數值","F","A")</f>
        <v/>
      </c>
      <c r="E110" s="1">
        <f>A110&amp;" "&amp;D110&amp;C110</f>
        <v/>
      </c>
    </row>
    <row r="111">
      <c r="A111" s="1" t="inlineStr">
        <is>
          <t>vKFB3m14</t>
        </is>
      </c>
      <c r="B111" s="1" t="inlineStr">
        <is>
          <t>數值</t>
        </is>
      </c>
      <c r="C111" s="1" t="n">
        <v>2</v>
      </c>
      <c r="D111" s="1">
        <f>IF(B111="數值","F","A")</f>
        <v/>
      </c>
      <c r="E111" s="1">
        <f>A111&amp;" "&amp;D111&amp;C111</f>
        <v/>
      </c>
    </row>
    <row r="112">
      <c r="A112" s="1" t="inlineStr">
        <is>
          <t>vKFB3m15</t>
        </is>
      </c>
      <c r="B112" s="1" t="inlineStr">
        <is>
          <t>數值</t>
        </is>
      </c>
      <c r="C112" s="1" t="n">
        <v>2</v>
      </c>
      <c r="D112" s="1">
        <f>IF(B112="數值","F","A")</f>
        <v/>
      </c>
      <c r="E112" s="1">
        <f>A112&amp;" "&amp;D112&amp;C112</f>
        <v/>
      </c>
    </row>
    <row r="113">
      <c r="A113" s="1" t="inlineStr">
        <is>
          <t>vKFB3m16</t>
        </is>
      </c>
      <c r="B113" s="1" t="inlineStr">
        <is>
          <t>數值</t>
        </is>
      </c>
      <c r="C113" s="1" t="n">
        <v>2</v>
      </c>
      <c r="D113" s="1">
        <f>IF(B113="數值","F","A")</f>
        <v/>
      </c>
      <c r="E113" s="1">
        <f>A113&amp;" "&amp;D113&amp;C113</f>
        <v/>
      </c>
    </row>
    <row r="114">
      <c r="A114" s="1" t="inlineStr">
        <is>
          <t>vKFB3m17</t>
        </is>
      </c>
      <c r="B114" s="1" t="inlineStr">
        <is>
          <t>數值</t>
        </is>
      </c>
      <c r="C114" s="1" t="n">
        <v>2</v>
      </c>
      <c r="D114" s="1">
        <f>IF(B114="數值","F","A")</f>
        <v/>
      </c>
      <c r="E114" s="1">
        <f>A114&amp;" "&amp;D114&amp;C114</f>
        <v/>
      </c>
    </row>
    <row r="115">
      <c r="A115" s="1" t="inlineStr">
        <is>
          <t>vKFB3m88</t>
        </is>
      </c>
      <c r="B115" s="1" t="inlineStr">
        <is>
          <t>數值</t>
        </is>
      </c>
      <c r="C115" s="1" t="n">
        <v>2</v>
      </c>
      <c r="D115" s="1">
        <f>IF(B115="數值","F","A")</f>
        <v/>
      </c>
      <c r="E115" s="1">
        <f>A115&amp;" "&amp;D115&amp;C115</f>
        <v/>
      </c>
    </row>
    <row r="116">
      <c r="A116" s="1" t="inlineStr">
        <is>
          <t>vKFB3o88</t>
        </is>
      </c>
      <c r="B116" s="1" t="inlineStr">
        <is>
          <t>字串</t>
        </is>
      </c>
      <c r="C116" s="1" t="n">
        <v>150</v>
      </c>
      <c r="D116" s="1">
        <f>IF(B116="數值","F","A")</f>
        <v/>
      </c>
      <c r="E116" s="1">
        <f>A116&amp;" "&amp;D116&amp;C116</f>
        <v/>
      </c>
    </row>
    <row r="117">
      <c r="A117" s="1" t="inlineStr">
        <is>
          <t>vKFB4m01</t>
        </is>
      </c>
      <c r="B117" s="1" t="inlineStr">
        <is>
          <t>數值</t>
        </is>
      </c>
      <c r="C117" s="1" t="n">
        <v>2</v>
      </c>
      <c r="D117" s="1">
        <f>IF(B117="數值","F","A")</f>
        <v/>
      </c>
      <c r="E117" s="1">
        <f>A117&amp;" "&amp;D117&amp;C117</f>
        <v/>
      </c>
    </row>
    <row r="118">
      <c r="A118" s="1" t="inlineStr">
        <is>
          <t>vKFB4m02</t>
        </is>
      </c>
      <c r="B118" s="1" t="inlineStr">
        <is>
          <t>數值</t>
        </is>
      </c>
      <c r="C118" s="1" t="n">
        <v>2</v>
      </c>
      <c r="D118" s="1">
        <f>IF(B118="數值","F","A")</f>
        <v/>
      </c>
      <c r="E118" s="1">
        <f>A118&amp;" "&amp;D118&amp;C118</f>
        <v/>
      </c>
    </row>
    <row r="119">
      <c r="A119" s="1" t="inlineStr">
        <is>
          <t>vKFB4m03</t>
        </is>
      </c>
      <c r="B119" s="1" t="inlineStr">
        <is>
          <t>數值</t>
        </is>
      </c>
      <c r="C119" s="1" t="n">
        <v>2</v>
      </c>
      <c r="D119" s="1">
        <f>IF(B119="數值","F","A")</f>
        <v/>
      </c>
      <c r="E119" s="1">
        <f>A119&amp;" "&amp;D119&amp;C119</f>
        <v/>
      </c>
    </row>
    <row r="120">
      <c r="A120" s="1" t="inlineStr">
        <is>
          <t>vKFB4m04</t>
        </is>
      </c>
      <c r="B120" s="1" t="inlineStr">
        <is>
          <t>數值</t>
        </is>
      </c>
      <c r="C120" s="1" t="n">
        <v>2</v>
      </c>
      <c r="D120" s="1">
        <f>IF(B120="數值","F","A")</f>
        <v/>
      </c>
      <c r="E120" s="1">
        <f>A120&amp;" "&amp;D120&amp;C120</f>
        <v/>
      </c>
    </row>
    <row r="121">
      <c r="A121" s="1" t="inlineStr">
        <is>
          <t>vKFB4m05</t>
        </is>
      </c>
      <c r="B121" s="1" t="inlineStr">
        <is>
          <t>數值</t>
        </is>
      </c>
      <c r="C121" s="1" t="n">
        <v>2</v>
      </c>
      <c r="D121" s="1">
        <f>IF(B121="數值","F","A")</f>
        <v/>
      </c>
      <c r="E121" s="1">
        <f>A121&amp;" "&amp;D121&amp;C121</f>
        <v/>
      </c>
    </row>
    <row r="122">
      <c r="A122" s="1" t="inlineStr">
        <is>
          <t>vKFB4m06</t>
        </is>
      </c>
      <c r="B122" s="1" t="inlineStr">
        <is>
          <t>數值</t>
        </is>
      </c>
      <c r="C122" s="1" t="n">
        <v>2</v>
      </c>
      <c r="D122" s="1">
        <f>IF(B122="數值","F","A")</f>
        <v/>
      </c>
      <c r="E122" s="1">
        <f>A122&amp;" "&amp;D122&amp;C122</f>
        <v/>
      </c>
    </row>
    <row r="123">
      <c r="A123" s="1" t="inlineStr">
        <is>
          <t>vKFB4m07</t>
        </is>
      </c>
      <c r="B123" s="1" t="inlineStr">
        <is>
          <t>數值</t>
        </is>
      </c>
      <c r="C123" s="1" t="n">
        <v>2</v>
      </c>
      <c r="D123" s="1">
        <f>IF(B123="數值","F","A")</f>
        <v/>
      </c>
      <c r="E123" s="1">
        <f>A123&amp;" "&amp;D123&amp;C123</f>
        <v/>
      </c>
    </row>
    <row r="124">
      <c r="A124" s="1" t="inlineStr">
        <is>
          <t>vKFB4m08</t>
        </is>
      </c>
      <c r="B124" s="1" t="inlineStr">
        <is>
          <t>數值</t>
        </is>
      </c>
      <c r="C124" s="1" t="n">
        <v>2</v>
      </c>
      <c r="D124" s="1">
        <f>IF(B124="數值","F","A")</f>
        <v/>
      </c>
      <c r="E124" s="1">
        <f>A124&amp;" "&amp;D124&amp;C124</f>
        <v/>
      </c>
    </row>
    <row r="125">
      <c r="A125" s="1" t="inlineStr">
        <is>
          <t>vKFB4m09</t>
        </is>
      </c>
      <c r="B125" s="1" t="inlineStr">
        <is>
          <t>數值</t>
        </is>
      </c>
      <c r="C125" s="1" t="n">
        <v>2</v>
      </c>
      <c r="D125" s="1">
        <f>IF(B125="數值","F","A")</f>
        <v/>
      </c>
      <c r="E125" s="1">
        <f>A125&amp;" "&amp;D125&amp;C125</f>
        <v/>
      </c>
    </row>
    <row r="126">
      <c r="A126" s="1" t="inlineStr">
        <is>
          <t>vKFB4m10</t>
        </is>
      </c>
      <c r="B126" s="1" t="inlineStr">
        <is>
          <t>數值</t>
        </is>
      </c>
      <c r="C126" s="1" t="n">
        <v>2</v>
      </c>
      <c r="D126" s="1">
        <f>IF(B126="數值","F","A")</f>
        <v/>
      </c>
      <c r="E126" s="1">
        <f>A126&amp;" "&amp;D126&amp;C126</f>
        <v/>
      </c>
    </row>
    <row r="127">
      <c r="A127" s="1" t="inlineStr">
        <is>
          <t>vKFB4m11</t>
        </is>
      </c>
      <c r="B127" s="1" t="inlineStr">
        <is>
          <t>數值</t>
        </is>
      </c>
      <c r="C127" s="1" t="n">
        <v>2</v>
      </c>
      <c r="D127" s="1">
        <f>IF(B127="數值","F","A")</f>
        <v/>
      </c>
      <c r="E127" s="1">
        <f>A127&amp;" "&amp;D127&amp;C127</f>
        <v/>
      </c>
    </row>
    <row r="128">
      <c r="A128" s="1" t="inlineStr">
        <is>
          <t>vKFB4m12</t>
        </is>
      </c>
      <c r="B128" s="1" t="inlineStr">
        <is>
          <t>數值</t>
        </is>
      </c>
      <c r="C128" s="1" t="n">
        <v>2</v>
      </c>
      <c r="D128" s="1">
        <f>IF(B128="數值","F","A")</f>
        <v/>
      </c>
      <c r="E128" s="1">
        <f>A128&amp;" "&amp;D128&amp;C128</f>
        <v/>
      </c>
    </row>
    <row r="129">
      <c r="A129" s="1" t="inlineStr">
        <is>
          <t>vKFB4m13</t>
        </is>
      </c>
      <c r="B129" s="1" t="inlineStr">
        <is>
          <t>數值</t>
        </is>
      </c>
      <c r="C129" s="1" t="n">
        <v>2</v>
      </c>
      <c r="D129" s="1">
        <f>IF(B129="數值","F","A")</f>
        <v/>
      </c>
      <c r="E129" s="1">
        <f>A129&amp;" "&amp;D129&amp;C129</f>
        <v/>
      </c>
    </row>
    <row r="130">
      <c r="A130" s="1" t="inlineStr">
        <is>
          <t>vKFB4m14</t>
        </is>
      </c>
      <c r="B130" s="1" t="inlineStr">
        <is>
          <t>數值</t>
        </is>
      </c>
      <c r="C130" s="1" t="n">
        <v>2</v>
      </c>
      <c r="D130" s="1">
        <f>IF(B130="數值","F","A")</f>
        <v/>
      </c>
      <c r="E130" s="1">
        <f>A130&amp;" "&amp;D130&amp;C130</f>
        <v/>
      </c>
    </row>
    <row r="131">
      <c r="A131" s="1" t="inlineStr">
        <is>
          <t>vKFB4m15</t>
        </is>
      </c>
      <c r="B131" s="1" t="inlineStr">
        <is>
          <t>數值</t>
        </is>
      </c>
      <c r="C131" s="1" t="n">
        <v>2</v>
      </c>
      <c r="D131" s="1">
        <f>IF(B131="數值","F","A")</f>
        <v/>
      </c>
      <c r="E131" s="1">
        <f>A131&amp;" "&amp;D131&amp;C131</f>
        <v/>
      </c>
    </row>
    <row r="132">
      <c r="A132" s="1" t="inlineStr">
        <is>
          <t>vKFB4m16</t>
        </is>
      </c>
      <c r="B132" s="1" t="inlineStr">
        <is>
          <t>數值</t>
        </is>
      </c>
      <c r="C132" s="1" t="n">
        <v>2</v>
      </c>
      <c r="D132" s="1">
        <f>IF(B132="數值","F","A")</f>
        <v/>
      </c>
      <c r="E132" s="1">
        <f>A132&amp;" "&amp;D132&amp;C132</f>
        <v/>
      </c>
    </row>
    <row r="133">
      <c r="A133" s="1" t="inlineStr">
        <is>
          <t>vKFB4m17</t>
        </is>
      </c>
      <c r="B133" s="1" t="inlineStr">
        <is>
          <t>數值</t>
        </is>
      </c>
      <c r="C133" s="1" t="n">
        <v>2</v>
      </c>
      <c r="D133" s="1">
        <f>IF(B133="數值","F","A")</f>
        <v/>
      </c>
      <c r="E133" s="1">
        <f>A133&amp;" "&amp;D133&amp;C133</f>
        <v/>
      </c>
    </row>
    <row r="134">
      <c r="A134" s="1" t="inlineStr">
        <is>
          <t>vKFB4m18</t>
        </is>
      </c>
      <c r="B134" s="1" t="inlineStr">
        <is>
          <t>數值</t>
        </is>
      </c>
      <c r="C134" s="1" t="n">
        <v>2</v>
      </c>
      <c r="D134" s="1">
        <f>IF(B134="數值","F","A")</f>
        <v/>
      </c>
      <c r="E134" s="1">
        <f>A134&amp;" "&amp;D134&amp;C134</f>
        <v/>
      </c>
    </row>
    <row r="135">
      <c r="A135" s="1" t="inlineStr">
        <is>
          <t>vKFB4m88</t>
        </is>
      </c>
      <c r="B135" s="1" t="inlineStr">
        <is>
          <t>數值</t>
        </is>
      </c>
      <c r="C135" s="1" t="n">
        <v>2</v>
      </c>
      <c r="D135" s="1">
        <f>IF(B135="數值","F","A")</f>
        <v/>
      </c>
      <c r="E135" s="1">
        <f>A135&amp;" "&amp;D135&amp;C135</f>
        <v/>
      </c>
    </row>
    <row r="136">
      <c r="A136" s="1" t="inlineStr">
        <is>
          <t>vKFB4o88</t>
        </is>
      </c>
      <c r="B136" s="1" t="inlineStr">
        <is>
          <t>字串</t>
        </is>
      </c>
      <c r="C136" s="1" t="n">
        <v>150</v>
      </c>
      <c r="D136" s="1">
        <f>IF(B136="數值","F","A")</f>
        <v/>
      </c>
      <c r="E136" s="1">
        <f>A136&amp;" "&amp;D136&amp;C136</f>
        <v/>
      </c>
    </row>
    <row r="137">
      <c r="A137" s="1" t="inlineStr">
        <is>
          <t>vKIG1</t>
        </is>
      </c>
      <c r="B137" s="1" t="inlineStr">
        <is>
          <t>數值</t>
        </is>
      </c>
      <c r="C137" s="1" t="n">
        <v>4</v>
      </c>
      <c r="D137" s="1">
        <f>IF(B137="數值","F","A")</f>
        <v/>
      </c>
      <c r="E137" s="1">
        <f>A137&amp;" "&amp;D137&amp;C137</f>
        <v/>
      </c>
    </row>
    <row r="138">
      <c r="A138" s="1" t="inlineStr">
        <is>
          <t>vKIG2</t>
        </is>
      </c>
      <c r="B138" s="1" t="inlineStr">
        <is>
          <t>數值</t>
        </is>
      </c>
      <c r="C138" s="1" t="n">
        <v>5</v>
      </c>
      <c r="D138" s="1">
        <f>IF(B138="數值","F","A")</f>
        <v/>
      </c>
      <c r="E138" s="1">
        <f>A138&amp;" "&amp;D138&amp;C138</f>
        <v/>
      </c>
    </row>
    <row r="139">
      <c r="A139" s="1" t="inlineStr">
        <is>
          <t>vKIG3m01</t>
        </is>
      </c>
      <c r="B139" s="1" t="inlineStr">
        <is>
          <t>數值</t>
        </is>
      </c>
      <c r="C139" s="1" t="n">
        <v>2</v>
      </c>
      <c r="D139" s="1">
        <f>IF(B139="數值","F","A")</f>
        <v/>
      </c>
      <c r="E139" s="1">
        <f>A139&amp;" "&amp;D139&amp;C139</f>
        <v/>
      </c>
    </row>
    <row r="140">
      <c r="A140" s="1" t="inlineStr">
        <is>
          <t>vKIG3m02</t>
        </is>
      </c>
      <c r="B140" s="1" t="inlineStr">
        <is>
          <t>數值</t>
        </is>
      </c>
      <c r="C140" s="1" t="n">
        <v>2</v>
      </c>
      <c r="D140" s="1">
        <f>IF(B140="數值","F","A")</f>
        <v/>
      </c>
      <c r="E140" s="1">
        <f>A140&amp;" "&amp;D140&amp;C140</f>
        <v/>
      </c>
    </row>
    <row r="141">
      <c r="A141" s="1" t="inlineStr">
        <is>
          <t>vKIG3m03</t>
        </is>
      </c>
      <c r="B141" s="1" t="inlineStr">
        <is>
          <t>數值</t>
        </is>
      </c>
      <c r="C141" s="1" t="n">
        <v>2</v>
      </c>
      <c r="D141" s="1">
        <f>IF(B141="數值","F","A")</f>
        <v/>
      </c>
      <c r="E141" s="1">
        <f>A141&amp;" "&amp;D141&amp;C141</f>
        <v/>
      </c>
    </row>
    <row r="142">
      <c r="A142" s="1" t="inlineStr">
        <is>
          <t>vKIG3m04</t>
        </is>
      </c>
      <c r="B142" s="1" t="inlineStr">
        <is>
          <t>數值</t>
        </is>
      </c>
      <c r="C142" s="1" t="n">
        <v>2</v>
      </c>
      <c r="D142" s="1">
        <f>IF(B142="數值","F","A")</f>
        <v/>
      </c>
      <c r="E142" s="1">
        <f>A142&amp;" "&amp;D142&amp;C142</f>
        <v/>
      </c>
    </row>
    <row r="143">
      <c r="A143" s="1" t="inlineStr">
        <is>
          <t>vKIG3m05</t>
        </is>
      </c>
      <c r="B143" s="1" t="inlineStr">
        <is>
          <t>數值</t>
        </is>
      </c>
      <c r="C143" s="1" t="n">
        <v>2</v>
      </c>
      <c r="D143" s="1">
        <f>IF(B143="數值","F","A")</f>
        <v/>
      </c>
      <c r="E143" s="1">
        <f>A143&amp;" "&amp;D143&amp;C143</f>
        <v/>
      </c>
    </row>
    <row r="144">
      <c r="A144" s="1" t="inlineStr">
        <is>
          <t>vKIG3m06</t>
        </is>
      </c>
      <c r="B144" s="1" t="inlineStr">
        <is>
          <t>數值</t>
        </is>
      </c>
      <c r="C144" s="1" t="n">
        <v>2</v>
      </c>
      <c r="D144" s="1">
        <f>IF(B144="數值","F","A")</f>
        <v/>
      </c>
      <c r="E144" s="1">
        <f>A144&amp;" "&amp;D144&amp;C144</f>
        <v/>
      </c>
    </row>
    <row r="145">
      <c r="A145" s="1" t="inlineStr">
        <is>
          <t>vKIG3m07</t>
        </is>
      </c>
      <c r="B145" s="1" t="inlineStr">
        <is>
          <t>數值</t>
        </is>
      </c>
      <c r="C145" s="1" t="n">
        <v>2</v>
      </c>
      <c r="D145" s="1">
        <f>IF(B145="數值","F","A")</f>
        <v/>
      </c>
      <c r="E145" s="1">
        <f>A145&amp;" "&amp;D145&amp;C145</f>
        <v/>
      </c>
    </row>
    <row r="146">
      <c r="A146" s="1" t="inlineStr">
        <is>
          <t>vKIG3m08</t>
        </is>
      </c>
      <c r="B146" s="1" t="inlineStr">
        <is>
          <t>數值</t>
        </is>
      </c>
      <c r="C146" s="1" t="n">
        <v>2</v>
      </c>
      <c r="D146" s="1">
        <f>IF(B146="數值","F","A")</f>
        <v/>
      </c>
      <c r="E146" s="1">
        <f>A146&amp;" "&amp;D146&amp;C146</f>
        <v/>
      </c>
    </row>
    <row r="147">
      <c r="A147" s="1" t="inlineStr">
        <is>
          <t>vKIG3m09</t>
        </is>
      </c>
      <c r="B147" s="1" t="inlineStr">
        <is>
          <t>數值</t>
        </is>
      </c>
      <c r="C147" s="1" t="n">
        <v>2</v>
      </c>
      <c r="D147" s="1">
        <f>IF(B147="數值","F","A")</f>
        <v/>
      </c>
      <c r="E147" s="1">
        <f>A147&amp;" "&amp;D147&amp;C147</f>
        <v/>
      </c>
    </row>
    <row r="148">
      <c r="A148" s="1" t="inlineStr">
        <is>
          <t>vKIG3m10</t>
        </is>
      </c>
      <c r="B148" s="1" t="inlineStr">
        <is>
          <t>數值</t>
        </is>
      </c>
      <c r="C148" s="1" t="n">
        <v>2</v>
      </c>
      <c r="D148" s="1">
        <f>IF(B148="數值","F","A")</f>
        <v/>
      </c>
      <c r="E148" s="1">
        <f>A148&amp;" "&amp;D148&amp;C148</f>
        <v/>
      </c>
    </row>
    <row r="149">
      <c r="A149" s="1" t="inlineStr">
        <is>
          <t>vKIG3m11</t>
        </is>
      </c>
      <c r="B149" s="1" t="inlineStr">
        <is>
          <t>數值</t>
        </is>
      </c>
      <c r="C149" s="1" t="n">
        <v>2</v>
      </c>
      <c r="D149" s="1">
        <f>IF(B149="數值","F","A")</f>
        <v/>
      </c>
      <c r="E149" s="1">
        <f>A149&amp;" "&amp;D149&amp;C149</f>
        <v/>
      </c>
    </row>
    <row r="150">
      <c r="A150" s="1" t="inlineStr">
        <is>
          <t>vKIG3m12</t>
        </is>
      </c>
      <c r="B150" s="1" t="inlineStr">
        <is>
          <t>數值</t>
        </is>
      </c>
      <c r="C150" s="1" t="n">
        <v>2</v>
      </c>
      <c r="D150" s="1">
        <f>IF(B150="數值","F","A")</f>
        <v/>
      </c>
      <c r="E150" s="1">
        <f>A150&amp;" "&amp;D150&amp;C150</f>
        <v/>
      </c>
    </row>
    <row r="151">
      <c r="A151" s="1" t="inlineStr">
        <is>
          <t>vKIG3m13</t>
        </is>
      </c>
      <c r="B151" s="1" t="inlineStr">
        <is>
          <t>數值</t>
        </is>
      </c>
      <c r="C151" s="1" t="n">
        <v>2</v>
      </c>
      <c r="D151" s="1">
        <f>IF(B151="數值","F","A")</f>
        <v/>
      </c>
      <c r="E151" s="1">
        <f>A151&amp;" "&amp;D151&amp;C151</f>
        <v/>
      </c>
    </row>
    <row r="152">
      <c r="A152" s="1" t="inlineStr">
        <is>
          <t>vKIG3m14</t>
        </is>
      </c>
      <c r="B152" s="1" t="inlineStr">
        <is>
          <t>數值</t>
        </is>
      </c>
      <c r="C152" s="1" t="n">
        <v>2</v>
      </c>
      <c r="D152" s="1">
        <f>IF(B152="數值","F","A")</f>
        <v/>
      </c>
      <c r="E152" s="1">
        <f>A152&amp;" "&amp;D152&amp;C152</f>
        <v/>
      </c>
    </row>
    <row r="153">
      <c r="A153" s="1" t="inlineStr">
        <is>
          <t>vKIG3m15</t>
        </is>
      </c>
      <c r="B153" s="1" t="inlineStr">
        <is>
          <t>數值</t>
        </is>
      </c>
      <c r="C153" s="1" t="n">
        <v>2</v>
      </c>
      <c r="D153" s="1">
        <f>IF(B153="數值","F","A")</f>
        <v/>
      </c>
      <c r="E153" s="1">
        <f>A153&amp;" "&amp;D153&amp;C153</f>
        <v/>
      </c>
    </row>
    <row r="154">
      <c r="A154" s="1" t="inlineStr">
        <is>
          <t>vKIG3m16</t>
        </is>
      </c>
      <c r="B154" s="1" t="inlineStr">
        <is>
          <t>數值</t>
        </is>
      </c>
      <c r="C154" s="1" t="n">
        <v>2</v>
      </c>
      <c r="D154" s="1">
        <f>IF(B154="數值","F","A")</f>
        <v/>
      </c>
      <c r="E154" s="1">
        <f>A154&amp;" "&amp;D154&amp;C154</f>
        <v/>
      </c>
    </row>
    <row r="155">
      <c r="A155" s="1" t="inlineStr">
        <is>
          <t>vKIG3m17</t>
        </is>
      </c>
      <c r="B155" s="1" t="inlineStr">
        <is>
          <t>數值</t>
        </is>
      </c>
      <c r="C155" s="1" t="n">
        <v>2</v>
      </c>
      <c r="D155" s="1">
        <f>IF(B155="數值","F","A")</f>
        <v/>
      </c>
      <c r="E155" s="1">
        <f>A155&amp;" "&amp;D155&amp;C155</f>
        <v/>
      </c>
    </row>
    <row r="156">
      <c r="A156" s="1" t="inlineStr">
        <is>
          <t>vKIG3m88</t>
        </is>
      </c>
      <c r="B156" s="1" t="inlineStr">
        <is>
          <t>數值</t>
        </is>
      </c>
      <c r="C156" s="1" t="n">
        <v>2</v>
      </c>
      <c r="D156" s="1">
        <f>IF(B156="數值","F","A")</f>
        <v/>
      </c>
      <c r="E156" s="1">
        <f>A156&amp;" "&amp;D156&amp;C156</f>
        <v/>
      </c>
    </row>
    <row r="157">
      <c r="A157" s="1" t="inlineStr">
        <is>
          <t>vKIG3o88</t>
        </is>
      </c>
      <c r="B157" s="1" t="inlineStr">
        <is>
          <t>字串</t>
        </is>
      </c>
      <c r="C157" s="1" t="n">
        <v>150</v>
      </c>
      <c r="D157" s="1">
        <f>IF(B157="數值","F","A")</f>
        <v/>
      </c>
      <c r="E157" s="1">
        <f>A157&amp;" "&amp;D157&amp;C157</f>
        <v/>
      </c>
    </row>
    <row r="158">
      <c r="A158" s="1" t="inlineStr">
        <is>
          <t>vKIG4m01</t>
        </is>
      </c>
      <c r="B158" s="1" t="inlineStr">
        <is>
          <t>數值</t>
        </is>
      </c>
      <c r="C158" s="1" t="n">
        <v>2</v>
      </c>
      <c r="D158" s="1">
        <f>IF(B158="數值","F","A")</f>
        <v/>
      </c>
      <c r="E158" s="1">
        <f>A158&amp;" "&amp;D158&amp;C158</f>
        <v/>
      </c>
    </row>
    <row r="159">
      <c r="A159" s="1" t="inlineStr">
        <is>
          <t>vKIG4m02</t>
        </is>
      </c>
      <c r="B159" s="1" t="inlineStr">
        <is>
          <t>數值</t>
        </is>
      </c>
      <c r="C159" s="1" t="n">
        <v>2</v>
      </c>
      <c r="D159" s="1">
        <f>IF(B159="數值","F","A")</f>
        <v/>
      </c>
      <c r="E159" s="1">
        <f>A159&amp;" "&amp;D159&amp;C159</f>
        <v/>
      </c>
    </row>
    <row r="160">
      <c r="A160" s="1" t="inlineStr">
        <is>
          <t>vKIG4m03</t>
        </is>
      </c>
      <c r="B160" s="1" t="inlineStr">
        <is>
          <t>數值</t>
        </is>
      </c>
      <c r="C160" s="1" t="n">
        <v>2</v>
      </c>
      <c r="D160" s="1">
        <f>IF(B160="數值","F","A")</f>
        <v/>
      </c>
      <c r="E160" s="1">
        <f>A160&amp;" "&amp;D160&amp;C160</f>
        <v/>
      </c>
    </row>
    <row r="161">
      <c r="A161" s="1" t="inlineStr">
        <is>
          <t>vKIG4m04</t>
        </is>
      </c>
      <c r="B161" s="1" t="inlineStr">
        <is>
          <t>數值</t>
        </is>
      </c>
      <c r="C161" s="1" t="n">
        <v>2</v>
      </c>
      <c r="D161" s="1">
        <f>IF(B161="數值","F","A")</f>
        <v/>
      </c>
      <c r="E161" s="1">
        <f>A161&amp;" "&amp;D161&amp;C161</f>
        <v/>
      </c>
    </row>
    <row r="162">
      <c r="A162" s="1" t="inlineStr">
        <is>
          <t>vKIG4m05</t>
        </is>
      </c>
      <c r="B162" s="1" t="inlineStr">
        <is>
          <t>數值</t>
        </is>
      </c>
      <c r="C162" s="1" t="n">
        <v>2</v>
      </c>
      <c r="D162" s="1">
        <f>IF(B162="數值","F","A")</f>
        <v/>
      </c>
      <c r="E162" s="1">
        <f>A162&amp;" "&amp;D162&amp;C162</f>
        <v/>
      </c>
    </row>
    <row r="163">
      <c r="A163" s="1" t="inlineStr">
        <is>
          <t>vKIG4m06</t>
        </is>
      </c>
      <c r="B163" s="1" t="inlineStr">
        <is>
          <t>數值</t>
        </is>
      </c>
      <c r="C163" s="1" t="n">
        <v>2</v>
      </c>
      <c r="D163" s="1">
        <f>IF(B163="數值","F","A")</f>
        <v/>
      </c>
      <c r="E163" s="1">
        <f>A163&amp;" "&amp;D163&amp;C163</f>
        <v/>
      </c>
    </row>
    <row r="164">
      <c r="A164" s="1" t="inlineStr">
        <is>
          <t>vKIG4m07</t>
        </is>
      </c>
      <c r="B164" s="1" t="inlineStr">
        <is>
          <t>數值</t>
        </is>
      </c>
      <c r="C164" s="1" t="n">
        <v>2</v>
      </c>
      <c r="D164" s="1">
        <f>IF(B164="數值","F","A")</f>
        <v/>
      </c>
      <c r="E164" s="1">
        <f>A164&amp;" "&amp;D164&amp;C164</f>
        <v/>
      </c>
    </row>
    <row r="165">
      <c r="A165" s="1" t="inlineStr">
        <is>
          <t>vKIG4m08</t>
        </is>
      </c>
      <c r="B165" s="1" t="inlineStr">
        <is>
          <t>數值</t>
        </is>
      </c>
      <c r="C165" s="1" t="n">
        <v>2</v>
      </c>
      <c r="D165" s="1">
        <f>IF(B165="數值","F","A")</f>
        <v/>
      </c>
      <c r="E165" s="1">
        <f>A165&amp;" "&amp;D165&amp;C165</f>
        <v/>
      </c>
    </row>
    <row r="166">
      <c r="A166" s="1" t="inlineStr">
        <is>
          <t>vKIG4m09</t>
        </is>
      </c>
      <c r="B166" s="1" t="inlineStr">
        <is>
          <t>數值</t>
        </is>
      </c>
      <c r="C166" s="1" t="n">
        <v>2</v>
      </c>
      <c r="D166" s="1">
        <f>IF(B166="數值","F","A")</f>
        <v/>
      </c>
      <c r="E166" s="1">
        <f>A166&amp;" "&amp;D166&amp;C166</f>
        <v/>
      </c>
    </row>
    <row r="167">
      <c r="A167" s="1" t="inlineStr">
        <is>
          <t>vKIG4m10</t>
        </is>
      </c>
      <c r="B167" s="1" t="inlineStr">
        <is>
          <t>數值</t>
        </is>
      </c>
      <c r="C167" s="1" t="n">
        <v>2</v>
      </c>
      <c r="D167" s="1">
        <f>IF(B167="數值","F","A")</f>
        <v/>
      </c>
      <c r="E167" s="1">
        <f>A167&amp;" "&amp;D167&amp;C167</f>
        <v/>
      </c>
    </row>
    <row r="168">
      <c r="A168" s="1" t="inlineStr">
        <is>
          <t>vKIG4m11</t>
        </is>
      </c>
      <c r="B168" s="1" t="inlineStr">
        <is>
          <t>數值</t>
        </is>
      </c>
      <c r="C168" s="1" t="n">
        <v>2</v>
      </c>
      <c r="D168" s="1">
        <f>IF(B168="數值","F","A")</f>
        <v/>
      </c>
      <c r="E168" s="1">
        <f>A168&amp;" "&amp;D168&amp;C168</f>
        <v/>
      </c>
    </row>
    <row r="169">
      <c r="A169" s="1" t="inlineStr">
        <is>
          <t>vKIG4m12</t>
        </is>
      </c>
      <c r="B169" s="1" t="inlineStr">
        <is>
          <t>數值</t>
        </is>
      </c>
      <c r="C169" s="1" t="n">
        <v>2</v>
      </c>
      <c r="D169" s="1">
        <f>IF(B169="數值","F","A")</f>
        <v/>
      </c>
      <c r="E169" s="1">
        <f>A169&amp;" "&amp;D169&amp;C169</f>
        <v/>
      </c>
    </row>
    <row r="170">
      <c r="A170" s="1" t="inlineStr">
        <is>
          <t>vKIG4m13</t>
        </is>
      </c>
      <c r="B170" s="1" t="inlineStr">
        <is>
          <t>數值</t>
        </is>
      </c>
      <c r="C170" s="1" t="n">
        <v>2</v>
      </c>
      <c r="D170" s="1">
        <f>IF(B170="數值","F","A")</f>
        <v/>
      </c>
      <c r="E170" s="1">
        <f>A170&amp;" "&amp;D170&amp;C170</f>
        <v/>
      </c>
    </row>
    <row r="171">
      <c r="A171" s="1" t="inlineStr">
        <is>
          <t>vKIG4m14</t>
        </is>
      </c>
      <c r="B171" s="1" t="inlineStr">
        <is>
          <t>數值</t>
        </is>
      </c>
      <c r="C171" s="1" t="n">
        <v>2</v>
      </c>
      <c r="D171" s="1">
        <f>IF(B171="數值","F","A")</f>
        <v/>
      </c>
      <c r="E171" s="1">
        <f>A171&amp;" "&amp;D171&amp;C171</f>
        <v/>
      </c>
    </row>
    <row r="172">
      <c r="A172" s="1" t="inlineStr">
        <is>
          <t>vKIG4m88</t>
        </is>
      </c>
      <c r="B172" s="1" t="inlineStr">
        <is>
          <t>數值</t>
        </is>
      </c>
      <c r="C172" s="1" t="n">
        <v>2</v>
      </c>
      <c r="D172" s="1">
        <f>IF(B172="數值","F","A")</f>
        <v/>
      </c>
      <c r="E172" s="1">
        <f>A172&amp;" "&amp;D172&amp;C172</f>
        <v/>
      </c>
    </row>
    <row r="173">
      <c r="A173" s="1" t="inlineStr">
        <is>
          <t>vKIG4o88</t>
        </is>
      </c>
      <c r="B173" s="1" t="inlineStr">
        <is>
          <t>字串</t>
        </is>
      </c>
      <c r="C173" s="1" t="n">
        <v>150</v>
      </c>
      <c r="D173" s="1">
        <f>IF(B173="數值","F","A")</f>
        <v/>
      </c>
      <c r="E173" s="1">
        <f>A173&amp;" "&amp;D173&amp;C173</f>
        <v/>
      </c>
    </row>
    <row r="174">
      <c r="A174" s="1" t="inlineStr">
        <is>
          <t>vKTT1</t>
        </is>
      </c>
      <c r="B174" s="1" t="inlineStr">
        <is>
          <t>數值</t>
        </is>
      </c>
      <c r="C174" s="1" t="n">
        <v>4</v>
      </c>
      <c r="D174" s="1">
        <f>IF(B174="數值","F","A")</f>
        <v/>
      </c>
      <c r="E174" s="1">
        <f>A174&amp;" "&amp;D174&amp;C174</f>
        <v/>
      </c>
    </row>
    <row r="175">
      <c r="A175" s="1" t="inlineStr">
        <is>
          <t>vKTT2</t>
        </is>
      </c>
      <c r="B175" s="1" t="inlineStr">
        <is>
          <t>數值</t>
        </is>
      </c>
      <c r="C175" s="1" t="n">
        <v>5</v>
      </c>
      <c r="D175" s="1">
        <f>IF(B175="數值","F","A")</f>
        <v/>
      </c>
      <c r="E175" s="1">
        <f>A175&amp;" "&amp;D175&amp;C175</f>
        <v/>
      </c>
    </row>
    <row r="176">
      <c r="A176" s="1" t="inlineStr">
        <is>
          <t>vKTT3m01</t>
        </is>
      </c>
      <c r="B176" s="1" t="inlineStr">
        <is>
          <t>數值</t>
        </is>
      </c>
      <c r="C176" s="1" t="n">
        <v>2</v>
      </c>
      <c r="D176" s="1">
        <f>IF(B176="數值","F","A")</f>
        <v/>
      </c>
      <c r="E176" s="1">
        <f>A176&amp;" "&amp;D176&amp;C176</f>
        <v/>
      </c>
    </row>
    <row r="177">
      <c r="A177" s="1" t="inlineStr">
        <is>
          <t>vKTT3m02</t>
        </is>
      </c>
      <c r="B177" s="1" t="inlineStr">
        <is>
          <t>數值</t>
        </is>
      </c>
      <c r="C177" s="1" t="n">
        <v>2</v>
      </c>
      <c r="D177" s="1">
        <f>IF(B177="數值","F","A")</f>
        <v/>
      </c>
      <c r="E177" s="1">
        <f>A177&amp;" "&amp;D177&amp;C177</f>
        <v/>
      </c>
    </row>
    <row r="178">
      <c r="A178" s="1" t="inlineStr">
        <is>
          <t>vKTT3m03</t>
        </is>
      </c>
      <c r="B178" s="1" t="inlineStr">
        <is>
          <t>數值</t>
        </is>
      </c>
      <c r="C178" s="1" t="n">
        <v>2</v>
      </c>
      <c r="D178" s="1">
        <f>IF(B178="數值","F","A")</f>
        <v/>
      </c>
      <c r="E178" s="1">
        <f>A178&amp;" "&amp;D178&amp;C178</f>
        <v/>
      </c>
    </row>
    <row r="179">
      <c r="A179" s="1" t="inlineStr">
        <is>
          <t>vKTT3m04</t>
        </is>
      </c>
      <c r="B179" s="1" t="inlineStr">
        <is>
          <t>數值</t>
        </is>
      </c>
      <c r="C179" s="1" t="n">
        <v>2</v>
      </c>
      <c r="D179" s="1">
        <f>IF(B179="數值","F","A")</f>
        <v/>
      </c>
      <c r="E179" s="1">
        <f>A179&amp;" "&amp;D179&amp;C179</f>
        <v/>
      </c>
    </row>
    <row r="180">
      <c r="A180" s="1" t="inlineStr">
        <is>
          <t>vKTT3m05</t>
        </is>
      </c>
      <c r="B180" s="1" t="inlineStr">
        <is>
          <t>數值</t>
        </is>
      </c>
      <c r="C180" s="1" t="n">
        <v>2</v>
      </c>
      <c r="D180" s="1">
        <f>IF(B180="數值","F","A")</f>
        <v/>
      </c>
      <c r="E180" s="1">
        <f>A180&amp;" "&amp;D180&amp;C180</f>
        <v/>
      </c>
    </row>
    <row r="181">
      <c r="A181" s="1" t="inlineStr">
        <is>
          <t>vKTT3m06</t>
        </is>
      </c>
      <c r="B181" s="1" t="inlineStr">
        <is>
          <t>數值</t>
        </is>
      </c>
      <c r="C181" s="1" t="n">
        <v>2</v>
      </c>
      <c r="D181" s="1">
        <f>IF(B181="數值","F","A")</f>
        <v/>
      </c>
      <c r="E181" s="1">
        <f>A181&amp;" "&amp;D181&amp;C181</f>
        <v/>
      </c>
    </row>
    <row r="182">
      <c r="A182" s="1" t="inlineStr">
        <is>
          <t>vKTT3m07</t>
        </is>
      </c>
      <c r="B182" s="1" t="inlineStr">
        <is>
          <t>數值</t>
        </is>
      </c>
      <c r="C182" s="1" t="n">
        <v>2</v>
      </c>
      <c r="D182" s="1">
        <f>IF(B182="數值","F","A")</f>
        <v/>
      </c>
      <c r="E182" s="1">
        <f>A182&amp;" "&amp;D182&amp;C182</f>
        <v/>
      </c>
    </row>
    <row r="183">
      <c r="A183" s="1" t="inlineStr">
        <is>
          <t>vKTT3m08</t>
        </is>
      </c>
      <c r="B183" s="1" t="inlineStr">
        <is>
          <t>數值</t>
        </is>
      </c>
      <c r="C183" s="1" t="n">
        <v>2</v>
      </c>
      <c r="D183" s="1">
        <f>IF(B183="數值","F","A")</f>
        <v/>
      </c>
      <c r="E183" s="1">
        <f>A183&amp;" "&amp;D183&amp;C183</f>
        <v/>
      </c>
    </row>
    <row r="184">
      <c r="A184" s="1" t="inlineStr">
        <is>
          <t>vKTT3m09</t>
        </is>
      </c>
      <c r="B184" s="1" t="inlineStr">
        <is>
          <t>數值</t>
        </is>
      </c>
      <c r="C184" s="1" t="n">
        <v>2</v>
      </c>
      <c r="D184" s="1">
        <f>IF(B184="數值","F","A")</f>
        <v/>
      </c>
      <c r="E184" s="1">
        <f>A184&amp;" "&amp;D184&amp;C184</f>
        <v/>
      </c>
    </row>
    <row r="185">
      <c r="A185" s="1" t="inlineStr">
        <is>
          <t>vKTT3m10</t>
        </is>
      </c>
      <c r="B185" s="1" t="inlineStr">
        <is>
          <t>數值</t>
        </is>
      </c>
      <c r="C185" s="1" t="n">
        <v>2</v>
      </c>
      <c r="D185" s="1">
        <f>IF(B185="數值","F","A")</f>
        <v/>
      </c>
      <c r="E185" s="1">
        <f>A185&amp;" "&amp;D185&amp;C185</f>
        <v/>
      </c>
    </row>
    <row r="186">
      <c r="A186" s="1" t="inlineStr">
        <is>
          <t>vKTT3m11</t>
        </is>
      </c>
      <c r="B186" s="1" t="inlineStr">
        <is>
          <t>數值</t>
        </is>
      </c>
      <c r="C186" s="1" t="n">
        <v>2</v>
      </c>
      <c r="D186" s="1">
        <f>IF(B186="數值","F","A")</f>
        <v/>
      </c>
      <c r="E186" s="1">
        <f>A186&amp;" "&amp;D186&amp;C186</f>
        <v/>
      </c>
    </row>
    <row r="187">
      <c r="A187" s="1" t="inlineStr">
        <is>
          <t>vKTT3m12</t>
        </is>
      </c>
      <c r="B187" s="1" t="inlineStr">
        <is>
          <t>數值</t>
        </is>
      </c>
      <c r="C187" s="1" t="n">
        <v>2</v>
      </c>
      <c r="D187" s="1">
        <f>IF(B187="數值","F","A")</f>
        <v/>
      </c>
      <c r="E187" s="1">
        <f>A187&amp;" "&amp;D187&amp;C187</f>
        <v/>
      </c>
    </row>
    <row r="188">
      <c r="A188" s="1" t="inlineStr">
        <is>
          <t>vKTT3m13</t>
        </is>
      </c>
      <c r="B188" s="1" t="inlineStr">
        <is>
          <t>數值</t>
        </is>
      </c>
      <c r="C188" s="1" t="n">
        <v>2</v>
      </c>
      <c r="D188" s="1">
        <f>IF(B188="數值","F","A")</f>
        <v/>
      </c>
      <c r="E188" s="1">
        <f>A188&amp;" "&amp;D188&amp;C188</f>
        <v/>
      </c>
    </row>
    <row r="189">
      <c r="A189" s="1" t="inlineStr">
        <is>
          <t>vKTT3m14</t>
        </is>
      </c>
      <c r="B189" s="1" t="inlineStr">
        <is>
          <t>數值</t>
        </is>
      </c>
      <c r="C189" s="1" t="n">
        <v>2</v>
      </c>
      <c r="D189" s="1">
        <f>IF(B189="數值","F","A")</f>
        <v/>
      </c>
      <c r="E189" s="1">
        <f>A189&amp;" "&amp;D189&amp;C189</f>
        <v/>
      </c>
    </row>
    <row r="190">
      <c r="A190" s="1" t="inlineStr">
        <is>
          <t>vKTT3m15</t>
        </is>
      </c>
      <c r="B190" s="1" t="inlineStr">
        <is>
          <t>數值</t>
        </is>
      </c>
      <c r="C190" s="1" t="n">
        <v>2</v>
      </c>
      <c r="D190" s="1">
        <f>IF(B190="數值","F","A")</f>
        <v/>
      </c>
      <c r="E190" s="1">
        <f>A190&amp;" "&amp;D190&amp;C190</f>
        <v/>
      </c>
    </row>
    <row r="191">
      <c r="A191" s="1" t="inlineStr">
        <is>
          <t>vKTT3m16</t>
        </is>
      </c>
      <c r="B191" s="1" t="inlineStr">
        <is>
          <t>數值</t>
        </is>
      </c>
      <c r="C191" s="1" t="n">
        <v>2</v>
      </c>
      <c r="D191" s="1">
        <f>IF(B191="數值","F","A")</f>
        <v/>
      </c>
      <c r="E191" s="1">
        <f>A191&amp;" "&amp;D191&amp;C191</f>
        <v/>
      </c>
    </row>
    <row r="192">
      <c r="A192" s="1" t="inlineStr">
        <is>
          <t>vKTT3m88</t>
        </is>
      </c>
      <c r="B192" s="1" t="inlineStr">
        <is>
          <t>數值</t>
        </is>
      </c>
      <c r="C192" s="1" t="n">
        <v>2</v>
      </c>
      <c r="D192" s="1">
        <f>IF(B192="數值","F","A")</f>
        <v/>
      </c>
      <c r="E192" s="1">
        <f>A192&amp;" "&amp;D192&amp;C192</f>
        <v/>
      </c>
    </row>
    <row r="193">
      <c r="A193" s="1" t="inlineStr">
        <is>
          <t>vKTT3o88</t>
        </is>
      </c>
      <c r="B193" s="1" t="inlineStr">
        <is>
          <t>字串</t>
        </is>
      </c>
      <c r="C193" s="1" t="n">
        <v>150</v>
      </c>
      <c r="D193" s="1">
        <f>IF(B193="數值","F","A")</f>
        <v/>
      </c>
      <c r="E193" s="1">
        <f>A193&amp;" "&amp;D193&amp;C193</f>
        <v/>
      </c>
    </row>
    <row r="194">
      <c r="A194" s="1" t="inlineStr">
        <is>
          <t>vKTT4m01</t>
        </is>
      </c>
      <c r="B194" s="1" t="inlineStr">
        <is>
          <t>數值</t>
        </is>
      </c>
      <c r="C194" s="1" t="n">
        <v>2</v>
      </c>
      <c r="D194" s="1">
        <f>IF(B194="數值","F","A")</f>
        <v/>
      </c>
      <c r="E194" s="1">
        <f>A194&amp;" "&amp;D194&amp;C194</f>
        <v/>
      </c>
    </row>
    <row r="195">
      <c r="A195" s="1" t="inlineStr">
        <is>
          <t>vKTT4m02</t>
        </is>
      </c>
      <c r="B195" s="1" t="inlineStr">
        <is>
          <t>數值</t>
        </is>
      </c>
      <c r="C195" s="1" t="n">
        <v>2</v>
      </c>
      <c r="D195" s="1">
        <f>IF(B195="數值","F","A")</f>
        <v/>
      </c>
      <c r="E195" s="1">
        <f>A195&amp;" "&amp;D195&amp;C195</f>
        <v/>
      </c>
    </row>
    <row r="196">
      <c r="A196" s="1" t="inlineStr">
        <is>
          <t>vKTT4m03</t>
        </is>
      </c>
      <c r="B196" s="1" t="inlineStr">
        <is>
          <t>數值</t>
        </is>
      </c>
      <c r="C196" s="1" t="n">
        <v>2</v>
      </c>
      <c r="D196" s="1">
        <f>IF(B196="數值","F","A")</f>
        <v/>
      </c>
      <c r="E196" s="1">
        <f>A196&amp;" "&amp;D196&amp;C196</f>
        <v/>
      </c>
    </row>
    <row r="197">
      <c r="A197" s="1" t="inlineStr">
        <is>
          <t>vKTT4m04</t>
        </is>
      </c>
      <c r="B197" s="1" t="inlineStr">
        <is>
          <t>數值</t>
        </is>
      </c>
      <c r="C197" s="1" t="n">
        <v>2</v>
      </c>
      <c r="D197" s="1">
        <f>IF(B197="數值","F","A")</f>
        <v/>
      </c>
      <c r="E197" s="1">
        <f>A197&amp;" "&amp;D197&amp;C197</f>
        <v/>
      </c>
    </row>
    <row r="198">
      <c r="A198" s="1" t="inlineStr">
        <is>
          <t>vKTT4m05</t>
        </is>
      </c>
      <c r="B198" s="1" t="inlineStr">
        <is>
          <t>數值</t>
        </is>
      </c>
      <c r="C198" s="1" t="n">
        <v>2</v>
      </c>
      <c r="D198" s="1">
        <f>IF(B198="數值","F","A")</f>
        <v/>
      </c>
      <c r="E198" s="1">
        <f>A198&amp;" "&amp;D198&amp;C198</f>
        <v/>
      </c>
    </row>
    <row r="199">
      <c r="A199" s="1" t="inlineStr">
        <is>
          <t>vKTT4m06</t>
        </is>
      </c>
      <c r="B199" s="1" t="inlineStr">
        <is>
          <t>數值</t>
        </is>
      </c>
      <c r="C199" s="1" t="n">
        <v>2</v>
      </c>
      <c r="D199" s="1">
        <f>IF(B199="數值","F","A")</f>
        <v/>
      </c>
      <c r="E199" s="1">
        <f>A199&amp;" "&amp;D199&amp;C199</f>
        <v/>
      </c>
    </row>
    <row r="200">
      <c r="A200" s="1" t="inlineStr">
        <is>
          <t>vKTT4m07</t>
        </is>
      </c>
      <c r="B200" s="1" t="inlineStr">
        <is>
          <t>數值</t>
        </is>
      </c>
      <c r="C200" s="1" t="n">
        <v>2</v>
      </c>
      <c r="D200" s="1">
        <f>IF(B200="數值","F","A")</f>
        <v/>
      </c>
      <c r="E200" s="1">
        <f>A200&amp;" "&amp;D200&amp;C200</f>
        <v/>
      </c>
    </row>
    <row r="201">
      <c r="A201" s="1" t="inlineStr">
        <is>
          <t>vKTT4m08</t>
        </is>
      </c>
      <c r="B201" s="1" t="inlineStr">
        <is>
          <t>數值</t>
        </is>
      </c>
      <c r="C201" s="1" t="n">
        <v>2</v>
      </c>
      <c r="D201" s="1">
        <f>IF(B201="數值","F","A")</f>
        <v/>
      </c>
      <c r="E201" s="1">
        <f>A201&amp;" "&amp;D201&amp;C201</f>
        <v/>
      </c>
    </row>
    <row r="202">
      <c r="A202" s="1" t="inlineStr">
        <is>
          <t>vKTT4m09</t>
        </is>
      </c>
      <c r="B202" s="1" t="inlineStr">
        <is>
          <t>數值</t>
        </is>
      </c>
      <c r="C202" s="1" t="n">
        <v>2</v>
      </c>
      <c r="D202" s="1">
        <f>IF(B202="數值","F","A")</f>
        <v/>
      </c>
      <c r="E202" s="1">
        <f>A202&amp;" "&amp;D202&amp;C202</f>
        <v/>
      </c>
    </row>
    <row r="203">
      <c r="A203" s="1" t="inlineStr">
        <is>
          <t>vKTT4m10</t>
        </is>
      </c>
      <c r="B203" s="1" t="inlineStr">
        <is>
          <t>數值</t>
        </is>
      </c>
      <c r="C203" s="1" t="n">
        <v>2</v>
      </c>
      <c r="D203" s="1">
        <f>IF(B203="數值","F","A")</f>
        <v/>
      </c>
      <c r="E203" s="1">
        <f>A203&amp;" "&amp;D203&amp;C203</f>
        <v/>
      </c>
    </row>
    <row r="204">
      <c r="A204" s="1" t="inlineStr">
        <is>
          <t>vKTT4m11</t>
        </is>
      </c>
      <c r="B204" s="1" t="inlineStr">
        <is>
          <t>數值</t>
        </is>
      </c>
      <c r="C204" s="1" t="n">
        <v>2</v>
      </c>
      <c r="D204" s="1">
        <f>IF(B204="數值","F","A")</f>
        <v/>
      </c>
      <c r="E204" s="1">
        <f>A204&amp;" "&amp;D204&amp;C204</f>
        <v/>
      </c>
    </row>
    <row r="205">
      <c r="A205" s="1" t="inlineStr">
        <is>
          <t>vKTT4m12</t>
        </is>
      </c>
      <c r="B205" s="1" t="inlineStr">
        <is>
          <t>數值</t>
        </is>
      </c>
      <c r="C205" s="1" t="n">
        <v>2</v>
      </c>
      <c r="D205" s="1">
        <f>IF(B205="數值","F","A")</f>
        <v/>
      </c>
      <c r="E205" s="1">
        <f>A205&amp;" "&amp;D205&amp;C205</f>
        <v/>
      </c>
    </row>
    <row r="206">
      <c r="A206" s="1" t="inlineStr">
        <is>
          <t>vKTT4m13</t>
        </is>
      </c>
      <c r="B206" s="1" t="inlineStr">
        <is>
          <t>數值</t>
        </is>
      </c>
      <c r="C206" s="1" t="n">
        <v>2</v>
      </c>
      <c r="D206" s="1">
        <f>IF(B206="數值","F","A")</f>
        <v/>
      </c>
      <c r="E206" s="1">
        <f>A206&amp;" "&amp;D206&amp;C206</f>
        <v/>
      </c>
    </row>
    <row r="207">
      <c r="A207" s="1" t="inlineStr">
        <is>
          <t>vKTT4m14</t>
        </is>
      </c>
      <c r="B207" s="1" t="inlineStr">
        <is>
          <t>數值</t>
        </is>
      </c>
      <c r="C207" s="1" t="n">
        <v>2</v>
      </c>
      <c r="D207" s="1">
        <f>IF(B207="數值","F","A")</f>
        <v/>
      </c>
      <c r="E207" s="1">
        <f>A207&amp;" "&amp;D207&amp;C207</f>
        <v/>
      </c>
    </row>
    <row r="208">
      <c r="A208" s="1" t="inlineStr">
        <is>
          <t>vKTT4m88</t>
        </is>
      </c>
      <c r="B208" s="1" t="inlineStr">
        <is>
          <t>數值</t>
        </is>
      </c>
      <c r="C208" s="1" t="n">
        <v>2</v>
      </c>
      <c r="D208" s="1">
        <f>IF(B208="數值","F","A")</f>
        <v/>
      </c>
      <c r="E208" s="1">
        <f>A208&amp;" "&amp;D208&amp;C208</f>
        <v/>
      </c>
    </row>
    <row r="209">
      <c r="A209" s="1" t="inlineStr">
        <is>
          <t>vKTT4o88</t>
        </is>
      </c>
      <c r="B209" s="1" t="inlineStr">
        <is>
          <t>字串</t>
        </is>
      </c>
      <c r="C209" s="1" t="n">
        <v>150</v>
      </c>
      <c r="D209" s="1">
        <f>IF(B209="數值","F","A")</f>
        <v/>
      </c>
      <c r="E209" s="1">
        <f>A209&amp;" "&amp;D209&amp;C209</f>
        <v/>
      </c>
    </row>
    <row r="210">
      <c r="A210" s="1" t="inlineStr">
        <is>
          <t>vKTT5m01</t>
        </is>
      </c>
      <c r="B210" s="1" t="inlineStr">
        <is>
          <t>數值</t>
        </is>
      </c>
      <c r="C210" s="1" t="n">
        <v>2</v>
      </c>
      <c r="D210" s="1">
        <f>IF(B210="數值","F","A")</f>
        <v/>
      </c>
      <c r="E210" s="1">
        <f>A210&amp;" "&amp;D210&amp;C210</f>
        <v/>
      </c>
    </row>
    <row r="211">
      <c r="A211" s="1" t="inlineStr">
        <is>
          <t>vKTT5m02</t>
        </is>
      </c>
      <c r="B211" s="1" t="inlineStr">
        <is>
          <t>數值</t>
        </is>
      </c>
      <c r="C211" s="1" t="n">
        <v>2</v>
      </c>
      <c r="D211" s="1">
        <f>IF(B211="數值","F","A")</f>
        <v/>
      </c>
      <c r="E211" s="1">
        <f>A211&amp;" "&amp;D211&amp;C211</f>
        <v/>
      </c>
    </row>
    <row r="212">
      <c r="A212" s="1" t="inlineStr">
        <is>
          <t>vKTT5m03</t>
        </is>
      </c>
      <c r="B212" s="1" t="inlineStr">
        <is>
          <t>數值</t>
        </is>
      </c>
      <c r="C212" s="1" t="n">
        <v>2</v>
      </c>
      <c r="D212" s="1">
        <f>IF(B212="數值","F","A")</f>
        <v/>
      </c>
      <c r="E212" s="1">
        <f>A212&amp;" "&amp;D212&amp;C212</f>
        <v/>
      </c>
    </row>
    <row r="213">
      <c r="A213" s="1" t="inlineStr">
        <is>
          <t>vKTT5m04</t>
        </is>
      </c>
      <c r="B213" s="1" t="inlineStr">
        <is>
          <t>數值</t>
        </is>
      </c>
      <c r="C213" s="1" t="n">
        <v>2</v>
      </c>
      <c r="D213" s="1">
        <f>IF(B213="數值","F","A")</f>
        <v/>
      </c>
      <c r="E213" s="1">
        <f>A213&amp;" "&amp;D213&amp;C213</f>
        <v/>
      </c>
    </row>
    <row r="214">
      <c r="A214" s="1" t="inlineStr">
        <is>
          <t>vKTT5m05</t>
        </is>
      </c>
      <c r="B214" s="1" t="inlineStr">
        <is>
          <t>數值</t>
        </is>
      </c>
      <c r="C214" s="1" t="n">
        <v>2</v>
      </c>
      <c r="D214" s="1">
        <f>IF(B214="數值","F","A")</f>
        <v/>
      </c>
      <c r="E214" s="1">
        <f>A214&amp;" "&amp;D214&amp;C214</f>
        <v/>
      </c>
    </row>
    <row r="215">
      <c r="A215" s="1" t="inlineStr">
        <is>
          <t>vKTT5m06</t>
        </is>
      </c>
      <c r="B215" s="1" t="inlineStr">
        <is>
          <t>數值</t>
        </is>
      </c>
      <c r="C215" s="1" t="n">
        <v>2</v>
      </c>
      <c r="D215" s="1">
        <f>IF(B215="數值","F","A")</f>
        <v/>
      </c>
      <c r="E215" s="1">
        <f>A215&amp;" "&amp;D215&amp;C215</f>
        <v/>
      </c>
    </row>
    <row r="216">
      <c r="A216" s="1" t="inlineStr">
        <is>
          <t>vKTT5m07</t>
        </is>
      </c>
      <c r="B216" s="1" t="inlineStr">
        <is>
          <t>數值</t>
        </is>
      </c>
      <c r="C216" s="1" t="n">
        <v>2</v>
      </c>
      <c r="D216" s="1">
        <f>IF(B216="數值","F","A")</f>
        <v/>
      </c>
      <c r="E216" s="1">
        <f>A216&amp;" "&amp;D216&amp;C216</f>
        <v/>
      </c>
    </row>
    <row r="217">
      <c r="A217" s="1" t="inlineStr">
        <is>
          <t>vKTT5m08</t>
        </is>
      </c>
      <c r="B217" s="1" t="inlineStr">
        <is>
          <t>數值</t>
        </is>
      </c>
      <c r="C217" s="1" t="n">
        <v>2</v>
      </c>
      <c r="D217" s="1">
        <f>IF(B217="數值","F","A")</f>
        <v/>
      </c>
      <c r="E217" s="1">
        <f>A217&amp;" "&amp;D217&amp;C217</f>
        <v/>
      </c>
    </row>
    <row r="218">
      <c r="A218" s="1" t="inlineStr">
        <is>
          <t>vKTT5m09</t>
        </is>
      </c>
      <c r="B218" s="1" t="inlineStr">
        <is>
          <t>數值</t>
        </is>
      </c>
      <c r="C218" s="1" t="n">
        <v>2</v>
      </c>
      <c r="D218" s="1">
        <f>IF(B218="數值","F","A")</f>
        <v/>
      </c>
      <c r="E218" s="1">
        <f>A218&amp;" "&amp;D218&amp;C218</f>
        <v/>
      </c>
    </row>
    <row r="219">
      <c r="A219" s="1" t="inlineStr">
        <is>
          <t>vKTT5m10</t>
        </is>
      </c>
      <c r="B219" s="1" t="inlineStr">
        <is>
          <t>數值</t>
        </is>
      </c>
      <c r="C219" s="1" t="n">
        <v>2</v>
      </c>
      <c r="D219" s="1">
        <f>IF(B219="數值","F","A")</f>
        <v/>
      </c>
      <c r="E219" s="1">
        <f>A219&amp;" "&amp;D219&amp;C219</f>
        <v/>
      </c>
    </row>
    <row r="220">
      <c r="A220" s="1" t="inlineStr">
        <is>
          <t>vKTT5m11</t>
        </is>
      </c>
      <c r="B220" s="1" t="inlineStr">
        <is>
          <t>數值</t>
        </is>
      </c>
      <c r="C220" s="1" t="n">
        <v>2</v>
      </c>
      <c r="D220" s="1">
        <f>IF(B220="數值","F","A")</f>
        <v/>
      </c>
      <c r="E220" s="1">
        <f>A220&amp;" "&amp;D220&amp;C220</f>
        <v/>
      </c>
    </row>
    <row r="221">
      <c r="A221" s="1" t="inlineStr">
        <is>
          <t>vKTT5m12</t>
        </is>
      </c>
      <c r="B221" s="1" t="inlineStr">
        <is>
          <t>數值</t>
        </is>
      </c>
      <c r="C221" s="1" t="n">
        <v>2</v>
      </c>
      <c r="D221" s="1">
        <f>IF(B221="數值","F","A")</f>
        <v/>
      </c>
      <c r="E221" s="1">
        <f>A221&amp;" "&amp;D221&amp;C221</f>
        <v/>
      </c>
    </row>
    <row r="222">
      <c r="A222" s="1" t="inlineStr">
        <is>
          <t>vKTT5m88</t>
        </is>
      </c>
      <c r="B222" s="1" t="inlineStr">
        <is>
          <t>數值</t>
        </is>
      </c>
      <c r="C222" s="1" t="n">
        <v>2</v>
      </c>
      <c r="D222" s="1">
        <f>IF(B222="數值","F","A")</f>
        <v/>
      </c>
      <c r="E222" s="1">
        <f>A222&amp;" "&amp;D222&amp;C222</f>
        <v/>
      </c>
    </row>
    <row r="223">
      <c r="A223" s="1" t="inlineStr">
        <is>
          <t>vKTT5o88</t>
        </is>
      </c>
      <c r="B223" s="1" t="inlineStr">
        <is>
          <t>字串</t>
        </is>
      </c>
      <c r="C223" s="1" t="n">
        <v>150</v>
      </c>
      <c r="D223" s="1">
        <f>IF(B223="數值","F","A")</f>
        <v/>
      </c>
      <c r="E223" s="1">
        <f>A223&amp;" "&amp;D223&amp;C223</f>
        <v/>
      </c>
    </row>
    <row r="224">
      <c r="A224" s="1" t="inlineStr">
        <is>
          <t>vP5_1</t>
        </is>
      </c>
      <c r="B224" s="1" t="inlineStr">
        <is>
          <t>數值</t>
        </is>
      </c>
      <c r="C224" s="1" t="n">
        <v>4</v>
      </c>
      <c r="D224" s="1">
        <f>IF(B224="數值","F","A")</f>
        <v/>
      </c>
      <c r="E224" s="1">
        <f>A224&amp;" "&amp;D224&amp;C224</f>
        <v/>
      </c>
    </row>
    <row r="225">
      <c r="A225" s="1" t="inlineStr">
        <is>
          <t>vP5_2</t>
        </is>
      </c>
      <c r="B225" s="1" t="inlineStr">
        <is>
          <t>數值</t>
        </is>
      </c>
      <c r="C225" s="1" t="n">
        <v>5</v>
      </c>
      <c r="D225" s="1">
        <f>IF(B225="數值","F","A")</f>
        <v/>
      </c>
      <c r="E225" s="1">
        <f>A225&amp;" "&amp;D225&amp;C225</f>
        <v/>
      </c>
    </row>
    <row r="226">
      <c r="A226" s="1" t="inlineStr">
        <is>
          <t>vK3m01</t>
        </is>
      </c>
      <c r="B226" s="1" t="inlineStr">
        <is>
          <t>數值</t>
        </is>
      </c>
      <c r="C226" s="1" t="n">
        <v>2</v>
      </c>
      <c r="D226" s="1">
        <f>IF(B226="數值","F","A")</f>
        <v/>
      </c>
      <c r="E226" s="1">
        <f>A226&amp;" "&amp;D226&amp;C226</f>
        <v/>
      </c>
    </row>
    <row r="227">
      <c r="A227" s="1" t="inlineStr">
        <is>
          <t>vK3m02</t>
        </is>
      </c>
      <c r="B227" s="1" t="inlineStr">
        <is>
          <t>數值</t>
        </is>
      </c>
      <c r="C227" s="1" t="n">
        <v>2</v>
      </c>
      <c r="D227" s="1">
        <f>IF(B227="數值","F","A")</f>
        <v/>
      </c>
      <c r="E227" s="1">
        <f>A227&amp;" "&amp;D227&amp;C227</f>
        <v/>
      </c>
    </row>
    <row r="228">
      <c r="A228" s="1" t="inlineStr">
        <is>
          <t>vK3m03</t>
        </is>
      </c>
      <c r="B228" s="1" t="inlineStr">
        <is>
          <t>數值</t>
        </is>
      </c>
      <c r="C228" s="1" t="n">
        <v>2</v>
      </c>
      <c r="D228" s="1">
        <f>IF(B228="數值","F","A")</f>
        <v/>
      </c>
      <c r="E228" s="1">
        <f>A228&amp;" "&amp;D228&amp;C228</f>
        <v/>
      </c>
    </row>
    <row r="229">
      <c r="A229" s="1" t="inlineStr">
        <is>
          <t>vK3m04</t>
        </is>
      </c>
      <c r="B229" s="1" t="inlineStr">
        <is>
          <t>數值</t>
        </is>
      </c>
      <c r="C229" s="1" t="n">
        <v>2</v>
      </c>
      <c r="D229" s="1">
        <f>IF(B229="數值","F","A")</f>
        <v/>
      </c>
      <c r="E229" s="1">
        <f>A229&amp;" "&amp;D229&amp;C229</f>
        <v/>
      </c>
    </row>
    <row r="230">
      <c r="A230" s="1" t="inlineStr">
        <is>
          <t>vK3m05</t>
        </is>
      </c>
      <c r="B230" s="1" t="inlineStr">
        <is>
          <t>數值</t>
        </is>
      </c>
      <c r="C230" s="1" t="n">
        <v>2</v>
      </c>
      <c r="D230" s="1">
        <f>IF(B230="數值","F","A")</f>
        <v/>
      </c>
      <c r="E230" s="1">
        <f>A230&amp;" "&amp;D230&amp;C230</f>
        <v/>
      </c>
    </row>
    <row r="231">
      <c r="A231" s="1" t="inlineStr">
        <is>
          <t>vK3m06</t>
        </is>
      </c>
      <c r="B231" s="1" t="inlineStr">
        <is>
          <t>數值</t>
        </is>
      </c>
      <c r="C231" s="1" t="n">
        <v>2</v>
      </c>
      <c r="D231" s="1">
        <f>IF(B231="數值","F","A")</f>
        <v/>
      </c>
      <c r="E231" s="1">
        <f>A231&amp;" "&amp;D231&amp;C231</f>
        <v/>
      </c>
    </row>
    <row r="232">
      <c r="A232" s="1" t="inlineStr">
        <is>
          <t>vK3m07</t>
        </is>
      </c>
      <c r="B232" s="1" t="inlineStr">
        <is>
          <t>數值</t>
        </is>
      </c>
      <c r="C232" s="1" t="n">
        <v>2</v>
      </c>
      <c r="D232" s="1">
        <f>IF(B232="數值","F","A")</f>
        <v/>
      </c>
      <c r="E232" s="1">
        <f>A232&amp;" "&amp;D232&amp;C232</f>
        <v/>
      </c>
    </row>
    <row r="233">
      <c r="A233" s="1" t="inlineStr">
        <is>
          <t>vK3m08</t>
        </is>
      </c>
      <c r="B233" s="1" t="inlineStr">
        <is>
          <t>數值</t>
        </is>
      </c>
      <c r="C233" s="1" t="n">
        <v>2</v>
      </c>
      <c r="D233" s="1">
        <f>IF(B233="數值","F","A")</f>
        <v/>
      </c>
      <c r="E233" s="1">
        <f>A233&amp;" "&amp;D233&amp;C233</f>
        <v/>
      </c>
    </row>
    <row r="234">
      <c r="A234" s="1" t="inlineStr">
        <is>
          <t>vK3m09</t>
        </is>
      </c>
      <c r="B234" s="1" t="inlineStr">
        <is>
          <t>數值</t>
        </is>
      </c>
      <c r="C234" s="1" t="n">
        <v>2</v>
      </c>
      <c r="D234" s="1">
        <f>IF(B234="數值","F","A")</f>
        <v/>
      </c>
      <c r="E234" s="1">
        <f>A234&amp;" "&amp;D234&amp;C234</f>
        <v/>
      </c>
    </row>
    <row r="235">
      <c r="A235" s="1" t="inlineStr">
        <is>
          <t>vK3m88</t>
        </is>
      </c>
      <c r="B235" s="1" t="inlineStr">
        <is>
          <t>數值</t>
        </is>
      </c>
      <c r="C235" s="1" t="n">
        <v>2</v>
      </c>
      <c r="D235" s="1">
        <f>IF(B235="數值","F","A")</f>
        <v/>
      </c>
      <c r="E235" s="1">
        <f>A235&amp;" "&amp;D235&amp;C235</f>
        <v/>
      </c>
    </row>
    <row r="236">
      <c r="A236" s="1" t="inlineStr">
        <is>
          <t>vK3m90</t>
        </is>
      </c>
      <c r="B236" s="1" t="inlineStr">
        <is>
          <t>數值</t>
        </is>
      </c>
      <c r="C236" s="1" t="n">
        <v>2</v>
      </c>
      <c r="D236" s="1">
        <f>IF(B236="數值","F","A")</f>
        <v/>
      </c>
      <c r="E236" s="1">
        <f>A236&amp;" "&amp;D236&amp;C236</f>
        <v/>
      </c>
    </row>
    <row r="237">
      <c r="A237" s="1" t="inlineStr">
        <is>
          <t>vK3o88</t>
        </is>
      </c>
      <c r="B237" s="1" t="inlineStr">
        <is>
          <t>字串</t>
        </is>
      </c>
      <c r="C237" s="1" t="n">
        <v>150</v>
      </c>
      <c r="D237" s="1">
        <f>IF(B237="數值","F","A")</f>
        <v/>
      </c>
      <c r="E237" s="1">
        <f>A237&amp;" "&amp;D237&amp;C237</f>
        <v/>
      </c>
    </row>
    <row r="238">
      <c r="A238" s="1" t="inlineStr">
        <is>
          <t>vE18</t>
        </is>
      </c>
      <c r="B238" s="1" t="inlineStr">
        <is>
          <t>數值</t>
        </is>
      </c>
      <c r="C238" s="1" t="n">
        <v>2</v>
      </c>
      <c r="D238" s="1">
        <f>IF(B238="數值","F","A")</f>
        <v/>
      </c>
      <c r="E238" s="1">
        <f>A238&amp;" "&amp;D238&amp;C238</f>
        <v/>
      </c>
    </row>
    <row r="239">
      <c r="A239" s="1" t="inlineStr">
        <is>
          <t>vE18o88</t>
        </is>
      </c>
      <c r="B239" s="1" t="inlineStr">
        <is>
          <t>字串</t>
        </is>
      </c>
      <c r="C239" s="1" t="n">
        <v>150</v>
      </c>
      <c r="D239" s="1">
        <f>IF(B239="數值","F","A")</f>
        <v/>
      </c>
      <c r="E239" s="1">
        <f>A239&amp;" "&amp;D239&amp;C239</f>
        <v/>
      </c>
    </row>
    <row r="240">
      <c r="A240" s="1" t="inlineStr">
        <is>
          <t>vKYT1</t>
        </is>
      </c>
      <c r="B240" s="1" t="inlineStr">
        <is>
          <t>數值</t>
        </is>
      </c>
      <c r="C240" s="1" t="n">
        <v>4</v>
      </c>
      <c r="D240" s="1">
        <f>IF(B240="數值","F","A")</f>
        <v/>
      </c>
      <c r="E240" s="1">
        <f>A240&amp;" "&amp;D240&amp;C240</f>
        <v/>
      </c>
    </row>
    <row r="241">
      <c r="A241" s="1" t="inlineStr">
        <is>
          <t>vKYT2</t>
        </is>
      </c>
      <c r="B241" s="1" t="inlineStr">
        <is>
          <t>數值</t>
        </is>
      </c>
      <c r="C241" s="1" t="n">
        <v>5</v>
      </c>
      <c r="D241" s="1">
        <f>IF(B241="數值","F","A")</f>
        <v/>
      </c>
      <c r="E241" s="1">
        <f>A241&amp;" "&amp;D241&amp;C241</f>
        <v/>
      </c>
    </row>
    <row r="242">
      <c r="A242" s="1" t="inlineStr">
        <is>
          <t>vE1</t>
        </is>
      </c>
      <c r="B242" s="1" t="inlineStr">
        <is>
          <t>數值</t>
        </is>
      </c>
      <c r="C242" s="1" t="n">
        <v>2</v>
      </c>
      <c r="D242" s="1">
        <f>IF(B242="數值","F","A")</f>
        <v/>
      </c>
      <c r="E242" s="1">
        <f>A242&amp;" "&amp;D242&amp;C242</f>
        <v/>
      </c>
    </row>
    <row r="243">
      <c r="A243" s="1" t="inlineStr">
        <is>
          <t>vE2m01</t>
        </is>
      </c>
      <c r="B243" s="1" t="inlineStr">
        <is>
          <t>數值</t>
        </is>
      </c>
      <c r="C243" s="1" t="n">
        <v>2</v>
      </c>
      <c r="D243" s="1">
        <f>IF(B243="數值","F","A")</f>
        <v/>
      </c>
      <c r="E243" s="1">
        <f>A243&amp;" "&amp;D243&amp;C243</f>
        <v/>
      </c>
    </row>
    <row r="244">
      <c r="A244" s="1" t="inlineStr">
        <is>
          <t>vE2m02</t>
        </is>
      </c>
      <c r="B244" s="1" t="inlineStr">
        <is>
          <t>數值</t>
        </is>
      </c>
      <c r="C244" s="1" t="n">
        <v>2</v>
      </c>
      <c r="D244" s="1">
        <f>IF(B244="數值","F","A")</f>
        <v/>
      </c>
      <c r="E244" s="1">
        <f>A244&amp;" "&amp;D244&amp;C244</f>
        <v/>
      </c>
    </row>
    <row r="245">
      <c r="A245" s="1" t="inlineStr">
        <is>
          <t>vE2m03</t>
        </is>
      </c>
      <c r="B245" s="1" t="inlineStr">
        <is>
          <t>數值</t>
        </is>
      </c>
      <c r="C245" s="1" t="n">
        <v>2</v>
      </c>
      <c r="D245" s="1">
        <f>IF(B245="數值","F","A")</f>
        <v/>
      </c>
      <c r="E245" s="1">
        <f>A245&amp;" "&amp;D245&amp;C245</f>
        <v/>
      </c>
    </row>
    <row r="246">
      <c r="A246" s="1" t="inlineStr">
        <is>
          <t>vE2m04</t>
        </is>
      </c>
      <c r="B246" s="1" t="inlineStr">
        <is>
          <t>數值</t>
        </is>
      </c>
      <c r="C246" s="1" t="n">
        <v>2</v>
      </c>
      <c r="D246" s="1">
        <f>IF(B246="數值","F","A")</f>
        <v/>
      </c>
      <c r="E246" s="1">
        <f>A246&amp;" "&amp;D246&amp;C246</f>
        <v/>
      </c>
    </row>
    <row r="247">
      <c r="A247" s="1" t="inlineStr">
        <is>
          <t>vE2m88</t>
        </is>
      </c>
      <c r="B247" s="1" t="inlineStr">
        <is>
          <t>數值</t>
        </is>
      </c>
      <c r="C247" s="1" t="n">
        <v>2</v>
      </c>
      <c r="D247" s="1">
        <f>IF(B247="數值","F","A")</f>
        <v/>
      </c>
      <c r="E247" s="1">
        <f>A247&amp;" "&amp;D247&amp;C247</f>
        <v/>
      </c>
    </row>
    <row r="248">
      <c r="A248" s="1" t="inlineStr">
        <is>
          <t>vE2o88</t>
        </is>
      </c>
      <c r="B248" s="1" t="inlineStr">
        <is>
          <t>字串</t>
        </is>
      </c>
      <c r="C248" s="1" t="n">
        <v>150</v>
      </c>
      <c r="D248" s="1">
        <f>IF(B248="數值","F","A")</f>
        <v/>
      </c>
      <c r="E248" s="1">
        <f>A248&amp;" "&amp;D248&amp;C248</f>
        <v/>
      </c>
    </row>
    <row r="249">
      <c r="A249" s="1" t="inlineStr">
        <is>
          <t>vE4</t>
        </is>
      </c>
      <c r="B249" s="1" t="inlineStr">
        <is>
          <t>數值</t>
        </is>
      </c>
      <c r="C249" s="1" t="n">
        <v>4</v>
      </c>
      <c r="D249" s="1">
        <f>IF(B249="數值","F","A")</f>
        <v/>
      </c>
      <c r="E249" s="1">
        <f>A249&amp;" "&amp;D249&amp;C249</f>
        <v/>
      </c>
    </row>
    <row r="250">
      <c r="A250" s="1" t="inlineStr">
        <is>
          <t>vCKE4</t>
        </is>
      </c>
      <c r="B250" s="1" t="inlineStr">
        <is>
          <t>數值</t>
        </is>
      </c>
      <c r="C250" s="1" t="n">
        <v>2</v>
      </c>
      <c r="D250" s="1">
        <f>IF(B250="數值","F","A")</f>
        <v/>
      </c>
      <c r="E250" s="1">
        <f>A250&amp;" "&amp;D250&amp;C250</f>
        <v/>
      </c>
    </row>
    <row r="251">
      <c r="A251" s="1" t="inlineStr">
        <is>
          <t>vE5</t>
        </is>
      </c>
      <c r="B251" s="1" t="inlineStr">
        <is>
          <t>數值</t>
        </is>
      </c>
      <c r="C251" s="1" t="n">
        <v>5</v>
      </c>
      <c r="D251" s="1">
        <f>IF(B251="數值","F","A")</f>
        <v/>
      </c>
      <c r="E251" s="1">
        <f>A251&amp;" "&amp;D251&amp;C251</f>
        <v/>
      </c>
    </row>
    <row r="252">
      <c r="A252" s="1" t="inlineStr">
        <is>
          <t>vE6</t>
        </is>
      </c>
      <c r="B252" s="1" t="inlineStr">
        <is>
          <t>數值</t>
        </is>
      </c>
      <c r="C252" s="1" t="n">
        <v>5</v>
      </c>
      <c r="D252" s="1">
        <f>IF(B252="數值","F","A")</f>
        <v/>
      </c>
      <c r="E252" s="1">
        <f>A252&amp;" "&amp;D252&amp;C252</f>
        <v/>
      </c>
    </row>
    <row r="253">
      <c r="A253" s="1" t="inlineStr">
        <is>
          <t>vCKE5</t>
        </is>
      </c>
      <c r="B253" s="1" t="inlineStr">
        <is>
          <t>數值</t>
        </is>
      </c>
      <c r="C253" s="1" t="n">
        <v>2</v>
      </c>
      <c r="D253" s="1">
        <f>IF(B253="數值","F","A")</f>
        <v/>
      </c>
      <c r="E253" s="1">
        <f>A253&amp;" "&amp;D253&amp;C253</f>
        <v/>
      </c>
    </row>
    <row r="254">
      <c r="A254" s="1" t="inlineStr">
        <is>
          <t>vE7</t>
        </is>
      </c>
      <c r="B254" s="1" t="inlineStr">
        <is>
          <t>數值</t>
        </is>
      </c>
      <c r="C254" s="1" t="n">
        <v>4</v>
      </c>
      <c r="D254" s="1">
        <f>IF(B254="數值","F","A")</f>
        <v/>
      </c>
      <c r="E254" s="1">
        <f>A254&amp;" "&amp;D254&amp;C254</f>
        <v/>
      </c>
    </row>
    <row r="255">
      <c r="A255" s="1" t="inlineStr">
        <is>
          <t>vE8</t>
        </is>
      </c>
      <c r="B255" s="1" t="inlineStr">
        <is>
          <t>數值</t>
        </is>
      </c>
      <c r="C255" s="1" t="n">
        <v>5</v>
      </c>
      <c r="D255" s="1">
        <f>IF(B255="數值","F","A")</f>
        <v/>
      </c>
      <c r="E255" s="1">
        <f>A255&amp;" "&amp;D255&amp;C255</f>
        <v/>
      </c>
    </row>
    <row r="256">
      <c r="A256" s="1" t="inlineStr">
        <is>
          <t>vE9</t>
        </is>
      </c>
      <c r="B256" s="1" t="inlineStr">
        <is>
          <t>數值</t>
        </is>
      </c>
      <c r="C256" s="1" t="n">
        <v>5</v>
      </c>
      <c r="D256" s="1">
        <f>IF(B256="數值","F","A")</f>
        <v/>
      </c>
      <c r="E256" s="1">
        <f>A256&amp;" "&amp;D256&amp;C256</f>
        <v/>
      </c>
    </row>
    <row r="257">
      <c r="A257" s="1" t="inlineStr">
        <is>
          <t>vCKE8</t>
        </is>
      </c>
      <c r="B257" s="1" t="inlineStr">
        <is>
          <t>數值</t>
        </is>
      </c>
      <c r="C257" s="1" t="n">
        <v>2</v>
      </c>
      <c r="D257" s="1">
        <f>IF(B257="數值","F","A")</f>
        <v/>
      </c>
      <c r="E257" s="1">
        <f>A257&amp;" "&amp;D257&amp;C257</f>
        <v/>
      </c>
    </row>
    <row r="258">
      <c r="A258" s="1" t="inlineStr">
        <is>
          <t>vE10</t>
        </is>
      </c>
      <c r="B258" s="1" t="inlineStr">
        <is>
          <t>數值</t>
        </is>
      </c>
      <c r="C258" s="1" t="n">
        <v>4</v>
      </c>
      <c r="D258" s="1">
        <f>IF(B258="數值","F","A")</f>
        <v/>
      </c>
      <c r="E258" s="1">
        <f>A258&amp;" "&amp;D258&amp;C258</f>
        <v/>
      </c>
    </row>
    <row r="259">
      <c r="A259" s="1" t="inlineStr">
        <is>
          <t>vE11</t>
        </is>
      </c>
      <c r="B259" s="1" t="inlineStr">
        <is>
          <t>數值</t>
        </is>
      </c>
      <c r="C259" s="1" t="n">
        <v>5</v>
      </c>
      <c r="D259" s="1">
        <f>IF(B259="數值","F","A")</f>
        <v/>
      </c>
      <c r="E259" s="1">
        <f>A259&amp;" "&amp;D259&amp;C259</f>
        <v/>
      </c>
    </row>
    <row r="260">
      <c r="A260" s="1" t="inlineStr">
        <is>
          <t>vE12</t>
        </is>
      </c>
      <c r="B260" s="1" t="inlineStr">
        <is>
          <t>數值</t>
        </is>
      </c>
      <c r="C260" s="1" t="n">
        <v>5</v>
      </c>
      <c r="D260" s="1">
        <f>IF(B260="數值","F","A")</f>
        <v/>
      </c>
      <c r="E260" s="1">
        <f>A260&amp;" "&amp;D260&amp;C260</f>
        <v/>
      </c>
    </row>
    <row r="261">
      <c r="A261" s="1" t="inlineStr">
        <is>
          <t>vCKE11</t>
        </is>
      </c>
      <c r="B261" s="1" t="inlineStr">
        <is>
          <t>數值</t>
        </is>
      </c>
      <c r="C261" s="1" t="n">
        <v>2</v>
      </c>
      <c r="D261" s="1">
        <f>IF(B261="數值","F","A")</f>
        <v/>
      </c>
      <c r="E261" s="1">
        <f>A261&amp;" "&amp;D261&amp;C261</f>
        <v/>
      </c>
    </row>
    <row r="262">
      <c r="A262" s="1" t="inlineStr">
        <is>
          <t>vE3_1</t>
        </is>
      </c>
      <c r="B262" s="1" t="inlineStr">
        <is>
          <t>字串</t>
        </is>
      </c>
      <c r="C262" s="1" t="n">
        <v>6000</v>
      </c>
      <c r="D262" s="1">
        <f>IF(B262="數值","F","A")</f>
        <v/>
      </c>
      <c r="E262" s="1">
        <f>A262&amp;" "&amp;D262&amp;C262</f>
        <v/>
      </c>
    </row>
    <row r="263">
      <c r="A263" s="1" t="inlineStr">
        <is>
          <t>vE3</t>
        </is>
      </c>
      <c r="B263" s="1" t="inlineStr">
        <is>
          <t>數值</t>
        </is>
      </c>
      <c r="C263" s="1" t="n">
        <v>5</v>
      </c>
      <c r="D263" s="1">
        <f>IF(B263="數值","F","A")</f>
        <v/>
      </c>
      <c r="E263" s="1">
        <f>A263&amp;" "&amp;D263&amp;C263</f>
        <v/>
      </c>
    </row>
    <row r="264">
      <c r="A264" s="1" t="inlineStr">
        <is>
          <t>vE13m01</t>
        </is>
      </c>
      <c r="B264" s="1" t="inlineStr">
        <is>
          <t>數值</t>
        </is>
      </c>
      <c r="C264" s="1" t="n">
        <v>2</v>
      </c>
      <c r="D264" s="1">
        <f>IF(B264="數值","F","A")</f>
        <v/>
      </c>
      <c r="E264" s="1">
        <f>A264&amp;" "&amp;D264&amp;C264</f>
        <v/>
      </c>
    </row>
    <row r="265">
      <c r="A265" s="1" t="inlineStr">
        <is>
          <t>vE13m02</t>
        </is>
      </c>
      <c r="B265" s="1" t="inlineStr">
        <is>
          <t>數值</t>
        </is>
      </c>
      <c r="C265" s="1" t="n">
        <v>2</v>
      </c>
      <c r="D265" s="1">
        <f>IF(B265="數值","F","A")</f>
        <v/>
      </c>
      <c r="E265" s="1">
        <f>A265&amp;" "&amp;D265&amp;C265</f>
        <v/>
      </c>
    </row>
    <row r="266">
      <c r="A266" s="1" t="inlineStr">
        <is>
          <t>vE13m03</t>
        </is>
      </c>
      <c r="B266" s="1" t="inlineStr">
        <is>
          <t>數值</t>
        </is>
      </c>
      <c r="C266" s="1" t="n">
        <v>2</v>
      </c>
      <c r="D266" s="1">
        <f>IF(B266="數值","F","A")</f>
        <v/>
      </c>
      <c r="E266" s="1">
        <f>A266&amp;" "&amp;D266&amp;C266</f>
        <v/>
      </c>
    </row>
    <row r="267">
      <c r="A267" s="1" t="inlineStr">
        <is>
          <t>vE13m04</t>
        </is>
      </c>
      <c r="B267" s="1" t="inlineStr">
        <is>
          <t>數值</t>
        </is>
      </c>
      <c r="C267" s="1" t="n">
        <v>2</v>
      </c>
      <c r="D267" s="1">
        <f>IF(B267="數值","F","A")</f>
        <v/>
      </c>
      <c r="E267" s="1">
        <f>A267&amp;" "&amp;D267&amp;C267</f>
        <v/>
      </c>
    </row>
    <row r="268">
      <c r="A268" s="1" t="inlineStr">
        <is>
          <t>vE13m05</t>
        </is>
      </c>
      <c r="B268" s="1" t="inlineStr">
        <is>
          <t>數值</t>
        </is>
      </c>
      <c r="C268" s="1" t="n">
        <v>2</v>
      </c>
      <c r="D268" s="1">
        <f>IF(B268="數值","F","A")</f>
        <v/>
      </c>
      <c r="E268" s="1">
        <f>A268&amp;" "&amp;D268&amp;C268</f>
        <v/>
      </c>
    </row>
    <row r="269">
      <c r="A269" s="1" t="inlineStr">
        <is>
          <t>vE13m06</t>
        </is>
      </c>
      <c r="B269" s="1" t="inlineStr">
        <is>
          <t>數值</t>
        </is>
      </c>
      <c r="C269" s="1" t="n">
        <v>2</v>
      </c>
      <c r="D269" s="1">
        <f>IF(B269="數值","F","A")</f>
        <v/>
      </c>
      <c r="E269" s="1">
        <f>A269&amp;" "&amp;D269&amp;C269</f>
        <v/>
      </c>
    </row>
    <row r="270">
      <c r="A270" s="1" t="inlineStr">
        <is>
          <t>vE13m88</t>
        </is>
      </c>
      <c r="B270" s="1" t="inlineStr">
        <is>
          <t>數值</t>
        </is>
      </c>
      <c r="C270" s="1" t="n">
        <v>2</v>
      </c>
      <c r="D270" s="1">
        <f>IF(B270="數值","F","A")</f>
        <v/>
      </c>
      <c r="E270" s="1">
        <f>A270&amp;" "&amp;D270&amp;C270</f>
        <v/>
      </c>
    </row>
    <row r="271">
      <c r="A271" s="1" t="inlineStr">
        <is>
          <t>vE13o88</t>
        </is>
      </c>
      <c r="B271" s="1" t="inlineStr">
        <is>
          <t>字串</t>
        </is>
      </c>
      <c r="C271" s="1" t="n">
        <v>150</v>
      </c>
      <c r="D271" s="1">
        <f>IF(B271="數值","F","A")</f>
        <v/>
      </c>
      <c r="E271" s="1">
        <f>A271&amp;" "&amp;D271&amp;C271</f>
        <v/>
      </c>
    </row>
    <row r="272">
      <c r="A272" s="1" t="inlineStr">
        <is>
          <t>vE14</t>
        </is>
      </c>
      <c r="B272" s="1" t="inlineStr">
        <is>
          <t>數值</t>
        </is>
      </c>
      <c r="C272" s="1" t="n">
        <v>7</v>
      </c>
      <c r="D272" s="1">
        <f>IF(B272="數值","F","A")</f>
        <v/>
      </c>
      <c r="E272" s="1">
        <f>A272&amp;" "&amp;D272&amp;C272</f>
        <v/>
      </c>
    </row>
    <row r="273">
      <c r="A273" s="1" t="inlineStr">
        <is>
          <t>vG7m01</t>
        </is>
      </c>
      <c r="B273" s="1" t="inlineStr">
        <is>
          <t>數值</t>
        </is>
      </c>
      <c r="C273" s="1" t="n">
        <v>2</v>
      </c>
      <c r="D273" s="1">
        <f>IF(B273="數值","F","A")</f>
        <v/>
      </c>
      <c r="E273" s="1">
        <f>A273&amp;" "&amp;D273&amp;C273</f>
        <v/>
      </c>
    </row>
    <row r="274">
      <c r="A274" s="1" t="inlineStr">
        <is>
          <t>vG7m02</t>
        </is>
      </c>
      <c r="B274" s="1" t="inlineStr">
        <is>
          <t>數值</t>
        </is>
      </c>
      <c r="C274" s="1" t="n">
        <v>2</v>
      </c>
      <c r="D274" s="1">
        <f>IF(B274="數值","F","A")</f>
        <v/>
      </c>
      <c r="E274" s="1">
        <f>A274&amp;" "&amp;D274&amp;C274</f>
        <v/>
      </c>
    </row>
    <row r="275">
      <c r="A275" s="1" t="inlineStr">
        <is>
          <t>vG7m03</t>
        </is>
      </c>
      <c r="B275" s="1" t="inlineStr">
        <is>
          <t>數值</t>
        </is>
      </c>
      <c r="C275" s="1" t="n">
        <v>2</v>
      </c>
      <c r="D275" s="1">
        <f>IF(B275="數值","F","A")</f>
        <v/>
      </c>
      <c r="E275" s="1">
        <f>A275&amp;" "&amp;D275&amp;C275</f>
        <v/>
      </c>
    </row>
    <row r="276">
      <c r="A276" s="1" t="inlineStr">
        <is>
          <t>vG7m04</t>
        </is>
      </c>
      <c r="B276" s="1" t="inlineStr">
        <is>
          <t>數值</t>
        </is>
      </c>
      <c r="C276" s="1" t="n">
        <v>2</v>
      </c>
      <c r="D276" s="1">
        <f>IF(B276="數值","F","A")</f>
        <v/>
      </c>
      <c r="E276" s="1">
        <f>A276&amp;" "&amp;D276&amp;C276</f>
        <v/>
      </c>
    </row>
    <row r="277">
      <c r="A277" s="1" t="inlineStr">
        <is>
          <t>vG7m05</t>
        </is>
      </c>
      <c r="B277" s="1" t="inlineStr">
        <is>
          <t>數值</t>
        </is>
      </c>
      <c r="C277" s="1" t="n">
        <v>2</v>
      </c>
      <c r="D277" s="1">
        <f>IF(B277="數值","F","A")</f>
        <v/>
      </c>
      <c r="E277" s="1">
        <f>A277&amp;" "&amp;D277&amp;C277</f>
        <v/>
      </c>
    </row>
    <row r="278">
      <c r="A278" s="1" t="inlineStr">
        <is>
          <t>vG7m06</t>
        </is>
      </c>
      <c r="B278" s="1" t="inlineStr">
        <is>
          <t>數值</t>
        </is>
      </c>
      <c r="C278" s="1" t="n">
        <v>2</v>
      </c>
      <c r="D278" s="1">
        <f>IF(B278="數值","F","A")</f>
        <v/>
      </c>
      <c r="E278" s="1">
        <f>A278&amp;" "&amp;D278&amp;C278</f>
        <v/>
      </c>
    </row>
    <row r="279">
      <c r="A279" s="1" t="inlineStr">
        <is>
          <t>vG7m07</t>
        </is>
      </c>
      <c r="B279" s="1" t="inlineStr">
        <is>
          <t>數值</t>
        </is>
      </c>
      <c r="C279" s="1" t="n">
        <v>2</v>
      </c>
      <c r="D279" s="1">
        <f>IF(B279="數值","F","A")</f>
        <v/>
      </c>
      <c r="E279" s="1">
        <f>A279&amp;" "&amp;D279&amp;C279</f>
        <v/>
      </c>
    </row>
    <row r="280">
      <c r="A280" s="1" t="inlineStr">
        <is>
          <t>vG7m08</t>
        </is>
      </c>
      <c r="B280" s="1" t="inlineStr">
        <is>
          <t>數值</t>
        </is>
      </c>
      <c r="C280" s="1" t="n">
        <v>2</v>
      </c>
      <c r="D280" s="1">
        <f>IF(B280="數值","F","A")</f>
        <v/>
      </c>
      <c r="E280" s="1">
        <f>A280&amp;" "&amp;D280&amp;C280</f>
        <v/>
      </c>
    </row>
    <row r="281">
      <c r="A281" s="1" t="inlineStr">
        <is>
          <t>vG7m09</t>
        </is>
      </c>
      <c r="B281" s="1" t="inlineStr">
        <is>
          <t>數值</t>
        </is>
      </c>
      <c r="C281" s="1" t="n">
        <v>2</v>
      </c>
      <c r="D281" s="1">
        <f>IF(B281="數值","F","A")</f>
        <v/>
      </c>
      <c r="E281" s="1">
        <f>A281&amp;" "&amp;D281&amp;C281</f>
        <v/>
      </c>
    </row>
    <row r="282">
      <c r="A282" s="1" t="inlineStr">
        <is>
          <t>vG7m10</t>
        </is>
      </c>
      <c r="B282" s="1" t="inlineStr">
        <is>
          <t>數值</t>
        </is>
      </c>
      <c r="C282" s="1" t="n">
        <v>2</v>
      </c>
      <c r="D282" s="1">
        <f>IF(B282="數值","F","A")</f>
        <v/>
      </c>
      <c r="E282" s="1">
        <f>A282&amp;" "&amp;D282&amp;C282</f>
        <v/>
      </c>
    </row>
    <row r="283">
      <c r="A283" s="1" t="inlineStr">
        <is>
          <t>vG7m11</t>
        </is>
      </c>
      <c r="B283" s="1" t="inlineStr">
        <is>
          <t>數值</t>
        </is>
      </c>
      <c r="C283" s="1" t="n">
        <v>2</v>
      </c>
      <c r="D283" s="1">
        <f>IF(B283="數值","F","A")</f>
        <v/>
      </c>
      <c r="E283" s="1">
        <f>A283&amp;" "&amp;D283&amp;C283</f>
        <v/>
      </c>
    </row>
    <row r="284">
      <c r="A284" s="1" t="inlineStr">
        <is>
          <t>vG7m12</t>
        </is>
      </c>
      <c r="B284" s="1" t="inlineStr">
        <is>
          <t>數值</t>
        </is>
      </c>
      <c r="C284" s="1" t="n">
        <v>2</v>
      </c>
      <c r="D284" s="1">
        <f>IF(B284="數值","F","A")</f>
        <v/>
      </c>
      <c r="E284" s="1">
        <f>A284&amp;" "&amp;D284&amp;C284</f>
        <v/>
      </c>
    </row>
    <row r="285">
      <c r="A285" s="1" t="inlineStr">
        <is>
          <t>vG7m88</t>
        </is>
      </c>
      <c r="B285" s="1" t="inlineStr">
        <is>
          <t>數值</t>
        </is>
      </c>
      <c r="C285" s="1" t="n">
        <v>2</v>
      </c>
      <c r="D285" s="1">
        <f>IF(B285="數值","F","A")</f>
        <v/>
      </c>
      <c r="E285" s="1">
        <f>A285&amp;" "&amp;D285&amp;C285</f>
        <v/>
      </c>
    </row>
    <row r="286">
      <c r="A286" s="1" t="inlineStr">
        <is>
          <t>vG7m90</t>
        </is>
      </c>
      <c r="B286" s="1" t="inlineStr">
        <is>
          <t>數值</t>
        </is>
      </c>
      <c r="C286" s="1" t="n">
        <v>2</v>
      </c>
      <c r="D286" s="1">
        <f>IF(B286="數值","F","A")</f>
        <v/>
      </c>
      <c r="E286" s="1">
        <f>A286&amp;" "&amp;D286&amp;C286</f>
        <v/>
      </c>
    </row>
    <row r="287">
      <c r="A287" s="1" t="inlineStr">
        <is>
          <t>vG7o88</t>
        </is>
      </c>
      <c r="B287" s="1" t="inlineStr">
        <is>
          <t>字串</t>
        </is>
      </c>
      <c r="C287" s="1" t="n">
        <v>150</v>
      </c>
      <c r="D287" s="1">
        <f>IF(B287="數值","F","A")</f>
        <v/>
      </c>
      <c r="E287" s="1">
        <f>A287&amp;" "&amp;D287&amp;C287</f>
        <v/>
      </c>
    </row>
    <row r="288">
      <c r="A288" s="1" t="inlineStr">
        <is>
          <t>vG8m01</t>
        </is>
      </c>
      <c r="B288" s="1" t="inlineStr">
        <is>
          <t>數值</t>
        </is>
      </c>
      <c r="C288" s="1" t="n">
        <v>2</v>
      </c>
      <c r="D288" s="1">
        <f>IF(B288="數值","F","A")</f>
        <v/>
      </c>
      <c r="E288" s="1">
        <f>A288&amp;" "&amp;D288&amp;C288</f>
        <v/>
      </c>
    </row>
    <row r="289">
      <c r="A289" s="1" t="inlineStr">
        <is>
          <t>vG8m02</t>
        </is>
      </c>
      <c r="B289" s="1" t="inlineStr">
        <is>
          <t>數值</t>
        </is>
      </c>
      <c r="C289" s="1" t="n">
        <v>2</v>
      </c>
      <c r="D289" s="1">
        <f>IF(B289="數值","F","A")</f>
        <v/>
      </c>
      <c r="E289" s="1">
        <f>A289&amp;" "&amp;D289&amp;C289</f>
        <v/>
      </c>
    </row>
    <row r="290">
      <c r="A290" s="1" t="inlineStr">
        <is>
          <t>vG8m03</t>
        </is>
      </c>
      <c r="B290" s="1" t="inlineStr">
        <is>
          <t>數值</t>
        </is>
      </c>
      <c r="C290" s="1" t="n">
        <v>2</v>
      </c>
      <c r="D290" s="1">
        <f>IF(B290="數值","F","A")</f>
        <v/>
      </c>
      <c r="E290" s="1">
        <f>A290&amp;" "&amp;D290&amp;C290</f>
        <v/>
      </c>
    </row>
    <row r="291">
      <c r="A291" s="1" t="inlineStr">
        <is>
          <t>vG8m04</t>
        </is>
      </c>
      <c r="B291" s="1" t="inlineStr">
        <is>
          <t>數值</t>
        </is>
      </c>
      <c r="C291" s="1" t="n">
        <v>2</v>
      </c>
      <c r="D291" s="1">
        <f>IF(B291="數值","F","A")</f>
        <v/>
      </c>
      <c r="E291" s="1">
        <f>A291&amp;" "&amp;D291&amp;C291</f>
        <v/>
      </c>
    </row>
    <row r="292">
      <c r="A292" s="1" t="inlineStr">
        <is>
          <t>vG8m05</t>
        </is>
      </c>
      <c r="B292" s="1" t="inlineStr">
        <is>
          <t>數值</t>
        </is>
      </c>
      <c r="C292" s="1" t="n">
        <v>2</v>
      </c>
      <c r="D292" s="1">
        <f>IF(B292="數值","F","A")</f>
        <v/>
      </c>
      <c r="E292" s="1">
        <f>A292&amp;" "&amp;D292&amp;C292</f>
        <v/>
      </c>
    </row>
    <row r="293">
      <c r="A293" s="1" t="inlineStr">
        <is>
          <t>vG8m06</t>
        </is>
      </c>
      <c r="B293" s="1" t="inlineStr">
        <is>
          <t>數值</t>
        </is>
      </c>
      <c r="C293" s="1" t="n">
        <v>2</v>
      </c>
      <c r="D293" s="1">
        <f>IF(B293="數值","F","A")</f>
        <v/>
      </c>
      <c r="E293" s="1">
        <f>A293&amp;" "&amp;D293&amp;C293</f>
        <v/>
      </c>
    </row>
    <row r="294">
      <c r="A294" s="1" t="inlineStr">
        <is>
          <t>vG8m07</t>
        </is>
      </c>
      <c r="B294" s="1" t="inlineStr">
        <is>
          <t>數值</t>
        </is>
      </c>
      <c r="C294" s="1" t="n">
        <v>2</v>
      </c>
      <c r="D294" s="1">
        <f>IF(B294="數值","F","A")</f>
        <v/>
      </c>
      <c r="E294" s="1">
        <f>A294&amp;" "&amp;D294&amp;C294</f>
        <v/>
      </c>
    </row>
    <row r="295">
      <c r="A295" s="1" t="inlineStr">
        <is>
          <t>vG8m08</t>
        </is>
      </c>
      <c r="B295" s="1" t="inlineStr">
        <is>
          <t>數值</t>
        </is>
      </c>
      <c r="C295" s="1" t="n">
        <v>2</v>
      </c>
      <c r="D295" s="1">
        <f>IF(B295="數值","F","A")</f>
        <v/>
      </c>
      <c r="E295" s="1">
        <f>A295&amp;" "&amp;D295&amp;C295</f>
        <v/>
      </c>
    </row>
    <row r="296">
      <c r="A296" s="1" t="inlineStr">
        <is>
          <t>vG8m09</t>
        </is>
      </c>
      <c r="B296" s="1" t="inlineStr">
        <is>
          <t>數值</t>
        </is>
      </c>
      <c r="C296" s="1" t="n">
        <v>2</v>
      </c>
      <c r="D296" s="1">
        <f>IF(B296="數值","F","A")</f>
        <v/>
      </c>
      <c r="E296" s="1">
        <f>A296&amp;" "&amp;D296&amp;C296</f>
        <v/>
      </c>
    </row>
    <row r="297">
      <c r="A297" s="1" t="inlineStr">
        <is>
          <t>vG8m10</t>
        </is>
      </c>
      <c r="B297" s="1" t="inlineStr">
        <is>
          <t>數值</t>
        </is>
      </c>
      <c r="C297" s="1" t="n">
        <v>2</v>
      </c>
      <c r="D297" s="1">
        <f>IF(B297="數值","F","A")</f>
        <v/>
      </c>
      <c r="E297" s="1">
        <f>A297&amp;" "&amp;D297&amp;C297</f>
        <v/>
      </c>
    </row>
    <row r="298">
      <c r="A298" s="1" t="inlineStr">
        <is>
          <t>vG8m11</t>
        </is>
      </c>
      <c r="B298" s="1" t="inlineStr">
        <is>
          <t>數值</t>
        </is>
      </c>
      <c r="C298" s="1" t="n">
        <v>2</v>
      </c>
      <c r="D298" s="1">
        <f>IF(B298="數值","F","A")</f>
        <v/>
      </c>
      <c r="E298" s="1">
        <f>A298&amp;" "&amp;D298&amp;C298</f>
        <v/>
      </c>
    </row>
    <row r="299">
      <c r="A299" s="1" t="inlineStr">
        <is>
          <t>vG8m12</t>
        </is>
      </c>
      <c r="B299" s="1" t="inlineStr">
        <is>
          <t>數值</t>
        </is>
      </c>
      <c r="C299" s="1" t="n">
        <v>2</v>
      </c>
      <c r="D299" s="1">
        <f>IF(B299="數值","F","A")</f>
        <v/>
      </c>
      <c r="E299" s="1">
        <f>A299&amp;" "&amp;D299&amp;C299</f>
        <v/>
      </c>
    </row>
    <row r="300">
      <c r="A300" s="1" t="inlineStr">
        <is>
          <t>vG8m13</t>
        </is>
      </c>
      <c r="B300" s="1" t="inlineStr">
        <is>
          <t>數值</t>
        </is>
      </c>
      <c r="C300" s="1" t="n">
        <v>2</v>
      </c>
      <c r="D300" s="1">
        <f>IF(B300="數值","F","A")</f>
        <v/>
      </c>
      <c r="E300" s="1">
        <f>A300&amp;" "&amp;D300&amp;C300</f>
        <v/>
      </c>
    </row>
    <row r="301">
      <c r="A301" s="1" t="inlineStr">
        <is>
          <t>vG8m14</t>
        </is>
      </c>
      <c r="B301" s="1" t="inlineStr">
        <is>
          <t>數值</t>
        </is>
      </c>
      <c r="C301" s="1" t="n">
        <v>2</v>
      </c>
      <c r="D301" s="1">
        <f>IF(B301="數值","F","A")</f>
        <v/>
      </c>
      <c r="E301" s="1">
        <f>A301&amp;" "&amp;D301&amp;C301</f>
        <v/>
      </c>
    </row>
    <row r="302">
      <c r="A302" s="1" t="inlineStr">
        <is>
          <t>vG8m15</t>
        </is>
      </c>
      <c r="B302" s="1" t="inlineStr">
        <is>
          <t>數值</t>
        </is>
      </c>
      <c r="C302" s="1" t="n">
        <v>2</v>
      </c>
      <c r="D302" s="1">
        <f>IF(B302="數值","F","A")</f>
        <v/>
      </c>
      <c r="E302" s="1">
        <f>A302&amp;" "&amp;D302&amp;C302</f>
        <v/>
      </c>
    </row>
    <row r="303">
      <c r="A303" s="1" t="inlineStr">
        <is>
          <t>vG8m16</t>
        </is>
      </c>
      <c r="B303" s="1" t="inlineStr">
        <is>
          <t>數值</t>
        </is>
      </c>
      <c r="C303" s="1" t="n">
        <v>2</v>
      </c>
      <c r="D303" s="1">
        <f>IF(B303="數值","F","A")</f>
        <v/>
      </c>
      <c r="E303" s="1">
        <f>A303&amp;" "&amp;D303&amp;C303</f>
        <v/>
      </c>
    </row>
    <row r="304">
      <c r="A304" s="1" t="inlineStr">
        <is>
          <t>vG8m88</t>
        </is>
      </c>
      <c r="B304" s="1" t="inlineStr">
        <is>
          <t>數值</t>
        </is>
      </c>
      <c r="C304" s="1" t="n">
        <v>2</v>
      </c>
      <c r="D304" s="1">
        <f>IF(B304="數值","F","A")</f>
        <v/>
      </c>
      <c r="E304" s="1">
        <f>A304&amp;" "&amp;D304&amp;C304</f>
        <v/>
      </c>
    </row>
    <row r="305">
      <c r="A305" s="1" t="inlineStr">
        <is>
          <t>vG8m90</t>
        </is>
      </c>
      <c r="B305" s="1" t="inlineStr">
        <is>
          <t>數值</t>
        </is>
      </c>
      <c r="C305" s="1" t="n">
        <v>2</v>
      </c>
      <c r="D305" s="1">
        <f>IF(B305="數值","F","A")</f>
        <v/>
      </c>
      <c r="E305" s="1">
        <f>A305&amp;" "&amp;D305&amp;C305</f>
        <v/>
      </c>
    </row>
    <row r="306">
      <c r="A306" s="1" t="inlineStr">
        <is>
          <t>vG8o88</t>
        </is>
      </c>
      <c r="B306" s="1" t="inlineStr">
        <is>
          <t>字串</t>
        </is>
      </c>
      <c r="C306" s="1" t="n">
        <v>150</v>
      </c>
      <c r="D306" s="1">
        <f>IF(B306="數值","F","A")</f>
        <v/>
      </c>
      <c r="E306" s="1">
        <f>A306&amp;" "&amp;D306&amp;C306</f>
        <v/>
      </c>
    </row>
    <row r="307">
      <c r="A307" s="1" t="inlineStr">
        <is>
          <t>vG9m01</t>
        </is>
      </c>
      <c r="B307" s="1" t="inlineStr">
        <is>
          <t>數值</t>
        </is>
      </c>
      <c r="C307" s="1" t="n">
        <v>2</v>
      </c>
      <c r="D307" s="1">
        <f>IF(B307="數值","F","A")</f>
        <v/>
      </c>
      <c r="E307" s="1">
        <f>A307&amp;" "&amp;D307&amp;C307</f>
        <v/>
      </c>
    </row>
    <row r="308">
      <c r="A308" s="1" t="inlineStr">
        <is>
          <t>vG9m02</t>
        </is>
      </c>
      <c r="B308" s="1" t="inlineStr">
        <is>
          <t>數值</t>
        </is>
      </c>
      <c r="C308" s="1" t="n">
        <v>2</v>
      </c>
      <c r="D308" s="1">
        <f>IF(B308="數值","F","A")</f>
        <v/>
      </c>
      <c r="E308" s="1">
        <f>A308&amp;" "&amp;D308&amp;C308</f>
        <v/>
      </c>
    </row>
    <row r="309">
      <c r="A309" s="1" t="inlineStr">
        <is>
          <t>vG9m03</t>
        </is>
      </c>
      <c r="B309" s="1" t="inlineStr">
        <is>
          <t>數值</t>
        </is>
      </c>
      <c r="C309" s="1" t="n">
        <v>2</v>
      </c>
      <c r="D309" s="1">
        <f>IF(B309="數值","F","A")</f>
        <v/>
      </c>
      <c r="E309" s="1">
        <f>A309&amp;" "&amp;D309&amp;C309</f>
        <v/>
      </c>
    </row>
    <row r="310">
      <c r="A310" s="1" t="inlineStr">
        <is>
          <t>vG9m04</t>
        </is>
      </c>
      <c r="B310" s="1" t="inlineStr">
        <is>
          <t>數值</t>
        </is>
      </c>
      <c r="C310" s="1" t="n">
        <v>2</v>
      </c>
      <c r="D310" s="1">
        <f>IF(B310="數值","F","A")</f>
        <v/>
      </c>
      <c r="E310" s="1">
        <f>A310&amp;" "&amp;D310&amp;C310</f>
        <v/>
      </c>
    </row>
    <row r="311">
      <c r="A311" s="1" t="inlineStr">
        <is>
          <t>vG9m05</t>
        </is>
      </c>
      <c r="B311" s="1" t="inlineStr">
        <is>
          <t>數值</t>
        </is>
      </c>
      <c r="C311" s="1" t="n">
        <v>2</v>
      </c>
      <c r="D311" s="1">
        <f>IF(B311="數值","F","A")</f>
        <v/>
      </c>
      <c r="E311" s="1">
        <f>A311&amp;" "&amp;D311&amp;C311</f>
        <v/>
      </c>
    </row>
    <row r="312">
      <c r="A312" s="1" t="inlineStr">
        <is>
          <t>vG9m06</t>
        </is>
      </c>
      <c r="B312" s="1" t="inlineStr">
        <is>
          <t>數值</t>
        </is>
      </c>
      <c r="C312" s="1" t="n">
        <v>2</v>
      </c>
      <c r="D312" s="1">
        <f>IF(B312="數值","F","A")</f>
        <v/>
      </c>
      <c r="E312" s="1">
        <f>A312&amp;" "&amp;D312&amp;C312</f>
        <v/>
      </c>
    </row>
    <row r="313">
      <c r="A313" s="1" t="inlineStr">
        <is>
          <t>vG9m07</t>
        </is>
      </c>
      <c r="B313" s="1" t="inlineStr">
        <is>
          <t>數值</t>
        </is>
      </c>
      <c r="C313" s="1" t="n">
        <v>2</v>
      </c>
      <c r="D313" s="1">
        <f>IF(B313="數值","F","A")</f>
        <v/>
      </c>
      <c r="E313" s="1">
        <f>A313&amp;" "&amp;D313&amp;C313</f>
        <v/>
      </c>
    </row>
    <row r="314">
      <c r="A314" s="1" t="inlineStr">
        <is>
          <t>vG9m08</t>
        </is>
      </c>
      <c r="B314" s="1" t="inlineStr">
        <is>
          <t>數值</t>
        </is>
      </c>
      <c r="C314" s="1" t="n">
        <v>2</v>
      </c>
      <c r="D314" s="1">
        <f>IF(B314="數值","F","A")</f>
        <v/>
      </c>
      <c r="E314" s="1">
        <f>A314&amp;" "&amp;D314&amp;C314</f>
        <v/>
      </c>
    </row>
    <row r="315">
      <c r="A315" s="1" t="inlineStr">
        <is>
          <t>vG9m09</t>
        </is>
      </c>
      <c r="B315" s="1" t="inlineStr">
        <is>
          <t>數值</t>
        </is>
      </c>
      <c r="C315" s="1" t="n">
        <v>2</v>
      </c>
      <c r="D315" s="1">
        <f>IF(B315="數值","F","A")</f>
        <v/>
      </c>
      <c r="E315" s="1">
        <f>A315&amp;" "&amp;D315&amp;C315</f>
        <v/>
      </c>
    </row>
    <row r="316">
      <c r="A316" s="1" t="inlineStr">
        <is>
          <t>vG9m10</t>
        </is>
      </c>
      <c r="B316" s="1" t="inlineStr">
        <is>
          <t>數值</t>
        </is>
      </c>
      <c r="C316" s="1" t="n">
        <v>2</v>
      </c>
      <c r="D316" s="1">
        <f>IF(B316="數值","F","A")</f>
        <v/>
      </c>
      <c r="E316" s="1">
        <f>A316&amp;" "&amp;D316&amp;C316</f>
        <v/>
      </c>
    </row>
    <row r="317">
      <c r="A317" s="1" t="inlineStr">
        <is>
          <t>vG9m11</t>
        </is>
      </c>
      <c r="B317" s="1" t="inlineStr">
        <is>
          <t>數值</t>
        </is>
      </c>
      <c r="C317" s="1" t="n">
        <v>2</v>
      </c>
      <c r="D317" s="1">
        <f>IF(B317="數值","F","A")</f>
        <v/>
      </c>
      <c r="E317" s="1">
        <f>A317&amp;" "&amp;D317&amp;C317</f>
        <v/>
      </c>
    </row>
    <row r="318">
      <c r="A318" s="1" t="inlineStr">
        <is>
          <t>vG9m12</t>
        </is>
      </c>
      <c r="B318" s="1" t="inlineStr">
        <is>
          <t>數值</t>
        </is>
      </c>
      <c r="C318" s="1" t="n">
        <v>2</v>
      </c>
      <c r="D318" s="1">
        <f>IF(B318="數值","F","A")</f>
        <v/>
      </c>
      <c r="E318" s="1">
        <f>A318&amp;" "&amp;D318&amp;C318</f>
        <v/>
      </c>
    </row>
    <row r="319">
      <c r="A319" s="1" t="inlineStr">
        <is>
          <t>vG9m13</t>
        </is>
      </c>
      <c r="B319" s="1" t="inlineStr">
        <is>
          <t>數值</t>
        </is>
      </c>
      <c r="C319" s="1" t="n">
        <v>2</v>
      </c>
      <c r="D319" s="1">
        <f>IF(B319="數值","F","A")</f>
        <v/>
      </c>
      <c r="E319" s="1">
        <f>A319&amp;" "&amp;D319&amp;C319</f>
        <v/>
      </c>
    </row>
    <row r="320">
      <c r="A320" s="1" t="inlineStr">
        <is>
          <t>vG9m88</t>
        </is>
      </c>
      <c r="B320" s="1" t="inlineStr">
        <is>
          <t>數值</t>
        </is>
      </c>
      <c r="C320" s="1" t="n">
        <v>2</v>
      </c>
      <c r="D320" s="1">
        <f>IF(B320="數值","F","A")</f>
        <v/>
      </c>
      <c r="E320" s="1">
        <f>A320&amp;" "&amp;D320&amp;C320</f>
        <v/>
      </c>
    </row>
    <row r="321">
      <c r="A321" s="1" t="inlineStr">
        <is>
          <t>vG9m90</t>
        </is>
      </c>
      <c r="B321" s="1" t="inlineStr">
        <is>
          <t>數值</t>
        </is>
      </c>
      <c r="C321" s="1" t="n">
        <v>2</v>
      </c>
      <c r="D321" s="1">
        <f>IF(B321="數值","F","A")</f>
        <v/>
      </c>
      <c r="E321" s="1">
        <f>A321&amp;" "&amp;D321&amp;C321</f>
        <v/>
      </c>
    </row>
    <row r="322">
      <c r="A322" s="1" t="inlineStr">
        <is>
          <t>vG9o88</t>
        </is>
      </c>
      <c r="B322" s="1" t="inlineStr">
        <is>
          <t>字串</t>
        </is>
      </c>
      <c r="C322" s="1" t="n">
        <v>150</v>
      </c>
      <c r="D322" s="1">
        <f>IF(B322="數值","F","A")</f>
        <v/>
      </c>
      <c r="E322" s="1">
        <f>A322&amp;" "&amp;D322&amp;C322</f>
        <v/>
      </c>
    </row>
    <row r="323">
      <c r="A323" s="1" t="inlineStr">
        <is>
          <t>vG10m01</t>
        </is>
      </c>
      <c r="B323" s="1" t="inlineStr">
        <is>
          <t>數值</t>
        </is>
      </c>
      <c r="C323" s="1" t="n">
        <v>2</v>
      </c>
      <c r="D323" s="1">
        <f>IF(B323="數值","F","A")</f>
        <v/>
      </c>
      <c r="E323" s="1">
        <f>A323&amp;" "&amp;D323&amp;C323</f>
        <v/>
      </c>
    </row>
    <row r="324">
      <c r="A324" s="1" t="inlineStr">
        <is>
          <t>vG10m02</t>
        </is>
      </c>
      <c r="B324" s="1" t="inlineStr">
        <is>
          <t>數值</t>
        </is>
      </c>
      <c r="C324" s="1" t="n">
        <v>2</v>
      </c>
      <c r="D324" s="1">
        <f>IF(B324="數值","F","A")</f>
        <v/>
      </c>
      <c r="E324" s="1">
        <f>A324&amp;" "&amp;D324&amp;C324</f>
        <v/>
      </c>
    </row>
    <row r="325">
      <c r="A325" s="1" t="inlineStr">
        <is>
          <t>vG10m03</t>
        </is>
      </c>
      <c r="B325" s="1" t="inlineStr">
        <is>
          <t>數值</t>
        </is>
      </c>
      <c r="C325" s="1" t="n">
        <v>2</v>
      </c>
      <c r="D325" s="1">
        <f>IF(B325="數值","F","A")</f>
        <v/>
      </c>
      <c r="E325" s="1">
        <f>A325&amp;" "&amp;D325&amp;C325</f>
        <v/>
      </c>
    </row>
    <row r="326">
      <c r="A326" s="1" t="inlineStr">
        <is>
          <t>vG10m04</t>
        </is>
      </c>
      <c r="B326" s="1" t="inlineStr">
        <is>
          <t>數值</t>
        </is>
      </c>
      <c r="C326" s="1" t="n">
        <v>2</v>
      </c>
      <c r="D326" s="1">
        <f>IF(B326="數值","F","A")</f>
        <v/>
      </c>
      <c r="E326" s="1">
        <f>A326&amp;" "&amp;D326&amp;C326</f>
        <v/>
      </c>
    </row>
    <row r="327">
      <c r="A327" s="1" t="inlineStr">
        <is>
          <t>vG10m05</t>
        </is>
      </c>
      <c r="B327" s="1" t="inlineStr">
        <is>
          <t>數值</t>
        </is>
      </c>
      <c r="C327" s="1" t="n">
        <v>2</v>
      </c>
      <c r="D327" s="1">
        <f>IF(B327="數值","F","A")</f>
        <v/>
      </c>
      <c r="E327" s="1">
        <f>A327&amp;" "&amp;D327&amp;C327</f>
        <v/>
      </c>
    </row>
    <row r="328">
      <c r="A328" s="1" t="inlineStr">
        <is>
          <t>vG10m06</t>
        </is>
      </c>
      <c r="B328" s="1" t="inlineStr">
        <is>
          <t>數值</t>
        </is>
      </c>
      <c r="C328" s="1" t="n">
        <v>2</v>
      </c>
      <c r="D328" s="1">
        <f>IF(B328="數值","F","A")</f>
        <v/>
      </c>
      <c r="E328" s="1">
        <f>A328&amp;" "&amp;D328&amp;C328</f>
        <v/>
      </c>
    </row>
    <row r="329">
      <c r="A329" s="1" t="inlineStr">
        <is>
          <t>vG10m07</t>
        </is>
      </c>
      <c r="B329" s="1" t="inlineStr">
        <is>
          <t>數值</t>
        </is>
      </c>
      <c r="C329" s="1" t="n">
        <v>2</v>
      </c>
      <c r="D329" s="1">
        <f>IF(B329="數值","F","A")</f>
        <v/>
      </c>
      <c r="E329" s="1">
        <f>A329&amp;" "&amp;D329&amp;C329</f>
        <v/>
      </c>
    </row>
    <row r="330">
      <c r="A330" s="1" t="inlineStr">
        <is>
          <t>vG10m08</t>
        </is>
      </c>
      <c r="B330" s="1" t="inlineStr">
        <is>
          <t>數值</t>
        </is>
      </c>
      <c r="C330" s="1" t="n">
        <v>2</v>
      </c>
      <c r="D330" s="1">
        <f>IF(B330="數值","F","A")</f>
        <v/>
      </c>
      <c r="E330" s="1">
        <f>A330&amp;" "&amp;D330&amp;C330</f>
        <v/>
      </c>
    </row>
    <row r="331">
      <c r="A331" s="1" t="inlineStr">
        <is>
          <t>vG10m09</t>
        </is>
      </c>
      <c r="B331" s="1" t="inlineStr">
        <is>
          <t>數值</t>
        </is>
      </c>
      <c r="C331" s="1" t="n">
        <v>2</v>
      </c>
      <c r="D331" s="1">
        <f>IF(B331="數值","F","A")</f>
        <v/>
      </c>
      <c r="E331" s="1">
        <f>A331&amp;" "&amp;D331&amp;C331</f>
        <v/>
      </c>
    </row>
    <row r="332">
      <c r="A332" s="1" t="inlineStr">
        <is>
          <t>vG10m10</t>
        </is>
      </c>
      <c r="B332" s="1" t="inlineStr">
        <is>
          <t>數值</t>
        </is>
      </c>
      <c r="C332" s="1" t="n">
        <v>2</v>
      </c>
      <c r="D332" s="1">
        <f>IF(B332="數值","F","A")</f>
        <v/>
      </c>
      <c r="E332" s="1">
        <f>A332&amp;" "&amp;D332&amp;C332</f>
        <v/>
      </c>
    </row>
    <row r="333">
      <c r="A333" s="1" t="inlineStr">
        <is>
          <t>vG10m11</t>
        </is>
      </c>
      <c r="B333" s="1" t="inlineStr">
        <is>
          <t>數值</t>
        </is>
      </c>
      <c r="C333" s="1" t="n">
        <v>2</v>
      </c>
      <c r="D333" s="1">
        <f>IF(B333="數值","F","A")</f>
        <v/>
      </c>
      <c r="E333" s="1">
        <f>A333&amp;" "&amp;D333&amp;C333</f>
        <v/>
      </c>
    </row>
    <row r="334">
      <c r="A334" s="1" t="inlineStr">
        <is>
          <t>vG10m12</t>
        </is>
      </c>
      <c r="B334" s="1" t="inlineStr">
        <is>
          <t>數值</t>
        </is>
      </c>
      <c r="C334" s="1" t="n">
        <v>2</v>
      </c>
      <c r="D334" s="1">
        <f>IF(B334="數值","F","A")</f>
        <v/>
      </c>
      <c r="E334" s="1">
        <f>A334&amp;" "&amp;D334&amp;C334</f>
        <v/>
      </c>
    </row>
    <row r="335">
      <c r="A335" s="1" t="inlineStr">
        <is>
          <t>vG10m13</t>
        </is>
      </c>
      <c r="B335" s="1" t="inlineStr">
        <is>
          <t>數值</t>
        </is>
      </c>
      <c r="C335" s="1" t="n">
        <v>2</v>
      </c>
      <c r="D335" s="1">
        <f>IF(B335="數值","F","A")</f>
        <v/>
      </c>
      <c r="E335" s="1">
        <f>A335&amp;" "&amp;D335&amp;C335</f>
        <v/>
      </c>
    </row>
    <row r="336">
      <c r="A336" s="1" t="inlineStr">
        <is>
          <t>vG10m14</t>
        </is>
      </c>
      <c r="B336" s="1" t="inlineStr">
        <is>
          <t>數值</t>
        </is>
      </c>
      <c r="C336" s="1" t="n">
        <v>2</v>
      </c>
      <c r="D336" s="1">
        <f>IF(B336="數值","F","A")</f>
        <v/>
      </c>
      <c r="E336" s="1">
        <f>A336&amp;" "&amp;D336&amp;C336</f>
        <v/>
      </c>
    </row>
    <row r="337">
      <c r="A337" s="1" t="inlineStr">
        <is>
          <t>vG10m15</t>
        </is>
      </c>
      <c r="B337" s="1" t="inlineStr">
        <is>
          <t>數值</t>
        </is>
      </c>
      <c r="C337" s="1" t="n">
        <v>2</v>
      </c>
      <c r="D337" s="1">
        <f>IF(B337="數值","F","A")</f>
        <v/>
      </c>
      <c r="E337" s="1">
        <f>A337&amp;" "&amp;D337&amp;C337</f>
        <v/>
      </c>
    </row>
    <row r="338">
      <c r="A338" s="1" t="inlineStr">
        <is>
          <t>vG10m16</t>
        </is>
      </c>
      <c r="B338" s="1" t="inlineStr">
        <is>
          <t>數值</t>
        </is>
      </c>
      <c r="C338" s="1" t="n">
        <v>2</v>
      </c>
      <c r="D338" s="1">
        <f>IF(B338="數值","F","A")</f>
        <v/>
      </c>
      <c r="E338" s="1">
        <f>A338&amp;" "&amp;D338&amp;C338</f>
        <v/>
      </c>
    </row>
    <row r="339">
      <c r="A339" s="1" t="inlineStr">
        <is>
          <t>vG10m17</t>
        </is>
      </c>
      <c r="B339" s="1" t="inlineStr">
        <is>
          <t>數值</t>
        </is>
      </c>
      <c r="C339" s="1" t="n">
        <v>2</v>
      </c>
      <c r="D339" s="1">
        <f>IF(B339="數值","F","A")</f>
        <v/>
      </c>
      <c r="E339" s="1">
        <f>A339&amp;" "&amp;D339&amp;C339</f>
        <v/>
      </c>
    </row>
    <row r="340">
      <c r="A340" s="1" t="inlineStr">
        <is>
          <t>vG10m18</t>
        </is>
      </c>
      <c r="B340" s="1" t="inlineStr">
        <is>
          <t>數值</t>
        </is>
      </c>
      <c r="C340" s="1" t="n">
        <v>2</v>
      </c>
      <c r="D340" s="1">
        <f>IF(B340="數值","F","A")</f>
        <v/>
      </c>
      <c r="E340" s="1">
        <f>A340&amp;" "&amp;D340&amp;C340</f>
        <v/>
      </c>
    </row>
    <row r="341">
      <c r="A341" s="1" t="inlineStr">
        <is>
          <t>vG10m19</t>
        </is>
      </c>
      <c r="B341" s="1" t="inlineStr">
        <is>
          <t>數值</t>
        </is>
      </c>
      <c r="C341" s="1" t="n">
        <v>2</v>
      </c>
      <c r="D341" s="1">
        <f>IF(B341="數值","F","A")</f>
        <v/>
      </c>
      <c r="E341" s="1">
        <f>A341&amp;" "&amp;D341&amp;C341</f>
        <v/>
      </c>
    </row>
    <row r="342">
      <c r="A342" s="1" t="inlineStr">
        <is>
          <t>vG10m88</t>
        </is>
      </c>
      <c r="B342" s="1" t="inlineStr">
        <is>
          <t>數值</t>
        </is>
      </c>
      <c r="C342" s="1" t="n">
        <v>2</v>
      </c>
      <c r="D342" s="1">
        <f>IF(B342="數值","F","A")</f>
        <v/>
      </c>
      <c r="E342" s="1">
        <f>A342&amp;" "&amp;D342&amp;C342</f>
        <v/>
      </c>
    </row>
    <row r="343">
      <c r="A343" s="1" t="inlineStr">
        <is>
          <t>vG10m90</t>
        </is>
      </c>
      <c r="B343" s="1" t="inlineStr">
        <is>
          <t>數值</t>
        </is>
      </c>
      <c r="C343" s="1" t="n">
        <v>2</v>
      </c>
      <c r="D343" s="1">
        <f>IF(B343="數值","F","A")</f>
        <v/>
      </c>
      <c r="E343" s="1">
        <f>A343&amp;" "&amp;D343&amp;C343</f>
        <v/>
      </c>
    </row>
    <row r="344">
      <c r="A344" s="1" t="inlineStr">
        <is>
          <t>vG10o88</t>
        </is>
      </c>
      <c r="B344" s="1" t="inlineStr">
        <is>
          <t>字串</t>
        </is>
      </c>
      <c r="C344" s="1" t="n">
        <v>150</v>
      </c>
      <c r="D344" s="1">
        <f>IF(B344="數值","F","A")</f>
        <v/>
      </c>
      <c r="E344" s="1">
        <f>A344&amp;" "&amp;D344&amp;C344</f>
        <v/>
      </c>
    </row>
    <row r="345">
      <c r="A345" s="1" t="inlineStr">
        <is>
          <t>vG11m01</t>
        </is>
      </c>
      <c r="B345" s="1" t="inlineStr">
        <is>
          <t>數值</t>
        </is>
      </c>
      <c r="C345" s="1" t="n">
        <v>2</v>
      </c>
      <c r="D345" s="1">
        <f>IF(B345="數值","F","A")</f>
        <v/>
      </c>
      <c r="E345" s="1">
        <f>A345&amp;" "&amp;D345&amp;C345</f>
        <v/>
      </c>
    </row>
    <row r="346">
      <c r="A346" s="1" t="inlineStr">
        <is>
          <t>vG11m02</t>
        </is>
      </c>
      <c r="B346" s="1" t="inlineStr">
        <is>
          <t>數值</t>
        </is>
      </c>
      <c r="C346" s="1" t="n">
        <v>2</v>
      </c>
      <c r="D346" s="1">
        <f>IF(B346="數值","F","A")</f>
        <v/>
      </c>
      <c r="E346" s="1">
        <f>A346&amp;" "&amp;D346&amp;C346</f>
        <v/>
      </c>
    </row>
    <row r="347">
      <c r="A347" s="1" t="inlineStr">
        <is>
          <t>vG11m03</t>
        </is>
      </c>
      <c r="B347" s="1" t="inlineStr">
        <is>
          <t>數值</t>
        </is>
      </c>
      <c r="C347" s="1" t="n">
        <v>2</v>
      </c>
      <c r="D347" s="1">
        <f>IF(B347="數值","F","A")</f>
        <v/>
      </c>
      <c r="E347" s="1">
        <f>A347&amp;" "&amp;D347&amp;C347</f>
        <v/>
      </c>
    </row>
    <row r="348">
      <c r="A348" s="1" t="inlineStr">
        <is>
          <t>vG11m04</t>
        </is>
      </c>
      <c r="B348" s="1" t="inlineStr">
        <is>
          <t>數值</t>
        </is>
      </c>
      <c r="C348" s="1" t="n">
        <v>2</v>
      </c>
      <c r="D348" s="1">
        <f>IF(B348="數值","F","A")</f>
        <v/>
      </c>
      <c r="E348" s="1">
        <f>A348&amp;" "&amp;D348&amp;C348</f>
        <v/>
      </c>
    </row>
    <row r="349">
      <c r="A349" s="1" t="inlineStr">
        <is>
          <t>vG11m05</t>
        </is>
      </c>
      <c r="B349" s="1" t="inlineStr">
        <is>
          <t>數值</t>
        </is>
      </c>
      <c r="C349" s="1" t="n">
        <v>2</v>
      </c>
      <c r="D349" s="1">
        <f>IF(B349="數值","F","A")</f>
        <v/>
      </c>
      <c r="E349" s="1">
        <f>A349&amp;" "&amp;D349&amp;C349</f>
        <v/>
      </c>
    </row>
    <row r="350">
      <c r="A350" s="1" t="inlineStr">
        <is>
          <t>vG11m88</t>
        </is>
      </c>
      <c r="B350" s="1" t="inlineStr">
        <is>
          <t>數值</t>
        </is>
      </c>
      <c r="C350" s="1" t="n">
        <v>2</v>
      </c>
      <c r="D350" s="1">
        <f>IF(B350="數值","F","A")</f>
        <v/>
      </c>
      <c r="E350" s="1">
        <f>A350&amp;" "&amp;D350&amp;C350</f>
        <v/>
      </c>
    </row>
    <row r="351">
      <c r="A351" s="1" t="inlineStr">
        <is>
          <t>vG11m90</t>
        </is>
      </c>
      <c r="B351" s="1" t="inlineStr">
        <is>
          <t>數值</t>
        </is>
      </c>
      <c r="C351" s="1" t="n">
        <v>2</v>
      </c>
      <c r="D351" s="1">
        <f>IF(B351="數值","F","A")</f>
        <v/>
      </c>
      <c r="E351" s="1">
        <f>A351&amp;" "&amp;D351&amp;C351</f>
        <v/>
      </c>
    </row>
    <row r="352">
      <c r="A352" s="1" t="inlineStr">
        <is>
          <t>vG11o88</t>
        </is>
      </c>
      <c r="B352" s="1" t="inlineStr">
        <is>
          <t>字串</t>
        </is>
      </c>
      <c r="C352" s="1" t="n">
        <v>150</v>
      </c>
      <c r="D352" s="1">
        <f>IF(B352="數值","F","A")</f>
        <v/>
      </c>
      <c r="E352" s="1">
        <f>A352&amp;" "&amp;D352&amp;C352</f>
        <v/>
      </c>
    </row>
    <row r="353">
      <c r="A353" s="1" t="inlineStr">
        <is>
          <t>vG4</t>
        </is>
      </c>
      <c r="B353" s="1" t="inlineStr">
        <is>
          <t>數值</t>
        </is>
      </c>
      <c r="C353" s="1" t="n">
        <v>4</v>
      </c>
      <c r="D353" s="1">
        <f>IF(B353="數值","F","A")</f>
        <v/>
      </c>
      <c r="E353" s="1">
        <f>A353&amp;" "&amp;D353&amp;C353</f>
        <v/>
      </c>
    </row>
    <row r="354">
      <c r="A354" s="1" t="inlineStr">
        <is>
          <t>vG5</t>
        </is>
      </c>
      <c r="B354" s="1" t="inlineStr">
        <is>
          <t>數值</t>
        </is>
      </c>
      <c r="C354" s="1" t="n">
        <v>5</v>
      </c>
      <c r="D354" s="1">
        <f>IF(B354="數值","F","A")</f>
        <v/>
      </c>
      <c r="E354" s="1">
        <f>A354&amp;" "&amp;D354&amp;C354</f>
        <v/>
      </c>
    </row>
    <row r="355">
      <c r="A355" s="1" t="inlineStr">
        <is>
          <t>vB1</t>
        </is>
      </c>
      <c r="B355" s="1" t="inlineStr">
        <is>
          <t>數值</t>
        </is>
      </c>
      <c r="C355" s="1" t="n">
        <v>4</v>
      </c>
      <c r="D355" s="1">
        <f>IF(B355="數值","F","A")</f>
        <v/>
      </c>
      <c r="E355" s="1">
        <f>A355&amp;" "&amp;D355&amp;C355</f>
        <v/>
      </c>
    </row>
    <row r="356">
      <c r="A356" s="1" t="inlineStr">
        <is>
          <t>vB2</t>
        </is>
      </c>
      <c r="B356" s="1" t="inlineStr">
        <is>
          <t>數值</t>
        </is>
      </c>
      <c r="C356" s="1" t="n">
        <v>5</v>
      </c>
      <c r="D356" s="1">
        <f>IF(B356="數值","F","A")</f>
        <v/>
      </c>
      <c r="E356" s="1">
        <f>A356&amp;" "&amp;D356&amp;C356</f>
        <v/>
      </c>
    </row>
    <row r="357">
      <c r="A357" s="1" t="inlineStr">
        <is>
          <t>vB3</t>
        </is>
      </c>
      <c r="B357" s="1" t="inlineStr">
        <is>
          <t>數值</t>
        </is>
      </c>
      <c r="C357" s="1" t="n">
        <v>4</v>
      </c>
      <c r="D357" s="1">
        <f>IF(B357="數值","F","A")</f>
        <v/>
      </c>
      <c r="E357" s="1">
        <f>A357&amp;" "&amp;D357&amp;C357</f>
        <v/>
      </c>
    </row>
    <row r="358">
      <c r="A358" s="1" t="inlineStr">
        <is>
          <t>vB4</t>
        </is>
      </c>
      <c r="B358" s="1" t="inlineStr">
        <is>
          <t>數值</t>
        </is>
      </c>
      <c r="C358" s="1" t="n">
        <v>5</v>
      </c>
      <c r="D358" s="1">
        <f>IF(B358="數值","F","A")</f>
        <v/>
      </c>
      <c r="E358" s="1">
        <f>A358&amp;" "&amp;D358&amp;C358</f>
        <v/>
      </c>
    </row>
    <row r="359">
      <c r="A359" s="1" t="inlineStr">
        <is>
          <t>vB5</t>
        </is>
      </c>
      <c r="B359" s="1" t="inlineStr">
        <is>
          <t>數值</t>
        </is>
      </c>
      <c r="C359" s="1" t="n">
        <v>4</v>
      </c>
      <c r="D359" s="1">
        <f>IF(B359="數值","F","A")</f>
        <v/>
      </c>
      <c r="E359" s="1">
        <f>A359&amp;" "&amp;D359&amp;C359</f>
        <v/>
      </c>
    </row>
    <row r="360">
      <c r="A360" s="1" t="inlineStr">
        <is>
          <t>vCKB5</t>
        </is>
      </c>
      <c r="B360" s="1" t="inlineStr">
        <is>
          <t>數值</t>
        </is>
      </c>
      <c r="C360" s="1" t="n">
        <v>2</v>
      </c>
      <c r="D360" s="1">
        <f>IF(B360="數值","F","A")</f>
        <v/>
      </c>
      <c r="E360" s="1">
        <f>A360&amp;" "&amp;D360&amp;C360</f>
        <v/>
      </c>
    </row>
    <row r="361">
      <c r="A361" s="1" t="inlineStr">
        <is>
          <t>vB6</t>
        </is>
      </c>
      <c r="B361" s="1" t="inlineStr">
        <is>
          <t>數值</t>
        </is>
      </c>
      <c r="C361" s="1" t="n">
        <v>5</v>
      </c>
      <c r="D361" s="1">
        <f>IF(B361="數值","F","A")</f>
        <v/>
      </c>
      <c r="E361" s="1">
        <f>A361&amp;" "&amp;D361&amp;C361</f>
        <v/>
      </c>
    </row>
    <row r="362">
      <c r="A362" s="1" t="inlineStr">
        <is>
          <t>vB7am01</t>
        </is>
      </c>
      <c r="B362" s="1" t="inlineStr">
        <is>
          <t>數值</t>
        </is>
      </c>
      <c r="C362" s="1" t="n">
        <v>2</v>
      </c>
      <c r="D362" s="1">
        <f>IF(B362="數值","F","A")</f>
        <v/>
      </c>
      <c r="E362" s="1">
        <f>A362&amp;" "&amp;D362&amp;C362</f>
        <v/>
      </c>
    </row>
    <row r="363">
      <c r="A363" s="1" t="inlineStr">
        <is>
          <t>vB7am02</t>
        </is>
      </c>
      <c r="B363" s="1" t="inlineStr">
        <is>
          <t>數值</t>
        </is>
      </c>
      <c r="C363" s="1" t="n">
        <v>2</v>
      </c>
      <c r="D363" s="1">
        <f>IF(B363="數值","F","A")</f>
        <v/>
      </c>
      <c r="E363" s="1">
        <f>A363&amp;" "&amp;D363&amp;C363</f>
        <v/>
      </c>
    </row>
    <row r="364">
      <c r="A364" s="1" t="inlineStr">
        <is>
          <t>vB7am03</t>
        </is>
      </c>
      <c r="B364" s="1" t="inlineStr">
        <is>
          <t>數值</t>
        </is>
      </c>
      <c r="C364" s="1" t="n">
        <v>2</v>
      </c>
      <c r="D364" s="1">
        <f>IF(B364="數值","F","A")</f>
        <v/>
      </c>
      <c r="E364" s="1">
        <f>A364&amp;" "&amp;D364&amp;C364</f>
        <v/>
      </c>
    </row>
    <row r="365">
      <c r="A365" s="1" t="inlineStr">
        <is>
          <t>vB7am04</t>
        </is>
      </c>
      <c r="B365" s="1" t="inlineStr">
        <is>
          <t>數值</t>
        </is>
      </c>
      <c r="C365" s="1" t="n">
        <v>2</v>
      </c>
      <c r="D365" s="1">
        <f>IF(B365="數值","F","A")</f>
        <v/>
      </c>
      <c r="E365" s="1">
        <f>A365&amp;" "&amp;D365&amp;C365</f>
        <v/>
      </c>
    </row>
    <row r="366">
      <c r="A366" s="1" t="inlineStr">
        <is>
          <t>vB7am05</t>
        </is>
      </c>
      <c r="B366" s="1" t="inlineStr">
        <is>
          <t>數值</t>
        </is>
      </c>
      <c r="C366" s="1" t="n">
        <v>2</v>
      </c>
      <c r="D366" s="1">
        <f>IF(B366="數值","F","A")</f>
        <v/>
      </c>
      <c r="E366" s="1">
        <f>A366&amp;" "&amp;D366&amp;C366</f>
        <v/>
      </c>
    </row>
    <row r="367">
      <c r="A367" s="1" t="inlineStr">
        <is>
          <t>vB7am06</t>
        </is>
      </c>
      <c r="B367" s="1" t="inlineStr">
        <is>
          <t>數值</t>
        </is>
      </c>
      <c r="C367" s="1" t="n">
        <v>2</v>
      </c>
      <c r="D367" s="1">
        <f>IF(B367="數值","F","A")</f>
        <v/>
      </c>
      <c r="E367" s="1">
        <f>A367&amp;" "&amp;D367&amp;C367</f>
        <v/>
      </c>
    </row>
    <row r="368">
      <c r="A368" s="1" t="inlineStr">
        <is>
          <t>vB7am07</t>
        </is>
      </c>
      <c r="B368" s="1" t="inlineStr">
        <is>
          <t>數值</t>
        </is>
      </c>
      <c r="C368" s="1" t="n">
        <v>2</v>
      </c>
      <c r="D368" s="1">
        <f>IF(B368="數值","F","A")</f>
        <v/>
      </c>
      <c r="E368" s="1">
        <f>A368&amp;" "&amp;D368&amp;C368</f>
        <v/>
      </c>
    </row>
    <row r="369">
      <c r="A369" s="1" t="inlineStr">
        <is>
          <t>vB7am08</t>
        </is>
      </c>
      <c r="B369" s="1" t="inlineStr">
        <is>
          <t>數值</t>
        </is>
      </c>
      <c r="C369" s="1" t="n">
        <v>2</v>
      </c>
      <c r="D369" s="1">
        <f>IF(B369="數值","F","A")</f>
        <v/>
      </c>
      <c r="E369" s="1">
        <f>A369&amp;" "&amp;D369&amp;C369</f>
        <v/>
      </c>
    </row>
    <row r="370">
      <c r="A370" s="1" t="inlineStr">
        <is>
          <t>vB7am09</t>
        </is>
      </c>
      <c r="B370" s="1" t="inlineStr">
        <is>
          <t>數值</t>
        </is>
      </c>
      <c r="C370" s="1" t="n">
        <v>2</v>
      </c>
      <c r="D370" s="1">
        <f>IF(B370="數值","F","A")</f>
        <v/>
      </c>
      <c r="E370" s="1">
        <f>A370&amp;" "&amp;D370&amp;C370</f>
        <v/>
      </c>
    </row>
    <row r="371">
      <c r="A371" s="1" t="inlineStr">
        <is>
          <t>vB7am10</t>
        </is>
      </c>
      <c r="B371" s="1" t="inlineStr">
        <is>
          <t>數值</t>
        </is>
      </c>
      <c r="C371" s="1" t="n">
        <v>2</v>
      </c>
      <c r="D371" s="1">
        <f>IF(B371="數值","F","A")</f>
        <v/>
      </c>
      <c r="E371" s="1">
        <f>A371&amp;" "&amp;D371&amp;C371</f>
        <v/>
      </c>
    </row>
    <row r="372">
      <c r="A372" s="1" t="inlineStr">
        <is>
          <t>vB7am11</t>
        </is>
      </c>
      <c r="B372" s="1" t="inlineStr">
        <is>
          <t>數值</t>
        </is>
      </c>
      <c r="C372" s="1" t="n">
        <v>2</v>
      </c>
      <c r="D372" s="1">
        <f>IF(B372="數值","F","A")</f>
        <v/>
      </c>
      <c r="E372" s="1">
        <f>A372&amp;" "&amp;D372&amp;C372</f>
        <v/>
      </c>
    </row>
    <row r="373">
      <c r="A373" s="1" t="inlineStr">
        <is>
          <t>vB7am12</t>
        </is>
      </c>
      <c r="B373" s="1" t="inlineStr">
        <is>
          <t>數值</t>
        </is>
      </c>
      <c r="C373" s="1" t="n">
        <v>2</v>
      </c>
      <c r="D373" s="1">
        <f>IF(B373="數值","F","A")</f>
        <v/>
      </c>
      <c r="E373" s="1">
        <f>A373&amp;" "&amp;D373&amp;C373</f>
        <v/>
      </c>
    </row>
    <row r="374">
      <c r="A374" s="1" t="inlineStr">
        <is>
          <t>vB7am13</t>
        </is>
      </c>
      <c r="B374" s="1" t="inlineStr">
        <is>
          <t>數值</t>
        </is>
      </c>
      <c r="C374" s="1" t="n">
        <v>2</v>
      </c>
      <c r="D374" s="1">
        <f>IF(B374="數值","F","A")</f>
        <v/>
      </c>
      <c r="E374" s="1">
        <f>A374&amp;" "&amp;D374&amp;C374</f>
        <v/>
      </c>
    </row>
    <row r="375">
      <c r="A375" s="1" t="inlineStr">
        <is>
          <t>vB7am14</t>
        </is>
      </c>
      <c r="B375" s="1" t="inlineStr">
        <is>
          <t>數值</t>
        </is>
      </c>
      <c r="C375" s="1" t="n">
        <v>2</v>
      </c>
      <c r="D375" s="1">
        <f>IF(B375="數值","F","A")</f>
        <v/>
      </c>
      <c r="E375" s="1">
        <f>A375&amp;" "&amp;D375&amp;C375</f>
        <v/>
      </c>
    </row>
    <row r="376">
      <c r="A376" s="1" t="inlineStr">
        <is>
          <t>vB7am15</t>
        </is>
      </c>
      <c r="B376" s="1" t="inlineStr">
        <is>
          <t>數值</t>
        </is>
      </c>
      <c r="C376" s="1" t="n">
        <v>2</v>
      </c>
      <c r="D376" s="1">
        <f>IF(B376="數值","F","A")</f>
        <v/>
      </c>
      <c r="E376" s="1">
        <f>A376&amp;" "&amp;D376&amp;C376</f>
        <v/>
      </c>
    </row>
    <row r="377">
      <c r="A377" s="1" t="inlineStr">
        <is>
          <t>vB7am16</t>
        </is>
      </c>
      <c r="B377" s="1" t="inlineStr">
        <is>
          <t>數值</t>
        </is>
      </c>
      <c r="C377" s="1" t="n">
        <v>2</v>
      </c>
      <c r="D377" s="1">
        <f>IF(B377="數值","F","A")</f>
        <v/>
      </c>
      <c r="E377" s="1">
        <f>A377&amp;" "&amp;D377&amp;C377</f>
        <v/>
      </c>
    </row>
    <row r="378">
      <c r="A378" s="1" t="inlineStr">
        <is>
          <t>vB7am17</t>
        </is>
      </c>
      <c r="B378" s="1" t="inlineStr">
        <is>
          <t>數值</t>
        </is>
      </c>
      <c r="C378" s="1" t="n">
        <v>2</v>
      </c>
      <c r="D378" s="1">
        <f>IF(B378="數值","F","A")</f>
        <v/>
      </c>
      <c r="E378" s="1">
        <f>A378&amp;" "&amp;D378&amp;C378</f>
        <v/>
      </c>
    </row>
    <row r="379">
      <c r="A379" s="1" t="inlineStr">
        <is>
          <t>vB7am18</t>
        </is>
      </c>
      <c r="B379" s="1" t="inlineStr">
        <is>
          <t>數值</t>
        </is>
      </c>
      <c r="C379" s="1" t="n">
        <v>2</v>
      </c>
      <c r="D379" s="1">
        <f>IF(B379="數值","F","A")</f>
        <v/>
      </c>
      <c r="E379" s="1">
        <f>A379&amp;" "&amp;D379&amp;C379</f>
        <v/>
      </c>
    </row>
    <row r="380">
      <c r="A380" s="1" t="inlineStr">
        <is>
          <t>vB7am19</t>
        </is>
      </c>
      <c r="B380" s="1" t="inlineStr">
        <is>
          <t>數值</t>
        </is>
      </c>
      <c r="C380" s="1" t="n">
        <v>2</v>
      </c>
      <c r="D380" s="1">
        <f>IF(B380="數值","F","A")</f>
        <v/>
      </c>
      <c r="E380" s="1">
        <f>A380&amp;" "&amp;D380&amp;C380</f>
        <v/>
      </c>
    </row>
    <row r="381">
      <c r="A381" s="1" t="inlineStr">
        <is>
          <t>vB7am20</t>
        </is>
      </c>
      <c r="B381" s="1" t="inlineStr">
        <is>
          <t>數值</t>
        </is>
      </c>
      <c r="C381" s="1" t="n">
        <v>2</v>
      </c>
      <c r="D381" s="1">
        <f>IF(B381="數值","F","A")</f>
        <v/>
      </c>
      <c r="E381" s="1">
        <f>A381&amp;" "&amp;D381&amp;C381</f>
        <v/>
      </c>
    </row>
    <row r="382">
      <c r="A382" s="1" t="inlineStr">
        <is>
          <t>vB7am21</t>
        </is>
      </c>
      <c r="B382" s="1" t="inlineStr">
        <is>
          <t>數值</t>
        </is>
      </c>
      <c r="C382" s="1" t="n">
        <v>2</v>
      </c>
      <c r="D382" s="1">
        <f>IF(B382="數值","F","A")</f>
        <v/>
      </c>
      <c r="E382" s="1">
        <f>A382&amp;" "&amp;D382&amp;C382</f>
        <v/>
      </c>
    </row>
    <row r="383">
      <c r="A383" s="1" t="inlineStr">
        <is>
          <t>vB7am22</t>
        </is>
      </c>
      <c r="B383" s="1" t="inlineStr">
        <is>
          <t>數值</t>
        </is>
      </c>
      <c r="C383" s="1" t="n">
        <v>2</v>
      </c>
      <c r="D383" s="1">
        <f>IF(B383="數值","F","A")</f>
        <v/>
      </c>
      <c r="E383" s="1">
        <f>A383&amp;" "&amp;D383&amp;C383</f>
        <v/>
      </c>
    </row>
    <row r="384">
      <c r="A384" s="1" t="inlineStr">
        <is>
          <t>vB7am23</t>
        </is>
      </c>
      <c r="B384" s="1" t="inlineStr">
        <is>
          <t>數值</t>
        </is>
      </c>
      <c r="C384" s="1" t="n">
        <v>2</v>
      </c>
      <c r="D384" s="1">
        <f>IF(B384="數值","F","A")</f>
        <v/>
      </c>
      <c r="E384" s="1">
        <f>A384&amp;" "&amp;D384&amp;C384</f>
        <v/>
      </c>
    </row>
    <row r="385">
      <c r="A385" s="1" t="inlineStr">
        <is>
          <t>vB7am24</t>
        </is>
      </c>
      <c r="B385" s="1" t="inlineStr">
        <is>
          <t>數值</t>
        </is>
      </c>
      <c r="C385" s="1" t="n">
        <v>2</v>
      </c>
      <c r="D385" s="1">
        <f>IF(B385="數值","F","A")</f>
        <v/>
      </c>
      <c r="E385" s="1">
        <f>A385&amp;" "&amp;D385&amp;C385</f>
        <v/>
      </c>
    </row>
    <row r="386">
      <c r="A386" s="1" t="inlineStr">
        <is>
          <t>vB7am25</t>
        </is>
      </c>
      <c r="B386" s="1" t="inlineStr">
        <is>
          <t>數值</t>
        </is>
      </c>
      <c r="C386" s="1" t="n">
        <v>2</v>
      </c>
      <c r="D386" s="1">
        <f>IF(B386="數值","F","A")</f>
        <v/>
      </c>
      <c r="E386" s="1">
        <f>A386&amp;" "&amp;D386&amp;C386</f>
        <v/>
      </c>
    </row>
    <row r="387">
      <c r="A387" s="1" t="inlineStr">
        <is>
          <t>vB7am26</t>
        </is>
      </c>
      <c r="B387" s="1" t="inlineStr">
        <is>
          <t>數值</t>
        </is>
      </c>
      <c r="C387" s="1" t="n">
        <v>2</v>
      </c>
      <c r="D387" s="1">
        <f>IF(B387="數值","F","A")</f>
        <v/>
      </c>
      <c r="E387" s="1">
        <f>A387&amp;" "&amp;D387&amp;C387</f>
        <v/>
      </c>
    </row>
    <row r="388">
      <c r="A388" s="1" t="inlineStr">
        <is>
          <t>vB7am27</t>
        </is>
      </c>
      <c r="B388" s="1" t="inlineStr">
        <is>
          <t>數值</t>
        </is>
      </c>
      <c r="C388" s="1" t="n">
        <v>2</v>
      </c>
      <c r="D388" s="1">
        <f>IF(B388="數值","F","A")</f>
        <v/>
      </c>
      <c r="E388" s="1">
        <f>A388&amp;" "&amp;D388&amp;C388</f>
        <v/>
      </c>
    </row>
    <row r="389">
      <c r="A389" s="1" t="inlineStr">
        <is>
          <t>vB7am28</t>
        </is>
      </c>
      <c r="B389" s="1" t="inlineStr">
        <is>
          <t>數值</t>
        </is>
      </c>
      <c r="C389" s="1" t="n">
        <v>2</v>
      </c>
      <c r="D389" s="1">
        <f>IF(B389="數值","F","A")</f>
        <v/>
      </c>
      <c r="E389" s="1">
        <f>A389&amp;" "&amp;D389&amp;C389</f>
        <v/>
      </c>
    </row>
    <row r="390">
      <c r="A390" s="1" t="inlineStr">
        <is>
          <t>vB7am29</t>
        </is>
      </c>
      <c r="B390" s="1" t="inlineStr">
        <is>
          <t>數值</t>
        </is>
      </c>
      <c r="C390" s="1" t="n">
        <v>2</v>
      </c>
      <c r="D390" s="1">
        <f>IF(B390="數值","F","A")</f>
        <v/>
      </c>
      <c r="E390" s="1">
        <f>A390&amp;" "&amp;D390&amp;C390</f>
        <v/>
      </c>
    </row>
    <row r="391">
      <c r="A391" s="1" t="inlineStr">
        <is>
          <t>vB7am30</t>
        </is>
      </c>
      <c r="B391" s="1" t="inlineStr">
        <is>
          <t>數值</t>
        </is>
      </c>
      <c r="C391" s="1" t="n">
        <v>2</v>
      </c>
      <c r="D391" s="1">
        <f>IF(B391="數值","F","A")</f>
        <v/>
      </c>
      <c r="E391" s="1">
        <f>A391&amp;" "&amp;D391&amp;C391</f>
        <v/>
      </c>
    </row>
    <row r="392">
      <c r="A392" s="1" t="inlineStr">
        <is>
          <t>vB7am31</t>
        </is>
      </c>
      <c r="B392" s="1" t="inlineStr">
        <is>
          <t>數值</t>
        </is>
      </c>
      <c r="C392" s="1" t="n">
        <v>2</v>
      </c>
      <c r="D392" s="1">
        <f>IF(B392="數值","F","A")</f>
        <v/>
      </c>
      <c r="E392" s="1">
        <f>A392&amp;" "&amp;D392&amp;C392</f>
        <v/>
      </c>
    </row>
    <row r="393">
      <c r="A393" s="1" t="inlineStr">
        <is>
          <t>vB7am32</t>
        </is>
      </c>
      <c r="B393" s="1" t="inlineStr">
        <is>
          <t>數值</t>
        </is>
      </c>
      <c r="C393" s="1" t="n">
        <v>2</v>
      </c>
      <c r="D393" s="1">
        <f>IF(B393="數值","F","A")</f>
        <v/>
      </c>
      <c r="E393" s="1">
        <f>A393&amp;" "&amp;D393&amp;C393</f>
        <v/>
      </c>
    </row>
    <row r="394">
      <c r="A394" s="1" t="inlineStr">
        <is>
          <t>vB7am33</t>
        </is>
      </c>
      <c r="B394" s="1" t="inlineStr">
        <is>
          <t>數值</t>
        </is>
      </c>
      <c r="C394" s="1" t="n">
        <v>2</v>
      </c>
      <c r="D394" s="1">
        <f>IF(B394="數值","F","A")</f>
        <v/>
      </c>
      <c r="E394" s="1">
        <f>A394&amp;" "&amp;D394&amp;C394</f>
        <v/>
      </c>
    </row>
    <row r="395">
      <c r="A395" s="1" t="inlineStr">
        <is>
          <t>vB7am34</t>
        </is>
      </c>
      <c r="B395" s="1" t="inlineStr">
        <is>
          <t>數值</t>
        </is>
      </c>
      <c r="C395" s="1" t="n">
        <v>2</v>
      </c>
      <c r="D395" s="1">
        <f>IF(B395="數值","F","A")</f>
        <v/>
      </c>
      <c r="E395" s="1">
        <f>A395&amp;" "&amp;D395&amp;C395</f>
        <v/>
      </c>
    </row>
    <row r="396">
      <c r="A396" s="1" t="inlineStr">
        <is>
          <t>vB7am35</t>
        </is>
      </c>
      <c r="B396" s="1" t="inlineStr">
        <is>
          <t>數值</t>
        </is>
      </c>
      <c r="C396" s="1" t="n">
        <v>2</v>
      </c>
      <c r="D396" s="1">
        <f>IF(B396="數值","F","A")</f>
        <v/>
      </c>
      <c r="E396" s="1">
        <f>A396&amp;" "&amp;D396&amp;C396</f>
        <v/>
      </c>
    </row>
    <row r="397">
      <c r="A397" s="1" t="inlineStr">
        <is>
          <t>vB7am36</t>
        </is>
      </c>
      <c r="B397" s="1" t="inlineStr">
        <is>
          <t>數值</t>
        </is>
      </c>
      <c r="C397" s="1" t="n">
        <v>2</v>
      </c>
      <c r="D397" s="1">
        <f>IF(B397="數值","F","A")</f>
        <v/>
      </c>
      <c r="E397" s="1">
        <f>A397&amp;" "&amp;D397&amp;C397</f>
        <v/>
      </c>
    </row>
    <row r="398">
      <c r="A398" s="1" t="inlineStr">
        <is>
          <t>vB7am37</t>
        </is>
      </c>
      <c r="B398" s="1" t="inlineStr">
        <is>
          <t>數值</t>
        </is>
      </c>
      <c r="C398" s="1" t="n">
        <v>2</v>
      </c>
      <c r="D398" s="1">
        <f>IF(B398="數值","F","A")</f>
        <v/>
      </c>
      <c r="E398" s="1">
        <f>A398&amp;" "&amp;D398&amp;C398</f>
        <v/>
      </c>
    </row>
    <row r="399">
      <c r="A399" s="1" t="inlineStr">
        <is>
          <t>vB7am38</t>
        </is>
      </c>
      <c r="B399" s="1" t="inlineStr">
        <is>
          <t>數值</t>
        </is>
      </c>
      <c r="C399" s="1" t="n">
        <v>2</v>
      </c>
      <c r="D399" s="1">
        <f>IF(B399="數值","F","A")</f>
        <v/>
      </c>
      <c r="E399" s="1">
        <f>A399&amp;" "&amp;D399&amp;C399</f>
        <v/>
      </c>
    </row>
    <row r="400">
      <c r="A400" s="1" t="inlineStr">
        <is>
          <t>vB7am39</t>
        </is>
      </c>
      <c r="B400" s="1" t="inlineStr">
        <is>
          <t>數值</t>
        </is>
      </c>
      <c r="C400" s="1" t="n">
        <v>2</v>
      </c>
      <c r="D400" s="1">
        <f>IF(B400="數值","F","A")</f>
        <v/>
      </c>
      <c r="E400" s="1">
        <f>A400&amp;" "&amp;D400&amp;C400</f>
        <v/>
      </c>
    </row>
    <row r="401">
      <c r="A401" s="1" t="inlineStr">
        <is>
          <t>vB7am40</t>
        </is>
      </c>
      <c r="B401" s="1" t="inlineStr">
        <is>
          <t>數值</t>
        </is>
      </c>
      <c r="C401" s="1" t="n">
        <v>2</v>
      </c>
      <c r="D401" s="1">
        <f>IF(B401="數值","F","A")</f>
        <v/>
      </c>
      <c r="E401" s="1">
        <f>A401&amp;" "&amp;D401&amp;C401</f>
        <v/>
      </c>
    </row>
    <row r="402">
      <c r="A402" s="1" t="inlineStr">
        <is>
          <t>vB7am41</t>
        </is>
      </c>
      <c r="B402" s="1" t="inlineStr">
        <is>
          <t>數值</t>
        </is>
      </c>
      <c r="C402" s="1" t="n">
        <v>2</v>
      </c>
      <c r="D402" s="1">
        <f>IF(B402="數值","F","A")</f>
        <v/>
      </c>
      <c r="E402" s="1">
        <f>A402&amp;" "&amp;D402&amp;C402</f>
        <v/>
      </c>
    </row>
    <row r="403">
      <c r="A403" s="1" t="inlineStr">
        <is>
          <t>vB7am42</t>
        </is>
      </c>
      <c r="B403" s="1" t="inlineStr">
        <is>
          <t>數值</t>
        </is>
      </c>
      <c r="C403" s="1" t="n">
        <v>2</v>
      </c>
      <c r="D403" s="1">
        <f>IF(B403="數值","F","A")</f>
        <v/>
      </c>
      <c r="E403" s="1">
        <f>A403&amp;" "&amp;D403&amp;C403</f>
        <v/>
      </c>
    </row>
    <row r="404">
      <c r="A404" s="1" t="inlineStr">
        <is>
          <t>vB7am43</t>
        </is>
      </c>
      <c r="B404" s="1" t="inlineStr">
        <is>
          <t>數值</t>
        </is>
      </c>
      <c r="C404" s="1" t="n">
        <v>2</v>
      </c>
      <c r="D404" s="1">
        <f>IF(B404="數值","F","A")</f>
        <v/>
      </c>
      <c r="E404" s="1">
        <f>A404&amp;" "&amp;D404&amp;C404</f>
        <v/>
      </c>
    </row>
    <row r="405">
      <c r="A405" s="1" t="inlineStr">
        <is>
          <t>vB7am44</t>
        </is>
      </c>
      <c r="B405" s="1" t="inlineStr">
        <is>
          <t>數值</t>
        </is>
      </c>
      <c r="C405" s="1" t="n">
        <v>2</v>
      </c>
      <c r="D405" s="1">
        <f>IF(B405="數值","F","A")</f>
        <v/>
      </c>
      <c r="E405" s="1">
        <f>A405&amp;" "&amp;D405&amp;C405</f>
        <v/>
      </c>
    </row>
    <row r="406">
      <c r="A406" s="1" t="inlineStr">
        <is>
          <t>vB7am45</t>
        </is>
      </c>
      <c r="B406" s="1" t="inlineStr">
        <is>
          <t>數值</t>
        </is>
      </c>
      <c r="C406" s="1" t="n">
        <v>2</v>
      </c>
      <c r="D406" s="1">
        <f>IF(B406="數值","F","A")</f>
        <v/>
      </c>
      <c r="E406" s="1">
        <f>A406&amp;" "&amp;D406&amp;C406</f>
        <v/>
      </c>
    </row>
    <row r="407">
      <c r="A407" s="1" t="inlineStr">
        <is>
          <t>vB7am46</t>
        </is>
      </c>
      <c r="B407" s="1" t="inlineStr">
        <is>
          <t>數值</t>
        </is>
      </c>
      <c r="C407" s="1" t="n">
        <v>2</v>
      </c>
      <c r="D407" s="1">
        <f>IF(B407="數值","F","A")</f>
        <v/>
      </c>
      <c r="E407" s="1">
        <f>A407&amp;" "&amp;D407&amp;C407</f>
        <v/>
      </c>
    </row>
    <row r="408">
      <c r="A408" s="1" t="inlineStr">
        <is>
          <t>vB7am47</t>
        </is>
      </c>
      <c r="B408" s="1" t="inlineStr">
        <is>
          <t>數值</t>
        </is>
      </c>
      <c r="C408" s="1" t="n">
        <v>2</v>
      </c>
      <c r="D408" s="1">
        <f>IF(B408="數值","F","A")</f>
        <v/>
      </c>
      <c r="E408" s="1">
        <f>A408&amp;" "&amp;D408&amp;C408</f>
        <v/>
      </c>
    </row>
    <row r="409">
      <c r="A409" s="1" t="inlineStr">
        <is>
          <t>vB7am48</t>
        </is>
      </c>
      <c r="B409" s="1" t="inlineStr">
        <is>
          <t>數值</t>
        </is>
      </c>
      <c r="C409" s="1" t="n">
        <v>2</v>
      </c>
      <c r="D409" s="1">
        <f>IF(B409="數值","F","A")</f>
        <v/>
      </c>
      <c r="E409" s="1">
        <f>A409&amp;" "&amp;D409&amp;C409</f>
        <v/>
      </c>
    </row>
    <row r="410">
      <c r="A410" s="1" t="inlineStr">
        <is>
          <t>vB7am49</t>
        </is>
      </c>
      <c r="B410" s="1" t="inlineStr">
        <is>
          <t>數值</t>
        </is>
      </c>
      <c r="C410" s="1" t="n">
        <v>2</v>
      </c>
      <c r="D410" s="1">
        <f>IF(B410="數值","F","A")</f>
        <v/>
      </c>
      <c r="E410" s="1">
        <f>A410&amp;" "&amp;D410&amp;C410</f>
        <v/>
      </c>
    </row>
    <row r="411">
      <c r="A411" s="1" t="inlineStr">
        <is>
          <t>vB7am50</t>
        </is>
      </c>
      <c r="B411" s="1" t="inlineStr">
        <is>
          <t>數值</t>
        </is>
      </c>
      <c r="C411" s="1" t="n">
        <v>2</v>
      </c>
      <c r="D411" s="1">
        <f>IF(B411="數值","F","A")</f>
        <v/>
      </c>
      <c r="E411" s="1">
        <f>A411&amp;" "&amp;D411&amp;C411</f>
        <v/>
      </c>
    </row>
    <row r="412">
      <c r="A412" s="1" t="inlineStr">
        <is>
          <t>vB7am51</t>
        </is>
      </c>
      <c r="B412" s="1" t="inlineStr">
        <is>
          <t>數值</t>
        </is>
      </c>
      <c r="C412" s="1" t="n">
        <v>2</v>
      </c>
      <c r="D412" s="1">
        <f>IF(B412="數值","F","A")</f>
        <v/>
      </c>
      <c r="E412" s="1">
        <f>A412&amp;" "&amp;D412&amp;C412</f>
        <v/>
      </c>
    </row>
    <row r="413">
      <c r="A413" s="1" t="inlineStr">
        <is>
          <t>vB7am52</t>
        </is>
      </c>
      <c r="B413" s="1" t="inlineStr">
        <is>
          <t>數值</t>
        </is>
      </c>
      <c r="C413" s="1" t="n">
        <v>2</v>
      </c>
      <c r="D413" s="1">
        <f>IF(B413="數值","F","A")</f>
        <v/>
      </c>
      <c r="E413" s="1">
        <f>A413&amp;" "&amp;D413&amp;C413</f>
        <v/>
      </c>
    </row>
    <row r="414">
      <c r="A414" s="1" t="inlineStr">
        <is>
          <t>vB7am53</t>
        </is>
      </c>
      <c r="B414" s="1" t="inlineStr">
        <is>
          <t>數值</t>
        </is>
      </c>
      <c r="C414" s="1" t="n">
        <v>2</v>
      </c>
      <c r="D414" s="1">
        <f>IF(B414="數值","F","A")</f>
        <v/>
      </c>
      <c r="E414" s="1">
        <f>A414&amp;" "&amp;D414&amp;C414</f>
        <v/>
      </c>
    </row>
    <row r="415">
      <c r="A415" s="1" t="inlineStr">
        <is>
          <t>vB7am54</t>
        </is>
      </c>
      <c r="B415" s="1" t="inlineStr">
        <is>
          <t>數值</t>
        </is>
      </c>
      <c r="C415" s="1" t="n">
        <v>2</v>
      </c>
      <c r="D415" s="1">
        <f>IF(B415="數值","F","A")</f>
        <v/>
      </c>
      <c r="E415" s="1">
        <f>A415&amp;" "&amp;D415&amp;C415</f>
        <v/>
      </c>
    </row>
    <row r="416">
      <c r="A416" s="1" t="inlineStr">
        <is>
          <t>vB7am88</t>
        </is>
      </c>
      <c r="B416" s="1" t="inlineStr">
        <is>
          <t>數值</t>
        </is>
      </c>
      <c r="C416" s="1" t="n">
        <v>2</v>
      </c>
      <c r="D416" s="1">
        <f>IF(B416="數值","F","A")</f>
        <v/>
      </c>
      <c r="E416" s="1">
        <f>A416&amp;" "&amp;D416&amp;C416</f>
        <v/>
      </c>
    </row>
    <row r="417">
      <c r="A417" s="1" t="inlineStr">
        <is>
          <t>vB7ao88</t>
        </is>
      </c>
      <c r="B417" s="1" t="inlineStr">
        <is>
          <t>字串</t>
        </is>
      </c>
      <c r="C417" s="1" t="n">
        <v>150</v>
      </c>
      <c r="D417" s="1">
        <f>IF(B417="數值","F","A")</f>
        <v/>
      </c>
      <c r="E417" s="1">
        <f>A417&amp;" "&amp;D417&amp;C417</f>
        <v/>
      </c>
    </row>
    <row r="418">
      <c r="A418" s="1" t="inlineStr">
        <is>
          <t>vB7</t>
        </is>
      </c>
      <c r="B418" s="1" t="inlineStr">
        <is>
          <t>數值</t>
        </is>
      </c>
      <c r="C418" s="1" t="n">
        <v>2</v>
      </c>
      <c r="D418" s="1">
        <f>IF(B418="數值","F","A")</f>
        <v/>
      </c>
      <c r="E418" s="1">
        <f>A418&amp;" "&amp;D418&amp;C418</f>
        <v/>
      </c>
    </row>
    <row r="419">
      <c r="A419" s="1" t="inlineStr">
        <is>
          <t>vB7o88</t>
        </is>
      </c>
      <c r="B419" s="1" t="inlineStr">
        <is>
          <t>字串</t>
        </is>
      </c>
      <c r="C419" s="1" t="n">
        <v>150</v>
      </c>
      <c r="D419" s="1">
        <f>IF(B419="數值","F","A")</f>
        <v/>
      </c>
      <c r="E419" s="1">
        <f>A419&amp;" "&amp;D419&amp;C419</f>
        <v/>
      </c>
    </row>
    <row r="420">
      <c r="A420" s="1" t="inlineStr">
        <is>
          <t>vB8m01</t>
        </is>
      </c>
      <c r="B420" s="1" t="inlineStr">
        <is>
          <t>數值</t>
        </is>
      </c>
      <c r="C420" s="1" t="n">
        <v>2</v>
      </c>
      <c r="D420" s="1">
        <f>IF(B420="數值","F","A")</f>
        <v/>
      </c>
      <c r="E420" s="1">
        <f>A420&amp;" "&amp;D420&amp;C420</f>
        <v/>
      </c>
    </row>
    <row r="421">
      <c r="A421" s="1" t="inlineStr">
        <is>
          <t>vB8m02</t>
        </is>
      </c>
      <c r="B421" s="1" t="inlineStr">
        <is>
          <t>數值</t>
        </is>
      </c>
      <c r="C421" s="1" t="n">
        <v>2</v>
      </c>
      <c r="D421" s="1">
        <f>IF(B421="數值","F","A")</f>
        <v/>
      </c>
      <c r="E421" s="1">
        <f>A421&amp;" "&amp;D421&amp;C421</f>
        <v/>
      </c>
    </row>
    <row r="422">
      <c r="A422" s="1" t="inlineStr">
        <is>
          <t>vB8m03</t>
        </is>
      </c>
      <c r="B422" s="1" t="inlineStr">
        <is>
          <t>數值</t>
        </is>
      </c>
      <c r="C422" s="1" t="n">
        <v>2</v>
      </c>
      <c r="D422" s="1">
        <f>IF(B422="數值","F","A")</f>
        <v/>
      </c>
      <c r="E422" s="1">
        <f>A422&amp;" "&amp;D422&amp;C422</f>
        <v/>
      </c>
    </row>
    <row r="423">
      <c r="A423" s="1" t="inlineStr">
        <is>
          <t>vB8m04</t>
        </is>
      </c>
      <c r="B423" s="1" t="inlineStr">
        <is>
          <t>數值</t>
        </is>
      </c>
      <c r="C423" s="1" t="n">
        <v>2</v>
      </c>
      <c r="D423" s="1">
        <f>IF(B423="數值","F","A")</f>
        <v/>
      </c>
      <c r="E423" s="1">
        <f>A423&amp;" "&amp;D423&amp;C423</f>
        <v/>
      </c>
    </row>
    <row r="424">
      <c r="A424" s="1" t="inlineStr">
        <is>
          <t>vB8m05</t>
        </is>
      </c>
      <c r="B424" s="1" t="inlineStr">
        <is>
          <t>數值</t>
        </is>
      </c>
      <c r="C424" s="1" t="n">
        <v>2</v>
      </c>
      <c r="D424" s="1">
        <f>IF(B424="數值","F","A")</f>
        <v/>
      </c>
      <c r="E424" s="1">
        <f>A424&amp;" "&amp;D424&amp;C424</f>
        <v/>
      </c>
    </row>
    <row r="425">
      <c r="A425" s="1" t="inlineStr">
        <is>
          <t>vB8m06</t>
        </is>
      </c>
      <c r="B425" s="1" t="inlineStr">
        <is>
          <t>數值</t>
        </is>
      </c>
      <c r="C425" s="1" t="n">
        <v>2</v>
      </c>
      <c r="D425" s="1">
        <f>IF(B425="數值","F","A")</f>
        <v/>
      </c>
      <c r="E425" s="1">
        <f>A425&amp;" "&amp;D425&amp;C425</f>
        <v/>
      </c>
    </row>
    <row r="426">
      <c r="A426" s="1" t="inlineStr">
        <is>
          <t>vB8m07</t>
        </is>
      </c>
      <c r="B426" s="1" t="inlineStr">
        <is>
          <t>數值</t>
        </is>
      </c>
      <c r="C426" s="1" t="n">
        <v>2</v>
      </c>
      <c r="D426" s="1">
        <f>IF(B426="數值","F","A")</f>
        <v/>
      </c>
      <c r="E426" s="1">
        <f>A426&amp;" "&amp;D426&amp;C426</f>
        <v/>
      </c>
    </row>
    <row r="427">
      <c r="A427" s="1" t="inlineStr">
        <is>
          <t>vB8m08</t>
        </is>
      </c>
      <c r="B427" s="1" t="inlineStr">
        <is>
          <t>數值</t>
        </is>
      </c>
      <c r="C427" s="1" t="n">
        <v>2</v>
      </c>
      <c r="D427" s="1">
        <f>IF(B427="數值","F","A")</f>
        <v/>
      </c>
      <c r="E427" s="1">
        <f>A427&amp;" "&amp;D427&amp;C427</f>
        <v/>
      </c>
    </row>
    <row r="428">
      <c r="A428" s="1" t="inlineStr">
        <is>
          <t>vB8m09</t>
        </is>
      </c>
      <c r="B428" s="1" t="inlineStr">
        <is>
          <t>數值</t>
        </is>
      </c>
      <c r="C428" s="1" t="n">
        <v>2</v>
      </c>
      <c r="D428" s="1">
        <f>IF(B428="數值","F","A")</f>
        <v/>
      </c>
      <c r="E428" s="1">
        <f>A428&amp;" "&amp;D428&amp;C428</f>
        <v/>
      </c>
    </row>
    <row r="429">
      <c r="A429" s="1" t="inlineStr">
        <is>
          <t>vB8m10</t>
        </is>
      </c>
      <c r="B429" s="1" t="inlineStr">
        <is>
          <t>數值</t>
        </is>
      </c>
      <c r="C429" s="1" t="n">
        <v>2</v>
      </c>
      <c r="D429" s="1">
        <f>IF(B429="數值","F","A")</f>
        <v/>
      </c>
      <c r="E429" s="1">
        <f>A429&amp;" "&amp;D429&amp;C429</f>
        <v/>
      </c>
    </row>
    <row r="430">
      <c r="A430" s="1" t="inlineStr">
        <is>
          <t>vB8m88</t>
        </is>
      </c>
      <c r="B430" s="1" t="inlineStr">
        <is>
          <t>數值</t>
        </is>
      </c>
      <c r="C430" s="1" t="n">
        <v>2</v>
      </c>
      <c r="D430" s="1">
        <f>IF(B430="數值","F","A")</f>
        <v/>
      </c>
      <c r="E430" s="1">
        <f>A430&amp;" "&amp;D430&amp;C430</f>
        <v/>
      </c>
    </row>
    <row r="431">
      <c r="A431" s="1" t="inlineStr">
        <is>
          <t>vB8o88</t>
        </is>
      </c>
      <c r="B431" s="1" t="inlineStr">
        <is>
          <t>字串</t>
        </is>
      </c>
      <c r="C431" s="1" t="n">
        <v>150</v>
      </c>
      <c r="D431" s="1">
        <f>IF(B431="數值","F","A")</f>
        <v/>
      </c>
      <c r="E431" s="1">
        <f>A431&amp;" "&amp;D431&amp;C431</f>
        <v/>
      </c>
    </row>
    <row r="432">
      <c r="A432" s="1" t="inlineStr">
        <is>
          <t>vI1</t>
        </is>
      </c>
      <c r="B432" s="1" t="inlineStr">
        <is>
          <t>數值</t>
        </is>
      </c>
      <c r="C432" s="1" t="n">
        <v>4</v>
      </c>
      <c r="D432" s="1">
        <f>IF(B432="數值","F","A")</f>
        <v/>
      </c>
      <c r="E432" s="1">
        <f>A432&amp;" "&amp;D432&amp;C432</f>
        <v/>
      </c>
    </row>
    <row r="433">
      <c r="A433" s="1" t="inlineStr">
        <is>
          <t>vI2</t>
        </is>
      </c>
      <c r="B433" s="1" t="inlineStr">
        <is>
          <t>數值</t>
        </is>
      </c>
      <c r="C433" s="1" t="n">
        <v>5</v>
      </c>
      <c r="D433" s="1">
        <f>IF(B433="數值","F","A")</f>
        <v/>
      </c>
      <c r="E433" s="1">
        <f>A433&amp;" "&amp;D433&amp;C433</f>
        <v/>
      </c>
    </row>
    <row r="434">
      <c r="A434" s="1" t="inlineStr">
        <is>
          <t>vI3</t>
        </is>
      </c>
      <c r="B434" s="1" t="inlineStr">
        <is>
          <t>數值</t>
        </is>
      </c>
      <c r="C434" s="1" t="n">
        <v>4</v>
      </c>
      <c r="D434" s="1">
        <f>IF(B434="數值","F","A")</f>
        <v/>
      </c>
      <c r="E434" s="1">
        <f>A434&amp;" "&amp;D434&amp;C434</f>
        <v/>
      </c>
    </row>
    <row r="435">
      <c r="A435" s="1" t="inlineStr">
        <is>
          <t>vI4</t>
        </is>
      </c>
      <c r="B435" s="1" t="inlineStr">
        <is>
          <t>數值</t>
        </is>
      </c>
      <c r="C435" s="1" t="n">
        <v>5</v>
      </c>
      <c r="D435" s="1">
        <f>IF(B435="數值","F","A")</f>
        <v/>
      </c>
      <c r="E435" s="1">
        <f>A435&amp;" "&amp;D435&amp;C435</f>
        <v/>
      </c>
    </row>
    <row r="436">
      <c r="A436" s="1" t="inlineStr">
        <is>
          <t>vCKI4</t>
        </is>
      </c>
      <c r="B436" s="1" t="inlineStr">
        <is>
          <t>數值</t>
        </is>
      </c>
      <c r="C436" s="1" t="n">
        <v>2</v>
      </c>
      <c r="D436" s="1">
        <f>IF(B436="數值","F","A")</f>
        <v/>
      </c>
      <c r="E436" s="1">
        <f>A436&amp;" "&amp;D436&amp;C436</f>
        <v/>
      </c>
    </row>
    <row r="437">
      <c r="A437" s="1" t="inlineStr">
        <is>
          <t>vG1</t>
        </is>
      </c>
      <c r="B437" s="1" t="inlineStr">
        <is>
          <t>數值</t>
        </is>
      </c>
      <c r="C437" s="1" t="n">
        <v>4</v>
      </c>
      <c r="D437" s="1">
        <f>IF(B437="數值","F","A")</f>
        <v/>
      </c>
      <c r="E437" s="1">
        <f>A437&amp;" "&amp;D437&amp;C437</f>
        <v/>
      </c>
    </row>
    <row r="438">
      <c r="A438" s="1" t="inlineStr">
        <is>
          <t>vG2</t>
        </is>
      </c>
      <c r="B438" s="1" t="inlineStr">
        <is>
          <t>數值</t>
        </is>
      </c>
      <c r="C438" s="1" t="n">
        <v>5</v>
      </c>
      <c r="D438" s="1">
        <f>IF(B438="數值","F","A")</f>
        <v/>
      </c>
      <c r="E438" s="1">
        <f>A438&amp;" "&amp;D438&amp;C438</f>
        <v/>
      </c>
    </row>
    <row r="439">
      <c r="A439" s="1" t="inlineStr">
        <is>
          <t>vG3m01</t>
        </is>
      </c>
      <c r="B439" s="1" t="inlineStr">
        <is>
          <t>數值</t>
        </is>
      </c>
      <c r="C439" s="1" t="n">
        <v>2</v>
      </c>
      <c r="D439" s="1">
        <f>IF(B439="數值","F","A")</f>
        <v/>
      </c>
      <c r="E439" s="1">
        <f>A439&amp;" "&amp;D439&amp;C439</f>
        <v/>
      </c>
    </row>
    <row r="440">
      <c r="A440" s="1" t="inlineStr">
        <is>
          <t>vG3m02</t>
        </is>
      </c>
      <c r="B440" s="1" t="inlineStr">
        <is>
          <t>數值</t>
        </is>
      </c>
      <c r="C440" s="1" t="n">
        <v>2</v>
      </c>
      <c r="D440" s="1">
        <f>IF(B440="數值","F","A")</f>
        <v/>
      </c>
      <c r="E440" s="1">
        <f>A440&amp;" "&amp;D440&amp;C440</f>
        <v/>
      </c>
    </row>
    <row r="441">
      <c r="A441" s="1" t="inlineStr">
        <is>
          <t>vG3m03</t>
        </is>
      </c>
      <c r="B441" s="1" t="inlineStr">
        <is>
          <t>數值</t>
        </is>
      </c>
      <c r="C441" s="1" t="n">
        <v>2</v>
      </c>
      <c r="D441" s="1">
        <f>IF(B441="數值","F","A")</f>
        <v/>
      </c>
      <c r="E441" s="1">
        <f>A441&amp;" "&amp;D441&amp;C441</f>
        <v/>
      </c>
    </row>
    <row r="442">
      <c r="A442" s="1" t="inlineStr">
        <is>
          <t>vG3m04</t>
        </is>
      </c>
      <c r="B442" s="1" t="inlineStr">
        <is>
          <t>數值</t>
        </is>
      </c>
      <c r="C442" s="1" t="n">
        <v>2</v>
      </c>
      <c r="D442" s="1">
        <f>IF(B442="數值","F","A")</f>
        <v/>
      </c>
      <c r="E442" s="1">
        <f>A442&amp;" "&amp;D442&amp;C442</f>
        <v/>
      </c>
    </row>
    <row r="443">
      <c r="A443" s="1" t="inlineStr">
        <is>
          <t>vG3m05</t>
        </is>
      </c>
      <c r="B443" s="1" t="inlineStr">
        <is>
          <t>數值</t>
        </is>
      </c>
      <c r="C443" s="1" t="n">
        <v>2</v>
      </c>
      <c r="D443" s="1">
        <f>IF(B443="數值","F","A")</f>
        <v/>
      </c>
      <c r="E443" s="1">
        <f>A443&amp;" "&amp;D443&amp;C443</f>
        <v/>
      </c>
    </row>
    <row r="444">
      <c r="A444" s="1" t="inlineStr">
        <is>
          <t>vG3m06</t>
        </is>
      </c>
      <c r="B444" s="1" t="inlineStr">
        <is>
          <t>數值</t>
        </is>
      </c>
      <c r="C444" s="1" t="n">
        <v>2</v>
      </c>
      <c r="D444" s="1">
        <f>IF(B444="數值","F","A")</f>
        <v/>
      </c>
      <c r="E444" s="1">
        <f>A444&amp;" "&amp;D444&amp;C444</f>
        <v/>
      </c>
    </row>
    <row r="445">
      <c r="A445" s="1" t="inlineStr">
        <is>
          <t>vG3m07</t>
        </is>
      </c>
      <c r="B445" s="1" t="inlineStr">
        <is>
          <t>數值</t>
        </is>
      </c>
      <c r="C445" s="1" t="n">
        <v>2</v>
      </c>
      <c r="D445" s="1">
        <f>IF(B445="數值","F","A")</f>
        <v/>
      </c>
      <c r="E445" s="1">
        <f>A445&amp;" "&amp;D445&amp;C445</f>
        <v/>
      </c>
    </row>
    <row r="446">
      <c r="A446" s="1" t="inlineStr">
        <is>
          <t>vG3m08</t>
        </is>
      </c>
      <c r="B446" s="1" t="inlineStr">
        <is>
          <t>數值</t>
        </is>
      </c>
      <c r="C446" s="1" t="n">
        <v>2</v>
      </c>
      <c r="D446" s="1">
        <f>IF(B446="數值","F","A")</f>
        <v/>
      </c>
      <c r="E446" s="1">
        <f>A446&amp;" "&amp;D446&amp;C446</f>
        <v/>
      </c>
    </row>
    <row r="447">
      <c r="A447" s="1" t="inlineStr">
        <is>
          <t>vG3m09</t>
        </is>
      </c>
      <c r="B447" s="1" t="inlineStr">
        <is>
          <t>數值</t>
        </is>
      </c>
      <c r="C447" s="1" t="n">
        <v>2</v>
      </c>
      <c r="D447" s="1">
        <f>IF(B447="數值","F","A")</f>
        <v/>
      </c>
      <c r="E447" s="1">
        <f>A447&amp;" "&amp;D447&amp;C447</f>
        <v/>
      </c>
    </row>
    <row r="448">
      <c r="A448" s="1" t="inlineStr">
        <is>
          <t>vG3m10</t>
        </is>
      </c>
      <c r="B448" s="1" t="inlineStr">
        <is>
          <t>數值</t>
        </is>
      </c>
      <c r="C448" s="1" t="n">
        <v>2</v>
      </c>
      <c r="D448" s="1">
        <f>IF(B448="數值","F","A")</f>
        <v/>
      </c>
      <c r="E448" s="1">
        <f>A448&amp;" "&amp;D448&amp;C448</f>
        <v/>
      </c>
    </row>
    <row r="449">
      <c r="A449" s="1" t="inlineStr">
        <is>
          <t>vG3m11</t>
        </is>
      </c>
      <c r="B449" s="1" t="inlineStr">
        <is>
          <t>數值</t>
        </is>
      </c>
      <c r="C449" s="1" t="n">
        <v>2</v>
      </c>
      <c r="D449" s="1">
        <f>IF(B449="數值","F","A")</f>
        <v/>
      </c>
      <c r="E449" s="1">
        <f>A449&amp;" "&amp;D449&amp;C449</f>
        <v/>
      </c>
    </row>
    <row r="450">
      <c r="A450" s="1" t="inlineStr">
        <is>
          <t>vG3m12</t>
        </is>
      </c>
      <c r="B450" s="1" t="inlineStr">
        <is>
          <t>數值</t>
        </is>
      </c>
      <c r="C450" s="1" t="n">
        <v>2</v>
      </c>
      <c r="D450" s="1">
        <f>IF(B450="數值","F","A")</f>
        <v/>
      </c>
      <c r="E450" s="1">
        <f>A450&amp;" "&amp;D450&amp;C450</f>
        <v/>
      </c>
    </row>
    <row r="451">
      <c r="A451" s="1" t="inlineStr">
        <is>
          <t>vG3m13</t>
        </is>
      </c>
      <c r="B451" s="1" t="inlineStr">
        <is>
          <t>數值</t>
        </is>
      </c>
      <c r="C451" s="1" t="n">
        <v>2</v>
      </c>
      <c r="D451" s="1">
        <f>IF(B451="數值","F","A")</f>
        <v/>
      </c>
      <c r="E451" s="1">
        <f>A451&amp;" "&amp;D451&amp;C451</f>
        <v/>
      </c>
    </row>
    <row r="452">
      <c r="A452" s="1" t="inlineStr">
        <is>
          <t>vG3m14</t>
        </is>
      </c>
      <c r="B452" s="1" t="inlineStr">
        <is>
          <t>數值</t>
        </is>
      </c>
      <c r="C452" s="1" t="n">
        <v>2</v>
      </c>
      <c r="D452" s="1">
        <f>IF(B452="數值","F","A")</f>
        <v/>
      </c>
      <c r="E452" s="1">
        <f>A452&amp;" "&amp;D452&amp;C452</f>
        <v/>
      </c>
    </row>
    <row r="453">
      <c r="A453" s="1" t="inlineStr">
        <is>
          <t>vG3m15</t>
        </is>
      </c>
      <c r="B453" s="1" t="inlineStr">
        <is>
          <t>數值</t>
        </is>
      </c>
      <c r="C453" s="1" t="n">
        <v>2</v>
      </c>
      <c r="D453" s="1">
        <f>IF(B453="數值","F","A")</f>
        <v/>
      </c>
      <c r="E453" s="1">
        <f>A453&amp;" "&amp;D453&amp;C453</f>
        <v/>
      </c>
    </row>
    <row r="454">
      <c r="A454" s="1" t="inlineStr">
        <is>
          <t>vG3m16</t>
        </is>
      </c>
      <c r="B454" s="1" t="inlineStr">
        <is>
          <t>數值</t>
        </is>
      </c>
      <c r="C454" s="1" t="n">
        <v>2</v>
      </c>
      <c r="D454" s="1">
        <f>IF(B454="數值","F","A")</f>
        <v/>
      </c>
      <c r="E454" s="1">
        <f>A454&amp;" "&amp;D454&amp;C454</f>
        <v/>
      </c>
    </row>
    <row r="455">
      <c r="A455" s="1" t="inlineStr">
        <is>
          <t>vG3m18</t>
        </is>
      </c>
      <c r="B455" s="1" t="inlineStr">
        <is>
          <t>數值</t>
        </is>
      </c>
      <c r="C455" s="1" t="n">
        <v>2</v>
      </c>
      <c r="D455" s="1">
        <f>IF(B455="數值","F","A")</f>
        <v/>
      </c>
      <c r="E455" s="1">
        <f>A455&amp;" "&amp;D455&amp;C455</f>
        <v/>
      </c>
    </row>
    <row r="456">
      <c r="A456" s="1" t="inlineStr">
        <is>
          <t>vG3m19</t>
        </is>
      </c>
      <c r="B456" s="1" t="inlineStr">
        <is>
          <t>數值</t>
        </is>
      </c>
      <c r="C456" s="1" t="n">
        <v>2</v>
      </c>
      <c r="D456" s="1">
        <f>IF(B456="數值","F","A")</f>
        <v/>
      </c>
      <c r="E456" s="1">
        <f>A456&amp;" "&amp;D456&amp;C456</f>
        <v/>
      </c>
    </row>
    <row r="457">
      <c r="A457" s="1" t="inlineStr">
        <is>
          <t>vG3m20</t>
        </is>
      </c>
      <c r="B457" s="1" t="inlineStr">
        <is>
          <t>數值</t>
        </is>
      </c>
      <c r="C457" s="1" t="n">
        <v>2</v>
      </c>
      <c r="D457" s="1">
        <f>IF(B457="數值","F","A")</f>
        <v/>
      </c>
      <c r="E457" s="1">
        <f>A457&amp;" "&amp;D457&amp;C457</f>
        <v/>
      </c>
    </row>
    <row r="458">
      <c r="A458" s="1" t="inlineStr">
        <is>
          <t>vG3m21</t>
        </is>
      </c>
      <c r="B458" s="1" t="inlineStr">
        <is>
          <t>數值</t>
        </is>
      </c>
      <c r="C458" s="1" t="n">
        <v>2</v>
      </c>
      <c r="D458" s="1">
        <f>IF(B458="數值","F","A")</f>
        <v/>
      </c>
      <c r="E458" s="1">
        <f>A458&amp;" "&amp;D458&amp;C458</f>
        <v/>
      </c>
    </row>
    <row r="459">
      <c r="A459" s="1" t="inlineStr">
        <is>
          <t>vG3m22</t>
        </is>
      </c>
      <c r="B459" s="1" t="inlineStr">
        <is>
          <t>數值</t>
        </is>
      </c>
      <c r="C459" s="1" t="n">
        <v>2</v>
      </c>
      <c r="D459" s="1">
        <f>IF(B459="數值","F","A")</f>
        <v/>
      </c>
      <c r="E459" s="1">
        <f>A459&amp;" "&amp;D459&amp;C459</f>
        <v/>
      </c>
    </row>
    <row r="460">
      <c r="A460" s="1" t="inlineStr">
        <is>
          <t>vG3m23</t>
        </is>
      </c>
      <c r="B460" s="1" t="inlineStr">
        <is>
          <t>數值</t>
        </is>
      </c>
      <c r="C460" s="1" t="n">
        <v>2</v>
      </c>
      <c r="D460" s="1">
        <f>IF(B460="數值","F","A")</f>
        <v/>
      </c>
      <c r="E460" s="1">
        <f>A460&amp;" "&amp;D460&amp;C460</f>
        <v/>
      </c>
    </row>
    <row r="461">
      <c r="A461" s="1" t="inlineStr">
        <is>
          <t>vG3m24</t>
        </is>
      </c>
      <c r="B461" s="1" t="inlineStr">
        <is>
          <t>數值</t>
        </is>
      </c>
      <c r="C461" s="1" t="n">
        <v>2</v>
      </c>
      <c r="D461" s="1">
        <f>IF(B461="數值","F","A")</f>
        <v/>
      </c>
      <c r="E461" s="1">
        <f>A461&amp;" "&amp;D461&amp;C461</f>
        <v/>
      </c>
    </row>
    <row r="462">
      <c r="A462" s="1" t="inlineStr">
        <is>
          <t>vG3m25</t>
        </is>
      </c>
      <c r="B462" s="1" t="inlineStr">
        <is>
          <t>數值</t>
        </is>
      </c>
      <c r="C462" s="1" t="n">
        <v>2</v>
      </c>
      <c r="D462" s="1">
        <f>IF(B462="數值","F","A")</f>
        <v/>
      </c>
      <c r="E462" s="1">
        <f>A462&amp;" "&amp;D462&amp;C462</f>
        <v/>
      </c>
    </row>
    <row r="463">
      <c r="A463" s="1" t="inlineStr">
        <is>
          <t>vG3m26</t>
        </is>
      </c>
      <c r="B463" s="1" t="inlineStr">
        <is>
          <t>數值</t>
        </is>
      </c>
      <c r="C463" s="1" t="n">
        <v>2</v>
      </c>
      <c r="D463" s="1">
        <f>IF(B463="數值","F","A")</f>
        <v/>
      </c>
      <c r="E463" s="1">
        <f>A463&amp;" "&amp;D463&amp;C463</f>
        <v/>
      </c>
    </row>
    <row r="464">
      <c r="A464" s="1" t="inlineStr">
        <is>
          <t>vG3m27</t>
        </is>
      </c>
      <c r="B464" s="1" t="inlineStr">
        <is>
          <t>數值</t>
        </is>
      </c>
      <c r="C464" s="1" t="n">
        <v>2</v>
      </c>
      <c r="D464" s="1">
        <f>IF(B464="數值","F","A")</f>
        <v/>
      </c>
      <c r="E464" s="1">
        <f>A464&amp;" "&amp;D464&amp;C464</f>
        <v/>
      </c>
    </row>
    <row r="465">
      <c r="A465" s="1" t="inlineStr">
        <is>
          <t>vG3m28</t>
        </is>
      </c>
      <c r="B465" s="1" t="inlineStr">
        <is>
          <t>數值</t>
        </is>
      </c>
      <c r="C465" s="1" t="n">
        <v>2</v>
      </c>
      <c r="D465" s="1">
        <f>IF(B465="數值","F","A")</f>
        <v/>
      </c>
      <c r="E465" s="1">
        <f>A465&amp;" "&amp;D465&amp;C465</f>
        <v/>
      </c>
    </row>
    <row r="466">
      <c r="A466" s="1" t="inlineStr">
        <is>
          <t>vG3m29</t>
        </is>
      </c>
      <c r="B466" s="1" t="inlineStr">
        <is>
          <t>數值</t>
        </is>
      </c>
      <c r="C466" s="1" t="n">
        <v>2</v>
      </c>
      <c r="D466" s="1">
        <f>IF(B466="數值","F","A")</f>
        <v/>
      </c>
      <c r="E466" s="1">
        <f>A466&amp;" "&amp;D466&amp;C466</f>
        <v/>
      </c>
    </row>
    <row r="467">
      <c r="A467" s="1" t="inlineStr">
        <is>
          <t>vG3m30</t>
        </is>
      </c>
      <c r="B467" s="1" t="inlineStr">
        <is>
          <t>數值</t>
        </is>
      </c>
      <c r="C467" s="1" t="n">
        <v>2</v>
      </c>
      <c r="D467" s="1">
        <f>IF(B467="數值","F","A")</f>
        <v/>
      </c>
      <c r="E467" s="1">
        <f>A467&amp;" "&amp;D467&amp;C467</f>
        <v/>
      </c>
    </row>
    <row r="468">
      <c r="A468" s="1" t="inlineStr">
        <is>
          <t>vG3m31</t>
        </is>
      </c>
      <c r="B468" s="1" t="inlineStr">
        <is>
          <t>數值</t>
        </is>
      </c>
      <c r="C468" s="1" t="n">
        <v>2</v>
      </c>
      <c r="D468" s="1">
        <f>IF(B468="數值","F","A")</f>
        <v/>
      </c>
      <c r="E468" s="1">
        <f>A468&amp;" "&amp;D468&amp;C468</f>
        <v/>
      </c>
    </row>
    <row r="469">
      <c r="A469" s="1" t="inlineStr">
        <is>
          <t>vG3m32</t>
        </is>
      </c>
      <c r="B469" s="1" t="inlineStr">
        <is>
          <t>數值</t>
        </is>
      </c>
      <c r="C469" s="1" t="n">
        <v>2</v>
      </c>
      <c r="D469" s="1">
        <f>IF(B469="數值","F","A")</f>
        <v/>
      </c>
      <c r="E469" s="1">
        <f>A469&amp;" "&amp;D469&amp;C469</f>
        <v/>
      </c>
    </row>
    <row r="470">
      <c r="A470" s="1" t="inlineStr">
        <is>
          <t>vG3m33</t>
        </is>
      </c>
      <c r="B470" s="1" t="inlineStr">
        <is>
          <t>數值</t>
        </is>
      </c>
      <c r="C470" s="1" t="n">
        <v>2</v>
      </c>
      <c r="D470" s="1">
        <f>IF(B470="數值","F","A")</f>
        <v/>
      </c>
      <c r="E470" s="1">
        <f>A470&amp;" "&amp;D470&amp;C470</f>
        <v/>
      </c>
    </row>
    <row r="471">
      <c r="A471" s="1" t="inlineStr">
        <is>
          <t>vG3m88</t>
        </is>
      </c>
      <c r="B471" s="1" t="inlineStr">
        <is>
          <t>數值</t>
        </is>
      </c>
      <c r="C471" s="1" t="n">
        <v>2</v>
      </c>
      <c r="D471" s="1">
        <f>IF(B471="數值","F","A")</f>
        <v/>
      </c>
      <c r="E471" s="1">
        <f>A471&amp;" "&amp;D471&amp;C471</f>
        <v/>
      </c>
    </row>
    <row r="472">
      <c r="A472" s="1" t="inlineStr">
        <is>
          <t>vG3o88</t>
        </is>
      </c>
      <c r="B472" s="1" t="inlineStr">
        <is>
          <t>字串</t>
        </is>
      </c>
      <c r="C472" s="1" t="n">
        <v>150</v>
      </c>
      <c r="D472" s="1">
        <f>IF(B472="數值","F","A")</f>
        <v/>
      </c>
      <c r="E472" s="1">
        <f>A472&amp;" "&amp;D472&amp;C472</f>
        <v/>
      </c>
    </row>
    <row r="473">
      <c r="A473" s="1" t="inlineStr">
        <is>
          <t>vF0</t>
        </is>
      </c>
      <c r="B473" s="1" t="inlineStr">
        <is>
          <t>數值</t>
        </is>
      </c>
      <c r="C473" s="1" t="n">
        <v>2</v>
      </c>
      <c r="D473" s="1">
        <f>IF(B473="數值","F","A")</f>
        <v/>
      </c>
      <c r="E473" s="1">
        <f>A473&amp;" "&amp;D473&amp;C473</f>
        <v/>
      </c>
    </row>
    <row r="474">
      <c r="A474" s="1" t="inlineStr">
        <is>
          <t>vF1</t>
        </is>
      </c>
      <c r="B474" s="1" t="inlineStr">
        <is>
          <t>數值</t>
        </is>
      </c>
      <c r="C474" s="1" t="n">
        <v>5</v>
      </c>
      <c r="D474" s="1">
        <f>IF(B474="數值","F","A")</f>
        <v/>
      </c>
      <c r="E474" s="1">
        <f>A474&amp;" "&amp;D474&amp;C474</f>
        <v/>
      </c>
    </row>
    <row r="475">
      <c r="A475" s="1" t="inlineStr">
        <is>
          <t>vF2</t>
        </is>
      </c>
      <c r="B475" s="1" t="inlineStr">
        <is>
          <t>數值</t>
        </is>
      </c>
      <c r="C475" s="1" t="n">
        <v>5</v>
      </c>
      <c r="D475" s="1">
        <f>IF(B475="數值","F","A")</f>
        <v/>
      </c>
      <c r="E475" s="1">
        <f>A475&amp;" "&amp;D475&amp;C475</f>
        <v/>
      </c>
    </row>
    <row r="476">
      <c r="A476" s="1" t="inlineStr">
        <is>
          <t>vF3</t>
        </is>
      </c>
      <c r="B476" s="1" t="inlineStr">
        <is>
          <t>數值</t>
        </is>
      </c>
      <c r="C476" s="1" t="n">
        <v>5</v>
      </c>
      <c r="D476" s="1">
        <f>IF(B476="數值","F","A")</f>
        <v/>
      </c>
      <c r="E476" s="1">
        <f>A476&amp;" "&amp;D476&amp;C476</f>
        <v/>
      </c>
    </row>
    <row r="477">
      <c r="A477" s="1" t="inlineStr">
        <is>
          <t>vF4</t>
        </is>
      </c>
      <c r="B477" s="1" t="inlineStr">
        <is>
          <t>數值</t>
        </is>
      </c>
      <c r="C477" s="1" t="n">
        <v>5</v>
      </c>
      <c r="D477" s="1">
        <f>IF(B477="數值","F","A")</f>
        <v/>
      </c>
      <c r="E477" s="1">
        <f>A477&amp;" "&amp;D477&amp;C477</f>
        <v/>
      </c>
    </row>
    <row r="478">
      <c r="A478" s="1" t="inlineStr">
        <is>
          <t>vF5m01</t>
        </is>
      </c>
      <c r="B478" s="1" t="inlineStr">
        <is>
          <t>數值</t>
        </is>
      </c>
      <c r="C478" s="1" t="n">
        <v>2</v>
      </c>
      <c r="D478" s="1">
        <f>IF(B478="數值","F","A")</f>
        <v/>
      </c>
      <c r="E478" s="1">
        <f>A478&amp;" "&amp;D478&amp;C478</f>
        <v/>
      </c>
    </row>
    <row r="479">
      <c r="A479" s="1" t="inlineStr">
        <is>
          <t>vF5m02</t>
        </is>
      </c>
      <c r="B479" s="1" t="inlineStr">
        <is>
          <t>數值</t>
        </is>
      </c>
      <c r="C479" s="1" t="n">
        <v>2</v>
      </c>
      <c r="D479" s="1">
        <f>IF(B479="數值","F","A")</f>
        <v/>
      </c>
      <c r="E479" s="1">
        <f>A479&amp;" "&amp;D479&amp;C479</f>
        <v/>
      </c>
    </row>
    <row r="480">
      <c r="A480" s="1" t="inlineStr">
        <is>
          <t>vF5m03</t>
        </is>
      </c>
      <c r="B480" s="1" t="inlineStr">
        <is>
          <t>數值</t>
        </is>
      </c>
      <c r="C480" s="1" t="n">
        <v>2</v>
      </c>
      <c r="D480" s="1">
        <f>IF(B480="數值","F","A")</f>
        <v/>
      </c>
      <c r="E480" s="1">
        <f>A480&amp;" "&amp;D480&amp;C480</f>
        <v/>
      </c>
    </row>
    <row r="481">
      <c r="A481" s="1" t="inlineStr">
        <is>
          <t>vF5m04</t>
        </is>
      </c>
      <c r="B481" s="1" t="inlineStr">
        <is>
          <t>數值</t>
        </is>
      </c>
      <c r="C481" s="1" t="n">
        <v>2</v>
      </c>
      <c r="D481" s="1">
        <f>IF(B481="數值","F","A")</f>
        <v/>
      </c>
      <c r="E481" s="1">
        <f>A481&amp;" "&amp;D481&amp;C481</f>
        <v/>
      </c>
    </row>
    <row r="482">
      <c r="A482" s="1" t="inlineStr">
        <is>
          <t>vF5m05</t>
        </is>
      </c>
      <c r="B482" s="1" t="inlineStr">
        <is>
          <t>數值</t>
        </is>
      </c>
      <c r="C482" s="1" t="n">
        <v>2</v>
      </c>
      <c r="D482" s="1">
        <f>IF(B482="數值","F","A")</f>
        <v/>
      </c>
      <c r="E482" s="1">
        <f>A482&amp;" "&amp;D482&amp;C482</f>
        <v/>
      </c>
    </row>
    <row r="483">
      <c r="A483" s="1" t="inlineStr">
        <is>
          <t>vF5m06</t>
        </is>
      </c>
      <c r="B483" s="1" t="inlineStr">
        <is>
          <t>數值</t>
        </is>
      </c>
      <c r="C483" s="1" t="n">
        <v>2</v>
      </c>
      <c r="D483" s="1">
        <f>IF(B483="數值","F","A")</f>
        <v/>
      </c>
      <c r="E483" s="1">
        <f>A483&amp;" "&amp;D483&amp;C483</f>
        <v/>
      </c>
    </row>
    <row r="484">
      <c r="A484" s="1" t="inlineStr">
        <is>
          <t>vF5m07</t>
        </is>
      </c>
      <c r="B484" s="1" t="inlineStr">
        <is>
          <t>數值</t>
        </is>
      </c>
      <c r="C484" s="1" t="n">
        <v>2</v>
      </c>
      <c r="D484" s="1">
        <f>IF(B484="數值","F","A")</f>
        <v/>
      </c>
      <c r="E484" s="1">
        <f>A484&amp;" "&amp;D484&amp;C484</f>
        <v/>
      </c>
    </row>
    <row r="485">
      <c r="A485" s="1" t="inlineStr">
        <is>
          <t>vF5m08</t>
        </is>
      </c>
      <c r="B485" s="1" t="inlineStr">
        <is>
          <t>數值</t>
        </is>
      </c>
      <c r="C485" s="1" t="n">
        <v>2</v>
      </c>
      <c r="D485" s="1">
        <f>IF(B485="數值","F","A")</f>
        <v/>
      </c>
      <c r="E485" s="1">
        <f>A485&amp;" "&amp;D485&amp;C485</f>
        <v/>
      </c>
    </row>
    <row r="486">
      <c r="A486" s="1" t="inlineStr">
        <is>
          <t>vF5m88</t>
        </is>
      </c>
      <c r="B486" s="1" t="inlineStr">
        <is>
          <t>數值</t>
        </is>
      </c>
      <c r="C486" s="1" t="n">
        <v>2</v>
      </c>
      <c r="D486" s="1">
        <f>IF(B486="數值","F","A")</f>
        <v/>
      </c>
      <c r="E486" s="1">
        <f>A486&amp;" "&amp;D486&amp;C486</f>
        <v/>
      </c>
    </row>
    <row r="487">
      <c r="A487" s="1" t="inlineStr">
        <is>
          <t>vF5o88</t>
        </is>
      </c>
      <c r="B487" s="1" t="inlineStr">
        <is>
          <t>字串</t>
        </is>
      </c>
      <c r="C487" s="1" t="n">
        <v>150</v>
      </c>
      <c r="D487" s="1">
        <f>IF(B487="數值","F","A")</f>
        <v/>
      </c>
      <c r="E487" s="1">
        <f>A487&amp;" "&amp;D487&amp;C487</f>
        <v/>
      </c>
    </row>
    <row r="488">
      <c r="A488" s="1" t="inlineStr">
        <is>
          <t>vC1</t>
        </is>
      </c>
      <c r="B488" s="1" t="inlineStr">
        <is>
          <t>數值</t>
        </is>
      </c>
      <c r="C488" s="1" t="n">
        <v>4</v>
      </c>
      <c r="D488" s="1">
        <f>IF(B488="數值","F","A")</f>
        <v/>
      </c>
      <c r="E488" s="1">
        <f>A488&amp;" "&amp;D488&amp;C488</f>
        <v/>
      </c>
    </row>
    <row r="489">
      <c r="A489" s="1" t="inlineStr">
        <is>
          <t>vC2</t>
        </is>
      </c>
      <c r="B489" s="1" t="inlineStr">
        <is>
          <t>數值</t>
        </is>
      </c>
      <c r="C489" s="1" t="n">
        <v>5</v>
      </c>
      <c r="D489" s="1">
        <f>IF(B489="數值","F","A")</f>
        <v/>
      </c>
      <c r="E489" s="1">
        <f>A489&amp;" "&amp;D489&amp;C489</f>
        <v/>
      </c>
    </row>
    <row r="490">
      <c r="A490" s="1" t="inlineStr">
        <is>
          <t>vC3m01</t>
        </is>
      </c>
      <c r="B490" s="1" t="inlineStr">
        <is>
          <t>數值</t>
        </is>
      </c>
      <c r="C490" s="1" t="n">
        <v>2</v>
      </c>
      <c r="D490" s="1">
        <f>IF(B490="數值","F","A")</f>
        <v/>
      </c>
      <c r="E490" s="1">
        <f>A490&amp;" "&amp;D490&amp;C490</f>
        <v/>
      </c>
    </row>
    <row r="491">
      <c r="A491" s="1" t="inlineStr">
        <is>
          <t>vC3m02</t>
        </is>
      </c>
      <c r="B491" s="1" t="inlineStr">
        <is>
          <t>數值</t>
        </is>
      </c>
      <c r="C491" s="1" t="n">
        <v>2</v>
      </c>
      <c r="D491" s="1">
        <f>IF(B491="數值","F","A")</f>
        <v/>
      </c>
      <c r="E491" s="1">
        <f>A491&amp;" "&amp;D491&amp;C491</f>
        <v/>
      </c>
    </row>
    <row r="492">
      <c r="A492" s="1" t="inlineStr">
        <is>
          <t>vC3m03</t>
        </is>
      </c>
      <c r="B492" s="1" t="inlineStr">
        <is>
          <t>數值</t>
        </is>
      </c>
      <c r="C492" s="1" t="n">
        <v>2</v>
      </c>
      <c r="D492" s="1">
        <f>IF(B492="數值","F","A")</f>
        <v/>
      </c>
      <c r="E492" s="1">
        <f>A492&amp;" "&amp;D492&amp;C492</f>
        <v/>
      </c>
    </row>
    <row r="493">
      <c r="A493" s="1" t="inlineStr">
        <is>
          <t>vC3m04</t>
        </is>
      </c>
      <c r="B493" s="1" t="inlineStr">
        <is>
          <t>數值</t>
        </is>
      </c>
      <c r="C493" s="1" t="n">
        <v>2</v>
      </c>
      <c r="D493" s="1">
        <f>IF(B493="數值","F","A")</f>
        <v/>
      </c>
      <c r="E493" s="1">
        <f>A493&amp;" "&amp;D493&amp;C493</f>
        <v/>
      </c>
    </row>
    <row r="494">
      <c r="A494" s="1" t="inlineStr">
        <is>
          <t>vC3m05</t>
        </is>
      </c>
      <c r="B494" s="1" t="inlineStr">
        <is>
          <t>數值</t>
        </is>
      </c>
      <c r="C494" s="1" t="n">
        <v>2</v>
      </c>
      <c r="D494" s="1">
        <f>IF(B494="數值","F","A")</f>
        <v/>
      </c>
      <c r="E494" s="1">
        <f>A494&amp;" "&amp;D494&amp;C494</f>
        <v/>
      </c>
    </row>
    <row r="495">
      <c r="A495" s="1" t="inlineStr">
        <is>
          <t>vC3m06</t>
        </is>
      </c>
      <c r="B495" s="1" t="inlineStr">
        <is>
          <t>數值</t>
        </is>
      </c>
      <c r="C495" s="1" t="n">
        <v>2</v>
      </c>
      <c r="D495" s="1">
        <f>IF(B495="數值","F","A")</f>
        <v/>
      </c>
      <c r="E495" s="1">
        <f>A495&amp;" "&amp;D495&amp;C495</f>
        <v/>
      </c>
    </row>
    <row r="496">
      <c r="A496" s="1" t="inlineStr">
        <is>
          <t>vC3m07</t>
        </is>
      </c>
      <c r="B496" s="1" t="inlineStr">
        <is>
          <t>數值</t>
        </is>
      </c>
      <c r="C496" s="1" t="n">
        <v>2</v>
      </c>
      <c r="D496" s="1">
        <f>IF(B496="數值","F","A")</f>
        <v/>
      </c>
      <c r="E496" s="1">
        <f>A496&amp;" "&amp;D496&amp;C496</f>
        <v/>
      </c>
    </row>
    <row r="497">
      <c r="A497" s="1" t="inlineStr">
        <is>
          <t>vC3m08</t>
        </is>
      </c>
      <c r="B497" s="1" t="inlineStr">
        <is>
          <t>數值</t>
        </is>
      </c>
      <c r="C497" s="1" t="n">
        <v>2</v>
      </c>
      <c r="D497" s="1">
        <f>IF(B497="數值","F","A")</f>
        <v/>
      </c>
      <c r="E497" s="1">
        <f>A497&amp;" "&amp;D497&amp;C497</f>
        <v/>
      </c>
    </row>
    <row r="498">
      <c r="A498" s="1" t="inlineStr">
        <is>
          <t>vC3m09</t>
        </is>
      </c>
      <c r="B498" s="1" t="inlineStr">
        <is>
          <t>數值</t>
        </is>
      </c>
      <c r="C498" s="1" t="n">
        <v>2</v>
      </c>
      <c r="D498" s="1">
        <f>IF(B498="數值","F","A")</f>
        <v/>
      </c>
      <c r="E498" s="1">
        <f>A498&amp;" "&amp;D498&amp;C498</f>
        <v/>
      </c>
    </row>
    <row r="499">
      <c r="A499" s="1" t="inlineStr">
        <is>
          <t>vC3m10</t>
        </is>
      </c>
      <c r="B499" s="1" t="inlineStr">
        <is>
          <t>數值</t>
        </is>
      </c>
      <c r="C499" s="1" t="n">
        <v>2</v>
      </c>
      <c r="D499" s="1">
        <f>IF(B499="數值","F","A")</f>
        <v/>
      </c>
      <c r="E499" s="1">
        <f>A499&amp;" "&amp;D499&amp;C499</f>
        <v/>
      </c>
    </row>
    <row r="500">
      <c r="A500" s="1" t="inlineStr">
        <is>
          <t>vC3m11</t>
        </is>
      </c>
      <c r="B500" s="1" t="inlineStr">
        <is>
          <t>數值</t>
        </is>
      </c>
      <c r="C500" s="1" t="n">
        <v>2</v>
      </c>
      <c r="D500" s="1">
        <f>IF(B500="數值","F","A")</f>
        <v/>
      </c>
      <c r="E500" s="1">
        <f>A500&amp;" "&amp;D500&amp;C500</f>
        <v/>
      </c>
    </row>
    <row r="501">
      <c r="A501" s="1" t="inlineStr">
        <is>
          <t>vC3m88</t>
        </is>
      </c>
      <c r="B501" s="1" t="inlineStr">
        <is>
          <t>數值</t>
        </is>
      </c>
      <c r="C501" s="1" t="n">
        <v>2</v>
      </c>
      <c r="D501" s="1">
        <f>IF(B501="數值","F","A")</f>
        <v/>
      </c>
      <c r="E501" s="1">
        <f>A501&amp;" "&amp;D501&amp;C501</f>
        <v/>
      </c>
    </row>
    <row r="502">
      <c r="A502" s="1" t="inlineStr">
        <is>
          <t>vC3o88</t>
        </is>
      </c>
      <c r="B502" s="1" t="inlineStr">
        <is>
          <t>字串</t>
        </is>
      </c>
      <c r="C502" s="1" t="n">
        <v>150</v>
      </c>
      <c r="D502" s="1">
        <f>IF(B502="數值","F","A")</f>
        <v/>
      </c>
      <c r="E502" s="1">
        <f>A502&amp;" "&amp;D502&amp;C502</f>
        <v/>
      </c>
    </row>
    <row r="503">
      <c r="A503" s="1" t="inlineStr">
        <is>
          <t>vJ4_1</t>
        </is>
      </c>
      <c r="B503" s="1" t="inlineStr">
        <is>
          <t>數值</t>
        </is>
      </c>
      <c r="C503" s="1" t="n">
        <v>4</v>
      </c>
      <c r="D503" s="1">
        <f>IF(B503="數值","F","A")</f>
        <v/>
      </c>
      <c r="E503" s="1">
        <f>A503&amp;" "&amp;D503&amp;C503</f>
        <v/>
      </c>
    </row>
    <row r="504">
      <c r="A504" s="1" t="inlineStr">
        <is>
          <t>vJ4_2</t>
        </is>
      </c>
      <c r="B504" s="1" t="inlineStr">
        <is>
          <t>數值</t>
        </is>
      </c>
      <c r="C504" s="1" t="n">
        <v>4</v>
      </c>
      <c r="D504" s="1">
        <f>IF(B504="數值","F","A")</f>
        <v/>
      </c>
      <c r="E504" s="1">
        <f>A504&amp;" "&amp;D504&amp;C504</f>
        <v/>
      </c>
    </row>
    <row r="505">
      <c r="A505" s="1" t="inlineStr">
        <is>
          <t>vJ4_3</t>
        </is>
      </c>
      <c r="B505" s="1" t="inlineStr">
        <is>
          <t>數值</t>
        </is>
      </c>
      <c r="C505" s="1" t="n">
        <v>4</v>
      </c>
      <c r="D505" s="1">
        <f>IF(B505="數值","F","A")</f>
        <v/>
      </c>
      <c r="E505" s="1">
        <f>A505&amp;" "&amp;D505&amp;C505</f>
        <v/>
      </c>
    </row>
    <row r="506">
      <c r="A506" s="1" t="inlineStr">
        <is>
          <t>vJ4_4</t>
        </is>
      </c>
      <c r="B506" s="1" t="inlineStr">
        <is>
          <t>數值</t>
        </is>
      </c>
      <c r="C506" s="1" t="n">
        <v>4</v>
      </c>
      <c r="D506" s="1">
        <f>IF(B506="數值","F","A")</f>
        <v/>
      </c>
      <c r="E506" s="1">
        <f>A506&amp;" "&amp;D506&amp;C506</f>
        <v/>
      </c>
    </row>
    <row r="507">
      <c r="A507" s="1" t="inlineStr">
        <is>
          <t>vJ4_5</t>
        </is>
      </c>
      <c r="B507" s="1" t="inlineStr">
        <is>
          <t>數值</t>
        </is>
      </c>
      <c r="C507" s="1" t="n">
        <v>4</v>
      </c>
      <c r="D507" s="1">
        <f>IF(B507="數值","F","A")</f>
        <v/>
      </c>
      <c r="E507" s="1">
        <f>A507&amp;" "&amp;D507&amp;C507</f>
        <v/>
      </c>
    </row>
    <row r="508">
      <c r="A508" s="1" t="inlineStr">
        <is>
          <t>vJB1m01</t>
        </is>
      </c>
      <c r="B508" s="1" t="inlineStr">
        <is>
          <t>數值</t>
        </is>
      </c>
      <c r="C508" s="1" t="n">
        <v>2</v>
      </c>
      <c r="D508" s="1">
        <f>IF(B508="數值","F","A")</f>
        <v/>
      </c>
      <c r="E508" s="1">
        <f>A508&amp;" "&amp;D508&amp;C508</f>
        <v/>
      </c>
    </row>
    <row r="509">
      <c r="A509" s="1" t="inlineStr">
        <is>
          <t>vJB1m02</t>
        </is>
      </c>
      <c r="B509" s="1" t="inlineStr">
        <is>
          <t>數值</t>
        </is>
      </c>
      <c r="C509" s="1" t="n">
        <v>2</v>
      </c>
      <c r="D509" s="1">
        <f>IF(B509="數值","F","A")</f>
        <v/>
      </c>
      <c r="E509" s="1">
        <f>A509&amp;" "&amp;D509&amp;C509</f>
        <v/>
      </c>
    </row>
    <row r="510">
      <c r="A510" s="1" t="inlineStr">
        <is>
          <t>vJB1m03</t>
        </is>
      </c>
      <c r="B510" s="1" t="inlineStr">
        <is>
          <t>數值</t>
        </is>
      </c>
      <c r="C510" s="1" t="n">
        <v>2</v>
      </c>
      <c r="D510" s="1">
        <f>IF(B510="數值","F","A")</f>
        <v/>
      </c>
      <c r="E510" s="1">
        <f>A510&amp;" "&amp;D510&amp;C510</f>
        <v/>
      </c>
    </row>
    <row r="511">
      <c r="A511" s="1" t="inlineStr">
        <is>
          <t>vJB1m04</t>
        </is>
      </c>
      <c r="B511" s="1" t="inlineStr">
        <is>
          <t>數值</t>
        </is>
      </c>
      <c r="C511" s="1" t="n">
        <v>2</v>
      </c>
      <c r="D511" s="1">
        <f>IF(B511="數值","F","A")</f>
        <v/>
      </c>
      <c r="E511" s="1">
        <f>A511&amp;" "&amp;D511&amp;C511</f>
        <v/>
      </c>
    </row>
    <row r="512">
      <c r="A512" s="1" t="inlineStr">
        <is>
          <t>vJB1m05</t>
        </is>
      </c>
      <c r="B512" s="1" t="inlineStr">
        <is>
          <t>數值</t>
        </is>
      </c>
      <c r="C512" s="1" t="n">
        <v>2</v>
      </c>
      <c r="D512" s="1">
        <f>IF(B512="數值","F","A")</f>
        <v/>
      </c>
      <c r="E512" s="1">
        <f>A512&amp;" "&amp;D512&amp;C512</f>
        <v/>
      </c>
    </row>
    <row r="513">
      <c r="A513" s="1" t="inlineStr">
        <is>
          <t>vJB1m06</t>
        </is>
      </c>
      <c r="B513" s="1" t="inlineStr">
        <is>
          <t>數值</t>
        </is>
      </c>
      <c r="C513" s="1" t="n">
        <v>2</v>
      </c>
      <c r="D513" s="1">
        <f>IF(B513="數值","F","A")</f>
        <v/>
      </c>
      <c r="E513" s="1">
        <f>A513&amp;" "&amp;D513&amp;C513</f>
        <v/>
      </c>
    </row>
    <row r="514">
      <c r="A514" s="1" t="inlineStr">
        <is>
          <t>vJB1m07</t>
        </is>
      </c>
      <c r="B514" s="1" t="inlineStr">
        <is>
          <t>數值</t>
        </is>
      </c>
      <c r="C514" s="1" t="n">
        <v>2</v>
      </c>
      <c r="D514" s="1">
        <f>IF(B514="數值","F","A")</f>
        <v/>
      </c>
      <c r="E514" s="1">
        <f>A514&amp;" "&amp;D514&amp;C514</f>
        <v/>
      </c>
    </row>
    <row r="515">
      <c r="A515" s="1" t="inlineStr">
        <is>
          <t>vJB1m08</t>
        </is>
      </c>
      <c r="B515" s="1" t="inlineStr">
        <is>
          <t>數值</t>
        </is>
      </c>
      <c r="C515" s="1" t="n">
        <v>2</v>
      </c>
      <c r="D515" s="1">
        <f>IF(B515="數值","F","A")</f>
        <v/>
      </c>
      <c r="E515" s="1">
        <f>A515&amp;" "&amp;D515&amp;C515</f>
        <v/>
      </c>
    </row>
    <row r="516">
      <c r="A516" s="1" t="inlineStr">
        <is>
          <t>vJB1m09</t>
        </is>
      </c>
      <c r="B516" s="1" t="inlineStr">
        <is>
          <t>數值</t>
        </is>
      </c>
      <c r="C516" s="1" t="n">
        <v>2</v>
      </c>
      <c r="D516" s="1">
        <f>IF(B516="數值","F","A")</f>
        <v/>
      </c>
      <c r="E516" s="1">
        <f>A516&amp;" "&amp;D516&amp;C516</f>
        <v/>
      </c>
    </row>
    <row r="517">
      <c r="A517" s="1" t="inlineStr">
        <is>
          <t>vJB1m10</t>
        </is>
      </c>
      <c r="B517" s="1" t="inlineStr">
        <is>
          <t>數值</t>
        </is>
      </c>
      <c r="C517" s="1" t="n">
        <v>2</v>
      </c>
      <c r="D517" s="1">
        <f>IF(B517="數值","F","A")</f>
        <v/>
      </c>
      <c r="E517" s="1">
        <f>A517&amp;" "&amp;D517&amp;C517</f>
        <v/>
      </c>
    </row>
    <row r="518">
      <c r="A518" s="1" t="inlineStr">
        <is>
          <t>vJB1m11</t>
        </is>
      </c>
      <c r="B518" s="1" t="inlineStr">
        <is>
          <t>數值</t>
        </is>
      </c>
      <c r="C518" s="1" t="n">
        <v>2</v>
      </c>
      <c r="D518" s="1">
        <f>IF(B518="數值","F","A")</f>
        <v/>
      </c>
      <c r="E518" s="1">
        <f>A518&amp;" "&amp;D518&amp;C518</f>
        <v/>
      </c>
    </row>
    <row r="519">
      <c r="A519" s="1" t="inlineStr">
        <is>
          <t>vJB1m88</t>
        </is>
      </c>
      <c r="B519" s="1" t="inlineStr">
        <is>
          <t>數值</t>
        </is>
      </c>
      <c r="C519" s="1" t="n">
        <v>2</v>
      </c>
      <c r="D519" s="1">
        <f>IF(B519="數值","F","A")</f>
        <v/>
      </c>
      <c r="E519" s="1">
        <f>A519&amp;" "&amp;D519&amp;C519</f>
        <v/>
      </c>
    </row>
    <row r="520">
      <c r="A520" s="1" t="inlineStr">
        <is>
          <t>vJB1m90</t>
        </is>
      </c>
      <c r="B520" s="1" t="inlineStr">
        <is>
          <t>數值</t>
        </is>
      </c>
      <c r="C520" s="1" t="n">
        <v>2</v>
      </c>
      <c r="D520" s="1">
        <f>IF(B520="數值","F","A")</f>
        <v/>
      </c>
      <c r="E520" s="1">
        <f>A520&amp;" "&amp;D520&amp;C520</f>
        <v/>
      </c>
    </row>
    <row r="521">
      <c r="A521" s="1" t="inlineStr">
        <is>
          <t>vJB1o88</t>
        </is>
      </c>
      <c r="B521" s="1" t="inlineStr">
        <is>
          <t>字串</t>
        </is>
      </c>
      <c r="C521" s="1" t="n">
        <v>150</v>
      </c>
      <c r="D521" s="1">
        <f>IF(B521="數值","F","A")</f>
        <v/>
      </c>
      <c r="E521" s="1">
        <f>A521&amp;" "&amp;D521&amp;C521</f>
        <v/>
      </c>
    </row>
    <row r="522">
      <c r="A522" s="1" t="inlineStr">
        <is>
          <t>vJB2m01</t>
        </is>
      </c>
      <c r="B522" s="1" t="inlineStr">
        <is>
          <t>數值</t>
        </is>
      </c>
      <c r="C522" s="1" t="n">
        <v>2</v>
      </c>
      <c r="D522" s="1">
        <f>IF(B522="數值","F","A")</f>
        <v/>
      </c>
      <c r="E522" s="1">
        <f>A522&amp;" "&amp;D522&amp;C522</f>
        <v/>
      </c>
    </row>
    <row r="523">
      <c r="A523" s="1" t="inlineStr">
        <is>
          <t>vJB2m02</t>
        </is>
      </c>
      <c r="B523" s="1" t="inlineStr">
        <is>
          <t>數值</t>
        </is>
      </c>
      <c r="C523" s="1" t="n">
        <v>2</v>
      </c>
      <c r="D523" s="1">
        <f>IF(B523="數值","F","A")</f>
        <v/>
      </c>
      <c r="E523" s="1">
        <f>A523&amp;" "&amp;D523&amp;C523</f>
        <v/>
      </c>
    </row>
    <row r="524">
      <c r="A524" s="1" t="inlineStr">
        <is>
          <t>vJB2m03</t>
        </is>
      </c>
      <c r="B524" s="1" t="inlineStr">
        <is>
          <t>數值</t>
        </is>
      </c>
      <c r="C524" s="1" t="n">
        <v>2</v>
      </c>
      <c r="D524" s="1">
        <f>IF(B524="數值","F","A")</f>
        <v/>
      </c>
      <c r="E524" s="1">
        <f>A524&amp;" "&amp;D524&amp;C524</f>
        <v/>
      </c>
    </row>
    <row r="525">
      <c r="A525" s="1" t="inlineStr">
        <is>
          <t>vJB2m04</t>
        </is>
      </c>
      <c r="B525" s="1" t="inlineStr">
        <is>
          <t>數值</t>
        </is>
      </c>
      <c r="C525" s="1" t="n">
        <v>2</v>
      </c>
      <c r="D525" s="1">
        <f>IF(B525="數值","F","A")</f>
        <v/>
      </c>
      <c r="E525" s="1">
        <f>A525&amp;" "&amp;D525&amp;C525</f>
        <v/>
      </c>
    </row>
    <row r="526">
      <c r="A526" s="1" t="inlineStr">
        <is>
          <t>vJB2m05</t>
        </is>
      </c>
      <c r="B526" s="1" t="inlineStr">
        <is>
          <t>數值</t>
        </is>
      </c>
      <c r="C526" s="1" t="n">
        <v>2</v>
      </c>
      <c r="D526" s="1">
        <f>IF(B526="數值","F","A")</f>
        <v/>
      </c>
      <c r="E526" s="1">
        <f>A526&amp;" "&amp;D526&amp;C526</f>
        <v/>
      </c>
    </row>
    <row r="527">
      <c r="A527" s="1" t="inlineStr">
        <is>
          <t>vJB2m06</t>
        </is>
      </c>
      <c r="B527" s="1" t="inlineStr">
        <is>
          <t>數值</t>
        </is>
      </c>
      <c r="C527" s="1" t="n">
        <v>2</v>
      </c>
      <c r="D527" s="1">
        <f>IF(B527="數值","F","A")</f>
        <v/>
      </c>
      <c r="E527" s="1">
        <f>A527&amp;" "&amp;D527&amp;C527</f>
        <v/>
      </c>
    </row>
    <row r="528">
      <c r="A528" s="1" t="inlineStr">
        <is>
          <t>vJB2m07</t>
        </is>
      </c>
      <c r="B528" s="1" t="inlineStr">
        <is>
          <t>數值</t>
        </is>
      </c>
      <c r="C528" s="1" t="n">
        <v>2</v>
      </c>
      <c r="D528" s="1">
        <f>IF(B528="數值","F","A")</f>
        <v/>
      </c>
      <c r="E528" s="1">
        <f>A528&amp;" "&amp;D528&amp;C528</f>
        <v/>
      </c>
    </row>
    <row r="529">
      <c r="A529" s="1" t="inlineStr">
        <is>
          <t>vJB2m88</t>
        </is>
      </c>
      <c r="B529" s="1" t="inlineStr">
        <is>
          <t>數值</t>
        </is>
      </c>
      <c r="C529" s="1" t="n">
        <v>2</v>
      </c>
      <c r="D529" s="1">
        <f>IF(B529="數值","F","A")</f>
        <v/>
      </c>
      <c r="E529" s="1">
        <f>A529&amp;" "&amp;D529&amp;C529</f>
        <v/>
      </c>
    </row>
    <row r="530">
      <c r="A530" s="1" t="inlineStr">
        <is>
          <t>vJB2m90</t>
        </is>
      </c>
      <c r="B530" s="1" t="inlineStr">
        <is>
          <t>數值</t>
        </is>
      </c>
      <c r="C530" s="1" t="n">
        <v>2</v>
      </c>
      <c r="D530" s="1">
        <f>IF(B530="數值","F","A")</f>
        <v/>
      </c>
      <c r="E530" s="1">
        <f>A530&amp;" "&amp;D530&amp;C530</f>
        <v/>
      </c>
    </row>
    <row r="531">
      <c r="A531" s="1" t="inlineStr">
        <is>
          <t>vJB2o88</t>
        </is>
      </c>
      <c r="B531" s="1" t="inlineStr">
        <is>
          <t>字串</t>
        </is>
      </c>
      <c r="C531" s="1" t="n">
        <v>150</v>
      </c>
      <c r="D531" s="1">
        <f>IF(B531="數值","F","A")</f>
        <v/>
      </c>
      <c r="E531" s="1">
        <f>A531&amp;" "&amp;D531&amp;C531</f>
        <v/>
      </c>
    </row>
    <row r="532">
      <c r="A532" s="1" t="inlineStr">
        <is>
          <t>vH1</t>
        </is>
      </c>
      <c r="B532" s="1" t="inlineStr">
        <is>
          <t>數值</t>
        </is>
      </c>
      <c r="C532" s="1" t="n">
        <v>4</v>
      </c>
      <c r="D532" s="1">
        <f>IF(B532="數值","F","A")</f>
        <v/>
      </c>
      <c r="E532" s="1">
        <f>A532&amp;" "&amp;D532&amp;C532</f>
        <v/>
      </c>
    </row>
    <row r="533">
      <c r="A533" s="1" t="inlineStr">
        <is>
          <t>vH2</t>
        </is>
      </c>
      <c r="B533" s="1" t="inlineStr">
        <is>
          <t>數值</t>
        </is>
      </c>
      <c r="C533" s="1" t="n">
        <v>2</v>
      </c>
      <c r="D533" s="1">
        <f>IF(B533="數值","F","A")</f>
        <v/>
      </c>
      <c r="E533" s="1">
        <f>A533&amp;" "&amp;D533&amp;C533</f>
        <v/>
      </c>
    </row>
    <row r="534">
      <c r="A534" s="1" t="inlineStr">
        <is>
          <t>vH3</t>
        </is>
      </c>
      <c r="B534" s="1" t="inlineStr">
        <is>
          <t>數值</t>
        </is>
      </c>
      <c r="C534" s="1" t="n">
        <v>2</v>
      </c>
      <c r="D534" s="1">
        <f>IF(B534="數值","F","A")</f>
        <v/>
      </c>
      <c r="E534" s="1">
        <f>A534&amp;" "&amp;D534&amp;C534</f>
        <v/>
      </c>
    </row>
    <row r="535">
      <c r="A535" s="1" t="inlineStr">
        <is>
          <t>vH4</t>
        </is>
      </c>
      <c r="B535" s="1" t="inlineStr">
        <is>
          <t>數值</t>
        </is>
      </c>
      <c r="C535" s="1" t="n">
        <v>4</v>
      </c>
      <c r="D535" s="1">
        <f>IF(B535="數值","F","A")</f>
        <v/>
      </c>
      <c r="E535" s="1">
        <f>A535&amp;" "&amp;D535&amp;C535</f>
        <v/>
      </c>
    </row>
    <row r="536">
      <c r="A536" s="1" t="inlineStr">
        <is>
          <t>vH5</t>
        </is>
      </c>
      <c r="B536" s="1" t="inlineStr">
        <is>
          <t>數值</t>
        </is>
      </c>
      <c r="C536" s="1" t="n">
        <v>2</v>
      </c>
      <c r="D536" s="1">
        <f>IF(B536="數值","F","A")</f>
        <v/>
      </c>
      <c r="E536" s="1">
        <f>A536&amp;" "&amp;D536&amp;C536</f>
        <v/>
      </c>
    </row>
    <row r="537">
      <c r="A537" s="1" t="inlineStr">
        <is>
          <t>vH6</t>
        </is>
      </c>
      <c r="B537" s="1" t="inlineStr">
        <is>
          <t>數值</t>
        </is>
      </c>
      <c r="C537" s="1" t="n">
        <v>2</v>
      </c>
      <c r="D537" s="1">
        <f>IF(B537="數值","F","A")</f>
        <v/>
      </c>
      <c r="E537" s="1">
        <f>A537&amp;" "&amp;D537&amp;C537</f>
        <v/>
      </c>
    </row>
    <row r="538">
      <c r="A538" s="1" t="inlineStr">
        <is>
          <t>vH7</t>
        </is>
      </c>
      <c r="B538" s="1" t="inlineStr">
        <is>
          <t>數值</t>
        </is>
      </c>
      <c r="C538" s="1" t="n">
        <v>4</v>
      </c>
      <c r="D538" s="1">
        <f>IF(B538="數值","F","A")</f>
        <v/>
      </c>
      <c r="E538" s="1">
        <f>A538&amp;" "&amp;D538&amp;C538</f>
        <v/>
      </c>
    </row>
    <row r="539">
      <c r="A539" s="1" t="inlineStr">
        <is>
          <t>vH7_1</t>
        </is>
      </c>
      <c r="B539" s="1" t="inlineStr">
        <is>
          <t>數值</t>
        </is>
      </c>
      <c r="C539" s="1" t="n">
        <v>4</v>
      </c>
      <c r="D539" s="1">
        <f>IF(B539="數值","F","A")</f>
        <v/>
      </c>
      <c r="E539" s="1">
        <f>A539&amp;" "&amp;D539&amp;C539</f>
        <v/>
      </c>
    </row>
    <row r="540">
      <c r="A540" s="1" t="inlineStr">
        <is>
          <t>vH7_2</t>
        </is>
      </c>
      <c r="B540" s="1" t="inlineStr">
        <is>
          <t>數值</t>
        </is>
      </c>
      <c r="C540" s="1" t="n">
        <v>4</v>
      </c>
      <c r="D540" s="1">
        <f>IF(B540="數值","F","A")</f>
        <v/>
      </c>
      <c r="E540" s="1">
        <f>A540&amp;" "&amp;D540&amp;C540</f>
        <v/>
      </c>
    </row>
    <row r="541">
      <c r="A541" s="1" t="inlineStr">
        <is>
          <t>vH7_3</t>
        </is>
      </c>
      <c r="B541" s="1" t="inlineStr">
        <is>
          <t>數值</t>
        </is>
      </c>
      <c r="C541" s="1" t="n">
        <v>4</v>
      </c>
      <c r="D541" s="1">
        <f>IF(B541="數值","F","A")</f>
        <v/>
      </c>
      <c r="E541" s="1">
        <f>A541&amp;" "&amp;D541&amp;C541</f>
        <v/>
      </c>
    </row>
    <row r="542">
      <c r="A542" s="1" t="inlineStr">
        <is>
          <t>vCKH7</t>
        </is>
      </c>
      <c r="B542" s="1" t="inlineStr">
        <is>
          <t>數值</t>
        </is>
      </c>
      <c r="C542" s="1" t="n">
        <v>14</v>
      </c>
      <c r="D542" s="1">
        <f>IF(B542="數值","F","A")</f>
        <v/>
      </c>
      <c r="E542" s="1">
        <f>A542&amp;" "&amp;D542&amp;C542</f>
        <v/>
      </c>
    </row>
    <row r="543">
      <c r="A543" s="1" t="inlineStr">
        <is>
          <t>vCKH7_1</t>
        </is>
      </c>
      <c r="B543" s="1" t="inlineStr">
        <is>
          <t>數值</t>
        </is>
      </c>
      <c r="C543" s="1" t="n">
        <v>14</v>
      </c>
      <c r="D543" s="1">
        <f>IF(B543="數值","F","A")</f>
        <v/>
      </c>
      <c r="E543" s="1">
        <f>A543&amp;" "&amp;D543&amp;C543</f>
        <v/>
      </c>
    </row>
    <row r="544">
      <c r="A544" s="1" t="inlineStr">
        <is>
          <t>vCKH7_2</t>
        </is>
      </c>
      <c r="B544" s="1" t="inlineStr">
        <is>
          <t>數值</t>
        </is>
      </c>
      <c r="C544" s="1" t="n">
        <v>14</v>
      </c>
      <c r="D544" s="1">
        <f>IF(B544="數值","F","A")</f>
        <v/>
      </c>
      <c r="E544" s="1">
        <f>A544&amp;" "&amp;D544&amp;C544</f>
        <v/>
      </c>
    </row>
    <row r="545">
      <c r="A545" s="1" t="inlineStr">
        <is>
          <t>vCKH7_3</t>
        </is>
      </c>
      <c r="B545" s="1" t="inlineStr">
        <is>
          <t>數值</t>
        </is>
      </c>
      <c r="C545" s="1" t="n">
        <v>14</v>
      </c>
      <c r="D545" s="1">
        <f>IF(B545="數值","F","A")</f>
        <v/>
      </c>
      <c r="E545" s="1">
        <f>A545&amp;" "&amp;D545&amp;C545</f>
        <v/>
      </c>
    </row>
    <row r="546">
      <c r="A546" s="1" t="inlineStr">
        <is>
          <t>vH8</t>
        </is>
      </c>
      <c r="B546" s="1" t="inlineStr">
        <is>
          <t>數值</t>
        </is>
      </c>
      <c r="C546" s="1" t="n">
        <v>4</v>
      </c>
      <c r="D546" s="1">
        <f>IF(B546="數值","F","A")</f>
        <v/>
      </c>
      <c r="E546" s="1">
        <f>A546&amp;" "&amp;D546&amp;C546</f>
        <v/>
      </c>
    </row>
    <row r="547">
      <c r="A547" s="1" t="inlineStr">
        <is>
          <t>vM1g1</t>
        </is>
      </c>
      <c r="B547" s="1" t="inlineStr">
        <is>
          <t>數值</t>
        </is>
      </c>
      <c r="C547" s="1" t="n">
        <v>4</v>
      </c>
      <c r="D547" s="1">
        <f>IF(B547="數值","F","A")</f>
        <v/>
      </c>
      <c r="E547" s="1">
        <f>A547&amp;" "&amp;D547&amp;C547</f>
        <v/>
      </c>
    </row>
    <row r="548">
      <c r="A548" s="1" t="inlineStr">
        <is>
          <t>vM1g2</t>
        </is>
      </c>
      <c r="B548" s="1" t="inlineStr">
        <is>
          <t>數值</t>
        </is>
      </c>
      <c r="C548" s="1" t="n">
        <v>3</v>
      </c>
      <c r="D548" s="1">
        <f>IF(B548="數值","F","A")</f>
        <v/>
      </c>
      <c r="E548" s="1">
        <f>A548&amp;" "&amp;D548&amp;C548</f>
        <v/>
      </c>
    </row>
    <row r="549">
      <c r="A549" s="1" t="inlineStr">
        <is>
          <t>vM2m01</t>
        </is>
      </c>
      <c r="B549" s="1" t="inlineStr">
        <is>
          <t>數值</t>
        </is>
      </c>
      <c r="C549" s="1" t="n">
        <v>2</v>
      </c>
      <c r="D549" s="1">
        <f>IF(B549="數值","F","A")</f>
        <v/>
      </c>
      <c r="E549" s="1">
        <f>A549&amp;" "&amp;D549&amp;C549</f>
        <v/>
      </c>
    </row>
    <row r="550">
      <c r="A550" s="1" t="inlineStr">
        <is>
          <t>vM2m02</t>
        </is>
      </c>
      <c r="B550" s="1" t="inlineStr">
        <is>
          <t>數值</t>
        </is>
      </c>
      <c r="C550" s="1" t="n">
        <v>2</v>
      </c>
      <c r="D550" s="1">
        <f>IF(B550="數值","F","A")</f>
        <v/>
      </c>
      <c r="E550" s="1">
        <f>A550&amp;" "&amp;D550&amp;C550</f>
        <v/>
      </c>
    </row>
    <row r="551">
      <c r="A551" s="1" t="inlineStr">
        <is>
          <t>vM2m03</t>
        </is>
      </c>
      <c r="B551" s="1" t="inlineStr">
        <is>
          <t>數值</t>
        </is>
      </c>
      <c r="C551" s="1" t="n">
        <v>2</v>
      </c>
      <c r="D551" s="1">
        <f>IF(B551="數值","F","A")</f>
        <v/>
      </c>
      <c r="E551" s="1">
        <f>A551&amp;" "&amp;D551&amp;C551</f>
        <v/>
      </c>
    </row>
    <row r="552">
      <c r="A552" s="1" t="inlineStr">
        <is>
          <t>vM2m04</t>
        </is>
      </c>
      <c r="B552" s="1" t="inlineStr">
        <is>
          <t>數值</t>
        </is>
      </c>
      <c r="C552" s="1" t="n">
        <v>2</v>
      </c>
      <c r="D552" s="1">
        <f>IF(B552="數值","F","A")</f>
        <v/>
      </c>
      <c r="E552" s="1">
        <f>A552&amp;" "&amp;D552&amp;C552</f>
        <v/>
      </c>
    </row>
    <row r="553">
      <c r="A553" s="1" t="inlineStr">
        <is>
          <t>vM2m05</t>
        </is>
      </c>
      <c r="B553" s="1" t="inlineStr">
        <is>
          <t>數值</t>
        </is>
      </c>
      <c r="C553" s="1" t="n">
        <v>2</v>
      </c>
      <c r="D553" s="1">
        <f>IF(B553="數值","F","A")</f>
        <v/>
      </c>
      <c r="E553" s="1">
        <f>A553&amp;" "&amp;D553&amp;C553</f>
        <v/>
      </c>
    </row>
    <row r="554">
      <c r="A554" s="1" t="inlineStr">
        <is>
          <t>vM2m06</t>
        </is>
      </c>
      <c r="B554" s="1" t="inlineStr">
        <is>
          <t>數值</t>
        </is>
      </c>
      <c r="C554" s="1" t="n">
        <v>2</v>
      </c>
      <c r="D554" s="1">
        <f>IF(B554="數值","F","A")</f>
        <v/>
      </c>
      <c r="E554" s="1">
        <f>A554&amp;" "&amp;D554&amp;C554</f>
        <v/>
      </c>
    </row>
    <row r="555">
      <c r="A555" s="1" t="inlineStr">
        <is>
          <t>vM2m07</t>
        </is>
      </c>
      <c r="B555" s="1" t="inlineStr">
        <is>
          <t>數值</t>
        </is>
      </c>
      <c r="C555" s="1" t="n">
        <v>2</v>
      </c>
      <c r="D555" s="1">
        <f>IF(B555="數值","F","A")</f>
        <v/>
      </c>
      <c r="E555" s="1">
        <f>A555&amp;" "&amp;D555&amp;C555</f>
        <v/>
      </c>
    </row>
    <row r="556">
      <c r="A556" s="1" t="inlineStr">
        <is>
          <t>vM2m08</t>
        </is>
      </c>
      <c r="B556" s="1" t="inlineStr">
        <is>
          <t>數值</t>
        </is>
      </c>
      <c r="C556" s="1" t="n">
        <v>2</v>
      </c>
      <c r="D556" s="1">
        <f>IF(B556="數值","F","A")</f>
        <v/>
      </c>
      <c r="E556" s="1">
        <f>A556&amp;" "&amp;D556&amp;C556</f>
        <v/>
      </c>
    </row>
    <row r="557">
      <c r="A557" s="1" t="inlineStr">
        <is>
          <t>vM2m09</t>
        </is>
      </c>
      <c r="B557" s="1" t="inlineStr">
        <is>
          <t>數值</t>
        </is>
      </c>
      <c r="C557" s="1" t="n">
        <v>2</v>
      </c>
      <c r="D557" s="1">
        <f>IF(B557="數值","F","A")</f>
        <v/>
      </c>
      <c r="E557" s="1">
        <f>A557&amp;" "&amp;D557&amp;C557</f>
        <v/>
      </c>
    </row>
    <row r="558">
      <c r="A558" s="1" t="inlineStr">
        <is>
          <t>vM2m10</t>
        </is>
      </c>
      <c r="B558" s="1" t="inlineStr">
        <is>
          <t>數值</t>
        </is>
      </c>
      <c r="C558" s="1" t="n">
        <v>2</v>
      </c>
      <c r="D558" s="1">
        <f>IF(B558="數值","F","A")</f>
        <v/>
      </c>
      <c r="E558" s="1">
        <f>A558&amp;" "&amp;D558&amp;C558</f>
        <v/>
      </c>
    </row>
    <row r="559">
      <c r="A559" s="1" t="inlineStr">
        <is>
          <t>vM2m11</t>
        </is>
      </c>
      <c r="B559" s="1" t="inlineStr">
        <is>
          <t>數值</t>
        </is>
      </c>
      <c r="C559" s="1" t="n">
        <v>2</v>
      </c>
      <c r="D559" s="1">
        <f>IF(B559="數值","F","A")</f>
        <v/>
      </c>
      <c r="E559" s="1">
        <f>A559&amp;" "&amp;D559&amp;C559</f>
        <v/>
      </c>
    </row>
    <row r="560">
      <c r="A560" s="1" t="inlineStr">
        <is>
          <t>vM2m12</t>
        </is>
      </c>
      <c r="B560" s="1" t="inlineStr">
        <is>
          <t>數值</t>
        </is>
      </c>
      <c r="C560" s="1" t="n">
        <v>2</v>
      </c>
      <c r="D560" s="1">
        <f>IF(B560="數值","F","A")</f>
        <v/>
      </c>
      <c r="E560" s="1">
        <f>A560&amp;" "&amp;D560&amp;C560</f>
        <v/>
      </c>
    </row>
    <row r="561">
      <c r="A561" s="1" t="inlineStr">
        <is>
          <t>vM2m13</t>
        </is>
      </c>
      <c r="B561" s="1" t="inlineStr">
        <is>
          <t>數值</t>
        </is>
      </c>
      <c r="C561" s="1" t="n">
        <v>2</v>
      </c>
      <c r="D561" s="1">
        <f>IF(B561="數值","F","A")</f>
        <v/>
      </c>
      <c r="E561" s="1">
        <f>A561&amp;" "&amp;D561&amp;C561</f>
        <v/>
      </c>
    </row>
    <row r="562">
      <c r="A562" s="1" t="inlineStr">
        <is>
          <t>vM2m14</t>
        </is>
      </c>
      <c r="B562" s="1" t="inlineStr">
        <is>
          <t>數值</t>
        </is>
      </c>
      <c r="C562" s="1" t="n">
        <v>2</v>
      </c>
      <c r="D562" s="1">
        <f>IF(B562="數值","F","A")</f>
        <v/>
      </c>
      <c r="E562" s="1">
        <f>A562&amp;" "&amp;D562&amp;C562</f>
        <v/>
      </c>
    </row>
    <row r="563">
      <c r="A563" s="1" t="inlineStr">
        <is>
          <t>vM2m15</t>
        </is>
      </c>
      <c r="B563" s="1" t="inlineStr">
        <is>
          <t>數值</t>
        </is>
      </c>
      <c r="C563" s="1" t="n">
        <v>2</v>
      </c>
      <c r="D563" s="1">
        <f>IF(B563="數值","F","A")</f>
        <v/>
      </c>
      <c r="E563" s="1">
        <f>A563&amp;" "&amp;D563&amp;C563</f>
        <v/>
      </c>
    </row>
    <row r="564">
      <c r="A564" s="1" t="inlineStr">
        <is>
          <t>vM2m16</t>
        </is>
      </c>
      <c r="B564" s="1" t="inlineStr">
        <is>
          <t>數值</t>
        </is>
      </c>
      <c r="C564" s="1" t="n">
        <v>2</v>
      </c>
      <c r="D564" s="1">
        <f>IF(B564="數值","F","A")</f>
        <v/>
      </c>
      <c r="E564" s="1">
        <f>A564&amp;" "&amp;D564&amp;C564</f>
        <v/>
      </c>
    </row>
    <row r="565">
      <c r="A565" s="1" t="inlineStr">
        <is>
          <t>vM2m88</t>
        </is>
      </c>
      <c r="B565" s="1" t="inlineStr">
        <is>
          <t>數值</t>
        </is>
      </c>
      <c r="C565" s="1" t="n">
        <v>2</v>
      </c>
      <c r="D565" s="1">
        <f>IF(B565="數值","F","A")</f>
        <v/>
      </c>
      <c r="E565" s="1">
        <f>A565&amp;" "&amp;D565&amp;C565</f>
        <v/>
      </c>
    </row>
    <row r="566">
      <c r="A566" s="1" t="inlineStr">
        <is>
          <t>vM2o88</t>
        </is>
      </c>
      <c r="B566" s="1" t="inlineStr">
        <is>
          <t>字串</t>
        </is>
      </c>
      <c r="C566" s="1" t="n">
        <v>150</v>
      </c>
      <c r="D566" s="1">
        <f>IF(B566="數值","F","A")</f>
        <v/>
      </c>
      <c r="E566" s="1">
        <f>A566&amp;" "&amp;D566&amp;C566</f>
        <v/>
      </c>
    </row>
    <row r="567">
      <c r="A567" s="1" t="inlineStr">
        <is>
          <t>vM3m01</t>
        </is>
      </c>
      <c r="B567" s="1" t="inlineStr">
        <is>
          <t>數值</t>
        </is>
      </c>
      <c r="C567" s="1" t="n">
        <v>2</v>
      </c>
      <c r="D567" s="1">
        <f>IF(B567="數值","F","A")</f>
        <v/>
      </c>
      <c r="E567" s="1">
        <f>A567&amp;" "&amp;D567&amp;C567</f>
        <v/>
      </c>
    </row>
    <row r="568">
      <c r="A568" s="1" t="inlineStr">
        <is>
          <t>vM3m02</t>
        </is>
      </c>
      <c r="B568" s="1" t="inlineStr">
        <is>
          <t>數值</t>
        </is>
      </c>
      <c r="C568" s="1" t="n">
        <v>2</v>
      </c>
      <c r="D568" s="1">
        <f>IF(B568="數值","F","A")</f>
        <v/>
      </c>
      <c r="E568" s="1">
        <f>A568&amp;" "&amp;D568&amp;C568</f>
        <v/>
      </c>
    </row>
    <row r="569">
      <c r="A569" s="1" t="inlineStr">
        <is>
          <t>vM3m03</t>
        </is>
      </c>
      <c r="B569" s="1" t="inlineStr">
        <is>
          <t>數值</t>
        </is>
      </c>
      <c r="C569" s="1" t="n">
        <v>2</v>
      </c>
      <c r="D569" s="1">
        <f>IF(B569="數值","F","A")</f>
        <v/>
      </c>
      <c r="E569" s="1">
        <f>A569&amp;" "&amp;D569&amp;C569</f>
        <v/>
      </c>
    </row>
    <row r="570">
      <c r="A570" s="1" t="inlineStr">
        <is>
          <t>vM3m04</t>
        </is>
      </c>
      <c r="B570" s="1" t="inlineStr">
        <is>
          <t>數值</t>
        </is>
      </c>
      <c r="C570" s="1" t="n">
        <v>2</v>
      </c>
      <c r="D570" s="1">
        <f>IF(B570="數值","F","A")</f>
        <v/>
      </c>
      <c r="E570" s="1">
        <f>A570&amp;" "&amp;D570&amp;C570</f>
        <v/>
      </c>
    </row>
    <row r="571">
      <c r="A571" s="1" t="inlineStr">
        <is>
          <t>vM3m05</t>
        </is>
      </c>
      <c r="B571" s="1" t="inlineStr">
        <is>
          <t>數值</t>
        </is>
      </c>
      <c r="C571" s="1" t="n">
        <v>2</v>
      </c>
      <c r="D571" s="1">
        <f>IF(B571="數值","F","A")</f>
        <v/>
      </c>
      <c r="E571" s="1">
        <f>A571&amp;" "&amp;D571&amp;C571</f>
        <v/>
      </c>
    </row>
    <row r="572">
      <c r="A572" s="1" t="inlineStr">
        <is>
          <t>vM3m06</t>
        </is>
      </c>
      <c r="B572" s="1" t="inlineStr">
        <is>
          <t>數值</t>
        </is>
      </c>
      <c r="C572" s="1" t="n">
        <v>2</v>
      </c>
      <c r="D572" s="1">
        <f>IF(B572="數值","F","A")</f>
        <v/>
      </c>
      <c r="E572" s="1">
        <f>A572&amp;" "&amp;D572&amp;C572</f>
        <v/>
      </c>
    </row>
    <row r="573">
      <c r="A573" s="1" t="inlineStr">
        <is>
          <t>vM3m07</t>
        </is>
      </c>
      <c r="B573" s="1" t="inlineStr">
        <is>
          <t>數值</t>
        </is>
      </c>
      <c r="C573" s="1" t="n">
        <v>2</v>
      </c>
      <c r="D573" s="1">
        <f>IF(B573="數值","F","A")</f>
        <v/>
      </c>
      <c r="E573" s="1">
        <f>A573&amp;" "&amp;D573&amp;C573</f>
        <v/>
      </c>
    </row>
    <row r="574">
      <c r="A574" s="1" t="inlineStr">
        <is>
          <t>vM3m08</t>
        </is>
      </c>
      <c r="B574" s="1" t="inlineStr">
        <is>
          <t>數值</t>
        </is>
      </c>
      <c r="C574" s="1" t="n">
        <v>2</v>
      </c>
      <c r="D574" s="1">
        <f>IF(B574="數值","F","A")</f>
        <v/>
      </c>
      <c r="E574" s="1">
        <f>A574&amp;" "&amp;D574&amp;C574</f>
        <v/>
      </c>
    </row>
    <row r="575">
      <c r="A575" s="1" t="inlineStr">
        <is>
          <t>vM3m09</t>
        </is>
      </c>
      <c r="B575" s="1" t="inlineStr">
        <is>
          <t>數值</t>
        </is>
      </c>
      <c r="C575" s="1" t="n">
        <v>2</v>
      </c>
      <c r="D575" s="1">
        <f>IF(B575="數值","F","A")</f>
        <v/>
      </c>
      <c r="E575" s="1">
        <f>A575&amp;" "&amp;D575&amp;C575</f>
        <v/>
      </c>
    </row>
    <row r="576">
      <c r="A576" s="1" t="inlineStr">
        <is>
          <t>vM3m10</t>
        </is>
      </c>
      <c r="B576" s="1" t="inlineStr">
        <is>
          <t>數值</t>
        </is>
      </c>
      <c r="C576" s="1" t="n">
        <v>2</v>
      </c>
      <c r="D576" s="1">
        <f>IF(B576="數值","F","A")</f>
        <v/>
      </c>
      <c r="E576" s="1">
        <f>A576&amp;" "&amp;D576&amp;C576</f>
        <v/>
      </c>
    </row>
    <row r="577">
      <c r="A577" s="1" t="inlineStr">
        <is>
          <t>vM3m11</t>
        </is>
      </c>
      <c r="B577" s="1" t="inlineStr">
        <is>
          <t>數值</t>
        </is>
      </c>
      <c r="C577" s="1" t="n">
        <v>2</v>
      </c>
      <c r="D577" s="1">
        <f>IF(B577="數值","F","A")</f>
        <v/>
      </c>
      <c r="E577" s="1">
        <f>A577&amp;" "&amp;D577&amp;C577</f>
        <v/>
      </c>
    </row>
    <row r="578">
      <c r="A578" s="1" t="inlineStr">
        <is>
          <t>vM3m12</t>
        </is>
      </c>
      <c r="B578" s="1" t="inlineStr">
        <is>
          <t>數值</t>
        </is>
      </c>
      <c r="C578" s="1" t="n">
        <v>2</v>
      </c>
      <c r="D578" s="1">
        <f>IF(B578="數值","F","A")</f>
        <v/>
      </c>
      <c r="E578" s="1">
        <f>A578&amp;" "&amp;D578&amp;C578</f>
        <v/>
      </c>
    </row>
    <row r="579">
      <c r="A579" s="1" t="inlineStr">
        <is>
          <t>vM3m13</t>
        </is>
      </c>
      <c r="B579" s="1" t="inlineStr">
        <is>
          <t>數值</t>
        </is>
      </c>
      <c r="C579" s="1" t="n">
        <v>2</v>
      </c>
      <c r="D579" s="1">
        <f>IF(B579="數值","F","A")</f>
        <v/>
      </c>
      <c r="E579" s="1">
        <f>A579&amp;" "&amp;D579&amp;C579</f>
        <v/>
      </c>
    </row>
    <row r="580">
      <c r="A580" s="1" t="inlineStr">
        <is>
          <t>vM3m88</t>
        </is>
      </c>
      <c r="B580" s="1" t="inlineStr">
        <is>
          <t>數值</t>
        </is>
      </c>
      <c r="C580" s="1" t="n">
        <v>2</v>
      </c>
      <c r="D580" s="1">
        <f>IF(B580="數值","F","A")</f>
        <v/>
      </c>
      <c r="E580" s="1">
        <f>A580&amp;" "&amp;D580&amp;C580</f>
        <v/>
      </c>
    </row>
    <row r="581">
      <c r="A581" s="1" t="inlineStr">
        <is>
          <t>vM3o88</t>
        </is>
      </c>
      <c r="B581" s="1" t="inlineStr">
        <is>
          <t>字串</t>
        </is>
      </c>
      <c r="C581" s="1" t="n">
        <v>150</v>
      </c>
      <c r="D581" s="1">
        <f>IF(B581="數值","F","A")</f>
        <v/>
      </c>
      <c r="E581" s="1">
        <f>A581&amp;" "&amp;D581&amp;C581</f>
        <v/>
      </c>
    </row>
    <row r="582">
      <c r="A582" s="1" t="inlineStr">
        <is>
          <t>vM4sM4</t>
        </is>
      </c>
      <c r="B582" s="1" t="inlineStr">
        <is>
          <t>數值</t>
        </is>
      </c>
      <c r="C582" s="1" t="n">
        <v>2</v>
      </c>
      <c r="D582" s="1">
        <f>IF(B582="數值","F","A")</f>
        <v/>
      </c>
      <c r="E582" s="1">
        <f>A582&amp;" "&amp;D582&amp;C582</f>
        <v/>
      </c>
    </row>
    <row r="583">
      <c r="A583" s="1" t="inlineStr">
        <is>
          <t>vM4sM5</t>
        </is>
      </c>
      <c r="B583" s="1" t="inlineStr">
        <is>
          <t>數值</t>
        </is>
      </c>
      <c r="C583" s="1" t="n">
        <v>2</v>
      </c>
      <c r="D583" s="1">
        <f>IF(B583="數值","F","A")</f>
        <v/>
      </c>
      <c r="E583" s="1">
        <f>A583&amp;" "&amp;D583&amp;C583</f>
        <v/>
      </c>
    </row>
    <row r="584">
      <c r="A584" s="1" t="inlineStr">
        <is>
          <t>vM4sM6</t>
        </is>
      </c>
      <c r="B584" s="1" t="inlineStr">
        <is>
          <t>數值</t>
        </is>
      </c>
      <c r="C584" s="1" t="n">
        <v>2</v>
      </c>
      <c r="D584" s="1">
        <f>IF(B584="數值","F","A")</f>
        <v/>
      </c>
      <c r="E584" s="1">
        <f>A584&amp;" "&amp;D584&amp;C584</f>
        <v/>
      </c>
    </row>
    <row r="585">
      <c r="A585" s="1" t="inlineStr">
        <is>
          <t>vN1sN1</t>
        </is>
      </c>
      <c r="B585" s="1" t="inlineStr">
        <is>
          <t>數值</t>
        </is>
      </c>
      <c r="C585" s="1" t="n">
        <v>2</v>
      </c>
      <c r="D585" s="1">
        <f>IF(B585="數值","F","A")</f>
        <v/>
      </c>
      <c r="E585" s="1">
        <f>A585&amp;" "&amp;D585&amp;C585</f>
        <v/>
      </c>
    </row>
    <row r="586">
      <c r="A586" s="1" t="inlineStr">
        <is>
          <t>vN1sN2</t>
        </is>
      </c>
      <c r="B586" s="1" t="inlineStr">
        <is>
          <t>數值</t>
        </is>
      </c>
      <c r="C586" s="1" t="n">
        <v>2</v>
      </c>
      <c r="D586" s="1">
        <f>IF(B586="數值","F","A")</f>
        <v/>
      </c>
      <c r="E586" s="1">
        <f>A586&amp;" "&amp;D586&amp;C586</f>
        <v/>
      </c>
    </row>
    <row r="587">
      <c r="A587" s="1" t="inlineStr">
        <is>
          <t>vN1sN3</t>
        </is>
      </c>
      <c r="B587" s="1" t="inlineStr">
        <is>
          <t>數值</t>
        </is>
      </c>
      <c r="C587" s="1" t="n">
        <v>2</v>
      </c>
      <c r="D587" s="1">
        <f>IF(B587="數值","F","A")</f>
        <v/>
      </c>
      <c r="E587" s="1">
        <f>A587&amp;" "&amp;D587&amp;C587</f>
        <v/>
      </c>
    </row>
    <row r="588">
      <c r="A588" s="1" t="inlineStr">
        <is>
          <t>vN1sN4</t>
        </is>
      </c>
      <c r="B588" s="1" t="inlineStr">
        <is>
          <t>數值</t>
        </is>
      </c>
      <c r="C588" s="1" t="n">
        <v>2</v>
      </c>
      <c r="D588" s="1">
        <f>IF(B588="數值","F","A")</f>
        <v/>
      </c>
      <c r="E588" s="1">
        <f>A588&amp;" "&amp;D588&amp;C588</f>
        <v/>
      </c>
    </row>
    <row r="589">
      <c r="A589" s="1" t="inlineStr">
        <is>
          <t>vN1sN5</t>
        </is>
      </c>
      <c r="B589" s="1" t="inlineStr">
        <is>
          <t>數值</t>
        </is>
      </c>
      <c r="C589" s="1" t="n">
        <v>2</v>
      </c>
      <c r="D589" s="1">
        <f>IF(B589="數值","F","A")</f>
        <v/>
      </c>
      <c r="E589" s="1">
        <f>A589&amp;" "&amp;D589&amp;C589</f>
        <v/>
      </c>
    </row>
    <row r="590">
      <c r="A590" s="1" t="inlineStr">
        <is>
          <t>vN6sN6</t>
        </is>
      </c>
      <c r="B590" s="1" t="inlineStr">
        <is>
          <t>數值</t>
        </is>
      </c>
      <c r="C590" s="1" t="n">
        <v>2</v>
      </c>
      <c r="D590" s="1">
        <f>IF(B590="數值","F","A")</f>
        <v/>
      </c>
      <c r="E590" s="1">
        <f>A590&amp;" "&amp;D590&amp;C590</f>
        <v/>
      </c>
    </row>
    <row r="591">
      <c r="A591" s="1" t="inlineStr">
        <is>
          <t>vN6sN7</t>
        </is>
      </c>
      <c r="B591" s="1" t="inlineStr">
        <is>
          <t>數值</t>
        </is>
      </c>
      <c r="C591" s="1" t="n">
        <v>2</v>
      </c>
      <c r="D591" s="1">
        <f>IF(B591="數值","F","A")</f>
        <v/>
      </c>
      <c r="E591" s="1">
        <f>A591&amp;" "&amp;D591&amp;C591</f>
        <v/>
      </c>
    </row>
    <row r="592">
      <c r="A592" s="1" t="inlineStr">
        <is>
          <t>vN6sN8</t>
        </is>
      </c>
      <c r="B592" s="1" t="inlineStr">
        <is>
          <t>數值</t>
        </is>
      </c>
      <c r="C592" s="1" t="n">
        <v>2</v>
      </c>
      <c r="D592" s="1">
        <f>IF(B592="數值","F","A")</f>
        <v/>
      </c>
      <c r="E592" s="1">
        <f>A592&amp;" "&amp;D592&amp;C592</f>
        <v/>
      </c>
    </row>
    <row r="593">
      <c r="A593" s="1" t="inlineStr">
        <is>
          <t>vN6sN9</t>
        </is>
      </c>
      <c r="B593" s="1" t="inlineStr">
        <is>
          <t>數值</t>
        </is>
      </c>
      <c r="C593" s="1" t="n">
        <v>2</v>
      </c>
      <c r="D593" s="1">
        <f>IF(B593="數值","F","A")</f>
        <v/>
      </c>
      <c r="E593" s="1">
        <f>A593&amp;" "&amp;D593&amp;C593</f>
        <v/>
      </c>
    </row>
    <row r="594">
      <c r="A594" s="1" t="inlineStr">
        <is>
          <t>vN6sN10</t>
        </is>
      </c>
      <c r="B594" s="1" t="inlineStr">
        <is>
          <t>數值</t>
        </is>
      </c>
      <c r="C594" s="1" t="n">
        <v>2</v>
      </c>
      <c r="D594" s="1">
        <f>IF(B594="數值","F","A")</f>
        <v/>
      </c>
      <c r="E594" s="1">
        <f>A594&amp;" "&amp;D594&amp;C594</f>
        <v/>
      </c>
    </row>
    <row r="595">
      <c r="A595" s="1" t="inlineStr">
        <is>
          <t>vN11sN11</t>
        </is>
      </c>
      <c r="B595" s="1" t="inlineStr">
        <is>
          <t>數值</t>
        </is>
      </c>
      <c r="C595" s="1" t="n">
        <v>2</v>
      </c>
      <c r="D595" s="1">
        <f>IF(B595="數值","F","A")</f>
        <v/>
      </c>
      <c r="E595" s="1">
        <f>A595&amp;" "&amp;D595&amp;C595</f>
        <v/>
      </c>
    </row>
    <row r="596">
      <c r="A596" s="1" t="inlineStr">
        <is>
          <t>vN11sN12</t>
        </is>
      </c>
      <c r="B596" s="1" t="inlineStr">
        <is>
          <t>數值</t>
        </is>
      </c>
      <c r="C596" s="1" t="n">
        <v>2</v>
      </c>
      <c r="D596" s="1">
        <f>IF(B596="數值","F","A")</f>
        <v/>
      </c>
      <c r="E596" s="1">
        <f>A596&amp;" "&amp;D596&amp;C596</f>
        <v/>
      </c>
    </row>
    <row r="597">
      <c r="A597" s="1" t="inlineStr">
        <is>
          <t>vN11sN13</t>
        </is>
      </c>
      <c r="B597" s="1" t="inlineStr">
        <is>
          <t>數值</t>
        </is>
      </c>
      <c r="C597" s="1" t="n">
        <v>2</v>
      </c>
      <c r="D597" s="1">
        <f>IF(B597="數值","F","A")</f>
        <v/>
      </c>
      <c r="E597" s="1">
        <f>A597&amp;" "&amp;D597&amp;C597</f>
        <v/>
      </c>
    </row>
    <row r="598">
      <c r="A598" s="1" t="inlineStr">
        <is>
          <t>vN11sN14</t>
        </is>
      </c>
      <c r="B598" s="1" t="inlineStr">
        <is>
          <t>數值</t>
        </is>
      </c>
      <c r="C598" s="1" t="n">
        <v>2</v>
      </c>
      <c r="D598" s="1">
        <f>IF(B598="數值","F","A")</f>
        <v/>
      </c>
      <c r="E598" s="1">
        <f>A598&amp;" "&amp;D598&amp;C598</f>
        <v/>
      </c>
    </row>
    <row r="599">
      <c r="A599" s="1" t="inlineStr">
        <is>
          <t>vN11sN15</t>
        </is>
      </c>
      <c r="B599" s="1" t="inlineStr">
        <is>
          <t>數值</t>
        </is>
      </c>
      <c r="C599" s="1" t="n">
        <v>2</v>
      </c>
      <c r="D599" s="1">
        <f>IF(B599="數值","F","A")</f>
        <v/>
      </c>
      <c r="E599" s="1">
        <f>A599&amp;" "&amp;D599&amp;C599</f>
        <v/>
      </c>
    </row>
    <row r="600">
      <c r="A600" s="1" t="inlineStr">
        <is>
          <t>vN11sN16</t>
        </is>
      </c>
      <c r="B600" s="1" t="inlineStr">
        <is>
          <t>數值</t>
        </is>
      </c>
      <c r="C600" s="1" t="n">
        <v>2</v>
      </c>
      <c r="D600" s="1">
        <f>IF(B600="數值","F","A")</f>
        <v/>
      </c>
      <c r="E600" s="1">
        <f>A600&amp;" "&amp;D600&amp;C600</f>
        <v/>
      </c>
    </row>
    <row r="601">
      <c r="A601" s="1" t="inlineStr">
        <is>
          <t>vN17</t>
        </is>
      </c>
      <c r="B601" s="1" t="inlineStr">
        <is>
          <t>數值</t>
        </is>
      </c>
      <c r="C601" s="1" t="n">
        <v>2</v>
      </c>
      <c r="D601" s="1">
        <f>IF(B601="數值","F","A")</f>
        <v/>
      </c>
      <c r="E601" s="1">
        <f>A601&amp;" "&amp;D601&amp;C601</f>
        <v/>
      </c>
    </row>
    <row r="602">
      <c r="A602" s="1" t="inlineStr">
        <is>
          <t>vN18sN18</t>
        </is>
      </c>
      <c r="B602" s="1" t="inlineStr">
        <is>
          <t>數值</t>
        </is>
      </c>
      <c r="C602" s="1" t="n">
        <v>2</v>
      </c>
      <c r="D602" s="1">
        <f>IF(B602="數值","F","A")</f>
        <v/>
      </c>
      <c r="E602" s="1">
        <f>A602&amp;" "&amp;D602&amp;C602</f>
        <v/>
      </c>
    </row>
    <row r="603">
      <c r="A603" s="1" t="inlineStr">
        <is>
          <t>vN18sN19</t>
        </is>
      </c>
      <c r="B603" s="1" t="inlineStr">
        <is>
          <t>數值</t>
        </is>
      </c>
      <c r="C603" s="1" t="n">
        <v>2</v>
      </c>
      <c r="D603" s="1">
        <f>IF(B603="數值","F","A")</f>
        <v/>
      </c>
      <c r="E603" s="1">
        <f>A603&amp;" "&amp;D603&amp;C603</f>
        <v/>
      </c>
    </row>
    <row r="604">
      <c r="A604" s="1" t="inlineStr">
        <is>
          <t>vN18sN20</t>
        </is>
      </c>
      <c r="B604" s="1" t="inlineStr">
        <is>
          <t>數值</t>
        </is>
      </c>
      <c r="C604" s="1" t="n">
        <v>2</v>
      </c>
      <c r="D604" s="1">
        <f>IF(B604="數值","F","A")</f>
        <v/>
      </c>
      <c r="E604" s="1">
        <f>A604&amp;" "&amp;D604&amp;C604</f>
        <v/>
      </c>
    </row>
    <row r="605">
      <c r="A605" s="1" t="inlineStr">
        <is>
          <t>vN21sN21</t>
        </is>
      </c>
      <c r="B605" s="1" t="inlineStr">
        <is>
          <t>數值</t>
        </is>
      </c>
      <c r="C605" s="1" t="n">
        <v>2</v>
      </c>
      <c r="D605" s="1">
        <f>IF(B605="數值","F","A")</f>
        <v/>
      </c>
      <c r="E605" s="1">
        <f>A605&amp;" "&amp;D605&amp;C605</f>
        <v/>
      </c>
    </row>
    <row r="606">
      <c r="A606" s="1" t="inlineStr">
        <is>
          <t>vN21sN22</t>
        </is>
      </c>
      <c r="B606" s="1" t="inlineStr">
        <is>
          <t>數值</t>
        </is>
      </c>
      <c r="C606" s="1" t="n">
        <v>2</v>
      </c>
      <c r="D606" s="1">
        <f>IF(B606="數值","F","A")</f>
        <v/>
      </c>
      <c r="E606" s="1">
        <f>A606&amp;" "&amp;D606&amp;C606</f>
        <v/>
      </c>
    </row>
    <row r="607">
      <c r="A607" s="1" t="inlineStr">
        <is>
          <t>vN23</t>
        </is>
      </c>
      <c r="B607" s="1" t="inlineStr">
        <is>
          <t>數值</t>
        </is>
      </c>
      <c r="C607" s="1" t="n">
        <v>2</v>
      </c>
      <c r="D607" s="1">
        <f>IF(B607="數值","F","A")</f>
        <v/>
      </c>
      <c r="E607" s="1">
        <f>A607&amp;" "&amp;D607&amp;C607</f>
        <v/>
      </c>
    </row>
    <row r="608">
      <c r="A608" s="1" t="inlineStr">
        <is>
          <t>vN24</t>
        </is>
      </c>
      <c r="B608" s="1" t="inlineStr">
        <is>
          <t>數值</t>
        </is>
      </c>
      <c r="C608" s="1" t="n">
        <v>2</v>
      </c>
      <c r="D608" s="1">
        <f>IF(B608="數值","F","A")</f>
        <v/>
      </c>
      <c r="E608" s="1">
        <f>A608&amp;" "&amp;D608&amp;C608</f>
        <v/>
      </c>
    </row>
    <row r="609">
      <c r="A609" s="1" t="inlineStr">
        <is>
          <t>vN25</t>
        </is>
      </c>
      <c r="B609" s="1" t="inlineStr">
        <is>
          <t>數值</t>
        </is>
      </c>
      <c r="C609" s="1" t="n">
        <v>2</v>
      </c>
      <c r="D609" s="1">
        <f>IF(B609="數值","F","A")</f>
        <v/>
      </c>
      <c r="E609" s="1">
        <f>A609&amp;" "&amp;D609&amp;C609</f>
        <v/>
      </c>
    </row>
    <row r="610">
      <c r="A610" s="1" t="inlineStr">
        <is>
          <t>vN26</t>
        </is>
      </c>
      <c r="B610" s="1" t="inlineStr">
        <is>
          <t>數值</t>
        </is>
      </c>
      <c r="C610" s="1" t="n">
        <v>2</v>
      </c>
      <c r="D610" s="1">
        <f>IF(B610="數值","F","A")</f>
        <v/>
      </c>
      <c r="E610" s="1">
        <f>A610&amp;" "&amp;D610&amp;C610</f>
        <v/>
      </c>
    </row>
    <row r="611">
      <c r="A611" s="1" t="inlineStr">
        <is>
          <t>vN27</t>
        </is>
      </c>
      <c r="B611" s="1" t="inlineStr">
        <is>
          <t>數值</t>
        </is>
      </c>
      <c r="C611" s="1" t="n">
        <v>2</v>
      </c>
      <c r="D611" s="1">
        <f>IF(B611="數值","F","A")</f>
        <v/>
      </c>
      <c r="E611" s="1">
        <f>A611&amp;" "&amp;D611&amp;C611</f>
        <v/>
      </c>
    </row>
    <row r="612">
      <c r="A612" s="1" t="inlineStr">
        <is>
          <t>vN28</t>
        </is>
      </c>
      <c r="B612" s="1" t="inlineStr">
        <is>
          <t>數值</t>
        </is>
      </c>
      <c r="C612" s="1" t="n">
        <v>2</v>
      </c>
      <c r="D612" s="1">
        <f>IF(B612="數值","F","A")</f>
        <v/>
      </c>
      <c r="E612" s="1">
        <f>A612&amp;" "&amp;D612&amp;C612</f>
        <v/>
      </c>
    </row>
    <row r="613">
      <c r="A613" s="1" t="inlineStr">
        <is>
          <t>vN29</t>
        </is>
      </c>
      <c r="B613" s="1" t="inlineStr">
        <is>
          <t>數值</t>
        </is>
      </c>
      <c r="C613" s="1" t="n">
        <v>2</v>
      </c>
      <c r="D613" s="1">
        <f>IF(B613="數值","F","A")</f>
        <v/>
      </c>
      <c r="E613" s="1">
        <f>A613&amp;" "&amp;D613&amp;C613</f>
        <v/>
      </c>
    </row>
    <row r="614">
      <c r="A614" s="1" t="inlineStr">
        <is>
          <t>vN30</t>
        </is>
      </c>
      <c r="B614" s="1" t="inlineStr">
        <is>
          <t>數值</t>
        </is>
      </c>
      <c r="C614" s="1" t="n">
        <v>3</v>
      </c>
      <c r="D614" s="1">
        <f>IF(B614="數值","F","A")</f>
        <v/>
      </c>
      <c r="E614" s="1">
        <f>A614&amp;" "&amp;D614&amp;C614</f>
        <v/>
      </c>
    </row>
    <row r="615">
      <c r="A615" s="1" t="inlineStr">
        <is>
          <t>vN31</t>
        </is>
      </c>
      <c r="B615" s="1" t="inlineStr">
        <is>
          <t>數值</t>
        </is>
      </c>
      <c r="C615" s="1" t="n">
        <v>3</v>
      </c>
      <c r="D615" s="1">
        <f>IF(B615="數值","F","A")</f>
        <v/>
      </c>
      <c r="E615" s="1">
        <f>A615&amp;" "&amp;D615&amp;C615</f>
        <v/>
      </c>
    </row>
    <row r="616">
      <c r="A616" s="1" t="inlineStr">
        <is>
          <t>vN32</t>
        </is>
      </c>
      <c r="B616" s="1" t="inlineStr">
        <is>
          <t>數值</t>
        </is>
      </c>
      <c r="C616" s="1" t="n">
        <v>3</v>
      </c>
      <c r="D616" s="1">
        <f>IF(B616="數值","F","A")</f>
        <v/>
      </c>
      <c r="E616" s="1">
        <f>A616&amp;" "&amp;D616&amp;C616</f>
        <v/>
      </c>
    </row>
    <row r="617">
      <c r="A617" s="1" t="inlineStr">
        <is>
          <t>vO5</t>
        </is>
      </c>
      <c r="B617" s="1" t="inlineStr">
        <is>
          <t>數值</t>
        </is>
      </c>
      <c r="C617" s="1" t="n">
        <v>2</v>
      </c>
      <c r="D617" s="1">
        <f>IF(B617="數值","F","A")</f>
        <v/>
      </c>
      <c r="E617" s="1">
        <f>A617&amp;" "&amp;D617&amp;C617</f>
        <v/>
      </c>
    </row>
    <row r="618">
      <c r="A618" s="1" t="inlineStr">
        <is>
          <t>vN33sN33</t>
        </is>
      </c>
      <c r="B618" s="1" t="inlineStr">
        <is>
          <t>數值</t>
        </is>
      </c>
      <c r="C618" s="1" t="n">
        <v>2</v>
      </c>
      <c r="D618" s="1">
        <f>IF(B618="數值","F","A")</f>
        <v/>
      </c>
      <c r="E618" s="1">
        <f>A618&amp;" "&amp;D618&amp;C618</f>
        <v/>
      </c>
    </row>
    <row r="619">
      <c r="A619" s="1" t="inlineStr">
        <is>
          <t>vN33sN34</t>
        </is>
      </c>
      <c r="B619" s="1" t="inlineStr">
        <is>
          <t>數值</t>
        </is>
      </c>
      <c r="C619" s="1" t="n">
        <v>2</v>
      </c>
      <c r="D619" s="1">
        <f>IF(B619="數值","F","A")</f>
        <v/>
      </c>
      <c r="E619" s="1">
        <f>A619&amp;" "&amp;D619&amp;C619</f>
        <v/>
      </c>
    </row>
    <row r="620">
      <c r="A620" s="1" t="inlineStr">
        <is>
          <t>vN35sN35</t>
        </is>
      </c>
      <c r="B620" s="1" t="inlineStr">
        <is>
          <t>數值</t>
        </is>
      </c>
      <c r="C620" s="1" t="n">
        <v>2</v>
      </c>
      <c r="D620" s="1">
        <f>IF(B620="數值","F","A")</f>
        <v/>
      </c>
      <c r="E620" s="1">
        <f>A620&amp;" "&amp;D620&amp;C620</f>
        <v/>
      </c>
    </row>
    <row r="621">
      <c r="A621" s="1" t="inlineStr">
        <is>
          <t>vN35sN36</t>
        </is>
      </c>
      <c r="B621" s="1" t="inlineStr">
        <is>
          <t>數值</t>
        </is>
      </c>
      <c r="C621" s="1" t="n">
        <v>2</v>
      </c>
      <c r="D621" s="1">
        <f>IF(B621="數值","F","A")</f>
        <v/>
      </c>
      <c r="E621" s="1">
        <f>A621&amp;" "&amp;D621&amp;C621</f>
        <v/>
      </c>
    </row>
    <row r="622">
      <c r="A622" s="1" t="inlineStr">
        <is>
          <t>vN35sN37</t>
        </is>
      </c>
      <c r="B622" s="1" t="inlineStr">
        <is>
          <t>數值</t>
        </is>
      </c>
      <c r="C622" s="1" t="n">
        <v>2</v>
      </c>
      <c r="D622" s="1">
        <f>IF(B622="數值","F","A")</f>
        <v/>
      </c>
      <c r="E622" s="1">
        <f>A622&amp;" "&amp;D622&amp;C622</f>
        <v/>
      </c>
    </row>
    <row r="623">
      <c r="A623" s="1" t="inlineStr">
        <is>
          <t>vN35sN38</t>
        </is>
      </c>
      <c r="B623" s="1" t="inlineStr">
        <is>
          <t>數值</t>
        </is>
      </c>
      <c r="C623" s="1" t="n">
        <v>2</v>
      </c>
      <c r="D623" s="1">
        <f>IF(B623="數值","F","A")</f>
        <v/>
      </c>
      <c r="E623" s="1">
        <f>A623&amp;" "&amp;D623&amp;C623</f>
        <v/>
      </c>
    </row>
    <row r="624">
      <c r="A624" s="1" t="inlineStr">
        <is>
          <t>vQa</t>
        </is>
      </c>
      <c r="B624" s="1" t="inlineStr">
        <is>
          <t>數值</t>
        </is>
      </c>
      <c r="C624" s="1" t="n">
        <v>14</v>
      </c>
      <c r="D624" s="1">
        <f>IF(B624="數值","F","A")</f>
        <v/>
      </c>
      <c r="E624" s="1">
        <f>A624&amp;" "&amp;D624&amp;C624</f>
        <v/>
      </c>
    </row>
    <row r="625">
      <c r="A625" s="1" t="inlineStr">
        <is>
          <t>vQ1</t>
        </is>
      </c>
      <c r="B625" s="1" t="inlineStr">
        <is>
          <t>數值</t>
        </is>
      </c>
      <c r="C625" s="1" t="n">
        <v>2</v>
      </c>
      <c r="D625" s="1">
        <f>IF(B625="數值","F","A")</f>
        <v/>
      </c>
      <c r="E625" s="1">
        <f>A625&amp;" "&amp;D625&amp;C625</f>
        <v/>
      </c>
    </row>
    <row r="626">
      <c r="A626" s="1" t="inlineStr">
        <is>
          <t>vQ2</t>
        </is>
      </c>
      <c r="B626" s="1" t="inlineStr">
        <is>
          <t>數值</t>
        </is>
      </c>
      <c r="C626" s="1" t="n">
        <v>2</v>
      </c>
      <c r="D626" s="1">
        <f>IF(B626="數值","F","A")</f>
        <v/>
      </c>
      <c r="E626" s="1">
        <f>A626&amp;" "&amp;D626&amp;C626</f>
        <v/>
      </c>
    </row>
    <row r="627">
      <c r="A627" s="1" t="inlineStr">
        <is>
          <t>vQ3</t>
        </is>
      </c>
      <c r="B627" s="1" t="inlineStr">
        <is>
          <t>數值</t>
        </is>
      </c>
      <c r="C627" s="1" t="n">
        <v>2</v>
      </c>
      <c r="D627" s="1">
        <f>IF(B627="數值","F","A")</f>
        <v/>
      </c>
      <c r="E627" s="1">
        <f>A627&amp;" "&amp;D627&amp;C627</f>
        <v/>
      </c>
    </row>
    <row r="628">
      <c r="A628" s="1" t="inlineStr">
        <is>
          <t>vQ4</t>
        </is>
      </c>
      <c r="B628" s="1" t="inlineStr">
        <is>
          <t>數值</t>
        </is>
      </c>
      <c r="C628" s="1" t="n">
        <v>2</v>
      </c>
      <c r="D628" s="1">
        <f>IF(B628="數值","F","A")</f>
        <v/>
      </c>
      <c r="E628" s="1">
        <f>A628&amp;" "&amp;D628&amp;C628</f>
        <v/>
      </c>
    </row>
    <row r="629">
      <c r="A629" s="1" t="inlineStr">
        <is>
          <t>vQ5</t>
        </is>
      </c>
      <c r="B629" s="1" t="inlineStr">
        <is>
          <t>數值</t>
        </is>
      </c>
      <c r="C629" s="1" t="n">
        <v>2</v>
      </c>
      <c r="D629" s="1">
        <f>IF(B629="數值","F","A")</f>
        <v/>
      </c>
      <c r="E629" s="1">
        <f>A629&amp;" "&amp;D629&amp;C629</f>
        <v/>
      </c>
    </row>
    <row r="630">
      <c r="A630" s="1" t="inlineStr">
        <is>
          <t>vQ6</t>
        </is>
      </c>
      <c r="B630" s="1" t="inlineStr">
        <is>
          <t>數值</t>
        </is>
      </c>
      <c r="C630" s="1" t="n">
        <v>2</v>
      </c>
      <c r="D630" s="1">
        <f>IF(B630="數值","F","A")</f>
        <v/>
      </c>
      <c r="E630" s="1">
        <f>A630&amp;" "&amp;D630&amp;C630</f>
        <v/>
      </c>
    </row>
    <row r="631">
      <c r="A631" s="1" t="inlineStr">
        <is>
          <t>vQ7</t>
        </is>
      </c>
      <c r="B631" s="1" t="inlineStr">
        <is>
          <t>數值</t>
        </is>
      </c>
      <c r="C631" s="1" t="n">
        <v>2</v>
      </c>
      <c r="D631" s="1">
        <f>IF(B631="數值","F","A")</f>
        <v/>
      </c>
      <c r="E631" s="1">
        <f>A631&amp;" "&amp;D631&amp;C631</f>
        <v/>
      </c>
    </row>
    <row r="632">
      <c r="A632" s="1" t="inlineStr">
        <is>
          <t>vQ8</t>
        </is>
      </c>
      <c r="B632" s="1" t="inlineStr">
        <is>
          <t>數值</t>
        </is>
      </c>
      <c r="C632" s="1" t="n">
        <v>2</v>
      </c>
      <c r="D632" s="1">
        <f>IF(B632="數值","F","A")</f>
        <v/>
      </c>
      <c r="E632" s="1">
        <f>A632&amp;" "&amp;D632&amp;C632</f>
        <v/>
      </c>
    </row>
    <row r="633">
      <c r="A633" s="1" t="inlineStr">
        <is>
          <t>vQ9</t>
        </is>
      </c>
      <c r="B633" s="1" t="inlineStr">
        <is>
          <t>數值</t>
        </is>
      </c>
      <c r="C633" s="1" t="n">
        <v>2</v>
      </c>
      <c r="D633" s="1">
        <f>IF(B633="數值","F","A")</f>
        <v/>
      </c>
      <c r="E633" s="1">
        <f>A633&amp;" "&amp;D633&amp;C633</f>
        <v/>
      </c>
    </row>
    <row r="634">
      <c r="A634" s="1" t="inlineStr">
        <is>
          <t>vQ10</t>
        </is>
      </c>
      <c r="B634" s="1" t="inlineStr">
        <is>
          <t>數值</t>
        </is>
      </c>
      <c r="C634" s="1" t="n">
        <v>2</v>
      </c>
      <c r="D634" s="1">
        <f>IF(B634="數值","F","A")</f>
        <v/>
      </c>
      <c r="E634" s="1">
        <f>A634&amp;" "&amp;D634&amp;C634</f>
        <v/>
      </c>
    </row>
    <row r="635">
      <c r="A635" s="1" t="inlineStr">
        <is>
          <t>vCKQ10</t>
        </is>
      </c>
      <c r="B635" s="1" t="inlineStr">
        <is>
          <t>數值</t>
        </is>
      </c>
      <c r="C635" s="1" t="n">
        <v>2</v>
      </c>
      <c r="D635" s="1">
        <f>IF(B635="數值","F","A")</f>
        <v/>
      </c>
      <c r="E635" s="1">
        <f>A635&amp;" "&amp;D635&amp;C635</f>
        <v/>
      </c>
    </row>
    <row r="636">
      <c r="A636" s="1" t="inlineStr">
        <is>
          <t>vQ11</t>
        </is>
      </c>
      <c r="B636" s="1" t="inlineStr">
        <is>
          <t>數值</t>
        </is>
      </c>
      <c r="C636" s="1" t="n">
        <v>2</v>
      </c>
      <c r="D636" s="1">
        <f>IF(B636="數值","F","A")</f>
        <v/>
      </c>
      <c r="E636" s="1">
        <f>A636&amp;" "&amp;D636&amp;C636</f>
        <v/>
      </c>
    </row>
    <row r="637">
      <c r="A637" s="1" t="inlineStr">
        <is>
          <t>vQ12</t>
        </is>
      </c>
      <c r="B637" s="1" t="inlineStr">
        <is>
          <t>數值</t>
        </is>
      </c>
      <c r="C637" s="1" t="n">
        <v>2</v>
      </c>
      <c r="D637" s="1">
        <f>IF(B637="數值","F","A")</f>
        <v/>
      </c>
      <c r="E637" s="1">
        <f>A637&amp;" "&amp;D637&amp;C637</f>
        <v/>
      </c>
    </row>
    <row r="638">
      <c r="A638" s="1" t="inlineStr">
        <is>
          <t>vQ13</t>
        </is>
      </c>
      <c r="B638" s="1" t="inlineStr">
        <is>
          <t>數值</t>
        </is>
      </c>
      <c r="C638" s="1" t="n">
        <v>2</v>
      </c>
      <c r="D638" s="1">
        <f>IF(B638="數值","F","A")</f>
        <v/>
      </c>
      <c r="E638" s="1">
        <f>A638&amp;" "&amp;D638&amp;C638</f>
        <v/>
      </c>
    </row>
    <row r="639">
      <c r="A639" s="1" t="inlineStr">
        <is>
          <t>vQ14</t>
        </is>
      </c>
      <c r="B639" s="1" t="inlineStr">
        <is>
          <t>數值</t>
        </is>
      </c>
      <c r="C639" s="1" t="n">
        <v>2</v>
      </c>
      <c r="D639" s="1">
        <f>IF(B639="數值","F","A")</f>
        <v/>
      </c>
      <c r="E639" s="1">
        <f>A639&amp;" "&amp;D639&amp;C639</f>
        <v/>
      </c>
    </row>
    <row r="640">
      <c r="A640" s="1" t="inlineStr">
        <is>
          <t>vQ15</t>
        </is>
      </c>
      <c r="B640" s="1" t="inlineStr">
        <is>
          <t>數值</t>
        </is>
      </c>
      <c r="C640" s="1" t="n">
        <v>2</v>
      </c>
      <c r="D640" s="1">
        <f>IF(B640="數值","F","A")</f>
        <v/>
      </c>
      <c r="E640" s="1">
        <f>A640&amp;" "&amp;D640&amp;C640</f>
        <v/>
      </c>
    </row>
    <row r="641">
      <c r="A641" s="1" t="inlineStr">
        <is>
          <t>vQ16</t>
        </is>
      </c>
      <c r="B641" s="1" t="inlineStr">
        <is>
          <t>數值</t>
        </is>
      </c>
      <c r="C641" s="1" t="n">
        <v>2</v>
      </c>
      <c r="D641" s="1">
        <f>IF(B641="數值","F","A")</f>
        <v/>
      </c>
      <c r="E641" s="1">
        <f>A641&amp;" "&amp;D641&amp;C641</f>
        <v/>
      </c>
    </row>
    <row r="642">
      <c r="A642" s="1" t="inlineStr">
        <is>
          <t>vQ17</t>
        </is>
      </c>
      <c r="B642" s="1" t="inlineStr">
        <is>
          <t>數值</t>
        </is>
      </c>
      <c r="C642" s="1" t="n">
        <v>2</v>
      </c>
      <c r="D642" s="1">
        <f>IF(B642="數值","F","A")</f>
        <v/>
      </c>
      <c r="E642" s="1">
        <f>A642&amp;" "&amp;D642&amp;C642</f>
        <v/>
      </c>
    </row>
    <row r="643">
      <c r="A643" s="1" t="inlineStr">
        <is>
          <t>vQ18</t>
        </is>
      </c>
      <c r="B643" s="1" t="inlineStr">
        <is>
          <t>數值</t>
        </is>
      </c>
      <c r="C643" s="1" t="n">
        <v>2</v>
      </c>
      <c r="D643" s="1">
        <f>IF(B643="數值","F","A")</f>
        <v/>
      </c>
      <c r="E643" s="1">
        <f>A643&amp;" "&amp;D643&amp;C643</f>
        <v/>
      </c>
    </row>
    <row r="644">
      <c r="A644" s="1" t="inlineStr">
        <is>
          <t>vQ19</t>
        </is>
      </c>
      <c r="B644" s="1" t="inlineStr">
        <is>
          <t>數值</t>
        </is>
      </c>
      <c r="C644" s="1" t="n">
        <v>2</v>
      </c>
      <c r="D644" s="1">
        <f>IF(B644="數值","F","A")</f>
        <v/>
      </c>
      <c r="E644" s="1">
        <f>A644&amp;" "&amp;D644&amp;C644</f>
        <v/>
      </c>
    </row>
    <row r="645">
      <c r="A645" s="1" t="inlineStr">
        <is>
          <t>vQ20m01</t>
        </is>
      </c>
      <c r="B645" s="1" t="inlineStr">
        <is>
          <t>數值</t>
        </is>
      </c>
      <c r="C645" s="1" t="n">
        <v>2</v>
      </c>
      <c r="D645" s="1">
        <f>IF(B645="數值","F","A")</f>
        <v/>
      </c>
      <c r="E645" s="1">
        <f>A645&amp;" "&amp;D645&amp;C645</f>
        <v/>
      </c>
    </row>
    <row r="646">
      <c r="A646" s="1" t="inlineStr">
        <is>
          <t>vQ20m02</t>
        </is>
      </c>
      <c r="B646" s="1" t="inlineStr">
        <is>
          <t>數值</t>
        </is>
      </c>
      <c r="C646" s="1" t="n">
        <v>2</v>
      </c>
      <c r="D646" s="1">
        <f>IF(B646="數值","F","A")</f>
        <v/>
      </c>
      <c r="E646" s="1">
        <f>A646&amp;" "&amp;D646&amp;C646</f>
        <v/>
      </c>
    </row>
    <row r="647">
      <c r="A647" s="1" t="inlineStr">
        <is>
          <t>vQ20m03</t>
        </is>
      </c>
      <c r="B647" s="1" t="inlineStr">
        <is>
          <t>數值</t>
        </is>
      </c>
      <c r="C647" s="1" t="n">
        <v>2</v>
      </c>
      <c r="D647" s="1">
        <f>IF(B647="數值","F","A")</f>
        <v/>
      </c>
      <c r="E647" s="1">
        <f>A647&amp;" "&amp;D647&amp;C647</f>
        <v/>
      </c>
    </row>
    <row r="648">
      <c r="A648" s="1" t="inlineStr">
        <is>
          <t>vQ20m04</t>
        </is>
      </c>
      <c r="B648" s="1" t="inlineStr">
        <is>
          <t>數值</t>
        </is>
      </c>
      <c r="C648" s="1" t="n">
        <v>2</v>
      </c>
      <c r="D648" s="1">
        <f>IF(B648="數值","F","A")</f>
        <v/>
      </c>
      <c r="E648" s="1">
        <f>A648&amp;" "&amp;D648&amp;C648</f>
        <v/>
      </c>
    </row>
    <row r="649">
      <c r="A649" s="1" t="inlineStr">
        <is>
          <t>vQ20m05</t>
        </is>
      </c>
      <c r="B649" s="1" t="inlineStr">
        <is>
          <t>數值</t>
        </is>
      </c>
      <c r="C649" s="1" t="n">
        <v>2</v>
      </c>
      <c r="D649" s="1">
        <f>IF(B649="數值","F","A")</f>
        <v/>
      </c>
      <c r="E649" s="1">
        <f>A649&amp;" "&amp;D649&amp;C649</f>
        <v/>
      </c>
    </row>
    <row r="650">
      <c r="A650" s="1" t="inlineStr">
        <is>
          <t>vQ20m06</t>
        </is>
      </c>
      <c r="B650" s="1" t="inlineStr">
        <is>
          <t>數值</t>
        </is>
      </c>
      <c r="C650" s="1" t="n">
        <v>2</v>
      </c>
      <c r="D650" s="1">
        <f>IF(B650="數值","F","A")</f>
        <v/>
      </c>
      <c r="E650" s="1">
        <f>A650&amp;" "&amp;D650&amp;C650</f>
        <v/>
      </c>
    </row>
    <row r="651">
      <c r="A651" s="1" t="inlineStr">
        <is>
          <t>vQ20m88</t>
        </is>
      </c>
      <c r="B651" s="1" t="inlineStr">
        <is>
          <t>數值</t>
        </is>
      </c>
      <c r="C651" s="1" t="n">
        <v>2</v>
      </c>
      <c r="D651" s="1">
        <f>IF(B651="數值","F","A")</f>
        <v/>
      </c>
      <c r="E651" s="1">
        <f>A651&amp;" "&amp;D651&amp;C651</f>
        <v/>
      </c>
    </row>
    <row r="652">
      <c r="A652" s="1" t="inlineStr">
        <is>
          <t>vQ20m90</t>
        </is>
      </c>
      <c r="B652" s="1" t="inlineStr">
        <is>
          <t>數值</t>
        </is>
      </c>
      <c r="C652" s="1" t="n">
        <v>2</v>
      </c>
      <c r="D652" s="1">
        <f>IF(B652="數值","F","A")</f>
        <v/>
      </c>
      <c r="E652" s="1">
        <f>A652&amp;" "&amp;D652&amp;C652</f>
        <v/>
      </c>
    </row>
    <row r="653">
      <c r="A653" s="1" t="inlineStr">
        <is>
          <t>vQ20o88</t>
        </is>
      </c>
      <c r="B653" s="1" t="inlineStr">
        <is>
          <t>字串</t>
        </is>
      </c>
      <c r="C653" s="1" t="n">
        <v>150</v>
      </c>
      <c r="D653" s="1">
        <f>IF(B653="數值","F","A")</f>
        <v/>
      </c>
      <c r="E653" s="1">
        <f>A653&amp;" "&amp;D653&amp;C653</f>
        <v/>
      </c>
    </row>
    <row r="654">
      <c r="A654" s="1" t="inlineStr">
        <is>
          <t>vCKQ20A</t>
        </is>
      </c>
      <c r="B654" s="1" t="inlineStr">
        <is>
          <t>數值</t>
        </is>
      </c>
      <c r="C654" s="1" t="n">
        <v>2</v>
      </c>
      <c r="D654" s="1">
        <f>IF(B654="數值","F","A")</f>
        <v/>
      </c>
      <c r="E654" s="1">
        <f>A654&amp;" "&amp;D654&amp;C654</f>
        <v/>
      </c>
    </row>
    <row r="655">
      <c r="A655" s="1" t="inlineStr">
        <is>
          <t>vCKQ20B</t>
        </is>
      </c>
      <c r="B655" s="1" t="inlineStr">
        <is>
          <t>數值</t>
        </is>
      </c>
      <c r="C655" s="1" t="n">
        <v>2</v>
      </c>
      <c r="D655" s="1">
        <f>IF(B655="數值","F","A")</f>
        <v/>
      </c>
      <c r="E655" s="1">
        <f>A655&amp;" "&amp;D655&amp;C655</f>
        <v/>
      </c>
    </row>
    <row r="656">
      <c r="A656" s="1" t="inlineStr">
        <is>
          <t>vQ24g1</t>
        </is>
      </c>
      <c r="B656" s="1" t="inlineStr">
        <is>
          <t>數值</t>
        </is>
      </c>
      <c r="C656" s="1" t="n">
        <v>4</v>
      </c>
      <c r="D656" s="1">
        <f>IF(B656="數值","F","A")</f>
        <v/>
      </c>
      <c r="E656" s="1">
        <f>A656&amp;" "&amp;D656&amp;C656</f>
        <v/>
      </c>
    </row>
    <row r="657">
      <c r="A657" s="1" t="inlineStr">
        <is>
          <t>vQ24g2</t>
        </is>
      </c>
      <c r="B657" s="1" t="inlineStr">
        <is>
          <t>數值</t>
        </is>
      </c>
      <c r="C657" s="1" t="n">
        <v>3</v>
      </c>
      <c r="D657" s="1">
        <f>IF(B657="數值","F","A")</f>
        <v/>
      </c>
      <c r="E657" s="1">
        <f>A657&amp;" "&amp;D657&amp;C657</f>
        <v/>
      </c>
    </row>
    <row r="658">
      <c r="A658" s="1" t="inlineStr">
        <is>
          <t>vCKQ24</t>
        </is>
      </c>
      <c r="B658" s="1" t="inlineStr">
        <is>
          <t>數值</t>
        </is>
      </c>
      <c r="C658" s="1" t="n">
        <v>2</v>
      </c>
      <c r="D658" s="1">
        <f>IF(B658="數值","F","A")</f>
        <v/>
      </c>
      <c r="E658" s="1">
        <f>A658&amp;" "&amp;D658&amp;C658</f>
        <v/>
      </c>
    </row>
    <row r="659">
      <c r="A659" s="1" t="inlineStr">
        <is>
          <t>vQ25m01</t>
        </is>
      </c>
      <c r="B659" s="1" t="inlineStr">
        <is>
          <t>數值</t>
        </is>
      </c>
      <c r="C659" s="1" t="n">
        <v>2</v>
      </c>
      <c r="D659" s="1">
        <f>IF(B659="數值","F","A")</f>
        <v/>
      </c>
      <c r="E659" s="1">
        <f>A659&amp;" "&amp;D659&amp;C659</f>
        <v/>
      </c>
    </row>
    <row r="660">
      <c r="A660" s="1" t="inlineStr">
        <is>
          <t>vQ25m02</t>
        </is>
      </c>
      <c r="B660" s="1" t="inlineStr">
        <is>
          <t>數值</t>
        </is>
      </c>
      <c r="C660" s="1" t="n">
        <v>2</v>
      </c>
      <c r="D660" s="1">
        <f>IF(B660="數值","F","A")</f>
        <v/>
      </c>
      <c r="E660" s="1">
        <f>A660&amp;" "&amp;D660&amp;C660</f>
        <v/>
      </c>
    </row>
    <row r="661">
      <c r="A661" s="1" t="inlineStr">
        <is>
          <t>vQ25m03</t>
        </is>
      </c>
      <c r="B661" s="1" t="inlineStr">
        <is>
          <t>數值</t>
        </is>
      </c>
      <c r="C661" s="1" t="n">
        <v>2</v>
      </c>
      <c r="D661" s="1">
        <f>IF(B661="數值","F","A")</f>
        <v/>
      </c>
      <c r="E661" s="1">
        <f>A661&amp;" "&amp;D661&amp;C661</f>
        <v/>
      </c>
    </row>
    <row r="662">
      <c r="A662" s="1" t="inlineStr">
        <is>
          <t>vQ25m04</t>
        </is>
      </c>
      <c r="B662" s="1" t="inlineStr">
        <is>
          <t>數值</t>
        </is>
      </c>
      <c r="C662" s="1" t="n">
        <v>2</v>
      </c>
      <c r="D662" s="1">
        <f>IF(B662="數值","F","A")</f>
        <v/>
      </c>
      <c r="E662" s="1">
        <f>A662&amp;" "&amp;D662&amp;C662</f>
        <v/>
      </c>
    </row>
    <row r="663">
      <c r="A663" s="1" t="inlineStr">
        <is>
          <t>vQ25m05</t>
        </is>
      </c>
      <c r="B663" s="1" t="inlineStr">
        <is>
          <t>數值</t>
        </is>
      </c>
      <c r="C663" s="1" t="n">
        <v>2</v>
      </c>
      <c r="D663" s="1">
        <f>IF(B663="數值","F","A")</f>
        <v/>
      </c>
      <c r="E663" s="1">
        <f>A663&amp;" "&amp;D663&amp;C663</f>
        <v/>
      </c>
    </row>
    <row r="664">
      <c r="A664" s="1" t="inlineStr">
        <is>
          <t>vQ25m06</t>
        </is>
      </c>
      <c r="B664" s="1" t="inlineStr">
        <is>
          <t>數值</t>
        </is>
      </c>
      <c r="C664" s="1" t="n">
        <v>2</v>
      </c>
      <c r="D664" s="1">
        <f>IF(B664="數值","F","A")</f>
        <v/>
      </c>
      <c r="E664" s="1">
        <f>A664&amp;" "&amp;D664&amp;C664</f>
        <v/>
      </c>
    </row>
    <row r="665">
      <c r="A665" s="1" t="inlineStr">
        <is>
          <t>vQ25m07</t>
        </is>
      </c>
      <c r="B665" s="1" t="inlineStr">
        <is>
          <t>數值</t>
        </is>
      </c>
      <c r="C665" s="1" t="n">
        <v>2</v>
      </c>
      <c r="D665" s="1">
        <f>IF(B665="數值","F","A")</f>
        <v/>
      </c>
      <c r="E665" s="1">
        <f>A665&amp;" "&amp;D665&amp;C665</f>
        <v/>
      </c>
    </row>
    <row r="666">
      <c r="A666" s="1" t="inlineStr">
        <is>
          <t>vQ25m08</t>
        </is>
      </c>
      <c r="B666" s="1" t="inlineStr">
        <is>
          <t>數值</t>
        </is>
      </c>
      <c r="C666" s="1" t="n">
        <v>2</v>
      </c>
      <c r="D666" s="1">
        <f>IF(B666="數值","F","A")</f>
        <v/>
      </c>
      <c r="E666" s="1">
        <f>A666&amp;" "&amp;D666&amp;C666</f>
        <v/>
      </c>
    </row>
    <row r="667">
      <c r="A667" s="1" t="inlineStr">
        <is>
          <t>vQ25m09</t>
        </is>
      </c>
      <c r="B667" s="1" t="inlineStr">
        <is>
          <t>數值</t>
        </is>
      </c>
      <c r="C667" s="1" t="n">
        <v>2</v>
      </c>
      <c r="D667" s="1">
        <f>IF(B667="數值","F","A")</f>
        <v/>
      </c>
      <c r="E667" s="1">
        <f>A667&amp;" "&amp;D667&amp;C667</f>
        <v/>
      </c>
    </row>
    <row r="668">
      <c r="A668" s="1" t="inlineStr">
        <is>
          <t>vQ25m10</t>
        </is>
      </c>
      <c r="B668" s="1" t="inlineStr">
        <is>
          <t>數值</t>
        </is>
      </c>
      <c r="C668" s="1" t="n">
        <v>2</v>
      </c>
      <c r="D668" s="1">
        <f>IF(B668="數值","F","A")</f>
        <v/>
      </c>
      <c r="E668" s="1">
        <f>A668&amp;" "&amp;D668&amp;C668</f>
        <v/>
      </c>
    </row>
    <row r="669">
      <c r="A669" s="1" t="inlineStr">
        <is>
          <t>vQ25m11</t>
        </is>
      </c>
      <c r="B669" s="1" t="inlineStr">
        <is>
          <t>數值</t>
        </is>
      </c>
      <c r="C669" s="1" t="n">
        <v>2</v>
      </c>
      <c r="D669" s="1">
        <f>IF(B669="數值","F","A")</f>
        <v/>
      </c>
      <c r="E669" s="1">
        <f>A669&amp;" "&amp;D669&amp;C669</f>
        <v/>
      </c>
    </row>
    <row r="670">
      <c r="A670" s="1" t="inlineStr">
        <is>
          <t>vQ25m12</t>
        </is>
      </c>
      <c r="B670" s="1" t="inlineStr">
        <is>
          <t>數值</t>
        </is>
      </c>
      <c r="C670" s="1" t="n">
        <v>2</v>
      </c>
      <c r="D670" s="1">
        <f>IF(B670="數值","F","A")</f>
        <v/>
      </c>
      <c r="E670" s="1">
        <f>A670&amp;" "&amp;D670&amp;C670</f>
        <v/>
      </c>
    </row>
    <row r="671">
      <c r="A671" s="1" t="inlineStr">
        <is>
          <t>vQ25m13</t>
        </is>
      </c>
      <c r="B671" s="1" t="inlineStr">
        <is>
          <t>數值</t>
        </is>
      </c>
      <c r="C671" s="1" t="n">
        <v>2</v>
      </c>
      <c r="D671" s="1">
        <f>IF(B671="數值","F","A")</f>
        <v/>
      </c>
      <c r="E671" s="1">
        <f>A671&amp;" "&amp;D671&amp;C671</f>
        <v/>
      </c>
    </row>
    <row r="672">
      <c r="A672" s="1" t="inlineStr">
        <is>
          <t>vQ25m14</t>
        </is>
      </c>
      <c r="B672" s="1" t="inlineStr">
        <is>
          <t>數值</t>
        </is>
      </c>
      <c r="C672" s="1" t="n">
        <v>2</v>
      </c>
      <c r="D672" s="1">
        <f>IF(B672="數值","F","A")</f>
        <v/>
      </c>
      <c r="E672" s="1">
        <f>A672&amp;" "&amp;D672&amp;C672</f>
        <v/>
      </c>
    </row>
    <row r="673">
      <c r="A673" s="1" t="inlineStr">
        <is>
          <t>vQ25m15</t>
        </is>
      </c>
      <c r="B673" s="1" t="inlineStr">
        <is>
          <t>數值</t>
        </is>
      </c>
      <c r="C673" s="1" t="n">
        <v>2</v>
      </c>
      <c r="D673" s="1">
        <f>IF(B673="數值","F","A")</f>
        <v/>
      </c>
      <c r="E673" s="1">
        <f>A673&amp;" "&amp;D673&amp;C673</f>
        <v/>
      </c>
    </row>
    <row r="674">
      <c r="A674" s="1" t="inlineStr">
        <is>
          <t>vQ25m16</t>
        </is>
      </c>
      <c r="B674" s="1" t="inlineStr">
        <is>
          <t>數值</t>
        </is>
      </c>
      <c r="C674" s="1" t="n">
        <v>2</v>
      </c>
      <c r="D674" s="1">
        <f>IF(B674="數值","F","A")</f>
        <v/>
      </c>
      <c r="E674" s="1">
        <f>A674&amp;" "&amp;D674&amp;C674</f>
        <v/>
      </c>
    </row>
    <row r="675">
      <c r="A675" s="1" t="inlineStr">
        <is>
          <t>vQ25m17</t>
        </is>
      </c>
      <c r="B675" s="1" t="inlineStr">
        <is>
          <t>數值</t>
        </is>
      </c>
      <c r="C675" s="1" t="n">
        <v>2</v>
      </c>
      <c r="D675" s="1">
        <f>IF(B675="數值","F","A")</f>
        <v/>
      </c>
      <c r="E675" s="1">
        <f>A675&amp;" "&amp;D675&amp;C675</f>
        <v/>
      </c>
    </row>
    <row r="676">
      <c r="A676" s="1" t="inlineStr">
        <is>
          <t>vQ25m18</t>
        </is>
      </c>
      <c r="B676" s="1" t="inlineStr">
        <is>
          <t>數值</t>
        </is>
      </c>
      <c r="C676" s="1" t="n">
        <v>2</v>
      </c>
      <c r="D676" s="1">
        <f>IF(B676="數值","F","A")</f>
        <v/>
      </c>
      <c r="E676" s="1">
        <f>A676&amp;" "&amp;D676&amp;C676</f>
        <v/>
      </c>
    </row>
    <row r="677">
      <c r="A677" s="1" t="inlineStr">
        <is>
          <t>vQ25m19</t>
        </is>
      </c>
      <c r="B677" s="1" t="inlineStr">
        <is>
          <t>數值</t>
        </is>
      </c>
      <c r="C677" s="1" t="n">
        <v>2</v>
      </c>
      <c r="D677" s="1">
        <f>IF(B677="數值","F","A")</f>
        <v/>
      </c>
      <c r="E677" s="1">
        <f>A677&amp;" "&amp;D677&amp;C677</f>
        <v/>
      </c>
    </row>
    <row r="678">
      <c r="A678" s="1" t="inlineStr">
        <is>
          <t>vQ25m20</t>
        </is>
      </c>
      <c r="B678" s="1" t="inlineStr">
        <is>
          <t>數值</t>
        </is>
      </c>
      <c r="C678" s="1" t="n">
        <v>2</v>
      </c>
      <c r="D678" s="1">
        <f>IF(B678="數值","F","A")</f>
        <v/>
      </c>
      <c r="E678" s="1">
        <f>A678&amp;" "&amp;D678&amp;C678</f>
        <v/>
      </c>
    </row>
    <row r="679">
      <c r="A679" s="1" t="inlineStr">
        <is>
          <t>vQ25m21</t>
        </is>
      </c>
      <c r="B679" s="1" t="inlineStr">
        <is>
          <t>數值</t>
        </is>
      </c>
      <c r="C679" s="1" t="n">
        <v>2</v>
      </c>
      <c r="D679" s="1">
        <f>IF(B679="數值","F","A")</f>
        <v/>
      </c>
      <c r="E679" s="1">
        <f>A679&amp;" "&amp;D679&amp;C679</f>
        <v/>
      </c>
    </row>
    <row r="680">
      <c r="A680" s="1" t="inlineStr">
        <is>
          <t>vQ25m22</t>
        </is>
      </c>
      <c r="B680" s="1" t="inlineStr">
        <is>
          <t>數值</t>
        </is>
      </c>
      <c r="C680" s="1" t="n">
        <v>2</v>
      </c>
      <c r="D680" s="1">
        <f>IF(B680="數值","F","A")</f>
        <v/>
      </c>
      <c r="E680" s="1">
        <f>A680&amp;" "&amp;D680&amp;C680</f>
        <v/>
      </c>
    </row>
    <row r="681">
      <c r="A681" s="1" t="inlineStr">
        <is>
          <t>vQ25m23</t>
        </is>
      </c>
      <c r="B681" s="1" t="inlineStr">
        <is>
          <t>數值</t>
        </is>
      </c>
      <c r="C681" s="1" t="n">
        <v>2</v>
      </c>
      <c r="D681" s="1">
        <f>IF(B681="數值","F","A")</f>
        <v/>
      </c>
      <c r="E681" s="1">
        <f>A681&amp;" "&amp;D681&amp;C681</f>
        <v/>
      </c>
    </row>
    <row r="682">
      <c r="A682" s="1" t="inlineStr">
        <is>
          <t>vQ25m24</t>
        </is>
      </c>
      <c r="B682" s="1" t="inlineStr">
        <is>
          <t>數值</t>
        </is>
      </c>
      <c r="C682" s="1" t="n">
        <v>2</v>
      </c>
      <c r="D682" s="1">
        <f>IF(B682="數值","F","A")</f>
        <v/>
      </c>
      <c r="E682" s="1">
        <f>A682&amp;" "&amp;D682&amp;C682</f>
        <v/>
      </c>
    </row>
    <row r="683">
      <c r="A683" s="1" t="inlineStr">
        <is>
          <t>vQ25m25</t>
        </is>
      </c>
      <c r="B683" s="1" t="inlineStr">
        <is>
          <t>數值</t>
        </is>
      </c>
      <c r="C683" s="1" t="n">
        <v>2</v>
      </c>
      <c r="D683" s="1">
        <f>IF(B683="數值","F","A")</f>
        <v/>
      </c>
      <c r="E683" s="1">
        <f>A683&amp;" "&amp;D683&amp;C683</f>
        <v/>
      </c>
    </row>
    <row r="684">
      <c r="A684" s="1" t="inlineStr">
        <is>
          <t>vQ25m26</t>
        </is>
      </c>
      <c r="B684" s="1" t="inlineStr">
        <is>
          <t>數值</t>
        </is>
      </c>
      <c r="C684" s="1" t="n">
        <v>2</v>
      </c>
      <c r="D684" s="1">
        <f>IF(B684="數值","F","A")</f>
        <v/>
      </c>
      <c r="E684" s="1">
        <f>A684&amp;" "&amp;D684&amp;C684</f>
        <v/>
      </c>
    </row>
    <row r="685">
      <c r="A685" s="1" t="inlineStr">
        <is>
          <t>vQ25m27</t>
        </is>
      </c>
      <c r="B685" s="1" t="inlineStr">
        <is>
          <t>數值</t>
        </is>
      </c>
      <c r="C685" s="1" t="n">
        <v>2</v>
      </c>
      <c r="D685" s="1">
        <f>IF(B685="數值","F","A")</f>
        <v/>
      </c>
      <c r="E685" s="1">
        <f>A685&amp;" "&amp;D685&amp;C685</f>
        <v/>
      </c>
    </row>
    <row r="686">
      <c r="A686" s="1" t="inlineStr">
        <is>
          <t>vQ25m28</t>
        </is>
      </c>
      <c r="B686" s="1" t="inlineStr">
        <is>
          <t>數值</t>
        </is>
      </c>
      <c r="C686" s="1" t="n">
        <v>2</v>
      </c>
      <c r="D686" s="1">
        <f>IF(B686="數值","F","A")</f>
        <v/>
      </c>
      <c r="E686" s="1">
        <f>A686&amp;" "&amp;D686&amp;C686</f>
        <v/>
      </c>
    </row>
    <row r="687">
      <c r="A687" s="1" t="inlineStr">
        <is>
          <t>vQ25m29</t>
        </is>
      </c>
      <c r="B687" s="1" t="inlineStr">
        <is>
          <t>數值</t>
        </is>
      </c>
      <c r="C687" s="1" t="n">
        <v>2</v>
      </c>
      <c r="D687" s="1">
        <f>IF(B687="數值","F","A")</f>
        <v/>
      </c>
      <c r="E687" s="1">
        <f>A687&amp;" "&amp;D687&amp;C687</f>
        <v/>
      </c>
    </row>
    <row r="688">
      <c r="A688" s="1" t="inlineStr">
        <is>
          <t>vQ25m30</t>
        </is>
      </c>
      <c r="B688" s="1" t="inlineStr">
        <is>
          <t>數值</t>
        </is>
      </c>
      <c r="C688" s="1" t="n">
        <v>2</v>
      </c>
      <c r="D688" s="1">
        <f>IF(B688="數值","F","A")</f>
        <v/>
      </c>
      <c r="E688" s="1">
        <f>A688&amp;" "&amp;D688&amp;C688</f>
        <v/>
      </c>
    </row>
    <row r="689">
      <c r="A689" s="1" t="inlineStr">
        <is>
          <t>vQ25m31</t>
        </is>
      </c>
      <c r="B689" s="1" t="inlineStr">
        <is>
          <t>數值</t>
        </is>
      </c>
      <c r="C689" s="1" t="n">
        <v>2</v>
      </c>
      <c r="D689" s="1">
        <f>IF(B689="數值","F","A")</f>
        <v/>
      </c>
      <c r="E689" s="1">
        <f>A689&amp;" "&amp;D689&amp;C689</f>
        <v/>
      </c>
    </row>
    <row r="690">
      <c r="A690" s="1" t="inlineStr">
        <is>
          <t>vQ25m88</t>
        </is>
      </c>
      <c r="B690" s="1" t="inlineStr">
        <is>
          <t>數值</t>
        </is>
      </c>
      <c r="C690" s="1" t="n">
        <v>2</v>
      </c>
      <c r="D690" s="1">
        <f>IF(B690="數值","F","A")</f>
        <v/>
      </c>
      <c r="E690" s="1">
        <f>A690&amp;" "&amp;D690&amp;C690</f>
        <v/>
      </c>
    </row>
    <row r="691">
      <c r="A691" s="1" t="inlineStr">
        <is>
          <t>vQ25o88</t>
        </is>
      </c>
      <c r="B691" s="1" t="inlineStr">
        <is>
          <t>字串</t>
        </is>
      </c>
      <c r="C691" s="1" t="n">
        <v>150</v>
      </c>
      <c r="D691" s="1">
        <f>IF(B691="數值","F","A")</f>
        <v/>
      </c>
      <c r="E691" s="1">
        <f>A691&amp;" "&amp;D691&amp;C691</f>
        <v/>
      </c>
    </row>
    <row r="692">
      <c r="A692" s="1" t="inlineStr">
        <is>
          <t>vQ21g1</t>
        </is>
      </c>
      <c r="B692" s="1" t="inlineStr">
        <is>
          <t>數值</t>
        </is>
      </c>
      <c r="C692" s="1" t="n">
        <v>4</v>
      </c>
      <c r="D692" s="1">
        <f>IF(B692="數值","F","A")</f>
        <v/>
      </c>
      <c r="E692" s="1">
        <f>A692&amp;" "&amp;D692&amp;C692</f>
        <v/>
      </c>
    </row>
    <row r="693">
      <c r="A693" s="1" t="inlineStr">
        <is>
          <t>vQ21g2</t>
        </is>
      </c>
      <c r="B693" s="1" t="inlineStr">
        <is>
          <t>數值</t>
        </is>
      </c>
      <c r="C693" s="1" t="n">
        <v>3</v>
      </c>
      <c r="D693" s="1">
        <f>IF(B693="數值","F","A")</f>
        <v/>
      </c>
      <c r="E693" s="1">
        <f>A693&amp;" "&amp;D693&amp;C693</f>
        <v/>
      </c>
    </row>
    <row r="694">
      <c r="A694" s="1" t="inlineStr">
        <is>
          <t>vCKQ21</t>
        </is>
      </c>
      <c r="B694" s="1" t="inlineStr">
        <is>
          <t>數值</t>
        </is>
      </c>
      <c r="C694" s="1" t="n">
        <v>2</v>
      </c>
      <c r="D694" s="1">
        <f>IF(B694="數值","F","A")</f>
        <v/>
      </c>
      <c r="E694" s="1">
        <f>A694&amp;" "&amp;D694&amp;C694</f>
        <v/>
      </c>
    </row>
    <row r="695">
      <c r="A695" s="1" t="inlineStr">
        <is>
          <t>vQ22m01</t>
        </is>
      </c>
      <c r="B695" s="1" t="inlineStr">
        <is>
          <t>數值</t>
        </is>
      </c>
      <c r="C695" s="1" t="n">
        <v>2</v>
      </c>
      <c r="D695" s="1">
        <f>IF(B695="數值","F","A")</f>
        <v/>
      </c>
      <c r="E695" s="1">
        <f>A695&amp;" "&amp;D695&amp;C695</f>
        <v/>
      </c>
    </row>
    <row r="696">
      <c r="A696" s="1" t="inlineStr">
        <is>
          <t>vQ22m02</t>
        </is>
      </c>
      <c r="B696" s="1" t="inlineStr">
        <is>
          <t>數值</t>
        </is>
      </c>
      <c r="C696" s="1" t="n">
        <v>2</v>
      </c>
      <c r="D696" s="1">
        <f>IF(B696="數值","F","A")</f>
        <v/>
      </c>
      <c r="E696" s="1">
        <f>A696&amp;" "&amp;D696&amp;C696</f>
        <v/>
      </c>
    </row>
    <row r="697">
      <c r="A697" s="1" t="inlineStr">
        <is>
          <t>vQ22m03</t>
        </is>
      </c>
      <c r="B697" s="1" t="inlineStr">
        <is>
          <t>數值</t>
        </is>
      </c>
      <c r="C697" s="1" t="n">
        <v>2</v>
      </c>
      <c r="D697" s="1">
        <f>IF(B697="數值","F","A")</f>
        <v/>
      </c>
      <c r="E697" s="1">
        <f>A697&amp;" "&amp;D697&amp;C697</f>
        <v/>
      </c>
    </row>
    <row r="698">
      <c r="A698" s="1" t="inlineStr">
        <is>
          <t>vQ22m04</t>
        </is>
      </c>
      <c r="B698" s="1" t="inlineStr">
        <is>
          <t>數值</t>
        </is>
      </c>
      <c r="C698" s="1" t="n">
        <v>2</v>
      </c>
      <c r="D698" s="1">
        <f>IF(B698="數值","F","A")</f>
        <v/>
      </c>
      <c r="E698" s="1">
        <f>A698&amp;" "&amp;D698&amp;C698</f>
        <v/>
      </c>
    </row>
    <row r="699">
      <c r="A699" s="1" t="inlineStr">
        <is>
          <t>vQ22m05</t>
        </is>
      </c>
      <c r="B699" s="1" t="inlineStr">
        <is>
          <t>數值</t>
        </is>
      </c>
      <c r="C699" s="1" t="n">
        <v>2</v>
      </c>
      <c r="D699" s="1">
        <f>IF(B699="數值","F","A")</f>
        <v/>
      </c>
      <c r="E699" s="1">
        <f>A699&amp;" "&amp;D699&amp;C699</f>
        <v/>
      </c>
    </row>
    <row r="700">
      <c r="A700" s="1" t="inlineStr">
        <is>
          <t>vQ22m06</t>
        </is>
      </c>
      <c r="B700" s="1" t="inlineStr">
        <is>
          <t>數值</t>
        </is>
      </c>
      <c r="C700" s="1" t="n">
        <v>2</v>
      </c>
      <c r="D700" s="1">
        <f>IF(B700="數值","F","A")</f>
        <v/>
      </c>
      <c r="E700" s="1">
        <f>A700&amp;" "&amp;D700&amp;C700</f>
        <v/>
      </c>
    </row>
    <row r="701">
      <c r="A701" s="1" t="inlineStr">
        <is>
          <t>vQ22m07</t>
        </is>
      </c>
      <c r="B701" s="1" t="inlineStr">
        <is>
          <t>數值</t>
        </is>
      </c>
      <c r="C701" s="1" t="n">
        <v>2</v>
      </c>
      <c r="D701" s="1">
        <f>IF(B701="數值","F","A")</f>
        <v/>
      </c>
      <c r="E701" s="1">
        <f>A701&amp;" "&amp;D701&amp;C701</f>
        <v/>
      </c>
    </row>
    <row r="702">
      <c r="A702" s="1" t="inlineStr">
        <is>
          <t>vQ22m08</t>
        </is>
      </c>
      <c r="B702" s="1" t="inlineStr">
        <is>
          <t>數值</t>
        </is>
      </c>
      <c r="C702" s="1" t="n">
        <v>2</v>
      </c>
      <c r="D702" s="1">
        <f>IF(B702="數值","F","A")</f>
        <v/>
      </c>
      <c r="E702" s="1">
        <f>A702&amp;" "&amp;D702&amp;C702</f>
        <v/>
      </c>
    </row>
    <row r="703">
      <c r="A703" s="1" t="inlineStr">
        <is>
          <t>vQ22m09</t>
        </is>
      </c>
      <c r="B703" s="1" t="inlineStr">
        <is>
          <t>數值</t>
        </is>
      </c>
      <c r="C703" s="1" t="n">
        <v>2</v>
      </c>
      <c r="D703" s="1">
        <f>IF(B703="數值","F","A")</f>
        <v/>
      </c>
      <c r="E703" s="1">
        <f>A703&amp;" "&amp;D703&amp;C703</f>
        <v/>
      </c>
    </row>
    <row r="704">
      <c r="A704" s="1" t="inlineStr">
        <is>
          <t>vQ22m10</t>
        </is>
      </c>
      <c r="B704" s="1" t="inlineStr">
        <is>
          <t>數值</t>
        </is>
      </c>
      <c r="C704" s="1" t="n">
        <v>2</v>
      </c>
      <c r="D704" s="1">
        <f>IF(B704="數值","F","A")</f>
        <v/>
      </c>
      <c r="E704" s="1">
        <f>A704&amp;" "&amp;D704&amp;C704</f>
        <v/>
      </c>
    </row>
    <row r="705">
      <c r="A705" s="1" t="inlineStr">
        <is>
          <t>vQ22m11</t>
        </is>
      </c>
      <c r="B705" s="1" t="inlineStr">
        <is>
          <t>數值</t>
        </is>
      </c>
      <c r="C705" s="1" t="n">
        <v>2</v>
      </c>
      <c r="D705" s="1">
        <f>IF(B705="數值","F","A")</f>
        <v/>
      </c>
      <c r="E705" s="1">
        <f>A705&amp;" "&amp;D705&amp;C705</f>
        <v/>
      </c>
    </row>
    <row r="706">
      <c r="A706" s="1" t="inlineStr">
        <is>
          <t>vQ22m12</t>
        </is>
      </c>
      <c r="B706" s="1" t="inlineStr">
        <is>
          <t>數值</t>
        </is>
      </c>
      <c r="C706" s="1" t="n">
        <v>2</v>
      </c>
      <c r="D706" s="1">
        <f>IF(B706="數值","F","A")</f>
        <v/>
      </c>
      <c r="E706" s="1">
        <f>A706&amp;" "&amp;D706&amp;C706</f>
        <v/>
      </c>
    </row>
    <row r="707">
      <c r="A707" s="1" t="inlineStr">
        <is>
          <t>vQ22m13</t>
        </is>
      </c>
      <c r="B707" s="1" t="inlineStr">
        <is>
          <t>數值</t>
        </is>
      </c>
      <c r="C707" s="1" t="n">
        <v>2</v>
      </c>
      <c r="D707" s="1">
        <f>IF(B707="數值","F","A")</f>
        <v/>
      </c>
      <c r="E707" s="1">
        <f>A707&amp;" "&amp;D707&amp;C707</f>
        <v/>
      </c>
    </row>
    <row r="708">
      <c r="A708" s="1" t="inlineStr">
        <is>
          <t>vQ22m14</t>
        </is>
      </c>
      <c r="B708" s="1" t="inlineStr">
        <is>
          <t>數值</t>
        </is>
      </c>
      <c r="C708" s="1" t="n">
        <v>2</v>
      </c>
      <c r="D708" s="1">
        <f>IF(B708="數值","F","A")</f>
        <v/>
      </c>
      <c r="E708" s="1">
        <f>A708&amp;" "&amp;D708&amp;C708</f>
        <v/>
      </c>
    </row>
    <row r="709">
      <c r="A709" s="1" t="inlineStr">
        <is>
          <t>vQ22m15</t>
        </is>
      </c>
      <c r="B709" s="1" t="inlineStr">
        <is>
          <t>數值</t>
        </is>
      </c>
      <c r="C709" s="1" t="n">
        <v>2</v>
      </c>
      <c r="D709" s="1">
        <f>IF(B709="數值","F","A")</f>
        <v/>
      </c>
      <c r="E709" s="1">
        <f>A709&amp;" "&amp;D709&amp;C709</f>
        <v/>
      </c>
    </row>
    <row r="710">
      <c r="A710" s="1" t="inlineStr">
        <is>
          <t>vQ22m16</t>
        </is>
      </c>
      <c r="B710" s="1" t="inlineStr">
        <is>
          <t>數值</t>
        </is>
      </c>
      <c r="C710" s="1" t="n">
        <v>2</v>
      </c>
      <c r="D710" s="1">
        <f>IF(B710="數值","F","A")</f>
        <v/>
      </c>
      <c r="E710" s="1">
        <f>A710&amp;" "&amp;D710&amp;C710</f>
        <v/>
      </c>
    </row>
    <row r="711">
      <c r="A711" s="1" t="inlineStr">
        <is>
          <t>vQ22m17</t>
        </is>
      </c>
      <c r="B711" s="1" t="inlineStr">
        <is>
          <t>數值</t>
        </is>
      </c>
      <c r="C711" s="1" t="n">
        <v>2</v>
      </c>
      <c r="D711" s="1">
        <f>IF(B711="數值","F","A")</f>
        <v/>
      </c>
      <c r="E711" s="1">
        <f>A711&amp;" "&amp;D711&amp;C711</f>
        <v/>
      </c>
    </row>
    <row r="712">
      <c r="A712" s="1" t="inlineStr">
        <is>
          <t>vQ22m18</t>
        </is>
      </c>
      <c r="B712" s="1" t="inlineStr">
        <is>
          <t>數值</t>
        </is>
      </c>
      <c r="C712" s="1" t="n">
        <v>2</v>
      </c>
      <c r="D712" s="1">
        <f>IF(B712="數值","F","A")</f>
        <v/>
      </c>
      <c r="E712" s="1">
        <f>A712&amp;" "&amp;D712&amp;C712</f>
        <v/>
      </c>
    </row>
    <row r="713">
      <c r="A713" s="1" t="inlineStr">
        <is>
          <t>vQ22m19</t>
        </is>
      </c>
      <c r="B713" s="1" t="inlineStr">
        <is>
          <t>數值</t>
        </is>
      </c>
      <c r="C713" s="1" t="n">
        <v>2</v>
      </c>
      <c r="D713" s="1">
        <f>IF(B713="數值","F","A")</f>
        <v/>
      </c>
      <c r="E713" s="1">
        <f>A713&amp;" "&amp;D713&amp;C713</f>
        <v/>
      </c>
    </row>
    <row r="714">
      <c r="A714" s="1" t="inlineStr">
        <is>
          <t>vQ22m20</t>
        </is>
      </c>
      <c r="B714" s="1" t="inlineStr">
        <is>
          <t>數值</t>
        </is>
      </c>
      <c r="C714" s="1" t="n">
        <v>2</v>
      </c>
      <c r="D714" s="1">
        <f>IF(B714="數值","F","A")</f>
        <v/>
      </c>
      <c r="E714" s="1">
        <f>A714&amp;" "&amp;D714&amp;C714</f>
        <v/>
      </c>
    </row>
    <row r="715">
      <c r="A715" s="1" t="inlineStr">
        <is>
          <t>vQ22m21</t>
        </is>
      </c>
      <c r="B715" s="1" t="inlineStr">
        <is>
          <t>數值</t>
        </is>
      </c>
      <c r="C715" s="1" t="n">
        <v>2</v>
      </c>
      <c r="D715" s="1">
        <f>IF(B715="數值","F","A")</f>
        <v/>
      </c>
      <c r="E715" s="1">
        <f>A715&amp;" "&amp;D715&amp;C715</f>
        <v/>
      </c>
    </row>
    <row r="716">
      <c r="A716" s="1" t="inlineStr">
        <is>
          <t>vQ22m22</t>
        </is>
      </c>
      <c r="B716" s="1" t="inlineStr">
        <is>
          <t>數值</t>
        </is>
      </c>
      <c r="C716" s="1" t="n">
        <v>2</v>
      </c>
      <c r="D716" s="1">
        <f>IF(B716="數值","F","A")</f>
        <v/>
      </c>
      <c r="E716" s="1">
        <f>A716&amp;" "&amp;D716&amp;C716</f>
        <v/>
      </c>
    </row>
    <row r="717">
      <c r="A717" s="1" t="inlineStr">
        <is>
          <t>vQ22m23</t>
        </is>
      </c>
      <c r="B717" s="1" t="inlineStr">
        <is>
          <t>數值</t>
        </is>
      </c>
      <c r="C717" s="1" t="n">
        <v>2</v>
      </c>
      <c r="D717" s="1">
        <f>IF(B717="數值","F","A")</f>
        <v/>
      </c>
      <c r="E717" s="1">
        <f>A717&amp;" "&amp;D717&amp;C717</f>
        <v/>
      </c>
    </row>
    <row r="718">
      <c r="A718" s="1" t="inlineStr">
        <is>
          <t>vQ22m24</t>
        </is>
      </c>
      <c r="B718" s="1" t="inlineStr">
        <is>
          <t>數值</t>
        </is>
      </c>
      <c r="C718" s="1" t="n">
        <v>2</v>
      </c>
      <c r="D718" s="1">
        <f>IF(B718="數值","F","A")</f>
        <v/>
      </c>
      <c r="E718" s="1">
        <f>A718&amp;" "&amp;D718&amp;C718</f>
        <v/>
      </c>
    </row>
    <row r="719">
      <c r="A719" s="1" t="inlineStr">
        <is>
          <t>vQ22m25</t>
        </is>
      </c>
      <c r="B719" s="1" t="inlineStr">
        <is>
          <t>數值</t>
        </is>
      </c>
      <c r="C719" s="1" t="n">
        <v>2</v>
      </c>
      <c r="D719" s="1">
        <f>IF(B719="數值","F","A")</f>
        <v/>
      </c>
      <c r="E719" s="1">
        <f>A719&amp;" "&amp;D719&amp;C719</f>
        <v/>
      </c>
    </row>
    <row r="720">
      <c r="A720" s="1" t="inlineStr">
        <is>
          <t>vQ22m26</t>
        </is>
      </c>
      <c r="B720" s="1" t="inlineStr">
        <is>
          <t>數值</t>
        </is>
      </c>
      <c r="C720" s="1" t="n">
        <v>2</v>
      </c>
      <c r="D720" s="1">
        <f>IF(B720="數值","F","A")</f>
        <v/>
      </c>
      <c r="E720" s="1">
        <f>A720&amp;" "&amp;D720&amp;C720</f>
        <v/>
      </c>
    </row>
    <row r="721">
      <c r="A721" s="1" t="inlineStr">
        <is>
          <t>vQ22m27</t>
        </is>
      </c>
      <c r="B721" s="1" t="inlineStr">
        <is>
          <t>數值</t>
        </is>
      </c>
      <c r="C721" s="1" t="n">
        <v>2</v>
      </c>
      <c r="D721" s="1">
        <f>IF(B721="數值","F","A")</f>
        <v/>
      </c>
      <c r="E721" s="1">
        <f>A721&amp;" "&amp;D721&amp;C721</f>
        <v/>
      </c>
    </row>
    <row r="722">
      <c r="A722" s="1" t="inlineStr">
        <is>
          <t>vQ22m28</t>
        </is>
      </c>
      <c r="B722" s="1" t="inlineStr">
        <is>
          <t>數值</t>
        </is>
      </c>
      <c r="C722" s="1" t="n">
        <v>2</v>
      </c>
      <c r="D722" s="1">
        <f>IF(B722="數值","F","A")</f>
        <v/>
      </c>
      <c r="E722" s="1">
        <f>A722&amp;" "&amp;D722&amp;C722</f>
        <v/>
      </c>
    </row>
    <row r="723">
      <c r="A723" s="1" t="inlineStr">
        <is>
          <t>vQ22m29</t>
        </is>
      </c>
      <c r="B723" s="1" t="inlineStr">
        <is>
          <t>數值</t>
        </is>
      </c>
      <c r="C723" s="1" t="n">
        <v>2</v>
      </c>
      <c r="D723" s="1">
        <f>IF(B723="數值","F","A")</f>
        <v/>
      </c>
      <c r="E723" s="1">
        <f>A723&amp;" "&amp;D723&amp;C723</f>
        <v/>
      </c>
    </row>
    <row r="724">
      <c r="A724" s="1" t="inlineStr">
        <is>
          <t>vQ22m30</t>
        </is>
      </c>
      <c r="B724" s="1" t="inlineStr">
        <is>
          <t>數值</t>
        </is>
      </c>
      <c r="C724" s="1" t="n">
        <v>2</v>
      </c>
      <c r="D724" s="1">
        <f>IF(B724="數值","F","A")</f>
        <v/>
      </c>
      <c r="E724" s="1">
        <f>A724&amp;" "&amp;D724&amp;C724</f>
        <v/>
      </c>
    </row>
    <row r="725">
      <c r="A725" s="1" t="inlineStr">
        <is>
          <t>vQ22m31</t>
        </is>
      </c>
      <c r="B725" s="1" t="inlineStr">
        <is>
          <t>數值</t>
        </is>
      </c>
      <c r="C725" s="1" t="n">
        <v>2</v>
      </c>
      <c r="D725" s="1">
        <f>IF(B725="數值","F","A")</f>
        <v/>
      </c>
      <c r="E725" s="1">
        <f>A725&amp;" "&amp;D725&amp;C725</f>
        <v/>
      </c>
    </row>
    <row r="726">
      <c r="A726" s="1" t="inlineStr">
        <is>
          <t>vQ22m32</t>
        </is>
      </c>
      <c r="B726" s="1" t="inlineStr">
        <is>
          <t>數值</t>
        </is>
      </c>
      <c r="C726" s="1" t="n">
        <v>2</v>
      </c>
      <c r="D726" s="1">
        <f>IF(B726="數值","F","A")</f>
        <v/>
      </c>
      <c r="E726" s="1">
        <f>A726&amp;" "&amp;D726&amp;C726</f>
        <v/>
      </c>
    </row>
    <row r="727">
      <c r="A727" s="1" t="inlineStr">
        <is>
          <t>vQ22m33</t>
        </is>
      </c>
      <c r="B727" s="1" t="inlineStr">
        <is>
          <t>數值</t>
        </is>
      </c>
      <c r="C727" s="1" t="n">
        <v>2</v>
      </c>
      <c r="D727" s="1">
        <f>IF(B727="數值","F","A")</f>
        <v/>
      </c>
      <c r="E727" s="1">
        <f>A727&amp;" "&amp;D727&amp;C727</f>
        <v/>
      </c>
    </row>
    <row r="728">
      <c r="A728" s="1" t="inlineStr">
        <is>
          <t>vQ22m34</t>
        </is>
      </c>
      <c r="B728" s="1" t="inlineStr">
        <is>
          <t>數值</t>
        </is>
      </c>
      <c r="C728" s="1" t="n">
        <v>2</v>
      </c>
      <c r="D728" s="1">
        <f>IF(B728="數值","F","A")</f>
        <v/>
      </c>
      <c r="E728" s="1">
        <f>A728&amp;" "&amp;D728&amp;C728</f>
        <v/>
      </c>
    </row>
    <row r="729">
      <c r="A729" s="1" t="inlineStr">
        <is>
          <t>vQ22m35</t>
        </is>
      </c>
      <c r="B729" s="1" t="inlineStr">
        <is>
          <t>數值</t>
        </is>
      </c>
      <c r="C729" s="1" t="n">
        <v>2</v>
      </c>
      <c r="D729" s="1">
        <f>IF(B729="數值","F","A")</f>
        <v/>
      </c>
      <c r="E729" s="1">
        <f>A729&amp;" "&amp;D729&amp;C729</f>
        <v/>
      </c>
    </row>
    <row r="730">
      <c r="A730" s="1" t="inlineStr">
        <is>
          <t>vQ22m36</t>
        </is>
      </c>
      <c r="B730" s="1" t="inlineStr">
        <is>
          <t>數值</t>
        </is>
      </c>
      <c r="C730" s="1" t="n">
        <v>2</v>
      </c>
      <c r="D730" s="1">
        <f>IF(B730="數值","F","A")</f>
        <v/>
      </c>
      <c r="E730" s="1">
        <f>A730&amp;" "&amp;D730&amp;C730</f>
        <v/>
      </c>
    </row>
    <row r="731">
      <c r="A731" s="1" t="inlineStr">
        <is>
          <t>vQ22m37</t>
        </is>
      </c>
      <c r="B731" s="1" t="inlineStr">
        <is>
          <t>數值</t>
        </is>
      </c>
      <c r="C731" s="1" t="n">
        <v>2</v>
      </c>
      <c r="D731" s="1">
        <f>IF(B731="數值","F","A")</f>
        <v/>
      </c>
      <c r="E731" s="1">
        <f>A731&amp;" "&amp;D731&amp;C731</f>
        <v/>
      </c>
    </row>
    <row r="732">
      <c r="A732" s="1" t="inlineStr">
        <is>
          <t>vQ22m38</t>
        </is>
      </c>
      <c r="B732" s="1" t="inlineStr">
        <is>
          <t>數值</t>
        </is>
      </c>
      <c r="C732" s="1" t="n">
        <v>2</v>
      </c>
      <c r="D732" s="1">
        <f>IF(B732="數值","F","A")</f>
        <v/>
      </c>
      <c r="E732" s="1">
        <f>A732&amp;" "&amp;D732&amp;C732</f>
        <v/>
      </c>
    </row>
    <row r="733">
      <c r="A733" s="1" t="inlineStr">
        <is>
          <t>vQ22m39</t>
        </is>
      </c>
      <c r="B733" s="1" t="inlineStr">
        <is>
          <t>數值</t>
        </is>
      </c>
      <c r="C733" s="1" t="n">
        <v>2</v>
      </c>
      <c r="D733" s="1">
        <f>IF(B733="數值","F","A")</f>
        <v/>
      </c>
      <c r="E733" s="1">
        <f>A733&amp;" "&amp;D733&amp;C733</f>
        <v/>
      </c>
    </row>
    <row r="734">
      <c r="A734" s="1" t="inlineStr">
        <is>
          <t>vQ22m40</t>
        </is>
      </c>
      <c r="B734" s="1" t="inlineStr">
        <is>
          <t>數值</t>
        </is>
      </c>
      <c r="C734" s="1" t="n">
        <v>2</v>
      </c>
      <c r="D734" s="1">
        <f>IF(B734="數值","F","A")</f>
        <v/>
      </c>
      <c r="E734" s="1">
        <f>A734&amp;" "&amp;D734&amp;C734</f>
        <v/>
      </c>
    </row>
    <row r="735">
      <c r="A735" s="1" t="inlineStr">
        <is>
          <t>vQ22m88</t>
        </is>
      </c>
      <c r="B735" s="1" t="inlineStr">
        <is>
          <t>數值</t>
        </is>
      </c>
      <c r="C735" s="1" t="n">
        <v>2</v>
      </c>
      <c r="D735" s="1">
        <f>IF(B735="數值","F","A")</f>
        <v/>
      </c>
      <c r="E735" s="1">
        <f>A735&amp;" "&amp;D735&amp;C735</f>
        <v/>
      </c>
    </row>
    <row r="736">
      <c r="A736" s="1" t="inlineStr">
        <is>
          <t>vQ22o88</t>
        </is>
      </c>
      <c r="B736" s="1" t="inlineStr">
        <is>
          <t>字串</t>
        </is>
      </c>
      <c r="C736" s="1" t="n">
        <v>150</v>
      </c>
      <c r="D736" s="1">
        <f>IF(B736="數值","F","A")</f>
        <v/>
      </c>
      <c r="E736" s="1">
        <f>A736&amp;" "&amp;D736&amp;C736</f>
        <v/>
      </c>
    </row>
    <row r="737">
      <c r="A737" s="1" t="inlineStr">
        <is>
          <t>vQ23m01</t>
        </is>
      </c>
      <c r="B737" s="1" t="inlineStr">
        <is>
          <t>數值</t>
        </is>
      </c>
      <c r="C737" s="1" t="n">
        <v>2</v>
      </c>
      <c r="D737" s="1">
        <f>IF(B737="數值","F","A")</f>
        <v/>
      </c>
      <c r="E737" s="1">
        <f>A737&amp;" "&amp;D737&amp;C737</f>
        <v/>
      </c>
    </row>
    <row r="738">
      <c r="A738" s="1" t="inlineStr">
        <is>
          <t>vQ23m02</t>
        </is>
      </c>
      <c r="B738" s="1" t="inlineStr">
        <is>
          <t>數值</t>
        </is>
      </c>
      <c r="C738" s="1" t="n">
        <v>2</v>
      </c>
      <c r="D738" s="1">
        <f>IF(B738="數值","F","A")</f>
        <v/>
      </c>
      <c r="E738" s="1">
        <f>A738&amp;" "&amp;D738&amp;C738</f>
        <v/>
      </c>
    </row>
    <row r="739">
      <c r="A739" s="1" t="inlineStr">
        <is>
          <t>vQ23m03</t>
        </is>
      </c>
      <c r="B739" s="1" t="inlineStr">
        <is>
          <t>數值</t>
        </is>
      </c>
      <c r="C739" s="1" t="n">
        <v>2</v>
      </c>
      <c r="D739" s="1">
        <f>IF(B739="數值","F","A")</f>
        <v/>
      </c>
      <c r="E739" s="1">
        <f>A739&amp;" "&amp;D739&amp;C739</f>
        <v/>
      </c>
    </row>
    <row r="740">
      <c r="A740" s="1" t="inlineStr">
        <is>
          <t>vQ23m04</t>
        </is>
      </c>
      <c r="B740" s="1" t="inlineStr">
        <is>
          <t>數值</t>
        </is>
      </c>
      <c r="C740" s="1" t="n">
        <v>2</v>
      </c>
      <c r="D740" s="1">
        <f>IF(B740="數值","F","A")</f>
        <v/>
      </c>
      <c r="E740" s="1">
        <f>A740&amp;" "&amp;D740&amp;C740</f>
        <v/>
      </c>
    </row>
    <row r="741">
      <c r="A741" s="1" t="inlineStr">
        <is>
          <t>vQ23m05</t>
        </is>
      </c>
      <c r="B741" s="1" t="inlineStr">
        <is>
          <t>數值</t>
        </is>
      </c>
      <c r="C741" s="1" t="n">
        <v>2</v>
      </c>
      <c r="D741" s="1">
        <f>IF(B741="數值","F","A")</f>
        <v/>
      </c>
      <c r="E741" s="1">
        <f>A741&amp;" "&amp;D741&amp;C741</f>
        <v/>
      </c>
    </row>
    <row r="742">
      <c r="A742" s="1" t="inlineStr">
        <is>
          <t>vQ23m06</t>
        </is>
      </c>
      <c r="B742" s="1" t="inlineStr">
        <is>
          <t>數值</t>
        </is>
      </c>
      <c r="C742" s="1" t="n">
        <v>2</v>
      </c>
      <c r="D742" s="1">
        <f>IF(B742="數值","F","A")</f>
        <v/>
      </c>
      <c r="E742" s="1">
        <f>A742&amp;" "&amp;D742&amp;C742</f>
        <v/>
      </c>
    </row>
    <row r="743">
      <c r="A743" s="1" t="inlineStr">
        <is>
          <t>vQ23m07</t>
        </is>
      </c>
      <c r="B743" s="1" t="inlineStr">
        <is>
          <t>數值</t>
        </is>
      </c>
      <c r="C743" s="1" t="n">
        <v>2</v>
      </c>
      <c r="D743" s="1">
        <f>IF(B743="數值","F","A")</f>
        <v/>
      </c>
      <c r="E743" s="1">
        <f>A743&amp;" "&amp;D743&amp;C743</f>
        <v/>
      </c>
    </row>
    <row r="744">
      <c r="A744" s="1" t="inlineStr">
        <is>
          <t>vQ23m08</t>
        </is>
      </c>
      <c r="B744" s="1" t="inlineStr">
        <is>
          <t>數值</t>
        </is>
      </c>
      <c r="C744" s="1" t="n">
        <v>2</v>
      </c>
      <c r="D744" s="1">
        <f>IF(B744="數值","F","A")</f>
        <v/>
      </c>
      <c r="E744" s="1">
        <f>A744&amp;" "&amp;D744&amp;C744</f>
        <v/>
      </c>
    </row>
    <row r="745">
      <c r="A745" s="1" t="inlineStr">
        <is>
          <t>vQ23m09</t>
        </is>
      </c>
      <c r="B745" s="1" t="inlineStr">
        <is>
          <t>數值</t>
        </is>
      </c>
      <c r="C745" s="1" t="n">
        <v>2</v>
      </c>
      <c r="D745" s="1">
        <f>IF(B745="數值","F","A")</f>
        <v/>
      </c>
      <c r="E745" s="1">
        <f>A745&amp;" "&amp;D745&amp;C745</f>
        <v/>
      </c>
    </row>
    <row r="746">
      <c r="A746" s="1" t="inlineStr">
        <is>
          <t>vQ23m10</t>
        </is>
      </c>
      <c r="B746" s="1" t="inlineStr">
        <is>
          <t>數值</t>
        </is>
      </c>
      <c r="C746" s="1" t="n">
        <v>2</v>
      </c>
      <c r="D746" s="1">
        <f>IF(B746="數值","F","A")</f>
        <v/>
      </c>
      <c r="E746" s="1">
        <f>A746&amp;" "&amp;D746&amp;C746</f>
        <v/>
      </c>
    </row>
    <row r="747">
      <c r="A747" s="1" t="inlineStr">
        <is>
          <t>vQ23m11</t>
        </is>
      </c>
      <c r="B747" s="1" t="inlineStr">
        <is>
          <t>數值</t>
        </is>
      </c>
      <c r="C747" s="1" t="n">
        <v>2</v>
      </c>
      <c r="D747" s="1">
        <f>IF(B747="數值","F","A")</f>
        <v/>
      </c>
      <c r="E747" s="1">
        <f>A747&amp;" "&amp;D747&amp;C747</f>
        <v/>
      </c>
    </row>
    <row r="748">
      <c r="A748" s="1" t="inlineStr">
        <is>
          <t>vQ23m12</t>
        </is>
      </c>
      <c r="B748" s="1" t="inlineStr">
        <is>
          <t>數值</t>
        </is>
      </c>
      <c r="C748" s="1" t="n">
        <v>2</v>
      </c>
      <c r="D748" s="1">
        <f>IF(B748="數值","F","A")</f>
        <v/>
      </c>
      <c r="E748" s="1">
        <f>A748&amp;" "&amp;D748&amp;C748</f>
        <v/>
      </c>
    </row>
    <row r="749">
      <c r="A749" s="1" t="inlineStr">
        <is>
          <t>vQ23m13</t>
        </is>
      </c>
      <c r="B749" s="1" t="inlineStr">
        <is>
          <t>數值</t>
        </is>
      </c>
      <c r="C749" s="1" t="n">
        <v>2</v>
      </c>
      <c r="D749" s="1">
        <f>IF(B749="數值","F","A")</f>
        <v/>
      </c>
      <c r="E749" s="1">
        <f>A749&amp;" "&amp;D749&amp;C749</f>
        <v/>
      </c>
    </row>
    <row r="750">
      <c r="A750" s="1" t="inlineStr">
        <is>
          <t>vQ23m14</t>
        </is>
      </c>
      <c r="B750" s="1" t="inlineStr">
        <is>
          <t>數值</t>
        </is>
      </c>
      <c r="C750" s="1" t="n">
        <v>2</v>
      </c>
      <c r="D750" s="1">
        <f>IF(B750="數值","F","A")</f>
        <v/>
      </c>
      <c r="E750" s="1">
        <f>A750&amp;" "&amp;D750&amp;C750</f>
        <v/>
      </c>
    </row>
    <row r="751">
      <c r="A751" s="1" t="inlineStr">
        <is>
          <t>vQ23m15</t>
        </is>
      </c>
      <c r="B751" s="1" t="inlineStr">
        <is>
          <t>數值</t>
        </is>
      </c>
      <c r="C751" s="1" t="n">
        <v>2</v>
      </c>
      <c r="D751" s="1">
        <f>IF(B751="數值","F","A")</f>
        <v/>
      </c>
      <c r="E751" s="1">
        <f>A751&amp;" "&amp;D751&amp;C751</f>
        <v/>
      </c>
    </row>
    <row r="752">
      <c r="A752" s="1" t="inlineStr">
        <is>
          <t>vQ23m16</t>
        </is>
      </c>
      <c r="B752" s="1" t="inlineStr">
        <is>
          <t>數值</t>
        </is>
      </c>
      <c r="C752" s="1" t="n">
        <v>2</v>
      </c>
      <c r="D752" s="1">
        <f>IF(B752="數值","F","A")</f>
        <v/>
      </c>
      <c r="E752" s="1">
        <f>A752&amp;" "&amp;D752&amp;C752</f>
        <v/>
      </c>
    </row>
    <row r="753">
      <c r="A753" s="1" t="inlineStr">
        <is>
          <t>vQ23m17</t>
        </is>
      </c>
      <c r="B753" s="1" t="inlineStr">
        <is>
          <t>數值</t>
        </is>
      </c>
      <c r="C753" s="1" t="n">
        <v>2</v>
      </c>
      <c r="D753" s="1">
        <f>IF(B753="數值","F","A")</f>
        <v/>
      </c>
      <c r="E753" s="1">
        <f>A753&amp;" "&amp;D753&amp;C753</f>
        <v/>
      </c>
    </row>
    <row r="754">
      <c r="A754" s="1" t="inlineStr">
        <is>
          <t>vQ23m18</t>
        </is>
      </c>
      <c r="B754" s="1" t="inlineStr">
        <is>
          <t>數值</t>
        </is>
      </c>
      <c r="C754" s="1" t="n">
        <v>2</v>
      </c>
      <c r="D754" s="1">
        <f>IF(B754="數值","F","A")</f>
        <v/>
      </c>
      <c r="E754" s="1">
        <f>A754&amp;" "&amp;D754&amp;C754</f>
        <v/>
      </c>
    </row>
    <row r="755">
      <c r="A755" s="1" t="inlineStr">
        <is>
          <t>vQ23m19</t>
        </is>
      </c>
      <c r="B755" s="1" t="inlineStr">
        <is>
          <t>數值</t>
        </is>
      </c>
      <c r="C755" s="1" t="n">
        <v>2</v>
      </c>
      <c r="D755" s="1">
        <f>IF(B755="數值","F","A")</f>
        <v/>
      </c>
      <c r="E755" s="1">
        <f>A755&amp;" "&amp;D755&amp;C755</f>
        <v/>
      </c>
    </row>
    <row r="756">
      <c r="A756" s="1" t="inlineStr">
        <is>
          <t>vQ23m20</t>
        </is>
      </c>
      <c r="B756" s="1" t="inlineStr">
        <is>
          <t>數值</t>
        </is>
      </c>
      <c r="C756" s="1" t="n">
        <v>2</v>
      </c>
      <c r="D756" s="1">
        <f>IF(B756="數值","F","A")</f>
        <v/>
      </c>
      <c r="E756" s="1">
        <f>A756&amp;" "&amp;D756&amp;C756</f>
        <v/>
      </c>
    </row>
    <row r="757">
      <c r="A757" s="1" t="inlineStr">
        <is>
          <t>vQ23m21</t>
        </is>
      </c>
      <c r="B757" s="1" t="inlineStr">
        <is>
          <t>數值</t>
        </is>
      </c>
      <c r="C757" s="1" t="n">
        <v>2</v>
      </c>
      <c r="D757" s="1">
        <f>IF(B757="數值","F","A")</f>
        <v/>
      </c>
      <c r="E757" s="1">
        <f>A757&amp;" "&amp;D757&amp;C757</f>
        <v/>
      </c>
    </row>
    <row r="758">
      <c r="A758" s="1" t="inlineStr">
        <is>
          <t>vQ23m22</t>
        </is>
      </c>
      <c r="B758" s="1" t="inlineStr">
        <is>
          <t>數值</t>
        </is>
      </c>
      <c r="C758" s="1" t="n">
        <v>2</v>
      </c>
      <c r="D758" s="1">
        <f>IF(B758="數值","F","A")</f>
        <v/>
      </c>
      <c r="E758" s="1">
        <f>A758&amp;" "&amp;D758&amp;C758</f>
        <v/>
      </c>
    </row>
    <row r="759">
      <c r="A759" s="1" t="inlineStr">
        <is>
          <t>vQ23m23</t>
        </is>
      </c>
      <c r="B759" s="1" t="inlineStr">
        <is>
          <t>數值</t>
        </is>
      </c>
      <c r="C759" s="1" t="n">
        <v>2</v>
      </c>
      <c r="D759" s="1">
        <f>IF(B759="數值","F","A")</f>
        <v/>
      </c>
      <c r="E759" s="1">
        <f>A759&amp;" "&amp;D759&amp;C759</f>
        <v/>
      </c>
    </row>
    <row r="760">
      <c r="A760" s="1" t="inlineStr">
        <is>
          <t>vQ23m24</t>
        </is>
      </c>
      <c r="B760" s="1" t="inlineStr">
        <is>
          <t>數值</t>
        </is>
      </c>
      <c r="C760" s="1" t="n">
        <v>2</v>
      </c>
      <c r="D760" s="1">
        <f>IF(B760="數值","F","A")</f>
        <v/>
      </c>
      <c r="E760" s="1">
        <f>A760&amp;" "&amp;D760&amp;C760</f>
        <v/>
      </c>
    </row>
    <row r="761">
      <c r="A761" s="1" t="inlineStr">
        <is>
          <t>vQ23m25</t>
        </is>
      </c>
      <c r="B761" s="1" t="inlineStr">
        <is>
          <t>數值</t>
        </is>
      </c>
      <c r="C761" s="1" t="n">
        <v>2</v>
      </c>
      <c r="D761" s="1">
        <f>IF(B761="數值","F","A")</f>
        <v/>
      </c>
      <c r="E761" s="1">
        <f>A761&amp;" "&amp;D761&amp;C761</f>
        <v/>
      </c>
    </row>
    <row r="762">
      <c r="A762" s="1" t="inlineStr">
        <is>
          <t>vQ23m26</t>
        </is>
      </c>
      <c r="B762" s="1" t="inlineStr">
        <is>
          <t>數值</t>
        </is>
      </c>
      <c r="C762" s="1" t="n">
        <v>2</v>
      </c>
      <c r="D762" s="1">
        <f>IF(B762="數值","F","A")</f>
        <v/>
      </c>
      <c r="E762" s="1">
        <f>A762&amp;" "&amp;D762&amp;C762</f>
        <v/>
      </c>
    </row>
    <row r="763">
      <c r="A763" s="1" t="inlineStr">
        <is>
          <t>vQ23m27</t>
        </is>
      </c>
      <c r="B763" s="1" t="inlineStr">
        <is>
          <t>數值</t>
        </is>
      </c>
      <c r="C763" s="1" t="n">
        <v>2</v>
      </c>
      <c r="D763" s="1">
        <f>IF(B763="數值","F","A")</f>
        <v/>
      </c>
      <c r="E763" s="1">
        <f>A763&amp;" "&amp;D763&amp;C763</f>
        <v/>
      </c>
    </row>
    <row r="764">
      <c r="A764" s="1" t="inlineStr">
        <is>
          <t>vQ23m88</t>
        </is>
      </c>
      <c r="B764" s="1" t="inlineStr">
        <is>
          <t>數值</t>
        </is>
      </c>
      <c r="C764" s="1" t="n">
        <v>2</v>
      </c>
      <c r="D764" s="1">
        <f>IF(B764="數值","F","A")</f>
        <v/>
      </c>
      <c r="E764" s="1">
        <f>A764&amp;" "&amp;D764&amp;C764</f>
        <v/>
      </c>
    </row>
    <row r="765">
      <c r="A765" s="1" t="inlineStr">
        <is>
          <t>vQ23o88</t>
        </is>
      </c>
      <c r="B765" s="1" t="inlineStr">
        <is>
          <t>字串</t>
        </is>
      </c>
      <c r="C765" s="1" t="n">
        <v>150</v>
      </c>
      <c r="D765" s="1">
        <f>IF(B765="數值","F","A")</f>
        <v/>
      </c>
      <c r="E765" s="1">
        <f>A765&amp;" "&amp;D765&amp;C765</f>
        <v/>
      </c>
    </row>
    <row r="766">
      <c r="A766" s="1" t="inlineStr">
        <is>
          <t>vQ26Ag1</t>
        </is>
      </c>
      <c r="B766" s="1" t="inlineStr">
        <is>
          <t>數值</t>
        </is>
      </c>
      <c r="C766" s="1" t="n">
        <v>4</v>
      </c>
      <c r="D766" s="1">
        <f>IF(B766="數值","F","A")</f>
        <v/>
      </c>
      <c r="E766" s="1">
        <f>A766&amp;" "&amp;D766&amp;C766</f>
        <v/>
      </c>
    </row>
    <row r="767">
      <c r="A767" s="1" t="inlineStr">
        <is>
          <t>vQ26Ag2</t>
        </is>
      </c>
      <c r="B767" s="1" t="inlineStr">
        <is>
          <t>數值</t>
        </is>
      </c>
      <c r="C767" s="1" t="n">
        <v>3</v>
      </c>
      <c r="D767" s="1">
        <f>IF(B767="數值","F","A")</f>
        <v/>
      </c>
      <c r="E767" s="1">
        <f>A767&amp;" "&amp;D767&amp;C767</f>
        <v/>
      </c>
    </row>
    <row r="768">
      <c r="A768" s="1" t="inlineStr">
        <is>
          <t>vCKQ26A</t>
        </is>
      </c>
      <c r="B768" s="1" t="inlineStr">
        <is>
          <t>數值</t>
        </is>
      </c>
      <c r="C768" s="1" t="n">
        <v>2</v>
      </c>
      <c r="D768" s="1">
        <f>IF(B768="數值","F","A")</f>
        <v/>
      </c>
      <c r="E768" s="1">
        <f>A768&amp;" "&amp;D768&amp;C768</f>
        <v/>
      </c>
    </row>
    <row r="769">
      <c r="A769" s="1" t="inlineStr">
        <is>
          <t>vQ26m01</t>
        </is>
      </c>
      <c r="B769" s="1" t="inlineStr">
        <is>
          <t>數值</t>
        </is>
      </c>
      <c r="C769" s="1" t="n">
        <v>2</v>
      </c>
      <c r="D769" s="1">
        <f>IF(B769="數值","F","A")</f>
        <v/>
      </c>
      <c r="E769" s="1">
        <f>A769&amp;" "&amp;D769&amp;C769</f>
        <v/>
      </c>
    </row>
    <row r="770">
      <c r="A770" s="1" t="inlineStr">
        <is>
          <t>vQ26m02</t>
        </is>
      </c>
      <c r="B770" s="1" t="inlineStr">
        <is>
          <t>數值</t>
        </is>
      </c>
      <c r="C770" s="1" t="n">
        <v>2</v>
      </c>
      <c r="D770" s="1">
        <f>IF(B770="數值","F","A")</f>
        <v/>
      </c>
      <c r="E770" s="1">
        <f>A770&amp;" "&amp;D770&amp;C770</f>
        <v/>
      </c>
    </row>
    <row r="771">
      <c r="A771" s="1" t="inlineStr">
        <is>
          <t>vQ26m03</t>
        </is>
      </c>
      <c r="B771" s="1" t="inlineStr">
        <is>
          <t>數值</t>
        </is>
      </c>
      <c r="C771" s="1" t="n">
        <v>2</v>
      </c>
      <c r="D771" s="1">
        <f>IF(B771="數值","F","A")</f>
        <v/>
      </c>
      <c r="E771" s="1">
        <f>A771&amp;" "&amp;D771&amp;C771</f>
        <v/>
      </c>
    </row>
    <row r="772">
      <c r="A772" s="1" t="inlineStr">
        <is>
          <t>vQ26m04</t>
        </is>
      </c>
      <c r="B772" s="1" t="inlineStr">
        <is>
          <t>數值</t>
        </is>
      </c>
      <c r="C772" s="1" t="n">
        <v>2</v>
      </c>
      <c r="D772" s="1">
        <f>IF(B772="數值","F","A")</f>
        <v/>
      </c>
      <c r="E772" s="1">
        <f>A772&amp;" "&amp;D772&amp;C772</f>
        <v/>
      </c>
    </row>
    <row r="773">
      <c r="A773" s="1" t="inlineStr">
        <is>
          <t>vQ26m05</t>
        </is>
      </c>
      <c r="B773" s="1" t="inlineStr">
        <is>
          <t>數值</t>
        </is>
      </c>
      <c r="C773" s="1" t="n">
        <v>2</v>
      </c>
      <c r="D773" s="1">
        <f>IF(B773="數值","F","A")</f>
        <v/>
      </c>
      <c r="E773" s="1">
        <f>A773&amp;" "&amp;D773&amp;C773</f>
        <v/>
      </c>
    </row>
    <row r="774">
      <c r="A774" s="1" t="inlineStr">
        <is>
          <t>vQ26m06</t>
        </is>
      </c>
      <c r="B774" s="1" t="inlineStr">
        <is>
          <t>數值</t>
        </is>
      </c>
      <c r="C774" s="1" t="n">
        <v>2</v>
      </c>
      <c r="D774" s="1">
        <f>IF(B774="數值","F","A")</f>
        <v/>
      </c>
      <c r="E774" s="1">
        <f>A774&amp;" "&amp;D774&amp;C774</f>
        <v/>
      </c>
    </row>
    <row r="775">
      <c r="A775" s="1" t="inlineStr">
        <is>
          <t>vQ26m07</t>
        </is>
      </c>
      <c r="B775" s="1" t="inlineStr">
        <is>
          <t>數值</t>
        </is>
      </c>
      <c r="C775" s="1" t="n">
        <v>2</v>
      </c>
      <c r="D775" s="1">
        <f>IF(B775="數值","F","A")</f>
        <v/>
      </c>
      <c r="E775" s="1">
        <f>A775&amp;" "&amp;D775&amp;C775</f>
        <v/>
      </c>
    </row>
    <row r="776">
      <c r="A776" s="1" t="inlineStr">
        <is>
          <t>vQ26m08</t>
        </is>
      </c>
      <c r="B776" s="1" t="inlineStr">
        <is>
          <t>數值</t>
        </is>
      </c>
      <c r="C776" s="1" t="n">
        <v>2</v>
      </c>
      <c r="D776" s="1">
        <f>IF(B776="數值","F","A")</f>
        <v/>
      </c>
      <c r="E776" s="1">
        <f>A776&amp;" "&amp;D776&amp;C776</f>
        <v/>
      </c>
    </row>
    <row r="777">
      <c r="A777" s="1" t="inlineStr">
        <is>
          <t>vQ26m09</t>
        </is>
      </c>
      <c r="B777" s="1" t="inlineStr">
        <is>
          <t>數值</t>
        </is>
      </c>
      <c r="C777" s="1" t="n">
        <v>2</v>
      </c>
      <c r="D777" s="1">
        <f>IF(B777="數值","F","A")</f>
        <v/>
      </c>
      <c r="E777" s="1">
        <f>A777&amp;" "&amp;D777&amp;C777</f>
        <v/>
      </c>
    </row>
    <row r="778">
      <c r="A778" s="1" t="inlineStr">
        <is>
          <t>vQ26m10</t>
        </is>
      </c>
      <c r="B778" s="1" t="inlineStr">
        <is>
          <t>數值</t>
        </is>
      </c>
      <c r="C778" s="1" t="n">
        <v>2</v>
      </c>
      <c r="D778" s="1">
        <f>IF(B778="數值","F","A")</f>
        <v/>
      </c>
      <c r="E778" s="1">
        <f>A778&amp;" "&amp;D778&amp;C778</f>
        <v/>
      </c>
    </row>
    <row r="779">
      <c r="A779" s="1" t="inlineStr">
        <is>
          <t>vQ26m11</t>
        </is>
      </c>
      <c r="B779" s="1" t="inlineStr">
        <is>
          <t>數值</t>
        </is>
      </c>
      <c r="C779" s="1" t="n">
        <v>2</v>
      </c>
      <c r="D779" s="1">
        <f>IF(B779="數值","F","A")</f>
        <v/>
      </c>
      <c r="E779" s="1">
        <f>A779&amp;" "&amp;D779&amp;C779</f>
        <v/>
      </c>
    </row>
    <row r="780">
      <c r="A780" s="1" t="inlineStr">
        <is>
          <t>vQ26m12</t>
        </is>
      </c>
      <c r="B780" s="1" t="inlineStr">
        <is>
          <t>數值</t>
        </is>
      </c>
      <c r="C780" s="1" t="n">
        <v>2</v>
      </c>
      <c r="D780" s="1">
        <f>IF(B780="數值","F","A")</f>
        <v/>
      </c>
      <c r="E780" s="1">
        <f>A780&amp;" "&amp;D780&amp;C780</f>
        <v/>
      </c>
    </row>
    <row r="781">
      <c r="A781" s="1" t="inlineStr">
        <is>
          <t>vQ26m13</t>
        </is>
      </c>
      <c r="B781" s="1" t="inlineStr">
        <is>
          <t>數值</t>
        </is>
      </c>
      <c r="C781" s="1" t="n">
        <v>2</v>
      </c>
      <c r="D781" s="1">
        <f>IF(B781="數值","F","A")</f>
        <v/>
      </c>
      <c r="E781" s="1">
        <f>A781&amp;" "&amp;D781&amp;C781</f>
        <v/>
      </c>
    </row>
    <row r="782">
      <c r="A782" s="1" t="inlineStr">
        <is>
          <t>vQ26m14</t>
        </is>
      </c>
      <c r="B782" s="1" t="inlineStr">
        <is>
          <t>數值</t>
        </is>
      </c>
      <c r="C782" s="1" t="n">
        <v>2</v>
      </c>
      <c r="D782" s="1">
        <f>IF(B782="數值","F","A")</f>
        <v/>
      </c>
      <c r="E782" s="1">
        <f>A782&amp;" "&amp;D782&amp;C782</f>
        <v/>
      </c>
    </row>
    <row r="783">
      <c r="A783" s="1" t="inlineStr">
        <is>
          <t>vQ26m15</t>
        </is>
      </c>
      <c r="B783" s="1" t="inlineStr">
        <is>
          <t>數值</t>
        </is>
      </c>
      <c r="C783" s="1" t="n">
        <v>2</v>
      </c>
      <c r="D783" s="1">
        <f>IF(B783="數值","F","A")</f>
        <v/>
      </c>
      <c r="E783" s="1">
        <f>A783&amp;" "&amp;D783&amp;C783</f>
        <v/>
      </c>
    </row>
    <row r="784">
      <c r="A784" s="1" t="inlineStr">
        <is>
          <t>vQ26m16</t>
        </is>
      </c>
      <c r="B784" s="1" t="inlineStr">
        <is>
          <t>數值</t>
        </is>
      </c>
      <c r="C784" s="1" t="n">
        <v>2</v>
      </c>
      <c r="D784" s="1">
        <f>IF(B784="數值","F","A")</f>
        <v/>
      </c>
      <c r="E784" s="1">
        <f>A784&amp;" "&amp;D784&amp;C784</f>
        <v/>
      </c>
    </row>
    <row r="785">
      <c r="A785" s="1" t="inlineStr">
        <is>
          <t>vQ26m17</t>
        </is>
      </c>
      <c r="B785" s="1" t="inlineStr">
        <is>
          <t>數值</t>
        </is>
      </c>
      <c r="C785" s="1" t="n">
        <v>2</v>
      </c>
      <c r="D785" s="1">
        <f>IF(B785="數值","F","A")</f>
        <v/>
      </c>
      <c r="E785" s="1">
        <f>A785&amp;" "&amp;D785&amp;C785</f>
        <v/>
      </c>
    </row>
    <row r="786">
      <c r="A786" s="1" t="inlineStr">
        <is>
          <t>vQ26m18</t>
        </is>
      </c>
      <c r="B786" s="1" t="inlineStr">
        <is>
          <t>數值</t>
        </is>
      </c>
      <c r="C786" s="1" t="n">
        <v>2</v>
      </c>
      <c r="D786" s="1">
        <f>IF(B786="數值","F","A")</f>
        <v/>
      </c>
      <c r="E786" s="1">
        <f>A786&amp;" "&amp;D786&amp;C786</f>
        <v/>
      </c>
    </row>
    <row r="787">
      <c r="A787" s="1" t="inlineStr">
        <is>
          <t>vQ26m19</t>
        </is>
      </c>
      <c r="B787" s="1" t="inlineStr">
        <is>
          <t>數值</t>
        </is>
      </c>
      <c r="C787" s="1" t="n">
        <v>2</v>
      </c>
      <c r="D787" s="1">
        <f>IF(B787="數值","F","A")</f>
        <v/>
      </c>
      <c r="E787" s="1">
        <f>A787&amp;" "&amp;D787&amp;C787</f>
        <v/>
      </c>
    </row>
    <row r="788">
      <c r="A788" s="1" t="inlineStr">
        <is>
          <t>vQ26m20</t>
        </is>
      </c>
      <c r="B788" s="1" t="inlineStr">
        <is>
          <t>數值</t>
        </is>
      </c>
      <c r="C788" s="1" t="n">
        <v>2</v>
      </c>
      <c r="D788" s="1">
        <f>IF(B788="數值","F","A")</f>
        <v/>
      </c>
      <c r="E788" s="1">
        <f>A788&amp;" "&amp;D788&amp;C788</f>
        <v/>
      </c>
    </row>
    <row r="789">
      <c r="A789" s="1" t="inlineStr">
        <is>
          <t>vQ26m21</t>
        </is>
      </c>
      <c r="B789" s="1" t="inlineStr">
        <is>
          <t>數值</t>
        </is>
      </c>
      <c r="C789" s="1" t="n">
        <v>2</v>
      </c>
      <c r="D789" s="1">
        <f>IF(B789="數值","F","A")</f>
        <v/>
      </c>
      <c r="E789" s="1">
        <f>A789&amp;" "&amp;D789&amp;C789</f>
        <v/>
      </c>
    </row>
    <row r="790">
      <c r="A790" s="1" t="inlineStr">
        <is>
          <t>vQ26m22</t>
        </is>
      </c>
      <c r="B790" s="1" t="inlineStr">
        <is>
          <t>數值</t>
        </is>
      </c>
      <c r="C790" s="1" t="n">
        <v>2</v>
      </c>
      <c r="D790" s="1">
        <f>IF(B790="數值","F","A")</f>
        <v/>
      </c>
      <c r="E790" s="1">
        <f>A790&amp;" "&amp;D790&amp;C790</f>
        <v/>
      </c>
    </row>
    <row r="791">
      <c r="A791" s="1" t="inlineStr">
        <is>
          <t>vQ26m23</t>
        </is>
      </c>
      <c r="B791" s="1" t="inlineStr">
        <is>
          <t>數值</t>
        </is>
      </c>
      <c r="C791" s="1" t="n">
        <v>2</v>
      </c>
      <c r="D791" s="1">
        <f>IF(B791="數值","F","A")</f>
        <v/>
      </c>
      <c r="E791" s="1">
        <f>A791&amp;" "&amp;D791&amp;C791</f>
        <v/>
      </c>
    </row>
    <row r="792">
      <c r="A792" s="1" t="inlineStr">
        <is>
          <t>vQ26m24</t>
        </is>
      </c>
      <c r="B792" s="1" t="inlineStr">
        <is>
          <t>數值</t>
        </is>
      </c>
      <c r="C792" s="1" t="n">
        <v>2</v>
      </c>
      <c r="D792" s="1">
        <f>IF(B792="數值","F","A")</f>
        <v/>
      </c>
      <c r="E792" s="1">
        <f>A792&amp;" "&amp;D792&amp;C792</f>
        <v/>
      </c>
    </row>
    <row r="793">
      <c r="A793" s="1" t="inlineStr">
        <is>
          <t>vQ26m25</t>
        </is>
      </c>
      <c r="B793" s="1" t="inlineStr">
        <is>
          <t>數值</t>
        </is>
      </c>
      <c r="C793" s="1" t="n">
        <v>2</v>
      </c>
      <c r="D793" s="1">
        <f>IF(B793="數值","F","A")</f>
        <v/>
      </c>
      <c r="E793" s="1">
        <f>A793&amp;" "&amp;D793&amp;C793</f>
        <v/>
      </c>
    </row>
    <row r="794">
      <c r="A794" s="1" t="inlineStr">
        <is>
          <t>vQ26m26</t>
        </is>
      </c>
      <c r="B794" s="1" t="inlineStr">
        <is>
          <t>數值</t>
        </is>
      </c>
      <c r="C794" s="1" t="n">
        <v>2</v>
      </c>
      <c r="D794" s="1">
        <f>IF(B794="數值","F","A")</f>
        <v/>
      </c>
      <c r="E794" s="1">
        <f>A794&amp;" "&amp;D794&amp;C794</f>
        <v/>
      </c>
    </row>
    <row r="795">
      <c r="A795" s="1" t="inlineStr">
        <is>
          <t>vQ26m27</t>
        </is>
      </c>
      <c r="B795" s="1" t="inlineStr">
        <is>
          <t>數值</t>
        </is>
      </c>
      <c r="C795" s="1" t="n">
        <v>2</v>
      </c>
      <c r="D795" s="1">
        <f>IF(B795="數值","F","A")</f>
        <v/>
      </c>
      <c r="E795" s="1">
        <f>A795&amp;" "&amp;D795&amp;C795</f>
        <v/>
      </c>
    </row>
    <row r="796">
      <c r="A796" s="1" t="inlineStr">
        <is>
          <t>vQ26m28</t>
        </is>
      </c>
      <c r="B796" s="1" t="inlineStr">
        <is>
          <t>數值</t>
        </is>
      </c>
      <c r="C796" s="1" t="n">
        <v>2</v>
      </c>
      <c r="D796" s="1">
        <f>IF(B796="數值","F","A")</f>
        <v/>
      </c>
      <c r="E796" s="1">
        <f>A796&amp;" "&amp;D796&amp;C796</f>
        <v/>
      </c>
    </row>
    <row r="797">
      <c r="A797" s="1" t="inlineStr">
        <is>
          <t>vQ26m29</t>
        </is>
      </c>
      <c r="B797" s="1" t="inlineStr">
        <is>
          <t>數值</t>
        </is>
      </c>
      <c r="C797" s="1" t="n">
        <v>2</v>
      </c>
      <c r="D797" s="1">
        <f>IF(B797="數值","F","A")</f>
        <v/>
      </c>
      <c r="E797" s="1">
        <f>A797&amp;" "&amp;D797&amp;C797</f>
        <v/>
      </c>
    </row>
    <row r="798">
      <c r="A798" s="1" t="inlineStr">
        <is>
          <t>vQ26m88</t>
        </is>
      </c>
      <c r="B798" s="1" t="inlineStr">
        <is>
          <t>數值</t>
        </is>
      </c>
      <c r="C798" s="1" t="n">
        <v>2</v>
      </c>
      <c r="D798" s="1">
        <f>IF(B798="數值","F","A")</f>
        <v/>
      </c>
      <c r="E798" s="1">
        <f>A798&amp;" "&amp;D798&amp;C798</f>
        <v/>
      </c>
    </row>
    <row r="799">
      <c r="A799" s="1" t="inlineStr">
        <is>
          <t>vQ26o88</t>
        </is>
      </c>
      <c r="B799" s="1" t="inlineStr">
        <is>
          <t>字串</t>
        </is>
      </c>
      <c r="C799" s="1" t="n">
        <v>150</v>
      </c>
      <c r="D799" s="1">
        <f>IF(B799="數值","F","A")</f>
        <v/>
      </c>
      <c r="E799" s="1">
        <f>A799&amp;" "&amp;D799&amp;C799</f>
        <v/>
      </c>
    </row>
    <row r="800">
      <c r="A800" s="1" t="inlineStr">
        <is>
          <t>vQ27m01</t>
        </is>
      </c>
      <c r="B800" s="1" t="inlineStr">
        <is>
          <t>數值</t>
        </is>
      </c>
      <c r="C800" s="1" t="n">
        <v>2</v>
      </c>
      <c r="D800" s="1">
        <f>IF(B800="數值","F","A")</f>
        <v/>
      </c>
      <c r="E800" s="1">
        <f>A800&amp;" "&amp;D800&amp;C800</f>
        <v/>
      </c>
    </row>
    <row r="801">
      <c r="A801" s="1" t="inlineStr">
        <is>
          <t>vQ27m02</t>
        </is>
      </c>
      <c r="B801" s="1" t="inlineStr">
        <is>
          <t>數值</t>
        </is>
      </c>
      <c r="C801" s="1" t="n">
        <v>2</v>
      </c>
      <c r="D801" s="1">
        <f>IF(B801="數值","F","A")</f>
        <v/>
      </c>
      <c r="E801" s="1">
        <f>A801&amp;" "&amp;D801&amp;C801</f>
        <v/>
      </c>
    </row>
    <row r="802">
      <c r="A802" s="1" t="inlineStr">
        <is>
          <t>vQ27m03</t>
        </is>
      </c>
      <c r="B802" s="1" t="inlineStr">
        <is>
          <t>數值</t>
        </is>
      </c>
      <c r="C802" s="1" t="n">
        <v>2</v>
      </c>
      <c r="D802" s="1">
        <f>IF(B802="數值","F","A")</f>
        <v/>
      </c>
      <c r="E802" s="1">
        <f>A802&amp;" "&amp;D802&amp;C802</f>
        <v/>
      </c>
    </row>
    <row r="803">
      <c r="A803" s="1" t="inlineStr">
        <is>
          <t>vQ27m04</t>
        </is>
      </c>
      <c r="B803" s="1" t="inlineStr">
        <is>
          <t>數值</t>
        </is>
      </c>
      <c r="C803" s="1" t="n">
        <v>2</v>
      </c>
      <c r="D803" s="1">
        <f>IF(B803="數值","F","A")</f>
        <v/>
      </c>
      <c r="E803" s="1">
        <f>A803&amp;" "&amp;D803&amp;C803</f>
        <v/>
      </c>
    </row>
    <row r="804">
      <c r="A804" s="1" t="inlineStr">
        <is>
          <t>vQ27m05</t>
        </is>
      </c>
      <c r="B804" s="1" t="inlineStr">
        <is>
          <t>數值</t>
        </is>
      </c>
      <c r="C804" s="1" t="n">
        <v>2</v>
      </c>
      <c r="D804" s="1">
        <f>IF(B804="數值","F","A")</f>
        <v/>
      </c>
      <c r="E804" s="1">
        <f>A804&amp;" "&amp;D804&amp;C804</f>
        <v/>
      </c>
    </row>
    <row r="805">
      <c r="A805" s="1" t="inlineStr">
        <is>
          <t>vQ27m06</t>
        </is>
      </c>
      <c r="B805" s="1" t="inlineStr">
        <is>
          <t>數值</t>
        </is>
      </c>
      <c r="C805" s="1" t="n">
        <v>2</v>
      </c>
      <c r="D805" s="1">
        <f>IF(B805="數值","F","A")</f>
        <v/>
      </c>
      <c r="E805" s="1">
        <f>A805&amp;" "&amp;D805&amp;C805</f>
        <v/>
      </c>
    </row>
    <row r="806">
      <c r="A806" s="1" t="inlineStr">
        <is>
          <t>vQ27m07</t>
        </is>
      </c>
      <c r="B806" s="1" t="inlineStr">
        <is>
          <t>數值</t>
        </is>
      </c>
      <c r="C806" s="1" t="n">
        <v>2</v>
      </c>
      <c r="D806" s="1">
        <f>IF(B806="數值","F","A")</f>
        <v/>
      </c>
      <c r="E806" s="1">
        <f>A806&amp;" "&amp;D806&amp;C806</f>
        <v/>
      </c>
    </row>
    <row r="807">
      <c r="A807" s="1" t="inlineStr">
        <is>
          <t>vQ27m88</t>
        </is>
      </c>
      <c r="B807" s="1" t="inlineStr">
        <is>
          <t>數值</t>
        </is>
      </c>
      <c r="C807" s="1" t="n">
        <v>2</v>
      </c>
      <c r="D807" s="1">
        <f>IF(B807="數值","F","A")</f>
        <v/>
      </c>
      <c r="E807" s="1">
        <f>A807&amp;" "&amp;D807&amp;C807</f>
        <v/>
      </c>
    </row>
    <row r="808">
      <c r="A808" s="1" t="inlineStr">
        <is>
          <t>vQ27o88</t>
        </is>
      </c>
      <c r="B808" s="1" t="inlineStr">
        <is>
          <t>字串</t>
        </is>
      </c>
      <c r="C808" s="1" t="n">
        <v>150</v>
      </c>
      <c r="D808" s="1">
        <f>IF(B808="數值","F","A")</f>
        <v/>
      </c>
      <c r="E808" s="1">
        <f>A808&amp;" "&amp;D808&amp;C808</f>
        <v/>
      </c>
    </row>
    <row r="809">
      <c r="A809" s="1" t="inlineStr">
        <is>
          <t>vP3_4</t>
        </is>
      </c>
      <c r="B809" s="1" t="inlineStr">
        <is>
          <t>數值</t>
        </is>
      </c>
      <c r="C809" s="1" t="n">
        <v>2</v>
      </c>
      <c r="D809" s="1">
        <f>IF(B809="數值","F","A")</f>
        <v/>
      </c>
      <c r="E809" s="1">
        <f>A809&amp;" "&amp;D809&amp;C809</f>
        <v/>
      </c>
    </row>
    <row r="810">
      <c r="A810" s="1" t="inlineStr">
        <is>
          <t>vCKP3_4</t>
        </is>
      </c>
      <c r="B810" s="1" t="inlineStr">
        <is>
          <t>數值</t>
        </is>
      </c>
      <c r="C810" s="1" t="n">
        <v>2</v>
      </c>
      <c r="D810" s="1">
        <f>IF(B810="數值","F","A")</f>
        <v/>
      </c>
      <c r="E810" s="1">
        <f>A810&amp;" "&amp;D810&amp;C810</f>
        <v/>
      </c>
    </row>
    <row r="811">
      <c r="A811" s="1" t="inlineStr">
        <is>
          <t>vP3_5</t>
        </is>
      </c>
      <c r="B811" s="1" t="inlineStr">
        <is>
          <t>數值</t>
        </is>
      </c>
      <c r="C811" s="1" t="n">
        <v>2</v>
      </c>
      <c r="D811" s="1">
        <f>IF(B811="數值","F","A")</f>
        <v/>
      </c>
      <c r="E811" s="1">
        <f>A811&amp;" "&amp;D811&amp;C811</f>
        <v/>
      </c>
    </row>
    <row r="812">
      <c r="A812" s="1" t="inlineStr">
        <is>
          <t>vP3_6</t>
        </is>
      </c>
      <c r="B812" s="1" t="inlineStr">
        <is>
          <t>數值</t>
        </is>
      </c>
      <c r="C812" s="1" t="n">
        <v>2</v>
      </c>
      <c r="D812" s="1">
        <f>IF(B812="數值","F","A")</f>
        <v/>
      </c>
      <c r="E812" s="1">
        <f>A812&amp;" "&amp;D812&amp;C812</f>
        <v/>
      </c>
    </row>
    <row r="813">
      <c r="A813" s="1" t="inlineStr">
        <is>
          <t>vP5_3R</t>
        </is>
      </c>
      <c r="B813" s="1" t="inlineStr">
        <is>
          <t>數值</t>
        </is>
      </c>
      <c r="C813" s="1" t="n">
        <v>2</v>
      </c>
      <c r="D813" s="1">
        <f>IF(B813="數值","F","A")</f>
        <v/>
      </c>
      <c r="E813" s="1">
        <f>A813&amp;" "&amp;D813&amp;C813</f>
        <v/>
      </c>
    </row>
    <row r="814">
      <c r="A814" s="1" t="inlineStr">
        <is>
          <t>vP5_4R</t>
        </is>
      </c>
      <c r="B814" s="1" t="inlineStr">
        <is>
          <t>數值</t>
        </is>
      </c>
      <c r="C814" s="1" t="n">
        <v>2</v>
      </c>
      <c r="D814" s="1">
        <f>IF(B814="數值","F","A")</f>
        <v/>
      </c>
      <c r="E814" s="1">
        <f>A814&amp;" "&amp;D814&amp;C814</f>
        <v/>
      </c>
    </row>
    <row r="815">
      <c r="A815" s="1" t="inlineStr">
        <is>
          <t>vP5_5</t>
        </is>
      </c>
      <c r="B815" s="1" t="inlineStr">
        <is>
          <t>數值</t>
        </is>
      </c>
      <c r="C815" s="1" t="n">
        <v>2</v>
      </c>
      <c r="D815" s="1">
        <f>IF(B815="數值","F","A")</f>
        <v/>
      </c>
      <c r="E815" s="1">
        <f>A815&amp;" "&amp;D815&amp;C815</f>
        <v/>
      </c>
    </row>
    <row r="816">
      <c r="A816" s="1" t="inlineStr">
        <is>
          <t>vQ28</t>
        </is>
      </c>
      <c r="B816" s="1" t="inlineStr">
        <is>
          <t>數值</t>
        </is>
      </c>
      <c r="C816" s="1" t="n">
        <v>4</v>
      </c>
      <c r="D816" s="1">
        <f>IF(B816="數值","F","A")</f>
        <v/>
      </c>
      <c r="E816" s="1">
        <f>A816&amp;" "&amp;D816&amp;C816</f>
        <v/>
      </c>
    </row>
    <row r="817">
      <c r="A817" s="1" t="inlineStr">
        <is>
          <t>vQ30m01</t>
        </is>
      </c>
      <c r="B817" s="1" t="inlineStr">
        <is>
          <t>數值</t>
        </is>
      </c>
      <c r="C817" s="1" t="n">
        <v>2</v>
      </c>
      <c r="D817" s="1">
        <f>IF(B817="數值","F","A")</f>
        <v/>
      </c>
      <c r="E817" s="1">
        <f>A817&amp;" "&amp;D817&amp;C817</f>
        <v/>
      </c>
    </row>
    <row r="818">
      <c r="A818" s="1" t="inlineStr">
        <is>
          <t>vQ30m02</t>
        </is>
      </c>
      <c r="B818" s="1" t="inlineStr">
        <is>
          <t>數值</t>
        </is>
      </c>
      <c r="C818" s="1" t="n">
        <v>2</v>
      </c>
      <c r="D818" s="1">
        <f>IF(B818="數值","F","A")</f>
        <v/>
      </c>
      <c r="E818" s="1">
        <f>A818&amp;" "&amp;D818&amp;C818</f>
        <v/>
      </c>
    </row>
    <row r="819">
      <c r="A819" s="1" t="inlineStr">
        <is>
          <t>vQ30m03</t>
        </is>
      </c>
      <c r="B819" s="1" t="inlineStr">
        <is>
          <t>數值</t>
        </is>
      </c>
      <c r="C819" s="1" t="n">
        <v>2</v>
      </c>
      <c r="D819" s="1">
        <f>IF(B819="數值","F","A")</f>
        <v/>
      </c>
      <c r="E819" s="1">
        <f>A819&amp;" "&amp;D819&amp;C819</f>
        <v/>
      </c>
    </row>
    <row r="820">
      <c r="A820" s="1" t="inlineStr">
        <is>
          <t>vQ30m04</t>
        </is>
      </c>
      <c r="B820" s="1" t="inlineStr">
        <is>
          <t>數值</t>
        </is>
      </c>
      <c r="C820" s="1" t="n">
        <v>2</v>
      </c>
      <c r="D820" s="1">
        <f>IF(B820="數值","F","A")</f>
        <v/>
      </c>
      <c r="E820" s="1">
        <f>A820&amp;" "&amp;D820&amp;C820</f>
        <v/>
      </c>
    </row>
    <row r="821">
      <c r="A821" s="1" t="inlineStr">
        <is>
          <t>vQ30m05</t>
        </is>
      </c>
      <c r="B821" s="1" t="inlineStr">
        <is>
          <t>數值</t>
        </is>
      </c>
      <c r="C821" s="1" t="n">
        <v>2</v>
      </c>
      <c r="D821" s="1">
        <f>IF(B821="數值","F","A")</f>
        <v/>
      </c>
      <c r="E821" s="1">
        <f>A821&amp;" "&amp;D821&amp;C821</f>
        <v/>
      </c>
    </row>
    <row r="822">
      <c r="A822" s="1" t="inlineStr">
        <is>
          <t>vQ30m06</t>
        </is>
      </c>
      <c r="B822" s="1" t="inlineStr">
        <is>
          <t>數值</t>
        </is>
      </c>
      <c r="C822" s="1" t="n">
        <v>2</v>
      </c>
      <c r="D822" s="1">
        <f>IF(B822="數值","F","A")</f>
        <v/>
      </c>
      <c r="E822" s="1">
        <f>A822&amp;" "&amp;D822&amp;C822</f>
        <v/>
      </c>
    </row>
    <row r="823">
      <c r="A823" s="1" t="inlineStr">
        <is>
          <t>vQ30m07</t>
        </is>
      </c>
      <c r="B823" s="1" t="inlineStr">
        <is>
          <t>數值</t>
        </is>
      </c>
      <c r="C823" s="1" t="n">
        <v>2</v>
      </c>
      <c r="D823" s="1">
        <f>IF(B823="數值","F","A")</f>
        <v/>
      </c>
      <c r="E823" s="1">
        <f>A823&amp;" "&amp;D823&amp;C823</f>
        <v/>
      </c>
    </row>
    <row r="824">
      <c r="A824" s="1" t="inlineStr">
        <is>
          <t>vQ30m08</t>
        </is>
      </c>
      <c r="B824" s="1" t="inlineStr">
        <is>
          <t>數值</t>
        </is>
      </c>
      <c r="C824" s="1" t="n">
        <v>2</v>
      </c>
      <c r="D824" s="1">
        <f>IF(B824="數值","F","A")</f>
        <v/>
      </c>
      <c r="E824" s="1">
        <f>A824&amp;" "&amp;D824&amp;C824</f>
        <v/>
      </c>
    </row>
    <row r="825">
      <c r="A825" s="1" t="inlineStr">
        <is>
          <t>vQ30m90</t>
        </is>
      </c>
      <c r="B825" s="1" t="inlineStr">
        <is>
          <t>數值</t>
        </is>
      </c>
      <c r="C825" s="1" t="n">
        <v>2</v>
      </c>
      <c r="D825" s="1">
        <f>IF(B825="數值","F","A")</f>
        <v/>
      </c>
      <c r="E825" s="1">
        <f>A825&amp;" "&amp;D825&amp;C825</f>
        <v/>
      </c>
    </row>
    <row r="826">
      <c r="A826" s="1" t="inlineStr">
        <is>
          <t>vQ31m01</t>
        </is>
      </c>
      <c r="B826" s="1" t="inlineStr">
        <is>
          <t>數值</t>
        </is>
      </c>
      <c r="C826" s="1" t="n">
        <v>2</v>
      </c>
      <c r="D826" s="1">
        <f>IF(B826="數值","F","A")</f>
        <v/>
      </c>
      <c r="E826" s="1">
        <f>A826&amp;" "&amp;D826&amp;C826</f>
        <v/>
      </c>
    </row>
    <row r="827">
      <c r="A827" s="1" t="inlineStr">
        <is>
          <t>vQ31m02</t>
        </is>
      </c>
      <c r="B827" s="1" t="inlineStr">
        <is>
          <t>數值</t>
        </is>
      </c>
      <c r="C827" s="1" t="n">
        <v>2</v>
      </c>
      <c r="D827" s="1">
        <f>IF(B827="數值","F","A")</f>
        <v/>
      </c>
      <c r="E827" s="1">
        <f>A827&amp;" "&amp;D827&amp;C827</f>
        <v/>
      </c>
    </row>
    <row r="828">
      <c r="A828" s="1" t="inlineStr">
        <is>
          <t>vQ31m03</t>
        </is>
      </c>
      <c r="B828" s="1" t="inlineStr">
        <is>
          <t>數值</t>
        </is>
      </c>
      <c r="C828" s="1" t="n">
        <v>2</v>
      </c>
      <c r="D828" s="1">
        <f>IF(B828="數值","F","A")</f>
        <v/>
      </c>
      <c r="E828" s="1">
        <f>A828&amp;" "&amp;D828&amp;C828</f>
        <v/>
      </c>
    </row>
    <row r="829">
      <c r="A829" s="1" t="inlineStr">
        <is>
          <t>vQ31m04</t>
        </is>
      </c>
      <c r="B829" s="1" t="inlineStr">
        <is>
          <t>數值</t>
        </is>
      </c>
      <c r="C829" s="1" t="n">
        <v>2</v>
      </c>
      <c r="D829" s="1">
        <f>IF(B829="數值","F","A")</f>
        <v/>
      </c>
      <c r="E829" s="1">
        <f>A829&amp;" "&amp;D829&amp;C829</f>
        <v/>
      </c>
    </row>
    <row r="830">
      <c r="A830" s="1" t="inlineStr">
        <is>
          <t>vQ31m05</t>
        </is>
      </c>
      <c r="B830" s="1" t="inlineStr">
        <is>
          <t>數值</t>
        </is>
      </c>
      <c r="C830" s="1" t="n">
        <v>2</v>
      </c>
      <c r="D830" s="1">
        <f>IF(B830="數值","F","A")</f>
        <v/>
      </c>
      <c r="E830" s="1">
        <f>A830&amp;" "&amp;D830&amp;C830</f>
        <v/>
      </c>
    </row>
    <row r="831">
      <c r="A831" s="1" t="inlineStr">
        <is>
          <t>vQ31m06</t>
        </is>
      </c>
      <c r="B831" s="1" t="inlineStr">
        <is>
          <t>數值</t>
        </is>
      </c>
      <c r="C831" s="1" t="n">
        <v>2</v>
      </c>
      <c r="D831" s="1">
        <f>IF(B831="數值","F","A")</f>
        <v/>
      </c>
      <c r="E831" s="1">
        <f>A831&amp;" "&amp;D831&amp;C831</f>
        <v/>
      </c>
    </row>
    <row r="832">
      <c r="A832" s="1" t="inlineStr">
        <is>
          <t>vQ31m07</t>
        </is>
      </c>
      <c r="B832" s="1" t="inlineStr">
        <is>
          <t>數值</t>
        </is>
      </c>
      <c r="C832" s="1" t="n">
        <v>2</v>
      </c>
      <c r="D832" s="1">
        <f>IF(B832="數值","F","A")</f>
        <v/>
      </c>
      <c r="E832" s="1">
        <f>A832&amp;" "&amp;D832&amp;C832</f>
        <v/>
      </c>
    </row>
    <row r="833">
      <c r="A833" s="1" t="inlineStr">
        <is>
          <t>vQ31m08</t>
        </is>
      </c>
      <c r="B833" s="1" t="inlineStr">
        <is>
          <t>數值</t>
        </is>
      </c>
      <c r="C833" s="1" t="n">
        <v>2</v>
      </c>
      <c r="D833" s="1">
        <f>IF(B833="數值","F","A")</f>
        <v/>
      </c>
      <c r="E833" s="1">
        <f>A833&amp;" "&amp;D833&amp;C833</f>
        <v/>
      </c>
    </row>
    <row r="834">
      <c r="A834" s="1" t="inlineStr">
        <is>
          <t>vQ31m90</t>
        </is>
      </c>
      <c r="B834" s="1" t="inlineStr">
        <is>
          <t>數值</t>
        </is>
      </c>
      <c r="C834" s="1" t="n">
        <v>2</v>
      </c>
      <c r="D834" s="1">
        <f>IF(B834="數值","F","A")</f>
        <v/>
      </c>
      <c r="E834" s="1">
        <f>A834&amp;" "&amp;D834&amp;C834</f>
        <v/>
      </c>
    </row>
    <row r="835">
      <c r="A835" s="1" t="inlineStr">
        <is>
          <t>vQ32sQ32</t>
        </is>
      </c>
      <c r="B835" s="1" t="inlineStr">
        <is>
          <t>數值</t>
        </is>
      </c>
      <c r="C835" s="1" t="n">
        <v>2</v>
      </c>
      <c r="D835" s="1">
        <f>IF(B835="數值","F","A")</f>
        <v/>
      </c>
      <c r="E835" s="1">
        <f>A835&amp;" "&amp;D835&amp;C835</f>
        <v/>
      </c>
    </row>
    <row r="836">
      <c r="A836" s="1" t="inlineStr">
        <is>
          <t>vQ32sQ33</t>
        </is>
      </c>
      <c r="B836" s="1" t="inlineStr">
        <is>
          <t>數值</t>
        </is>
      </c>
      <c r="C836" s="1" t="n">
        <v>2</v>
      </c>
      <c r="D836" s="1">
        <f>IF(B836="數值","F","A")</f>
        <v/>
      </c>
      <c r="E836" s="1">
        <f>A836&amp;" "&amp;D836&amp;C836</f>
        <v/>
      </c>
    </row>
    <row r="837">
      <c r="A837" s="1" t="inlineStr">
        <is>
          <t>vQ32sQ34</t>
        </is>
      </c>
      <c r="B837" s="1" t="inlineStr">
        <is>
          <t>數值</t>
        </is>
      </c>
      <c r="C837" s="1" t="n">
        <v>2</v>
      </c>
      <c r="D837" s="1">
        <f>IF(B837="數值","F","A")</f>
        <v/>
      </c>
      <c r="E837" s="1">
        <f>A837&amp;" "&amp;D837&amp;C837</f>
        <v/>
      </c>
    </row>
    <row r="838">
      <c r="A838" s="1" t="inlineStr">
        <is>
          <t>vQ58s58</t>
        </is>
      </c>
      <c r="B838" s="1" t="inlineStr">
        <is>
          <t>數值</t>
        </is>
      </c>
      <c r="C838" s="1" t="n">
        <v>2</v>
      </c>
      <c r="D838" s="1">
        <f>IF(B838="數值","F","A")</f>
        <v/>
      </c>
      <c r="E838" s="1">
        <f>A838&amp;" "&amp;D838&amp;C838</f>
        <v/>
      </c>
    </row>
    <row r="839">
      <c r="A839" s="1" t="inlineStr">
        <is>
          <t>vQ58s59</t>
        </is>
      </c>
      <c r="B839" s="1" t="inlineStr">
        <is>
          <t>數值</t>
        </is>
      </c>
      <c r="C839" s="1" t="n">
        <v>2</v>
      </c>
      <c r="D839" s="1">
        <f>IF(B839="數值","F","A")</f>
        <v/>
      </c>
      <c r="E839" s="1">
        <f>A839&amp;" "&amp;D839&amp;C839</f>
        <v/>
      </c>
    </row>
    <row r="840">
      <c r="A840" s="1" t="inlineStr">
        <is>
          <t>vQ58s60</t>
        </is>
      </c>
      <c r="B840" s="1" t="inlineStr">
        <is>
          <t>數值</t>
        </is>
      </c>
      <c r="C840" s="1" t="n">
        <v>2</v>
      </c>
      <c r="D840" s="1">
        <f>IF(B840="數值","F","A")</f>
        <v/>
      </c>
      <c r="E840" s="1">
        <f>A840&amp;" "&amp;D840&amp;C840</f>
        <v/>
      </c>
    </row>
    <row r="841">
      <c r="A841" s="1" t="inlineStr">
        <is>
          <t>vQ58s61</t>
        </is>
      </c>
      <c r="B841" s="1" t="inlineStr">
        <is>
          <t>數值</t>
        </is>
      </c>
      <c r="C841" s="1" t="n">
        <v>2</v>
      </c>
      <c r="D841" s="1">
        <f>IF(B841="數值","F","A")</f>
        <v/>
      </c>
      <c r="E841" s="1">
        <f>A841&amp;" "&amp;D841&amp;C841</f>
        <v/>
      </c>
    </row>
    <row r="842">
      <c r="A842" s="1" t="inlineStr">
        <is>
          <t>vQ46</t>
        </is>
      </c>
      <c r="B842" s="1" t="inlineStr">
        <is>
          <t>數值</t>
        </is>
      </c>
      <c r="C842" s="1" t="n">
        <v>2</v>
      </c>
      <c r="D842" s="1">
        <f>IF(B842="數值","F","A")</f>
        <v/>
      </c>
      <c r="E842" s="1">
        <f>A842&amp;" "&amp;D842&amp;C842</f>
        <v/>
      </c>
    </row>
    <row r="843">
      <c r="A843" s="1" t="inlineStr">
        <is>
          <t>vP3_2</t>
        </is>
      </c>
      <c r="B843" s="1" t="inlineStr">
        <is>
          <t>數值</t>
        </is>
      </c>
      <c r="C843" s="1" t="n">
        <v>2</v>
      </c>
      <c r="D843" s="1">
        <f>IF(B843="數值","F","A")</f>
        <v/>
      </c>
      <c r="E843" s="1">
        <f>A843&amp;" "&amp;D843&amp;C843</f>
        <v/>
      </c>
    </row>
    <row r="844">
      <c r="A844" s="1" t="inlineStr">
        <is>
          <t>vP3_3</t>
        </is>
      </c>
      <c r="B844" s="1" t="inlineStr">
        <is>
          <t>數值</t>
        </is>
      </c>
      <c r="C844" s="1" t="n">
        <v>2</v>
      </c>
      <c r="D844" s="1">
        <f>IF(B844="數值","F","A")</f>
        <v/>
      </c>
      <c r="E844" s="1">
        <f>A844&amp;" "&amp;D844&amp;C844</f>
        <v/>
      </c>
    </row>
    <row r="845">
      <c r="A845" s="1" t="inlineStr">
        <is>
          <t>vP2_1</t>
        </is>
      </c>
      <c r="B845" s="1" t="inlineStr">
        <is>
          <t>數值</t>
        </is>
      </c>
      <c r="C845" s="1" t="n">
        <v>2</v>
      </c>
      <c r="D845" s="1">
        <f>IF(B845="數值","F","A")</f>
        <v/>
      </c>
      <c r="E845" s="1">
        <f>A845&amp;" "&amp;D845&amp;C845</f>
        <v/>
      </c>
    </row>
    <row r="846">
      <c r="A846" s="1" t="inlineStr">
        <is>
          <t>vP2_2</t>
        </is>
      </c>
      <c r="B846" s="1" t="inlineStr">
        <is>
          <t>數值</t>
        </is>
      </c>
      <c r="C846" s="1" t="n">
        <v>2</v>
      </c>
      <c r="D846" s="1">
        <f>IF(B846="數值","F","A")</f>
        <v/>
      </c>
      <c r="E846" s="1">
        <f>A846&amp;" "&amp;D846&amp;C846</f>
        <v/>
      </c>
    </row>
    <row r="847">
      <c r="A847" s="1" t="inlineStr">
        <is>
          <t>vP2_3</t>
        </is>
      </c>
      <c r="B847" s="1" t="inlineStr">
        <is>
          <t>數值</t>
        </is>
      </c>
      <c r="C847" s="1" t="n">
        <v>2</v>
      </c>
      <c r="D847" s="1">
        <f>IF(B847="數值","F","A")</f>
        <v/>
      </c>
      <c r="E847" s="1">
        <f>A847&amp;" "&amp;D847&amp;C847</f>
        <v/>
      </c>
    </row>
    <row r="848">
      <c r="A848" s="1" t="inlineStr">
        <is>
          <t>vP2_4</t>
        </is>
      </c>
      <c r="B848" s="1" t="inlineStr">
        <is>
          <t>數值</t>
        </is>
      </c>
      <c r="C848" s="1" t="n">
        <v>2</v>
      </c>
      <c r="D848" s="1">
        <f>IF(B848="數值","F","A")</f>
        <v/>
      </c>
      <c r="E848" s="1">
        <f>A848&amp;" "&amp;D848&amp;C848</f>
        <v/>
      </c>
    </row>
    <row r="849">
      <c r="A849" s="1" t="inlineStr">
        <is>
          <t>vP2_5</t>
        </is>
      </c>
      <c r="B849" s="1" t="inlineStr">
        <is>
          <t>數值</t>
        </is>
      </c>
      <c r="C849" s="1" t="n">
        <v>2</v>
      </c>
      <c r="D849" s="1">
        <f>IF(B849="數值","F","A")</f>
        <v/>
      </c>
      <c r="E849" s="1">
        <f>A849&amp;" "&amp;D849&amp;C849</f>
        <v/>
      </c>
    </row>
    <row r="850">
      <c r="A850" s="1" t="inlineStr">
        <is>
          <t>vP2_6</t>
        </is>
      </c>
      <c r="B850" s="1" t="inlineStr">
        <is>
          <t>數值</t>
        </is>
      </c>
      <c r="C850" s="1" t="n">
        <v>2</v>
      </c>
      <c r="D850" s="1">
        <f>IF(B850="數值","F","A")</f>
        <v/>
      </c>
      <c r="E850" s="1">
        <f>A850&amp;" "&amp;D850&amp;C850</f>
        <v/>
      </c>
    </row>
    <row r="851">
      <c r="A851" s="1" t="inlineStr">
        <is>
          <t>vQ43</t>
        </is>
      </c>
      <c r="B851" s="1" t="inlineStr">
        <is>
          <t>數值</t>
        </is>
      </c>
      <c r="C851" s="1" t="n">
        <v>2</v>
      </c>
      <c r="D851" s="1">
        <f>IF(B851="數值","F","A")</f>
        <v/>
      </c>
      <c r="E851" s="1">
        <f>A851&amp;" "&amp;D851&amp;C851</f>
        <v/>
      </c>
    </row>
    <row r="852">
      <c r="A852" s="1" t="inlineStr">
        <is>
          <t>vQ44</t>
        </is>
      </c>
      <c r="B852" s="1" t="inlineStr">
        <is>
          <t>數值</t>
        </is>
      </c>
      <c r="C852" s="1" t="n">
        <v>2</v>
      </c>
      <c r="D852" s="1">
        <f>IF(B852="數值","F","A")</f>
        <v/>
      </c>
      <c r="E852" s="1">
        <f>A852&amp;" "&amp;D852&amp;C852</f>
        <v/>
      </c>
    </row>
    <row r="853">
      <c r="A853" s="1" t="inlineStr">
        <is>
          <t>vQ44o88</t>
        </is>
      </c>
      <c r="B853" s="1" t="inlineStr">
        <is>
          <t>字串</t>
        </is>
      </c>
      <c r="C853" s="1" t="n">
        <v>150</v>
      </c>
      <c r="D853" s="1">
        <f>IF(B853="數值","F","A")</f>
        <v/>
      </c>
      <c r="E853" s="1">
        <f>A853&amp;" "&amp;D853&amp;C853</f>
        <v/>
      </c>
    </row>
    <row r="854">
      <c r="A854" s="1" t="inlineStr">
        <is>
          <t>vQ45</t>
        </is>
      </c>
      <c r="B854" s="1" t="inlineStr">
        <is>
          <t>數值</t>
        </is>
      </c>
      <c r="C854" s="1" t="n">
        <v>2</v>
      </c>
      <c r="D854" s="1">
        <f>IF(B854="數值","F","A")</f>
        <v/>
      </c>
      <c r="E854" s="1">
        <f>A854&amp;" "&amp;D854&amp;C854</f>
        <v/>
      </c>
    </row>
    <row r="855">
      <c r="A855" s="1" t="inlineStr">
        <is>
          <t>vQ45o88</t>
        </is>
      </c>
      <c r="B855" s="1" t="inlineStr">
        <is>
          <t>字串</t>
        </is>
      </c>
      <c r="C855" s="1" t="n">
        <v>150</v>
      </c>
      <c r="D855" s="1">
        <f>IF(B855="數值","F","A")</f>
        <v/>
      </c>
      <c r="E855" s="1">
        <f>A855&amp;" "&amp;D855&amp;C855</f>
        <v/>
      </c>
    </row>
    <row r="856">
      <c r="A856" s="1" t="inlineStr">
        <is>
          <t>vQ47</t>
        </is>
      </c>
      <c r="B856" s="1" t="inlineStr">
        <is>
          <t>數值</t>
        </is>
      </c>
      <c r="C856" s="1" t="n">
        <v>4</v>
      </c>
      <c r="D856" s="1">
        <f>IF(B856="數值","F","A")</f>
        <v/>
      </c>
      <c r="E856" s="1">
        <f>A856&amp;" "&amp;D856&amp;C856</f>
        <v/>
      </c>
    </row>
    <row r="857">
      <c r="A857" s="1" t="inlineStr">
        <is>
          <t>vQ48</t>
        </is>
      </c>
      <c r="B857" s="1" t="inlineStr">
        <is>
          <t>數值</t>
        </is>
      </c>
      <c r="C857" s="1" t="n">
        <v>4</v>
      </c>
      <c r="D857" s="1">
        <f>IF(B857="數值","F","A")</f>
        <v/>
      </c>
      <c r="E857" s="1">
        <f>A857&amp;" "&amp;D857&amp;C857</f>
        <v/>
      </c>
    </row>
    <row r="858">
      <c r="A858" s="1" t="inlineStr">
        <is>
          <t>vQ62</t>
        </is>
      </c>
      <c r="B858" s="1" t="inlineStr">
        <is>
          <t>數值</t>
        </is>
      </c>
      <c r="C858" s="1" t="n">
        <v>4</v>
      </c>
      <c r="D858" s="1">
        <f>IF(B858="數值","F","A")</f>
        <v/>
      </c>
      <c r="E858" s="1">
        <f>A858&amp;" "&amp;D858&amp;C858</f>
        <v/>
      </c>
    </row>
    <row r="859">
      <c r="A859" s="1" t="inlineStr">
        <is>
          <t>vQ49</t>
        </is>
      </c>
      <c r="B859" s="1" t="inlineStr">
        <is>
          <t>數值</t>
        </is>
      </c>
      <c r="C859" s="1" t="n">
        <v>2</v>
      </c>
      <c r="D859" s="1">
        <f>IF(B859="數值","F","A")</f>
        <v/>
      </c>
      <c r="E859" s="1">
        <f>A859&amp;" "&amp;D859&amp;C859</f>
        <v/>
      </c>
    </row>
    <row r="860">
      <c r="A860" s="1" t="inlineStr">
        <is>
          <t>vQ50</t>
        </is>
      </c>
      <c r="B860" s="1" t="inlineStr">
        <is>
          <t>數值</t>
        </is>
      </c>
      <c r="C860" s="1" t="n">
        <v>2</v>
      </c>
      <c r="D860" s="1">
        <f>IF(B860="數值","F","A")</f>
        <v/>
      </c>
      <c r="E860" s="1">
        <f>A860&amp;" "&amp;D860&amp;C860</f>
        <v/>
      </c>
    </row>
    <row r="861">
      <c r="A861" s="1" t="inlineStr">
        <is>
          <t>vQ51</t>
        </is>
      </c>
      <c r="B861" s="1" t="inlineStr">
        <is>
          <t>數值</t>
        </is>
      </c>
      <c r="C861" s="1" t="n">
        <v>2</v>
      </c>
      <c r="D861" s="1">
        <f>IF(B861="數值","F","A")</f>
        <v/>
      </c>
      <c r="E861" s="1">
        <f>A861&amp;" "&amp;D861&amp;C861</f>
        <v/>
      </c>
    </row>
    <row r="862">
      <c r="A862" s="1" t="inlineStr">
        <is>
          <t>vQ51o88</t>
        </is>
      </c>
      <c r="B862" s="1" t="inlineStr">
        <is>
          <t>字串</t>
        </is>
      </c>
      <c r="C862" s="1" t="n">
        <v>150</v>
      </c>
      <c r="D862" s="1">
        <f>IF(B862="數值","F","A")</f>
        <v/>
      </c>
      <c r="E862" s="1">
        <f>A862&amp;" "&amp;D862&amp;C862</f>
        <v/>
      </c>
    </row>
    <row r="863">
      <c r="A863" s="1" t="inlineStr">
        <is>
          <t>vQ52</t>
        </is>
      </c>
      <c r="B863" s="1" t="inlineStr">
        <is>
          <t>數值</t>
        </is>
      </c>
      <c r="C863" s="1" t="n">
        <v>2</v>
      </c>
      <c r="D863" s="1">
        <f>IF(B863="數值","F","A")</f>
        <v/>
      </c>
      <c r="E863" s="1">
        <f>A863&amp;" "&amp;D863&amp;C863</f>
        <v/>
      </c>
    </row>
    <row r="864">
      <c r="A864" s="1" t="inlineStr">
        <is>
          <t>vQ53</t>
        </is>
      </c>
      <c r="B864" s="1" t="inlineStr">
        <is>
          <t>數值</t>
        </is>
      </c>
      <c r="C864" s="1" t="n">
        <v>2</v>
      </c>
      <c r="D864" s="1">
        <f>IF(B864="數值","F","A")</f>
        <v/>
      </c>
      <c r="E864" s="1">
        <f>A864&amp;" "&amp;D864&amp;C864</f>
        <v/>
      </c>
    </row>
    <row r="865">
      <c r="A865" s="1" t="inlineStr">
        <is>
          <t>vQ53o88</t>
        </is>
      </c>
      <c r="B865" s="1" t="inlineStr">
        <is>
          <t>字串</t>
        </is>
      </c>
      <c r="C865" s="1" t="n">
        <v>150</v>
      </c>
      <c r="D865" s="1">
        <f>IF(B865="數值","F","A")</f>
        <v/>
      </c>
      <c r="E865" s="1">
        <f>A865&amp;" "&amp;D865&amp;C865</f>
        <v/>
      </c>
    </row>
    <row r="866">
      <c r="A866" s="1" t="inlineStr">
        <is>
          <t>vP3_1</t>
        </is>
      </c>
      <c r="B866" s="1" t="inlineStr">
        <is>
          <t>數值</t>
        </is>
      </c>
      <c r="C866" s="1" t="n">
        <v>3</v>
      </c>
      <c r="D866" s="1">
        <f>IF(B866="數值","F","A")</f>
        <v/>
      </c>
      <c r="E866" s="1">
        <f>A866&amp;" "&amp;D866&amp;C866</f>
        <v/>
      </c>
    </row>
    <row r="867">
      <c r="A867" s="1" t="inlineStr">
        <is>
          <t>vQ54</t>
        </is>
      </c>
      <c r="B867" s="1" t="inlineStr">
        <is>
          <t>數值</t>
        </is>
      </c>
      <c r="C867" s="1" t="n">
        <v>2</v>
      </c>
      <c r="D867" s="1">
        <f>IF(B867="數值","F","A")</f>
        <v/>
      </c>
      <c r="E867" s="1">
        <f>A867&amp;" "&amp;D867&amp;C867</f>
        <v/>
      </c>
    </row>
    <row r="868">
      <c r="A868" s="1" t="inlineStr">
        <is>
          <t>vQ54o88</t>
        </is>
      </c>
      <c r="B868" s="1" t="inlineStr">
        <is>
          <t>字串</t>
        </is>
      </c>
      <c r="C868" s="1" t="n">
        <v>150</v>
      </c>
      <c r="D868" s="1">
        <f>IF(B868="數值","F","A")</f>
        <v/>
      </c>
      <c r="E868" s="1">
        <f>A868&amp;" "&amp;D868&amp;C868</f>
        <v/>
      </c>
    </row>
    <row r="869">
      <c r="A869" s="1" t="inlineStr">
        <is>
          <t>vP5_6</t>
        </is>
      </c>
      <c r="B869" s="1" t="inlineStr">
        <is>
          <t>數值</t>
        </is>
      </c>
      <c r="C869" s="1" t="n">
        <v>2</v>
      </c>
      <c r="D869" s="1">
        <f>IF(B869="數值","F","A")</f>
        <v/>
      </c>
      <c r="E869" s="1">
        <f>A869&amp;" "&amp;D869&amp;C869</f>
        <v/>
      </c>
    </row>
    <row r="870">
      <c r="A870" s="1" t="inlineStr">
        <is>
          <t>vQ55</t>
        </is>
      </c>
      <c r="B870" s="1" t="inlineStr">
        <is>
          <t>數值</t>
        </is>
      </c>
      <c r="C870" s="1" t="n">
        <v>2</v>
      </c>
      <c r="D870" s="1">
        <f>IF(B870="數值","F","A")</f>
        <v/>
      </c>
      <c r="E870" s="1">
        <f>A870&amp;" "&amp;D870&amp;C870</f>
        <v/>
      </c>
    </row>
    <row r="871">
      <c r="A871" s="1" t="inlineStr">
        <is>
          <t>vQ56</t>
        </is>
      </c>
      <c r="B871" s="1" t="inlineStr">
        <is>
          <t>數值</t>
        </is>
      </c>
      <c r="C871" s="1" t="n">
        <v>2</v>
      </c>
      <c r="D871" s="1">
        <f>IF(B871="數值","F","A")</f>
        <v/>
      </c>
      <c r="E871" s="1">
        <f>A871&amp;" "&amp;D871&amp;C871</f>
        <v/>
      </c>
    </row>
    <row r="872">
      <c r="A872" s="1" t="inlineStr">
        <is>
          <t>vQ57</t>
        </is>
      </c>
      <c r="B872" s="1" t="inlineStr">
        <is>
          <t>數值</t>
        </is>
      </c>
      <c r="C872" s="1" t="n">
        <v>2</v>
      </c>
      <c r="D872" s="1">
        <f>IF(B872="數值","F","A")</f>
        <v/>
      </c>
      <c r="E872" s="1">
        <f>A872&amp;" "&amp;D872&amp;C872</f>
        <v/>
      </c>
    </row>
    <row r="873">
      <c r="A873" s="1" t="inlineStr">
        <is>
          <t>vZ2_1g1</t>
        </is>
      </c>
      <c r="B873" s="1" t="inlineStr">
        <is>
          <t>數值</t>
        </is>
      </c>
      <c r="C873" s="1" t="n">
        <v>11</v>
      </c>
      <c r="D873" s="1">
        <f>IF(B873="數值","F","A")</f>
        <v/>
      </c>
      <c r="E873" s="1">
        <f>A873&amp;" "&amp;D873&amp;C873</f>
        <v/>
      </c>
    </row>
    <row r="874">
      <c r="A874" s="1" t="inlineStr">
        <is>
          <t>vZ2_1g2</t>
        </is>
      </c>
      <c r="B874" s="1" t="inlineStr">
        <is>
          <t>數值</t>
        </is>
      </c>
      <c r="C874" s="1" t="n">
        <v>9</v>
      </c>
      <c r="D874" s="1">
        <f>IF(B874="數值","F","A")</f>
        <v/>
      </c>
      <c r="E874" s="1">
        <f>A874&amp;" "&amp;D874&amp;C874</f>
        <v/>
      </c>
    </row>
    <row r="875">
      <c r="A875" s="1" t="inlineStr">
        <is>
          <t>vZ2_2</t>
        </is>
      </c>
      <c r="B875" s="1" t="inlineStr">
        <is>
          <t>數值</t>
        </is>
      </c>
      <c r="C875" s="1" t="n">
        <v>11</v>
      </c>
      <c r="D875" s="1">
        <f>IF(B875="數值","F","A")</f>
        <v/>
      </c>
      <c r="E875" s="1">
        <f>A875&amp;" "&amp;D875&amp;C875</f>
        <v/>
      </c>
    </row>
    <row r="876">
      <c r="A876" s="1" t="inlineStr">
        <is>
          <t>vZE1</t>
        </is>
      </c>
      <c r="B876" s="1" t="inlineStr">
        <is>
          <t>數值</t>
        </is>
      </c>
      <c r="C876" s="1" t="n">
        <v>2</v>
      </c>
      <c r="D876" s="1">
        <f>IF(B876="數值","F","A")</f>
        <v/>
      </c>
      <c r="E876" s="1">
        <f>A876&amp;" "&amp;D876&amp;C876</f>
        <v/>
      </c>
    </row>
    <row r="877">
      <c r="A877" s="1" t="inlineStr">
        <is>
          <t>vZE1o03</t>
        </is>
      </c>
      <c r="B877" s="1" t="inlineStr">
        <is>
          <t>字串</t>
        </is>
      </c>
      <c r="C877" s="1" t="n">
        <v>150</v>
      </c>
      <c r="D877" s="1">
        <f>IF(B877="數值","F","A")</f>
        <v/>
      </c>
      <c r="E877" s="1">
        <f>A877&amp;" "&amp;D877&amp;C877</f>
        <v/>
      </c>
    </row>
    <row r="878">
      <c r="A878" s="1" t="inlineStr">
        <is>
          <t>vZE1o04</t>
        </is>
      </c>
      <c r="B878" s="1" t="inlineStr">
        <is>
          <t>字串</t>
        </is>
      </c>
      <c r="C878" s="1" t="n">
        <v>150</v>
      </c>
      <c r="D878" s="1">
        <f>IF(B878="數值","F","A")</f>
        <v/>
      </c>
      <c r="E878" s="1">
        <f>A878&amp;" "&amp;D878&amp;C878</f>
        <v/>
      </c>
    </row>
    <row r="879">
      <c r="A879" s="1" t="inlineStr">
        <is>
          <t>vCkZE1</t>
        </is>
      </c>
      <c r="B879" s="1" t="inlineStr">
        <is>
          <t>數值</t>
        </is>
      </c>
      <c r="C879" s="1" t="n">
        <v>14</v>
      </c>
      <c r="D879" s="1">
        <f>IF(B879="數值","F","A")</f>
        <v/>
      </c>
      <c r="E879" s="1">
        <f>A879&amp;" "&amp;D879&amp;C879</f>
        <v/>
      </c>
    </row>
    <row r="880">
      <c r="A880" s="1" t="inlineStr">
        <is>
          <t>vZE2m01</t>
        </is>
      </c>
      <c r="B880" s="1" t="inlineStr">
        <is>
          <t>數值</t>
        </is>
      </c>
      <c r="C880" s="1" t="n">
        <v>2</v>
      </c>
      <c r="D880" s="1">
        <f>IF(B880="數值","F","A")</f>
        <v/>
      </c>
      <c r="E880" s="1">
        <f>A880&amp;" "&amp;D880&amp;C880</f>
        <v/>
      </c>
    </row>
    <row r="881">
      <c r="A881" s="1" t="inlineStr">
        <is>
          <t>vZE2m02</t>
        </is>
      </c>
      <c r="B881" s="1" t="inlineStr">
        <is>
          <t>數值</t>
        </is>
      </c>
      <c r="C881" s="1" t="n">
        <v>2</v>
      </c>
      <c r="D881" s="1">
        <f>IF(B881="數值","F","A")</f>
        <v/>
      </c>
      <c r="E881" s="1">
        <f>A881&amp;" "&amp;D881&amp;C881</f>
        <v/>
      </c>
    </row>
    <row r="882">
      <c r="A882" s="1" t="inlineStr">
        <is>
          <t>vZE2m03</t>
        </is>
      </c>
      <c r="B882" s="1" t="inlineStr">
        <is>
          <t>數值</t>
        </is>
      </c>
      <c r="C882" s="1" t="n">
        <v>2</v>
      </c>
      <c r="D882" s="1">
        <f>IF(B882="數值","F","A")</f>
        <v/>
      </c>
      <c r="E882" s="1">
        <f>A882&amp;" "&amp;D882&amp;C882</f>
        <v/>
      </c>
    </row>
    <row r="883">
      <c r="A883" s="1" t="inlineStr">
        <is>
          <t>vZE2_1</t>
        </is>
      </c>
      <c r="B883" s="1" t="inlineStr">
        <is>
          <t>字串</t>
        </is>
      </c>
      <c r="C883" s="1" t="n">
        <v>30</v>
      </c>
      <c r="D883" s="1">
        <f>IF(B883="數值","F","A")</f>
        <v/>
      </c>
      <c r="E883" s="1">
        <f>A883&amp;" "&amp;D883&amp;C883</f>
        <v/>
      </c>
    </row>
    <row r="884">
      <c r="A884" s="1" t="inlineStr">
        <is>
          <t>vZE2_2</t>
        </is>
      </c>
      <c r="B884" s="1" t="inlineStr">
        <is>
          <t>字串</t>
        </is>
      </c>
      <c r="C884" s="1" t="n">
        <v>30</v>
      </c>
      <c r="D884" s="1">
        <f>IF(B884="數值","F","A")</f>
        <v/>
      </c>
      <c r="E884" s="1">
        <f>A884&amp;" "&amp;D884&amp;C884</f>
        <v/>
      </c>
    </row>
    <row r="885">
      <c r="A885" s="1" t="inlineStr">
        <is>
          <t>vZE2_3</t>
        </is>
      </c>
      <c r="B885" s="1" t="inlineStr">
        <is>
          <t>字串</t>
        </is>
      </c>
      <c r="C885" s="1" t="n">
        <v>900</v>
      </c>
      <c r="D885" s="1">
        <f>IF(B885="數值","F","A")</f>
        <v/>
      </c>
      <c r="E885" s="1">
        <f>A885&amp;" "&amp;D885&amp;C885</f>
        <v/>
      </c>
    </row>
    <row r="886">
      <c r="A886" s="1" t="inlineStr">
        <is>
          <t>vvckend</t>
        </is>
      </c>
      <c r="B886" s="1" t="inlineStr">
        <is>
          <t>數值</t>
        </is>
      </c>
      <c r="C886" s="1" t="n">
        <v>14</v>
      </c>
      <c r="D886" s="1">
        <f>IF(B886="數值","F","A")</f>
        <v/>
      </c>
      <c r="E886" s="1">
        <f>A886&amp;" "&amp;D886&amp;C886</f>
        <v/>
      </c>
    </row>
  </sheetData>
  <autoFilter ref="A1:C886"/>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L808"/>
  <sheetViews>
    <sheetView zoomScale="130" zoomScaleNormal="130" workbookViewId="0">
      <pane xSplit="4" ySplit="1" topLeftCell="E14" activePane="bottomRight" state="frozen"/>
      <selection pane="topRight" activeCell="F1" sqref="F1"/>
      <selection pane="bottomLeft" activeCell="A2" sqref="A2"/>
      <selection pane="bottomRight" activeCell="H8" sqref="H8"/>
    </sheetView>
  </sheetViews>
  <sheetFormatPr baseColWidth="8" defaultColWidth="8.875" defaultRowHeight="16.5"/>
  <cols>
    <col width="5.75" customWidth="1" style="1" min="1" max="1"/>
    <col width="6.375" customWidth="1" style="1" min="2" max="2"/>
    <col width="13.5" customWidth="1" style="1" min="3" max="3"/>
    <col width="9.5" customWidth="1" style="1" min="4" max="4"/>
    <col width="9.5" bestFit="1" customWidth="1" style="9" min="5" max="5"/>
    <col width="17.875" bestFit="1" customWidth="1" style="9" min="6" max="6"/>
    <col width="13.125" bestFit="1" customWidth="1" style="9" min="7" max="7"/>
    <col width="11" customWidth="1" style="14" min="8" max="8"/>
    <col width="12.625" customWidth="1" style="11" min="9" max="9"/>
    <col width="13.75" customWidth="1" style="11" min="10" max="10"/>
    <col width="10.875" customWidth="1" style="11" min="11" max="11"/>
    <col width="76.75" customWidth="1" style="1" min="12" max="12"/>
    <col width="8.875" customWidth="1" style="1" min="13" max="16"/>
    <col width="8.875" customWidth="1" style="1" min="17" max="16384"/>
  </cols>
  <sheetData>
    <row r="1">
      <c r="A1" s="1" t="inlineStr">
        <is>
          <t>m</t>
        </is>
      </c>
      <c r="B1" s="1" t="inlineStr">
        <is>
          <t>p</t>
        </is>
      </c>
      <c r="C1" s="1" t="inlineStr">
        <is>
          <t>var</t>
        </is>
      </c>
      <c r="D1" s="1" t="inlineStr">
        <is>
          <t>變項屬性</t>
        </is>
      </c>
      <c r="E1" s="9" t="inlineStr">
        <is>
          <t>寬度</t>
        </is>
      </c>
      <c r="F1" s="9" t="inlineStr">
        <is>
          <t>可輸入小數點</t>
        </is>
      </c>
      <c r="G1" s="9" t="inlineStr">
        <is>
          <t>in_or_not</t>
        </is>
      </c>
      <c r="H1" s="14" t="inlineStr">
        <is>
          <t>r1</t>
        </is>
      </c>
      <c r="I1" s="11" t="inlineStr">
        <is>
          <t>r2</t>
        </is>
      </c>
      <c r="J1" s="11" t="inlineStr">
        <is>
          <t>r3</t>
        </is>
      </c>
      <c r="K1" s="11" t="inlineStr">
        <is>
          <t>r4</t>
        </is>
      </c>
      <c r="L1" s="1" t="inlineStr">
        <is>
          <t>range</t>
        </is>
      </c>
    </row>
    <row r="2">
      <c r="A2" s="1" t="n">
        <v>101</v>
      </c>
      <c r="B2" s="1">
        <f>A2</f>
        <v/>
      </c>
      <c r="C2" s="1" t="inlineStr">
        <is>
          <t>vZA</t>
        </is>
      </c>
      <c r="D2" s="1" t="inlineStr">
        <is>
          <t>數值</t>
        </is>
      </c>
      <c r="E2" s="1" t="n">
        <v>2</v>
      </c>
      <c r="F2" s="1" t="n"/>
      <c r="G2" s="1" t="inlineStr">
        <is>
          <t>range</t>
        </is>
      </c>
      <c r="L2" s="2">
        <f>_xlfn.CONCAT(IF(D2="數值",CONCATENATE(G2&amp;"("&amp;C2&amp;","&amp;
IF(ISERROR(SEARCH(",",H2,1)),(H2&amp;","&amp;H2),H2)&amp;
IF(ISBLANK(I2),"",IF(ISERROR(SEARCH(",",I2,1)),CONCATENATE(","&amp;I2&amp;","&amp;I2),CONCATENATE(","&amp;I2))&amp;
IF(ISBLANK(J2),"",IF(ISERROR(SEARCH(",",J2,1)),CONCATENATE(","&amp;J2&amp;","&amp;J2),CONCATENATE(","&amp;J2))&amp;
IF(ISBLANK(K2),"",IF(ISERROR(SEARCH(",",K2,1)),CONCATENATE(","&amp;K2&amp;","&amp;K2),CONCATENATE(","&amp;K2))))))&amp;
")","")&amp;" "&amp;F2)</f>
        <v/>
      </c>
    </row>
    <row r="3">
      <c r="A3" s="1" t="n">
        <v>102</v>
      </c>
      <c r="B3" s="1">
        <f>A3</f>
        <v/>
      </c>
      <c r="C3" s="1" t="inlineStr">
        <is>
          <t>vZA0</t>
        </is>
      </c>
      <c r="D3" s="1" t="inlineStr">
        <is>
          <t>數值</t>
        </is>
      </c>
      <c r="E3" s="1" t="n">
        <v>2</v>
      </c>
      <c r="F3" s="1" t="n"/>
      <c r="G3" s="1" t="inlineStr">
        <is>
          <t>range</t>
        </is>
      </c>
      <c r="H3" s="1" t="inlineStr">
        <is>
          <t>1,2</t>
        </is>
      </c>
      <c r="L3" s="2">
        <f>_xlfn.CONCAT(IF(D3="數值",CONCATENATE(G3&amp;"("&amp;C3&amp;","&amp;
IF(ISERROR(SEARCH(",",H3,1)),(H3&amp;","&amp;H3),H3)&amp;
IF(ISBLANK(I3),"",IF(ISERROR(SEARCH(",",I3,1)),CONCATENATE(","&amp;I3&amp;","&amp;I3),CONCATENATE(","&amp;I3))&amp;
IF(ISBLANK(J3),"",IF(ISERROR(SEARCH(",",J3,1)),CONCATENATE(","&amp;J3&amp;","&amp;J3),CONCATENATE(","&amp;J3))&amp;
IF(ISBLANK(K3),"",IF(ISERROR(SEARCH(",",K3,1)),CONCATENATE(","&amp;K3&amp;","&amp;K3),CONCATENATE(","&amp;K3))))))&amp;
")","")&amp;" "&amp;F3)</f>
        <v/>
      </c>
    </row>
    <row r="4">
      <c r="A4" s="1" t="n">
        <v>103</v>
      </c>
      <c r="B4" s="1">
        <f>A4</f>
        <v/>
      </c>
      <c r="C4" s="1" t="inlineStr">
        <is>
          <t>vZA0_1</t>
        </is>
      </c>
      <c r="D4" s="1" t="inlineStr">
        <is>
          <t>數值</t>
        </is>
      </c>
      <c r="E4" s="1" t="n">
        <v>2</v>
      </c>
      <c r="F4" s="1" t="n"/>
      <c r="G4" s="1" t="inlineStr">
        <is>
          <t>range</t>
        </is>
      </c>
      <c r="H4" s="1" t="inlineStr">
        <is>
          <t>1,2</t>
        </is>
      </c>
      <c r="L4" s="2">
        <f>_xlfn.CONCAT(IF(D4="數值",CONCATENATE(G4&amp;"("&amp;C4&amp;","&amp;
IF(ISERROR(SEARCH(",",H4,1)),(H4&amp;","&amp;H4),H4)&amp;
IF(ISBLANK(I4),"",IF(ISERROR(SEARCH(",",I4,1)),CONCATENATE(","&amp;I4&amp;","&amp;I4),CONCATENATE(","&amp;I4))&amp;
IF(ISBLANK(J4),"",IF(ISERROR(SEARCH(",",J4,1)),CONCATENATE(","&amp;J4&amp;","&amp;J4),CONCATENATE(","&amp;J4))&amp;
IF(ISBLANK(K4),"",IF(ISERROR(SEARCH(",",K4,1)),CONCATENATE(","&amp;K4&amp;","&amp;K4),CONCATENATE(","&amp;K4))))))&amp;
")","")&amp;" "&amp;F4)</f>
        <v/>
      </c>
    </row>
    <row r="5">
      <c r="A5" s="1" t="n">
        <v>104</v>
      </c>
      <c r="B5" s="1">
        <f>A5</f>
        <v/>
      </c>
      <c r="C5" s="1" t="inlineStr">
        <is>
          <t>vSF0</t>
        </is>
      </c>
      <c r="D5" s="1" t="inlineStr">
        <is>
          <t>數值</t>
        </is>
      </c>
      <c r="E5" s="1" t="n">
        <v>2</v>
      </c>
      <c r="F5" s="1" t="n"/>
      <c r="G5" s="1" t="inlineStr">
        <is>
          <t>range</t>
        </is>
      </c>
      <c r="H5" s="1" t="inlineStr">
        <is>
          <t>1</t>
        </is>
      </c>
      <c r="L5" s="2">
        <f>_xlfn.CONCAT(IF(D5="數值",CONCATENATE(G5&amp;"("&amp;C5&amp;","&amp;
IF(ISERROR(SEARCH(",",H5,1)),(H5&amp;","&amp;H5),H5)&amp;
IF(ISBLANK(I5),"",IF(ISERROR(SEARCH(",",I5,1)),CONCATENATE(","&amp;I5&amp;","&amp;I5),CONCATENATE(","&amp;I5))&amp;
IF(ISBLANK(J5),"",IF(ISERROR(SEARCH(",",J5,1)),CONCATENATE(","&amp;J5&amp;","&amp;J5),CONCATENATE(","&amp;J5))&amp;
IF(ISBLANK(K5),"",IF(ISERROR(SEARCH(",",K5,1)),CONCATENATE(","&amp;K5&amp;","&amp;K5),CONCATENATE(","&amp;K5))))))&amp;
")","")&amp;" "&amp;F5)</f>
        <v/>
      </c>
    </row>
    <row r="6">
      <c r="A6" s="1" t="n">
        <v>105</v>
      </c>
      <c r="B6" s="1">
        <f>A6</f>
        <v/>
      </c>
      <c r="C6" s="1" t="inlineStr">
        <is>
          <t>vA1</t>
        </is>
      </c>
      <c r="D6" s="1" t="inlineStr">
        <is>
          <t>數值</t>
        </is>
      </c>
      <c r="E6" s="1" t="n">
        <v>4</v>
      </c>
      <c r="F6" s="1" t="n"/>
      <c r="G6" s="1" t="inlineStr">
        <is>
          <t>range</t>
        </is>
      </c>
      <c r="H6" s="1" t="inlineStr">
        <is>
          <t>1,96</t>
        </is>
      </c>
      <c r="I6" s="1" t="inlineStr">
        <is>
          <t>997</t>
        </is>
      </c>
      <c r="J6" s="1" t="inlineStr">
        <is>
          <t>998</t>
        </is>
      </c>
      <c r="L6" s="2">
        <f>_xlfn.CONCAT(IF(D6="數值",CONCATENATE(G6&amp;"("&amp;C6&amp;","&amp;
IF(ISERROR(SEARCH(",",H6,1)),(H6&amp;","&amp;H6),H6)&amp;
IF(ISBLANK(I6),"",IF(ISERROR(SEARCH(",",I6,1)),CONCATENATE(","&amp;I6&amp;","&amp;I6),CONCATENATE(","&amp;I6))&amp;
IF(ISBLANK(J6),"",IF(ISERROR(SEARCH(",",J6,1)),CONCATENATE(","&amp;J6&amp;","&amp;J6),CONCATENATE(","&amp;J6))&amp;
IF(ISBLANK(K6),"",IF(ISERROR(SEARCH(",",K6,1)),CONCATENATE(","&amp;K6&amp;","&amp;K6),CONCATENATE(","&amp;K6))))))&amp;
")","")&amp;" "&amp;F6)</f>
        <v/>
      </c>
    </row>
    <row r="7">
      <c r="A7" s="1" t="n">
        <v>106</v>
      </c>
      <c r="B7" s="1">
        <f>A7</f>
        <v/>
      </c>
      <c r="C7" s="1" t="inlineStr">
        <is>
          <t>vA2</t>
        </is>
      </c>
      <c r="D7" s="1" t="inlineStr">
        <is>
          <t>數值</t>
        </is>
      </c>
      <c r="E7" s="1" t="n">
        <v>2</v>
      </c>
      <c r="F7" s="1" t="n"/>
      <c r="G7" s="1" t="inlineStr">
        <is>
          <t>range</t>
        </is>
      </c>
      <c r="H7" s="1" t="inlineStr">
        <is>
          <t>1,12</t>
        </is>
      </c>
      <c r="I7" s="1" t="inlineStr">
        <is>
          <t>97</t>
        </is>
      </c>
      <c r="J7" s="1" t="inlineStr">
        <is>
          <t>997</t>
        </is>
      </c>
      <c r="K7" s="1" t="inlineStr">
        <is>
          <t>998</t>
        </is>
      </c>
      <c r="L7" s="2">
        <f>_xlfn.CONCAT(IF(D7="數值",CONCATENATE(G7&amp;"("&amp;C7&amp;","&amp;
IF(ISERROR(SEARCH(",",H7,1)),(H7&amp;","&amp;H7),H7)&amp;
IF(ISBLANK(I7),"",IF(ISERROR(SEARCH(",",I7,1)),CONCATENATE(","&amp;I7&amp;","&amp;I7),CONCATENATE(","&amp;I7))&amp;
IF(ISBLANK(J7),"",IF(ISERROR(SEARCH(",",J7,1)),CONCATENATE(","&amp;J7&amp;","&amp;J7),CONCATENATE(","&amp;J7))&amp;
IF(ISBLANK(K7),"",IF(ISERROR(SEARCH(",",K7,1)),CONCATENATE(","&amp;K7&amp;","&amp;K7),CONCATENATE(","&amp;K7))))))&amp;
")","")&amp;" "&amp;F7)</f>
        <v/>
      </c>
    </row>
    <row r="8">
      <c r="A8" s="1" t="n">
        <v>107</v>
      </c>
      <c r="B8" s="1">
        <f>A8</f>
        <v/>
      </c>
      <c r="C8" s="1" t="inlineStr">
        <is>
          <t>vA3</t>
        </is>
      </c>
      <c r="D8" s="1" t="inlineStr">
        <is>
          <t>數值</t>
        </is>
      </c>
      <c r="E8" s="1" t="n">
        <v>2</v>
      </c>
      <c r="F8" s="1" t="n"/>
      <c r="G8" s="1" t="inlineStr">
        <is>
          <t>range</t>
        </is>
      </c>
      <c r="H8" s="1" t="inlineStr">
        <is>
          <t>1,21</t>
        </is>
      </c>
      <c r="I8" s="1" t="inlineStr">
        <is>
          <t>97,98</t>
        </is>
      </c>
      <c r="J8" s="1" t="n"/>
      <c r="L8" s="2">
        <f>_xlfn.CONCAT(IF(D8="數值",CONCATENATE(G8&amp;"("&amp;C8&amp;","&amp;
IF(ISERROR(SEARCH(",",H8,1)),(H8&amp;","&amp;H8),H8)&amp;
IF(ISBLANK(I8),"",IF(ISERROR(SEARCH(",",I8,1)),CONCATENATE(","&amp;I8&amp;","&amp;I8),CONCATENATE(","&amp;I8))&amp;
IF(ISBLANK(J8),"",IF(ISERROR(SEARCH(",",J8,1)),CONCATENATE(","&amp;J8&amp;","&amp;J8),CONCATENATE(","&amp;J8))&amp;
IF(ISBLANK(K8),"",IF(ISERROR(SEARCH(",",K8,1)),CONCATENATE(","&amp;K8&amp;","&amp;K8),CONCATENATE(","&amp;K8))))))&amp;
")","")&amp;" "&amp;F8)</f>
        <v/>
      </c>
    </row>
    <row r="9">
      <c r="A9" s="1" t="n">
        <v>108</v>
      </c>
      <c r="B9" s="1">
        <f>A9</f>
        <v/>
      </c>
      <c r="C9" s="1" t="inlineStr">
        <is>
          <t>vA4</t>
        </is>
      </c>
      <c r="D9" s="1" t="inlineStr">
        <is>
          <t>數值</t>
        </is>
      </c>
      <c r="E9" s="1" t="n">
        <v>2</v>
      </c>
      <c r="F9" s="1" t="n"/>
      <c r="G9" s="1" t="inlineStr">
        <is>
          <t>range</t>
        </is>
      </c>
      <c r="H9" s="1" t="inlineStr">
        <is>
          <t>1,2</t>
        </is>
      </c>
      <c r="I9" s="1" t="inlineStr">
        <is>
          <t>97</t>
        </is>
      </c>
      <c r="J9" s="1" t="inlineStr">
        <is>
          <t>98</t>
        </is>
      </c>
      <c r="L9" s="2">
        <f>_xlfn.CONCAT(IF(D9="數值",CONCATENATE(G9&amp;"("&amp;C9&amp;","&amp;
IF(ISERROR(SEARCH(",",H9,1)),(H9&amp;","&amp;H9),H9)&amp;
IF(ISBLANK(I9),"",IF(ISERROR(SEARCH(",",I9,1)),CONCATENATE(","&amp;I9&amp;","&amp;I9),CONCATENATE(","&amp;I9))&amp;
IF(ISBLANK(J9),"",IF(ISERROR(SEARCH(",",J9,1)),CONCATENATE(","&amp;J9&amp;","&amp;J9),CONCATENATE(","&amp;J9))&amp;
IF(ISBLANK(K9),"",IF(ISERROR(SEARCH(",",K9,1)),CONCATENATE(","&amp;K9&amp;","&amp;K9),CONCATENATE(","&amp;K9))))))&amp;
")","")&amp;" "&amp;F9)</f>
        <v/>
      </c>
    </row>
    <row r="10">
      <c r="A10" s="1" t="n">
        <v>109</v>
      </c>
      <c r="B10" s="1">
        <f>A10</f>
        <v/>
      </c>
      <c r="C10" s="1" t="inlineStr">
        <is>
          <t>vA5city</t>
        </is>
      </c>
      <c r="D10" s="1" t="inlineStr">
        <is>
          <t>數值</t>
        </is>
      </c>
      <c r="E10" s="1" t="n">
        <v>2</v>
      </c>
      <c r="F10" s="1" t="n"/>
      <c r="G10" s="1" t="inlineStr">
        <is>
          <t>range</t>
        </is>
      </c>
      <c r="H10" s="1" t="inlineStr">
        <is>
          <t>1,29</t>
        </is>
      </c>
      <c r="L10" s="2">
        <f>_xlfn.CONCAT(IF(D10="數值",CONCATENATE(G10&amp;"("&amp;C10&amp;","&amp;
IF(ISERROR(SEARCH(",",H10,1)),(H10&amp;","&amp;H10),H10)&amp;
IF(ISBLANK(I10),"",IF(ISERROR(SEARCH(",",I10,1)),CONCATENATE(","&amp;I10&amp;","&amp;I10),CONCATENATE(","&amp;I10))&amp;
IF(ISBLANK(J10),"",IF(ISERROR(SEARCH(",",J10,1)),CONCATENATE(","&amp;J10&amp;","&amp;J10),CONCATENATE(","&amp;J10))&amp;
IF(ISBLANK(K10),"",IF(ISERROR(SEARCH(",",K10,1)),CONCATENATE(","&amp;K10&amp;","&amp;K10),CONCATENATE(","&amp;K10))))))&amp;
")","")&amp;" "&amp;F10)</f>
        <v/>
      </c>
    </row>
    <row r="11" ht="297" customHeight="1" s="21">
      <c r="A11" s="1" t="n">
        <v>110</v>
      </c>
      <c r="B11" s="1">
        <f>A11</f>
        <v/>
      </c>
      <c r="C11" s="1" t="inlineStr">
        <is>
          <t>vA5town</t>
        </is>
      </c>
      <c r="D11" s="1" t="inlineStr">
        <is>
          <t>數值</t>
        </is>
      </c>
      <c r="E11" s="1" t="n">
        <v>4</v>
      </c>
      <c r="F11" s="1" t="n"/>
      <c r="G11" s="1" t="inlineStr">
        <is>
          <t>range</t>
        </is>
      </c>
      <c r="H11" s="1" t="inlineStr">
        <is>
          <t>100,103,104,105,106,108,110,111,112,114,115,116,200,201,202,203,204,205,206,207,208,209,210,211,212,220,221,222,223,224,226,227,228,231,232,233,234,235,236,237,238,239,241,242,243,244,247,248,249,251,252,253,260,261,262,263,264,265,266,267,268,269,270,272,302,303,304,305,306,307,308,310,311,312,313,314,315,320,324,325,326,327,328,330,333,334,335,336,337,338,350,351,352,353,354,356,357,358,360,361,362,363,364,365,366,367,368,369,400,401,402,403,404,406,407,408,411,412,413,414,420,421,422,423,424,426,427,428,429,432,433,434,435,436,437,438,439,500,502,503,504,505,506,507,508,509,510,511,512,513,514,515,516,520,521,522,523,524,525,526,527,528,530,540,541,542,544,545,546,551,552,553,555,556,557,558,602,603,604,605,606,607,608,611,612,613,614,615,616,621,622,623,624,625,630,631,632,633,634,635,636,637,638,640,643,646,647,648,649,651,652,653,654,655,700,701,702,704,708,709,710,711,712,713,714,715,716,717,718,719,720,721,722,723,724,725,726,727,730,731,732,733,734,735,736,737,741,742,743,744,745,800,801,802,803,804,805,806,807,811,812,813,814,815,820,821,822,823,824,825,826,827,828,829,830,831,832,833,840,842,843,844,845,846,847,848,849,851,852,880,881,882,883,884,885,890,891,892,893,894,896,900,901,902,903,904,905,906,907,908,909,911,912,913,920,921,922,923,924,925,926,927,928,929,931,932,940,941,942,943,944,945,946,947,950,951,952,953,954,955,956,957,958,959,961,962,963,964,965,966,970,971,972,973,974,975,976,977,978,979,981,982,983,3001,3002,3003,6001,6002,9997,9998,9996</t>
        </is>
      </c>
      <c r="L11" s="2">
        <f>_xlfn.CONCAT(IF(D11="數值",CONCATENATE(G11&amp;"("&amp;C11&amp;","&amp;
IF(ISERROR(SEARCH(",",H11,1)),(H11&amp;","&amp;H11),H11)&amp;
IF(ISBLANK(I11),"",IF(ISERROR(SEARCH(",",I11,1)),CONCATENATE(","&amp;I11&amp;","&amp;I11),CONCATENATE(","&amp;I11))&amp;
IF(ISBLANK(J11),"",IF(ISERROR(SEARCH(",",J11,1)),CONCATENATE(","&amp;J11&amp;","&amp;J11),CONCATENATE(","&amp;J11))&amp;
IF(ISBLANK(K11),"",IF(ISERROR(SEARCH(",",K11,1)),CONCATENATE(","&amp;K11&amp;","&amp;K11),CONCATENATE(","&amp;K11))))))&amp;
")","")&amp;" "&amp;F11)</f>
        <v/>
      </c>
    </row>
    <row r="12" ht="15" customHeight="1" s="21">
      <c r="A12" s="1" t="n">
        <v>111</v>
      </c>
      <c r="B12" s="1">
        <f>A12</f>
        <v/>
      </c>
      <c r="C12" s="1" t="inlineStr">
        <is>
          <t>vA6</t>
        </is>
      </c>
      <c r="D12" s="1" t="inlineStr">
        <is>
          <t>數值</t>
        </is>
      </c>
      <c r="E12" s="1" t="n">
        <v>2</v>
      </c>
      <c r="F12" s="1" t="n"/>
      <c r="G12" s="1" t="inlineStr">
        <is>
          <t>range</t>
        </is>
      </c>
      <c r="H12" s="1" t="inlineStr">
        <is>
          <t>1,88</t>
        </is>
      </c>
      <c r="I12" s="1" t="inlineStr">
        <is>
          <t>97</t>
        </is>
      </c>
      <c r="J12" s="1" t="inlineStr">
        <is>
          <t>98</t>
        </is>
      </c>
      <c r="L12" s="2">
        <f>_xlfn.CONCAT(IF(D12="數值",CONCATENATE(G12&amp;"("&amp;C12&amp;","&amp;
IF(ISERROR(SEARCH(",",H12,1)),(H12&amp;","&amp;H12),H12)&amp;
IF(ISBLANK(I12),"",IF(ISERROR(SEARCH(",",I12,1)),CONCATENATE(","&amp;I12&amp;","&amp;I12),CONCATENATE(","&amp;I12))&amp;
IF(ISBLANK(J12),"",IF(ISERROR(SEARCH(",",J12,1)),CONCATENATE(","&amp;J12&amp;","&amp;J12),CONCATENATE(","&amp;J12))&amp;
IF(ISBLANK(K12),"",IF(ISERROR(SEARCH(",",K12,1)),CONCATENATE(","&amp;K12&amp;","&amp;K12),CONCATENATE(","&amp;K12))))))&amp;
")","")&amp;" "&amp;F12)</f>
        <v/>
      </c>
    </row>
    <row r="13" ht="15" customHeight="1" s="21">
      <c r="A13" s="1" t="n">
        <v>112</v>
      </c>
      <c r="B13" s="1">
        <f>A13</f>
        <v/>
      </c>
      <c r="C13" s="1" t="inlineStr">
        <is>
          <t>vA7</t>
        </is>
      </c>
      <c r="D13" s="1" t="inlineStr">
        <is>
          <t>數值</t>
        </is>
      </c>
      <c r="E13" s="1" t="n">
        <v>2</v>
      </c>
      <c r="F13" s="1" t="n"/>
      <c r="G13" s="1" t="inlineStr">
        <is>
          <t>range</t>
        </is>
      </c>
      <c r="H13" s="1" t="inlineStr">
        <is>
          <t>1,88</t>
        </is>
      </c>
      <c r="I13" s="1" t="inlineStr">
        <is>
          <t>97</t>
        </is>
      </c>
      <c r="J13" s="1" t="inlineStr">
        <is>
          <t>98</t>
        </is>
      </c>
      <c r="L13" s="2">
        <f>_xlfn.CONCAT(IF(D13="數值",CONCATENATE(G13&amp;"("&amp;C13&amp;","&amp;
IF(ISERROR(SEARCH(",",H13,1)),(H13&amp;","&amp;H13),H13)&amp;
IF(ISBLANK(I13),"",IF(ISERROR(SEARCH(",",I13,1)),CONCATENATE(","&amp;I13&amp;","&amp;I13),CONCATENATE(","&amp;I13))&amp;
IF(ISBLANK(J13),"",IF(ISERROR(SEARCH(",",J13,1)),CONCATENATE(","&amp;J13&amp;","&amp;J13),CONCATENATE(","&amp;J13))&amp;
IF(ISBLANK(K13),"",IF(ISERROR(SEARCH(",",K13,1)),CONCATENATE(","&amp;K13&amp;","&amp;K13),CONCATENATE(","&amp;K13))))))&amp;
")","")&amp;" "&amp;F13)</f>
        <v/>
      </c>
    </row>
    <row r="14">
      <c r="A14" s="1" t="n">
        <v>113</v>
      </c>
      <c r="B14" s="1">
        <f>A14</f>
        <v/>
      </c>
      <c r="C14" s="1" t="inlineStr">
        <is>
          <t>vA8</t>
        </is>
      </c>
      <c r="D14" s="1" t="inlineStr">
        <is>
          <t>數值</t>
        </is>
      </c>
      <c r="E14" s="1" t="n">
        <v>2</v>
      </c>
      <c r="F14" s="1" t="n"/>
      <c r="G14" s="1" t="inlineStr">
        <is>
          <t>range</t>
        </is>
      </c>
      <c r="H14" s="1" t="inlineStr">
        <is>
          <t>1,88</t>
        </is>
      </c>
      <c r="I14" s="1" t="inlineStr">
        <is>
          <t>97</t>
        </is>
      </c>
      <c r="J14" s="1" t="inlineStr">
        <is>
          <t>98</t>
        </is>
      </c>
      <c r="L14" s="2">
        <f>_xlfn.CONCAT(IF(D14="數值",CONCATENATE(G14&amp;"("&amp;C14&amp;","&amp;
IF(ISERROR(SEARCH(",",H14,1)),(H14&amp;","&amp;H14),H14)&amp;
IF(ISBLANK(I14),"",IF(ISERROR(SEARCH(",",I14,1)),CONCATENATE(","&amp;I14&amp;","&amp;I14),CONCATENATE(","&amp;I14))&amp;
IF(ISBLANK(J14),"",IF(ISERROR(SEARCH(",",J14,1)),CONCATENATE(","&amp;J14&amp;","&amp;J14),CONCATENATE(","&amp;J14))&amp;
IF(ISBLANK(K14),"",IF(ISERROR(SEARCH(",",K14,1)),CONCATENATE(","&amp;K14&amp;","&amp;K14),CONCATENATE(","&amp;K14))))))&amp;
")","")&amp;" "&amp;F14)</f>
        <v/>
      </c>
    </row>
    <row r="15">
      <c r="A15" s="1" t="n">
        <v>114</v>
      </c>
      <c r="B15" s="1">
        <f>A15</f>
        <v/>
      </c>
      <c r="C15" s="1" t="inlineStr">
        <is>
          <t>vA9</t>
        </is>
      </c>
      <c r="D15" s="1" t="inlineStr">
        <is>
          <t>數值</t>
        </is>
      </c>
      <c r="E15" s="1" t="n">
        <v>2</v>
      </c>
      <c r="F15" s="1" t="n"/>
      <c r="G15" s="1" t="inlineStr">
        <is>
          <t>range</t>
        </is>
      </c>
      <c r="H15" s="1" t="inlineStr">
        <is>
          <t>1,88</t>
        </is>
      </c>
      <c r="I15" s="1" t="inlineStr">
        <is>
          <t>97</t>
        </is>
      </c>
      <c r="J15" s="1" t="inlineStr">
        <is>
          <t>98</t>
        </is>
      </c>
      <c r="L15" s="2">
        <f>_xlfn.CONCAT(IF(D15="數值",CONCATENATE(G15&amp;"("&amp;C15&amp;","&amp;
IF(ISERROR(SEARCH(",",H15,1)),(H15&amp;","&amp;H15),H15)&amp;
IF(ISBLANK(I15),"",IF(ISERROR(SEARCH(",",I15,1)),CONCATENATE(","&amp;I15&amp;","&amp;I15),CONCATENATE(","&amp;I15))&amp;
IF(ISBLANK(J15),"",IF(ISERROR(SEARCH(",",J15,1)),CONCATENATE(","&amp;J15&amp;","&amp;J15),CONCATENATE(","&amp;J15))&amp;
IF(ISBLANK(K15),"",IF(ISERROR(SEARCH(",",K15,1)),CONCATENATE(","&amp;K15&amp;","&amp;K15),CONCATENATE(","&amp;K15))))))&amp;
")","")&amp;" "&amp;F15)</f>
        <v/>
      </c>
    </row>
    <row r="16">
      <c r="A16" s="1" t="n">
        <v>115</v>
      </c>
      <c r="B16" s="1">
        <f>A16</f>
        <v/>
      </c>
      <c r="C16" s="1" t="inlineStr">
        <is>
          <t>vO1_1</t>
        </is>
      </c>
      <c r="D16" s="1" t="inlineStr">
        <is>
          <t>數值</t>
        </is>
      </c>
      <c r="E16" s="1" t="n">
        <v>2</v>
      </c>
      <c r="F16" s="1" t="n"/>
      <c r="G16" s="1" t="inlineStr">
        <is>
          <t>range</t>
        </is>
      </c>
      <c r="H16" s="1" t="inlineStr">
        <is>
          <t>1,88</t>
        </is>
      </c>
      <c r="I16" s="1" t="inlineStr">
        <is>
          <t>97</t>
        </is>
      </c>
      <c r="J16" s="1" t="inlineStr">
        <is>
          <t>98</t>
        </is>
      </c>
      <c r="L16" s="2">
        <f>_xlfn.CONCAT(IF(D16="數值",CONCATENATE(G16&amp;"("&amp;C16&amp;","&amp;
IF(ISERROR(SEARCH(",",H16,1)),(H16&amp;","&amp;H16),H16)&amp;
IF(ISBLANK(I16),"",IF(ISERROR(SEARCH(",",I16,1)),CONCATENATE(","&amp;I16&amp;","&amp;I16),CONCATENATE(","&amp;I16))&amp;
IF(ISBLANK(J16),"",IF(ISERROR(SEARCH(",",J16,1)),CONCATENATE(","&amp;J16&amp;","&amp;J16),CONCATENATE(","&amp;J16))&amp;
IF(ISBLANK(K16),"",IF(ISERROR(SEARCH(",",K16,1)),CONCATENATE(","&amp;K16&amp;","&amp;K16),CONCATENATE(","&amp;K16))))))&amp;
")","")&amp;" "&amp;F16)</f>
        <v/>
      </c>
    </row>
    <row r="17">
      <c r="A17" s="1" t="n">
        <v>116</v>
      </c>
      <c r="B17" s="1">
        <f>A17</f>
        <v/>
      </c>
      <c r="C17" s="1" t="inlineStr">
        <is>
          <t>vO1</t>
        </is>
      </c>
      <c r="D17" s="1" t="inlineStr">
        <is>
          <t>數值</t>
        </is>
      </c>
      <c r="E17" s="1" t="n">
        <v>2</v>
      </c>
      <c r="F17" s="1" t="n"/>
      <c r="G17" s="1" t="inlineStr">
        <is>
          <t>range</t>
        </is>
      </c>
      <c r="H17" s="1" t="inlineStr">
        <is>
          <t>1,88</t>
        </is>
      </c>
      <c r="I17" s="1" t="inlineStr">
        <is>
          <t>97</t>
        </is>
      </c>
      <c r="J17" s="1" t="inlineStr">
        <is>
          <t>98</t>
        </is>
      </c>
      <c r="L17" s="2">
        <f>_xlfn.CONCAT(IF(D17="數值",CONCATENATE(G17&amp;"("&amp;C17&amp;","&amp;
IF(ISERROR(SEARCH(",",H17,1)),(H17&amp;","&amp;H17),H17)&amp;
IF(ISBLANK(I17),"",IF(ISERROR(SEARCH(",",I17,1)),CONCATENATE(","&amp;I17&amp;","&amp;I17),CONCATENATE(","&amp;I17))&amp;
IF(ISBLANK(J17),"",IF(ISERROR(SEARCH(",",J17,1)),CONCATENATE(","&amp;J17&amp;","&amp;J17),CONCATENATE(","&amp;J17))&amp;
IF(ISBLANK(K17),"",IF(ISERROR(SEARCH(",",K17,1)),CONCATENATE(","&amp;K17&amp;","&amp;K17),CONCATENATE(","&amp;K17))))))&amp;
")","")&amp;" "&amp;F17)</f>
        <v/>
      </c>
    </row>
    <row r="18">
      <c r="A18" s="1" t="n">
        <v>117</v>
      </c>
      <c r="B18" s="1">
        <f>A18</f>
        <v/>
      </c>
      <c r="C18" s="1" t="inlineStr">
        <is>
          <t>vO2</t>
        </is>
      </c>
      <c r="D18" s="1" t="inlineStr">
        <is>
          <t>數值</t>
        </is>
      </c>
      <c r="E18" s="1" t="n">
        <v>2</v>
      </c>
      <c r="F18" s="1" t="n"/>
      <c r="G18" s="1" t="inlineStr">
        <is>
          <t>range</t>
        </is>
      </c>
      <c r="H18" s="1" t="inlineStr">
        <is>
          <t>1,88</t>
        </is>
      </c>
      <c r="I18" s="1" t="inlineStr">
        <is>
          <t>97</t>
        </is>
      </c>
      <c r="J18" s="1" t="inlineStr">
        <is>
          <t>98</t>
        </is>
      </c>
      <c r="L18" s="2">
        <f>_xlfn.CONCAT(IF(D18="數值",CONCATENATE(G18&amp;"("&amp;C18&amp;","&amp;
IF(ISERROR(SEARCH(",",H18,1)),(H18&amp;","&amp;H18),H18)&amp;
IF(ISBLANK(I18),"",IF(ISERROR(SEARCH(",",I18,1)),CONCATENATE(","&amp;I18&amp;","&amp;I18),CONCATENATE(","&amp;I18))&amp;
IF(ISBLANK(J18),"",IF(ISERROR(SEARCH(",",J18,1)),CONCATENATE(","&amp;J18&amp;","&amp;J18),CONCATENATE(","&amp;J18))&amp;
IF(ISBLANK(K18),"",IF(ISERROR(SEARCH(",",K18,1)),CONCATENATE(","&amp;K18&amp;","&amp;K18),CONCATENATE(","&amp;K18))))))&amp;
")","")&amp;" "&amp;F18)</f>
        <v/>
      </c>
    </row>
    <row r="19" ht="19.9" customHeight="1" s="21">
      <c r="A19" s="1" t="n">
        <v>118</v>
      </c>
      <c r="B19" s="1">
        <f>A19</f>
        <v/>
      </c>
      <c r="C19" s="1" t="inlineStr">
        <is>
          <t>vO3</t>
        </is>
      </c>
      <c r="D19" s="1" t="inlineStr">
        <is>
          <t>數值</t>
        </is>
      </c>
      <c r="E19" s="1" t="n">
        <v>2</v>
      </c>
      <c r="F19" s="1" t="n"/>
      <c r="G19" s="1" t="inlineStr">
        <is>
          <t>range</t>
        </is>
      </c>
      <c r="H19" s="1" t="inlineStr">
        <is>
          <t>1,88</t>
        </is>
      </c>
      <c r="I19" s="1" t="inlineStr">
        <is>
          <t>97</t>
        </is>
      </c>
      <c r="J19" s="1" t="inlineStr">
        <is>
          <t>98</t>
        </is>
      </c>
      <c r="L19" s="2">
        <f>_xlfn.CONCAT(IF(D19="數值",CONCATENATE(G19&amp;"("&amp;C19&amp;","&amp;
IF(ISERROR(SEARCH(",",H19,1)),(H19&amp;","&amp;H19),H19)&amp;
IF(ISBLANK(I19),"",IF(ISERROR(SEARCH(",",I19,1)),CONCATENATE(","&amp;I19&amp;","&amp;I19),CONCATENATE(","&amp;I19))&amp;
IF(ISBLANK(J19),"",IF(ISERROR(SEARCH(",",J19,1)),CONCATENATE(","&amp;J19&amp;","&amp;J19),CONCATENATE(","&amp;J19))&amp;
IF(ISBLANK(K19),"",IF(ISERROR(SEARCH(",",K19,1)),CONCATENATE(","&amp;K19&amp;","&amp;K19),CONCATENATE(","&amp;K19))))))&amp;
")","")&amp;" "&amp;F19)</f>
        <v/>
      </c>
    </row>
    <row r="20">
      <c r="A20" s="1" t="n">
        <v>119</v>
      </c>
      <c r="B20" s="1">
        <f>A20</f>
        <v/>
      </c>
      <c r="C20" s="1" t="inlineStr">
        <is>
          <t>vO4</t>
        </is>
      </c>
      <c r="D20" s="1" t="inlineStr">
        <is>
          <t>數值</t>
        </is>
      </c>
      <c r="E20" s="1" t="n">
        <v>5</v>
      </c>
      <c r="F20" s="1" t="n"/>
      <c r="G20" s="1" t="inlineStr">
        <is>
          <t>range</t>
        </is>
      </c>
      <c r="H20" s="1" t="inlineStr">
        <is>
          <t>0,5000</t>
        </is>
      </c>
      <c r="I20" s="1" t="inlineStr">
        <is>
          <t>9991</t>
        </is>
      </c>
      <c r="J20" s="1" t="inlineStr">
        <is>
          <t>9997</t>
        </is>
      </c>
      <c r="K20" s="1" t="inlineStr">
        <is>
          <t>9998</t>
        </is>
      </c>
      <c r="L20" s="2">
        <f>_xlfn.CONCAT(IF(D20="數值",CONCATENATE(G20&amp;"("&amp;C20&amp;","&amp;
IF(ISERROR(SEARCH(",",H20,1)),(H20&amp;","&amp;H20),H20)&amp;
IF(ISBLANK(I20),"",IF(ISERROR(SEARCH(",",I20,1)),CONCATENATE(","&amp;I20&amp;","&amp;I20),CONCATENATE(","&amp;I20))&amp;
IF(ISBLANK(J20),"",IF(ISERROR(SEARCH(",",J20,1)),CONCATENATE(","&amp;J20&amp;","&amp;J20),CONCATENATE(","&amp;J20))&amp;
IF(ISBLANK(K20),"",IF(ISERROR(SEARCH(",",K20,1)),CONCATENATE(","&amp;K20&amp;","&amp;K20),CONCATENATE(","&amp;K20))))))&amp;
")","")&amp;" "&amp;F20)</f>
        <v/>
      </c>
    </row>
    <row r="21" ht="19.9" customHeight="1" s="21">
      <c r="A21" s="1" t="n">
        <v>120</v>
      </c>
      <c r="B21" s="1">
        <f>A21</f>
        <v/>
      </c>
      <c r="C21" s="1" t="inlineStr">
        <is>
          <t>vD1</t>
        </is>
      </c>
      <c r="D21" s="1" t="inlineStr">
        <is>
          <t>數值</t>
        </is>
      </c>
      <c r="E21" s="1" t="n">
        <v>2</v>
      </c>
      <c r="F21" s="1" t="n"/>
      <c r="G21" s="1" t="inlineStr">
        <is>
          <t>range</t>
        </is>
      </c>
      <c r="H21" s="1" t="inlineStr">
        <is>
          <t>1,3</t>
        </is>
      </c>
      <c r="I21" s="1" t="inlineStr">
        <is>
          <t>97</t>
        </is>
      </c>
      <c r="J21" s="1" t="inlineStr">
        <is>
          <t>98</t>
        </is>
      </c>
      <c r="L21" s="2">
        <f>_xlfn.CONCAT(IF(D21="數值",CONCATENATE(G21&amp;"("&amp;C21&amp;","&amp;
IF(ISERROR(SEARCH(",",H21,1)),(H21&amp;","&amp;H21),H21)&amp;
IF(ISBLANK(I21),"",IF(ISERROR(SEARCH(",",I21,1)),CONCATENATE(","&amp;I21&amp;","&amp;I21),CONCATENATE(","&amp;I21))&amp;
IF(ISBLANK(J21),"",IF(ISERROR(SEARCH(",",J21,1)),CONCATENATE(","&amp;J21&amp;","&amp;J21),CONCATENATE(","&amp;J21))&amp;
IF(ISBLANK(K21),"",IF(ISERROR(SEARCH(",",K21,1)),CONCATENATE(","&amp;K21&amp;","&amp;K21),CONCATENATE(","&amp;K21))))))&amp;
")","")&amp;" "&amp;F21)</f>
        <v/>
      </c>
    </row>
    <row r="22">
      <c r="A22" s="1" t="n">
        <v>121</v>
      </c>
      <c r="B22" s="1">
        <f>A22</f>
        <v/>
      </c>
      <c r="C22" s="1" t="inlineStr">
        <is>
          <t>vD2</t>
        </is>
      </c>
      <c r="D22" s="1" t="inlineStr">
        <is>
          <t>數值</t>
        </is>
      </c>
      <c r="E22" s="1" t="n">
        <v>4</v>
      </c>
      <c r="F22" s="1" t="n"/>
      <c r="G22" s="1" t="inlineStr">
        <is>
          <t>range</t>
        </is>
      </c>
      <c r="H22" s="1" t="inlineStr">
        <is>
          <t>0.5,7</t>
        </is>
      </c>
      <c r="I22" s="1" t="inlineStr">
        <is>
          <t>95</t>
        </is>
      </c>
      <c r="J22" s="1" t="inlineStr">
        <is>
          <t>97</t>
        </is>
      </c>
      <c r="K22" s="1" t="inlineStr">
        <is>
          <t>98</t>
        </is>
      </c>
      <c r="L22" s="2">
        <f>_xlfn.CONCAT(IF(D22="數值",CONCATENATE(G22&amp;"("&amp;C22&amp;","&amp;
IF(ISERROR(SEARCH(",",H22,1)),(H22&amp;","&amp;H22),H22)&amp;
IF(ISBLANK(I22),"",IF(ISERROR(SEARCH(",",I22,1)),CONCATENATE(","&amp;I22&amp;","&amp;I22),CONCATENATE(","&amp;I22))&amp;
IF(ISBLANK(J22),"",IF(ISERROR(SEARCH(",",J22,1)),CONCATENATE(","&amp;J22&amp;","&amp;J22),CONCATENATE(","&amp;J22))&amp;
IF(ISBLANK(K22),"",IF(ISERROR(SEARCH(",",K22,1)),CONCATENATE(","&amp;K22&amp;","&amp;K22),CONCATENATE(","&amp;K22))))))&amp;
")","")&amp;" "&amp;F22)</f>
        <v/>
      </c>
    </row>
    <row r="23" ht="19.9" customHeight="1" s="21">
      <c r="A23" s="1" t="n">
        <v>122</v>
      </c>
      <c r="B23" s="1">
        <f>A23</f>
        <v/>
      </c>
      <c r="C23" s="1" t="inlineStr">
        <is>
          <t>vD3</t>
        </is>
      </c>
      <c r="D23" s="1" t="inlineStr">
        <is>
          <t>數值</t>
        </is>
      </c>
      <c r="E23" s="1" t="n">
        <v>5</v>
      </c>
      <c r="F23" s="1" t="n"/>
      <c r="G23" s="1" t="inlineStr">
        <is>
          <t>range</t>
        </is>
      </c>
      <c r="H23" s="1" t="inlineStr">
        <is>
          <t>1,2359</t>
        </is>
      </c>
      <c r="I23" s="1" t="inlineStr">
        <is>
          <t>9797</t>
        </is>
      </c>
      <c r="J23" s="1" t="inlineStr">
        <is>
          <t>9898</t>
        </is>
      </c>
      <c r="L23" s="2">
        <f>_xlfn.CONCAT(IF(D23="數值",CONCATENATE(G23&amp;"("&amp;C23&amp;","&amp;
IF(ISERROR(SEARCH(",",H23,1)),(H23&amp;","&amp;H23),H23)&amp;
IF(ISBLANK(I23),"",IF(ISERROR(SEARCH(",",I23,1)),CONCATENATE(","&amp;I23&amp;","&amp;I23),CONCATENATE(","&amp;I23))&amp;
IF(ISBLANK(J23),"",IF(ISERROR(SEARCH(",",J23,1)),CONCATENATE(","&amp;J23&amp;","&amp;J23),CONCATENATE(","&amp;J23))&amp;
IF(ISBLANK(K23),"",IF(ISERROR(SEARCH(",",K23,1)),CONCATENATE(","&amp;K23&amp;","&amp;K23),CONCATENATE(","&amp;K23))))))&amp;
")","")&amp;" "&amp;F23)</f>
        <v/>
      </c>
    </row>
    <row r="24" ht="19.9" customHeight="1" s="21">
      <c r="A24" s="1" t="n">
        <v>123</v>
      </c>
      <c r="B24" s="1">
        <f>A24</f>
        <v/>
      </c>
      <c r="C24" s="1" t="inlineStr">
        <is>
          <t>vD4sD4</t>
        </is>
      </c>
      <c r="D24" s="1" t="inlineStr">
        <is>
          <t>數值</t>
        </is>
      </c>
      <c r="E24" s="1" t="n">
        <v>2</v>
      </c>
      <c r="F24" s="1" t="n"/>
      <c r="G24" s="1" t="inlineStr">
        <is>
          <t>range</t>
        </is>
      </c>
      <c r="H24" s="1" t="inlineStr">
        <is>
          <t>1,2</t>
        </is>
      </c>
      <c r="L24" s="2">
        <f>_xlfn.CONCAT(IF(D24="數值",CONCATENATE(G24&amp;"("&amp;C24&amp;","&amp;
IF(ISERROR(SEARCH(",",H24,1)),(H24&amp;","&amp;H24),H24)&amp;
IF(ISBLANK(I24),"",IF(ISERROR(SEARCH(",",I24,1)),CONCATENATE(","&amp;I24&amp;","&amp;I24),CONCATENATE(","&amp;I24))&amp;
IF(ISBLANK(J24),"",IF(ISERROR(SEARCH(",",J24,1)),CONCATENATE(","&amp;J24&amp;","&amp;J24),CONCATENATE(","&amp;J24))&amp;
IF(ISBLANK(K24),"",IF(ISERROR(SEARCH(",",K24,1)),CONCATENATE(","&amp;K24&amp;","&amp;K24),CONCATENATE(","&amp;K24))))))&amp;
")","")&amp;" "&amp;F24)</f>
        <v/>
      </c>
    </row>
    <row r="25">
      <c r="A25" s="1" t="n">
        <v>124</v>
      </c>
      <c r="B25" s="1">
        <f>A25</f>
        <v/>
      </c>
      <c r="C25" s="1" t="inlineStr">
        <is>
          <t>vD4sD5</t>
        </is>
      </c>
      <c r="D25" s="1" t="inlineStr">
        <is>
          <t>數值</t>
        </is>
      </c>
      <c r="E25" s="1" t="n">
        <v>2</v>
      </c>
      <c r="F25" s="1" t="n"/>
      <c r="G25" s="1" t="inlineStr">
        <is>
          <t>range</t>
        </is>
      </c>
      <c r="H25" s="1" t="inlineStr">
        <is>
          <t>1,2</t>
        </is>
      </c>
      <c r="L25" s="2">
        <f>_xlfn.CONCAT(IF(D25="數值",CONCATENATE(G25&amp;"("&amp;C25&amp;","&amp;
IF(ISERROR(SEARCH(",",H25,1)),(H25&amp;","&amp;H25),H25)&amp;
IF(ISBLANK(I25),"",IF(ISERROR(SEARCH(",",I25,1)),CONCATENATE(","&amp;I25&amp;","&amp;I25),CONCATENATE(","&amp;I25))&amp;
IF(ISBLANK(J25),"",IF(ISERROR(SEARCH(",",J25,1)),CONCATENATE(","&amp;J25&amp;","&amp;J25),CONCATENATE(","&amp;J25))&amp;
IF(ISBLANK(K25),"",IF(ISERROR(SEARCH(",",K25,1)),CONCATENATE(","&amp;K25&amp;","&amp;K25),CONCATENATE(","&amp;K25))))))&amp;
")","")&amp;" "&amp;F25)</f>
        <v/>
      </c>
    </row>
    <row r="26">
      <c r="A26" s="1" t="n">
        <v>125</v>
      </c>
      <c r="B26" s="1">
        <f>A26</f>
        <v/>
      </c>
      <c r="C26" s="1" t="inlineStr">
        <is>
          <t>vD4sD6</t>
        </is>
      </c>
      <c r="D26" s="1" t="inlineStr">
        <is>
          <t>數值</t>
        </is>
      </c>
      <c r="E26" s="1" t="n">
        <v>2</v>
      </c>
      <c r="F26" s="1" t="n"/>
      <c r="G26" s="1" t="inlineStr">
        <is>
          <t>range</t>
        </is>
      </c>
      <c r="H26" s="1" t="inlineStr">
        <is>
          <t>1,2</t>
        </is>
      </c>
      <c r="L26" s="2">
        <f>_xlfn.CONCAT(IF(D26="數值",CONCATENATE(G26&amp;"("&amp;C26&amp;","&amp;
IF(ISERROR(SEARCH(",",H26,1)),(H26&amp;","&amp;H26),H26)&amp;
IF(ISBLANK(I26),"",IF(ISERROR(SEARCH(",",I26,1)),CONCATENATE(","&amp;I26&amp;","&amp;I26),CONCATENATE(","&amp;I26))&amp;
IF(ISBLANK(J26),"",IF(ISERROR(SEARCH(",",J26,1)),CONCATENATE(","&amp;J26&amp;","&amp;J26),CONCATENATE(","&amp;J26))&amp;
IF(ISBLANK(K26),"",IF(ISERROR(SEARCH(",",K26,1)),CONCATENATE(","&amp;K26&amp;","&amp;K26),CONCATENATE(","&amp;K26))))))&amp;
")","")&amp;" "&amp;F26)</f>
        <v/>
      </c>
    </row>
    <row r="27">
      <c r="A27" s="1" t="n">
        <v>126</v>
      </c>
      <c r="B27" s="1">
        <f>A27</f>
        <v/>
      </c>
      <c r="C27" s="1" t="inlineStr">
        <is>
          <t>vD4sD7</t>
        </is>
      </c>
      <c r="D27" s="1" t="inlineStr">
        <is>
          <t>數值</t>
        </is>
      </c>
      <c r="E27" s="1" t="n">
        <v>2</v>
      </c>
      <c r="F27" s="1" t="n"/>
      <c r="G27" s="1" t="inlineStr">
        <is>
          <t>range</t>
        </is>
      </c>
      <c r="H27" s="1" t="inlineStr">
        <is>
          <t>1,2</t>
        </is>
      </c>
      <c r="L27" s="2">
        <f>_xlfn.CONCAT(IF(D27="數值",CONCATENATE(G27&amp;"("&amp;C27&amp;","&amp;
IF(ISERROR(SEARCH(",",H27,1)),(H27&amp;","&amp;H27),H27)&amp;
IF(ISBLANK(I27),"",IF(ISERROR(SEARCH(",",I27,1)),CONCATENATE(","&amp;I27&amp;","&amp;I27),CONCATENATE(","&amp;I27))&amp;
IF(ISBLANK(J27),"",IF(ISERROR(SEARCH(",",J27,1)),CONCATENATE(","&amp;J27&amp;","&amp;J27),CONCATENATE(","&amp;J27))&amp;
IF(ISBLANK(K27),"",IF(ISERROR(SEARCH(",",K27,1)),CONCATENATE(","&amp;K27&amp;","&amp;K27),CONCATENATE(","&amp;K27))))))&amp;
")","")&amp;" "&amp;F27)</f>
        <v/>
      </c>
    </row>
    <row r="28">
      <c r="A28" s="1" t="n">
        <v>127</v>
      </c>
      <c r="B28" s="1">
        <f>A28</f>
        <v/>
      </c>
      <c r="C28" s="1" t="inlineStr">
        <is>
          <t>vD4sD8</t>
        </is>
      </c>
      <c r="D28" s="1" t="inlineStr">
        <is>
          <t>數值</t>
        </is>
      </c>
      <c r="E28" s="1" t="n">
        <v>2</v>
      </c>
      <c r="F28" s="1" t="n"/>
      <c r="G28" s="1" t="inlineStr">
        <is>
          <t>range</t>
        </is>
      </c>
      <c r="H28" s="1" t="inlineStr">
        <is>
          <t>1,2</t>
        </is>
      </c>
      <c r="L28" s="2">
        <f>_xlfn.CONCAT(IF(D28="數值",CONCATENATE(G28&amp;"("&amp;C28&amp;","&amp;
IF(ISERROR(SEARCH(",",H28,1)),(H28&amp;","&amp;H28),H28)&amp;
IF(ISBLANK(I28),"",IF(ISERROR(SEARCH(",",I28,1)),CONCATENATE(","&amp;I28&amp;","&amp;I28),CONCATENATE(","&amp;I28))&amp;
IF(ISBLANK(J28),"",IF(ISERROR(SEARCH(",",J28,1)),CONCATENATE(","&amp;J28&amp;","&amp;J28),CONCATENATE(","&amp;J28))&amp;
IF(ISBLANK(K28),"",IF(ISERROR(SEARCH(",",K28,1)),CONCATENATE(","&amp;K28&amp;","&amp;K28),CONCATENATE(","&amp;K28))))))&amp;
")","")&amp;" "&amp;F28)</f>
        <v/>
      </c>
    </row>
    <row r="29">
      <c r="A29" s="1" t="n">
        <v>128</v>
      </c>
      <c r="B29" s="1">
        <f>A29</f>
        <v/>
      </c>
      <c r="C29" s="1" t="inlineStr">
        <is>
          <t>vK1m01</t>
        </is>
      </c>
      <c r="D29" s="1" t="inlineStr">
        <is>
          <t>數值</t>
        </is>
      </c>
      <c r="E29" s="1" t="n">
        <v>2</v>
      </c>
      <c r="F29" s="1" t="n"/>
      <c r="G29" s="1" t="inlineStr">
        <is>
          <t>range</t>
        </is>
      </c>
      <c r="H29" s="1" t="inlineStr">
        <is>
          <t>0,1</t>
        </is>
      </c>
      <c r="L29" s="2">
        <f>_xlfn.CONCAT(IF(D29="數值",CONCATENATE(G29&amp;"("&amp;C29&amp;","&amp;
IF(ISERROR(SEARCH(",",H29,1)),(H29&amp;","&amp;H29),H29)&amp;
IF(ISBLANK(I29),"",IF(ISERROR(SEARCH(",",I29,1)),CONCATENATE(","&amp;I29&amp;","&amp;I29),CONCATENATE(","&amp;I29))&amp;
IF(ISBLANK(J29),"",IF(ISERROR(SEARCH(",",J29,1)),CONCATENATE(","&amp;J29&amp;","&amp;J29),CONCATENATE(","&amp;J29))&amp;
IF(ISBLANK(K29),"",IF(ISERROR(SEARCH(",",K29,1)),CONCATENATE(","&amp;K29&amp;","&amp;K29),CONCATENATE(","&amp;K29))))))&amp;
")","")&amp;" "&amp;F29)</f>
        <v/>
      </c>
    </row>
    <row r="30">
      <c r="A30" s="1" t="n">
        <v>129</v>
      </c>
      <c r="B30" s="1">
        <f>A30</f>
        <v/>
      </c>
      <c r="C30" s="1" t="inlineStr">
        <is>
          <t>vK1m02</t>
        </is>
      </c>
      <c r="D30" s="1" t="inlineStr">
        <is>
          <t>數值</t>
        </is>
      </c>
      <c r="E30" s="1" t="n">
        <v>2</v>
      </c>
      <c r="F30" s="1" t="n"/>
      <c r="G30" s="1" t="inlineStr">
        <is>
          <t>range</t>
        </is>
      </c>
      <c r="H30" s="1" t="inlineStr">
        <is>
          <t>0,1</t>
        </is>
      </c>
      <c r="L30" s="2">
        <f>_xlfn.CONCAT(IF(D30="數值",CONCATENATE(G30&amp;"("&amp;C30&amp;","&amp;
IF(ISERROR(SEARCH(",",H30,1)),(H30&amp;","&amp;H30),H30)&amp;
IF(ISBLANK(I30),"",IF(ISERROR(SEARCH(",",I30,1)),CONCATENATE(","&amp;I30&amp;","&amp;I30),CONCATENATE(","&amp;I30))&amp;
IF(ISBLANK(J30),"",IF(ISERROR(SEARCH(",",J30,1)),CONCATENATE(","&amp;J30&amp;","&amp;J30),CONCATENATE(","&amp;J30))&amp;
IF(ISBLANK(K30),"",IF(ISERROR(SEARCH(",",K30,1)),CONCATENATE(","&amp;K30&amp;","&amp;K30),CONCATENATE(","&amp;K30))))))&amp;
")","")&amp;" "&amp;F30)</f>
        <v/>
      </c>
    </row>
    <row r="31">
      <c r="A31" s="1" t="n">
        <v>130</v>
      </c>
      <c r="B31" s="1">
        <f>A31</f>
        <v/>
      </c>
      <c r="C31" s="1" t="inlineStr">
        <is>
          <t>vK1m03</t>
        </is>
      </c>
      <c r="D31" s="1" t="inlineStr">
        <is>
          <t>數值</t>
        </is>
      </c>
      <c r="E31" s="1" t="n">
        <v>2</v>
      </c>
      <c r="F31" s="1" t="n"/>
      <c r="G31" s="1" t="inlineStr">
        <is>
          <t>range</t>
        </is>
      </c>
      <c r="H31" s="1" t="inlineStr">
        <is>
          <t>0,1</t>
        </is>
      </c>
      <c r="L31" s="2">
        <f>_xlfn.CONCAT(IF(D31="數值",CONCATENATE(G31&amp;"("&amp;C31&amp;","&amp;
IF(ISERROR(SEARCH(",",H31,1)),(H31&amp;","&amp;H31),H31)&amp;
IF(ISBLANK(I31),"",IF(ISERROR(SEARCH(",",I31,1)),CONCATENATE(","&amp;I31&amp;","&amp;I31),CONCATENATE(","&amp;I31))&amp;
IF(ISBLANK(J31),"",IF(ISERROR(SEARCH(",",J31,1)),CONCATENATE(","&amp;J31&amp;","&amp;J31),CONCATENATE(","&amp;J31))&amp;
IF(ISBLANK(K31),"",IF(ISERROR(SEARCH(",",K31,1)),CONCATENATE(","&amp;K31&amp;","&amp;K31),CONCATENATE(","&amp;K31))))))&amp;
")","")&amp;" "&amp;F31)</f>
        <v/>
      </c>
    </row>
    <row r="32" ht="19.9" customHeight="1" s="21">
      <c r="A32" s="1" t="n">
        <v>131</v>
      </c>
      <c r="B32" s="1">
        <f>A32</f>
        <v/>
      </c>
      <c r="C32" s="1" t="inlineStr">
        <is>
          <t>vK1m04</t>
        </is>
      </c>
      <c r="D32" s="1" t="inlineStr">
        <is>
          <t>數值</t>
        </is>
      </c>
      <c r="E32" s="1" t="n">
        <v>2</v>
      </c>
      <c r="F32" s="1" t="n"/>
      <c r="G32" s="1" t="inlineStr">
        <is>
          <t>range</t>
        </is>
      </c>
      <c r="H32" s="1" t="inlineStr">
        <is>
          <t>0,1</t>
        </is>
      </c>
      <c r="L32" s="2">
        <f>_xlfn.CONCAT(IF(D32="數值",CONCATENATE(G32&amp;"("&amp;C32&amp;","&amp;
IF(ISERROR(SEARCH(",",H32,1)),(H32&amp;","&amp;H32),H32)&amp;
IF(ISBLANK(I32),"",IF(ISERROR(SEARCH(",",I32,1)),CONCATENATE(","&amp;I32&amp;","&amp;I32),CONCATENATE(","&amp;I32))&amp;
IF(ISBLANK(J32),"",IF(ISERROR(SEARCH(",",J32,1)),CONCATENATE(","&amp;J32&amp;","&amp;J32),CONCATENATE(","&amp;J32))&amp;
IF(ISBLANK(K32),"",IF(ISERROR(SEARCH(",",K32,1)),CONCATENATE(","&amp;K32&amp;","&amp;K32),CONCATENATE(","&amp;K32))))))&amp;
")","")&amp;" "&amp;F32)</f>
        <v/>
      </c>
    </row>
    <row r="33" ht="31.9" customHeight="1" s="21">
      <c r="A33" s="1" t="n">
        <v>132</v>
      </c>
      <c r="B33" s="1">
        <f>A33</f>
        <v/>
      </c>
      <c r="C33" s="1" t="inlineStr">
        <is>
          <t>vK1m05</t>
        </is>
      </c>
      <c r="D33" s="1" t="inlineStr">
        <is>
          <t>數值</t>
        </is>
      </c>
      <c r="E33" s="1" t="n">
        <v>2</v>
      </c>
      <c r="F33" s="1" t="n"/>
      <c r="G33" s="1" t="inlineStr">
        <is>
          <t>range</t>
        </is>
      </c>
      <c r="H33" s="1" t="inlineStr">
        <is>
          <t>0,1</t>
        </is>
      </c>
      <c r="L33" s="2">
        <f>_xlfn.CONCAT(IF(D33="數值",CONCATENATE(G33&amp;"("&amp;C33&amp;","&amp;
IF(ISERROR(SEARCH(",",H33,1)),(H33&amp;","&amp;H33),H33)&amp;
IF(ISBLANK(I33),"",IF(ISERROR(SEARCH(",",I33,1)),CONCATENATE(","&amp;I33&amp;","&amp;I33),CONCATENATE(","&amp;I33))&amp;
IF(ISBLANK(J33),"",IF(ISERROR(SEARCH(",",J33,1)),CONCATENATE(","&amp;J33&amp;","&amp;J33),CONCATENATE(","&amp;J33))&amp;
IF(ISBLANK(K33),"",IF(ISERROR(SEARCH(",",K33,1)),CONCATENATE(","&amp;K33&amp;","&amp;K33),CONCATENATE(","&amp;K33))))))&amp;
")","")&amp;" "&amp;F33)</f>
        <v/>
      </c>
    </row>
    <row r="34">
      <c r="A34" s="1" t="n">
        <v>133</v>
      </c>
      <c r="B34" s="1">
        <f>A34</f>
        <v/>
      </c>
      <c r="C34" s="1" t="inlineStr">
        <is>
          <t>vK1m06</t>
        </is>
      </c>
      <c r="D34" s="1" t="inlineStr">
        <is>
          <t>數值</t>
        </is>
      </c>
      <c r="E34" s="1" t="n">
        <v>2</v>
      </c>
      <c r="F34" s="1" t="n"/>
      <c r="G34" s="1" t="inlineStr">
        <is>
          <t>range</t>
        </is>
      </c>
      <c r="H34" s="1" t="inlineStr">
        <is>
          <t>0,1</t>
        </is>
      </c>
      <c r="L34" s="2">
        <f>_xlfn.CONCAT(IF(D34="數值",CONCATENATE(G34&amp;"("&amp;C34&amp;","&amp;
IF(ISERROR(SEARCH(",",H34,1)),(H34&amp;","&amp;H34),H34)&amp;
IF(ISBLANK(I34),"",IF(ISERROR(SEARCH(",",I34,1)),CONCATENATE(","&amp;I34&amp;","&amp;I34),CONCATENATE(","&amp;I34))&amp;
IF(ISBLANK(J34),"",IF(ISERROR(SEARCH(",",J34,1)),CONCATENATE(","&amp;J34&amp;","&amp;J34),CONCATENATE(","&amp;J34))&amp;
IF(ISBLANK(K34),"",IF(ISERROR(SEARCH(",",K34,1)),CONCATENATE(","&amp;K34&amp;","&amp;K34),CONCATENATE(","&amp;K34))))))&amp;
")","")&amp;" "&amp;F34)</f>
        <v/>
      </c>
    </row>
    <row r="35">
      <c r="A35" s="1" t="n">
        <v>134</v>
      </c>
      <c r="B35" s="1">
        <f>A35</f>
        <v/>
      </c>
      <c r="C35" s="1" t="inlineStr">
        <is>
          <t>vK1m07</t>
        </is>
      </c>
      <c r="D35" s="1" t="inlineStr">
        <is>
          <t>數值</t>
        </is>
      </c>
      <c r="E35" s="1" t="n">
        <v>2</v>
      </c>
      <c r="F35" s="1" t="n"/>
      <c r="G35" s="1" t="inlineStr">
        <is>
          <t>range</t>
        </is>
      </c>
      <c r="H35" s="1" t="inlineStr">
        <is>
          <t>0,1</t>
        </is>
      </c>
      <c r="I35" s="14" t="n"/>
      <c r="L35" s="2">
        <f>_xlfn.CONCAT(IF(D35="數值",CONCATENATE(G35&amp;"("&amp;C35&amp;","&amp;
IF(ISERROR(SEARCH(",",H35,1)),(H35&amp;","&amp;H35),H35)&amp;
IF(ISBLANK(I35),"",IF(ISERROR(SEARCH(",",I35,1)),CONCATENATE(","&amp;I35&amp;","&amp;I35),CONCATENATE(","&amp;I35))&amp;
IF(ISBLANK(J35),"",IF(ISERROR(SEARCH(",",J35,1)),CONCATENATE(","&amp;J35&amp;","&amp;J35),CONCATENATE(","&amp;J35))&amp;
IF(ISBLANK(K35),"",IF(ISERROR(SEARCH(",",K35,1)),CONCATENATE(","&amp;K35&amp;","&amp;K35),CONCATENATE(","&amp;K35))))))&amp;
")","")&amp;" "&amp;F35)</f>
        <v/>
      </c>
    </row>
    <row r="36">
      <c r="A36" s="1" t="n">
        <v>135</v>
      </c>
      <c r="B36" s="1">
        <f>A36</f>
        <v/>
      </c>
      <c r="C36" s="1" t="inlineStr">
        <is>
          <t>vK1m08</t>
        </is>
      </c>
      <c r="D36" s="1" t="inlineStr">
        <is>
          <t>數值</t>
        </is>
      </c>
      <c r="E36" s="1" t="n">
        <v>2</v>
      </c>
      <c r="F36" s="1" t="n"/>
      <c r="G36" s="1" t="inlineStr">
        <is>
          <t>range</t>
        </is>
      </c>
      <c r="H36" s="1" t="inlineStr">
        <is>
          <t>0,1</t>
        </is>
      </c>
      <c r="I36" s="14" t="n"/>
      <c r="L36" s="2">
        <f>_xlfn.CONCAT(IF(D36="數值",CONCATENATE(G36&amp;"("&amp;C36&amp;","&amp;
IF(ISERROR(SEARCH(",",H36,1)),(H36&amp;","&amp;H36),H36)&amp;
IF(ISBLANK(I36),"",IF(ISERROR(SEARCH(",",I36,1)),CONCATENATE(","&amp;I36&amp;","&amp;I36),CONCATENATE(","&amp;I36))&amp;
IF(ISBLANK(J36),"",IF(ISERROR(SEARCH(",",J36,1)),CONCATENATE(","&amp;J36&amp;","&amp;J36),CONCATENATE(","&amp;J36))&amp;
IF(ISBLANK(K36),"",IF(ISERROR(SEARCH(",",K36,1)),CONCATENATE(","&amp;K36&amp;","&amp;K36),CONCATENATE(","&amp;K36))))))&amp;
")","")&amp;" "&amp;F36)</f>
        <v/>
      </c>
    </row>
    <row r="37">
      <c r="A37" s="1" t="n">
        <v>136</v>
      </c>
      <c r="B37" s="1">
        <f>A37</f>
        <v/>
      </c>
      <c r="C37" s="1" t="inlineStr">
        <is>
          <t>vK1m09</t>
        </is>
      </c>
      <c r="D37" s="1" t="inlineStr">
        <is>
          <t>數值</t>
        </is>
      </c>
      <c r="E37" s="1" t="n">
        <v>2</v>
      </c>
      <c r="F37" s="1" t="n"/>
      <c r="G37" s="1" t="inlineStr">
        <is>
          <t>range</t>
        </is>
      </c>
      <c r="H37" s="1" t="inlineStr">
        <is>
          <t>0,1</t>
        </is>
      </c>
      <c r="L37" s="2">
        <f>_xlfn.CONCAT(IF(D37="數值",CONCATENATE(G37&amp;"("&amp;C37&amp;","&amp;
IF(ISERROR(SEARCH(",",H37,1)),(H37&amp;","&amp;H37),H37)&amp;
IF(ISBLANK(I37),"",IF(ISERROR(SEARCH(",",I37,1)),CONCATENATE(","&amp;I37&amp;","&amp;I37),CONCATENATE(","&amp;I37))&amp;
IF(ISBLANK(J37),"",IF(ISERROR(SEARCH(",",J37,1)),CONCATENATE(","&amp;J37&amp;","&amp;J37),CONCATENATE(","&amp;J37))&amp;
IF(ISBLANK(K37),"",IF(ISERROR(SEARCH(",",K37,1)),CONCATENATE(","&amp;K37&amp;","&amp;K37),CONCATENATE(","&amp;K37))))))&amp;
")","")&amp;" "&amp;F37)</f>
        <v/>
      </c>
    </row>
    <row r="38">
      <c r="A38" s="1" t="n">
        <v>137</v>
      </c>
      <c r="B38" s="1">
        <f>A38</f>
        <v/>
      </c>
      <c r="C38" s="1" t="inlineStr">
        <is>
          <t>vK1m10</t>
        </is>
      </c>
      <c r="D38" s="1" t="inlineStr">
        <is>
          <t>數值</t>
        </is>
      </c>
      <c r="E38" s="1" t="n">
        <v>2</v>
      </c>
      <c r="F38" s="1" t="n"/>
      <c r="G38" s="1" t="inlineStr">
        <is>
          <t>range</t>
        </is>
      </c>
      <c r="H38" s="1" t="inlineStr">
        <is>
          <t>0,1</t>
        </is>
      </c>
      <c r="I38" s="1" t="inlineStr">
        <is>
          <t>96</t>
        </is>
      </c>
      <c r="L38" s="2">
        <f>_xlfn.CONCAT(IF(D38="數值",CONCATENATE(G38&amp;"("&amp;C38&amp;","&amp;
IF(ISERROR(SEARCH(",",H38,1)),(H38&amp;","&amp;H38),H38)&amp;
IF(ISBLANK(I38),"",IF(ISERROR(SEARCH(",",I38,1)),CONCATENATE(","&amp;I38&amp;","&amp;I38),CONCATENATE(","&amp;I38))&amp;
IF(ISBLANK(J38),"",IF(ISERROR(SEARCH(",",J38,1)),CONCATENATE(","&amp;J38&amp;","&amp;J38),CONCATENATE(","&amp;J38))&amp;
IF(ISBLANK(K38),"",IF(ISERROR(SEARCH(",",K38,1)),CONCATENATE(","&amp;K38&amp;","&amp;K38),CONCATENATE(","&amp;K38))))))&amp;
")","")&amp;" "&amp;F38)</f>
        <v/>
      </c>
    </row>
    <row r="39">
      <c r="A39" s="1" t="n">
        <v>138</v>
      </c>
      <c r="B39" s="1">
        <f>A39</f>
        <v/>
      </c>
      <c r="C39" s="1" t="inlineStr">
        <is>
          <t>vK1m11</t>
        </is>
      </c>
      <c r="D39" s="1" t="inlineStr">
        <is>
          <t>數值</t>
        </is>
      </c>
      <c r="E39" s="1" t="n">
        <v>2</v>
      </c>
      <c r="F39" s="1" t="n"/>
      <c r="G39" s="1" t="inlineStr">
        <is>
          <t>range</t>
        </is>
      </c>
      <c r="H39" s="1" t="inlineStr">
        <is>
          <t>0,1</t>
        </is>
      </c>
      <c r="I39" s="1" t="inlineStr">
        <is>
          <t>96</t>
        </is>
      </c>
      <c r="L39" s="2">
        <f>_xlfn.CONCAT(IF(D39="數值",CONCATENATE(G39&amp;"("&amp;C39&amp;","&amp;
IF(ISERROR(SEARCH(",",H39,1)),(H39&amp;","&amp;H39),H39)&amp;
IF(ISBLANK(I39),"",IF(ISERROR(SEARCH(",",I39,1)),CONCATENATE(","&amp;I39&amp;","&amp;I39),CONCATENATE(","&amp;I39))&amp;
IF(ISBLANK(J39),"",IF(ISERROR(SEARCH(",",J39,1)),CONCATENATE(","&amp;J39&amp;","&amp;J39),CONCATENATE(","&amp;J39))&amp;
IF(ISBLANK(K39),"",IF(ISERROR(SEARCH(",",K39,1)),CONCATENATE(","&amp;K39&amp;","&amp;K39),CONCATENATE(","&amp;K39))))))&amp;
")","")&amp;" "&amp;F39)</f>
        <v/>
      </c>
    </row>
    <row r="40">
      <c r="A40" s="1" t="n">
        <v>139</v>
      </c>
      <c r="B40" s="1">
        <f>A40</f>
        <v/>
      </c>
      <c r="C40" s="1" t="inlineStr">
        <is>
          <t>vK1m12</t>
        </is>
      </c>
      <c r="D40" s="1" t="inlineStr">
        <is>
          <t>數值</t>
        </is>
      </c>
      <c r="E40" s="1" t="n">
        <v>2</v>
      </c>
      <c r="F40" s="1" t="n"/>
      <c r="G40" s="1" t="inlineStr">
        <is>
          <t>range</t>
        </is>
      </c>
      <c r="H40" s="1" t="inlineStr">
        <is>
          <t>0,1</t>
        </is>
      </c>
      <c r="I40" s="1" t="inlineStr">
        <is>
          <t>96</t>
        </is>
      </c>
      <c r="L40" s="2">
        <f>_xlfn.CONCAT(IF(D40="數值",CONCATENATE(G40&amp;"("&amp;C40&amp;","&amp;
IF(ISERROR(SEARCH(",",H40,1)),(H40&amp;","&amp;H40),H40)&amp;
IF(ISBLANK(I40),"",IF(ISERROR(SEARCH(",",I40,1)),CONCATENATE(","&amp;I40&amp;","&amp;I40),CONCATENATE(","&amp;I40))&amp;
IF(ISBLANK(J40),"",IF(ISERROR(SEARCH(",",J40,1)),CONCATENATE(","&amp;J40&amp;","&amp;J40),CONCATENATE(","&amp;J40))&amp;
IF(ISBLANK(K40),"",IF(ISERROR(SEARCH(",",K40,1)),CONCATENATE(","&amp;K40&amp;","&amp;K40),CONCATENATE(","&amp;K40))))))&amp;
")","")&amp;" "&amp;F40)</f>
        <v/>
      </c>
    </row>
    <row r="41" ht="19.9" customHeight="1" s="21">
      <c r="A41" s="1" t="n">
        <v>140</v>
      </c>
      <c r="B41" s="1">
        <f>A41</f>
        <v/>
      </c>
      <c r="C41" s="1" t="inlineStr">
        <is>
          <t>vK1m13</t>
        </is>
      </c>
      <c r="D41" s="1" t="inlineStr">
        <is>
          <t>數值</t>
        </is>
      </c>
      <c r="E41" s="1" t="n">
        <v>2</v>
      </c>
      <c r="F41" s="1" t="n"/>
      <c r="G41" s="1" t="inlineStr">
        <is>
          <t>range</t>
        </is>
      </c>
      <c r="H41" s="1" t="inlineStr">
        <is>
          <t>0,1</t>
        </is>
      </c>
      <c r="I41" s="1" t="inlineStr">
        <is>
          <t>96</t>
        </is>
      </c>
      <c r="L41" s="2">
        <f>_xlfn.CONCAT(IF(D41="數值",CONCATENATE(G41&amp;"("&amp;C41&amp;","&amp;
IF(ISERROR(SEARCH(",",H41,1)),(H41&amp;","&amp;H41),H41)&amp;
IF(ISBLANK(I41),"",IF(ISERROR(SEARCH(",",I41,1)),CONCATENATE(","&amp;I41&amp;","&amp;I41),CONCATENATE(","&amp;I41))&amp;
IF(ISBLANK(J41),"",IF(ISERROR(SEARCH(",",J41,1)),CONCATENATE(","&amp;J41&amp;","&amp;J41),CONCATENATE(","&amp;J41))&amp;
IF(ISBLANK(K41),"",IF(ISERROR(SEARCH(",",K41,1)),CONCATENATE(","&amp;K41&amp;","&amp;K41),CONCATENATE(","&amp;K41))))))&amp;
")","")&amp;" "&amp;F41)</f>
        <v/>
      </c>
    </row>
    <row r="42" ht="19.9" customHeight="1" s="21">
      <c r="A42" s="1" t="n">
        <v>141</v>
      </c>
      <c r="B42" s="1">
        <f>A42</f>
        <v/>
      </c>
      <c r="C42" s="1" t="inlineStr">
        <is>
          <t>vK1m88</t>
        </is>
      </c>
      <c r="D42" s="1" t="inlineStr">
        <is>
          <t>數值</t>
        </is>
      </c>
      <c r="E42" s="1" t="n">
        <v>2</v>
      </c>
      <c r="F42" s="1" t="n"/>
      <c r="G42" s="1" t="inlineStr">
        <is>
          <t>range</t>
        </is>
      </c>
      <c r="H42" s="1" t="inlineStr">
        <is>
          <t>0,1</t>
        </is>
      </c>
      <c r="I42" s="1" t="inlineStr">
        <is>
          <t>96</t>
        </is>
      </c>
      <c r="L42" s="2">
        <f>_xlfn.CONCAT(IF(D42="數值",CONCATENATE(G42&amp;"("&amp;C42&amp;","&amp;
IF(ISERROR(SEARCH(",",H42,1)),(H42&amp;","&amp;H42),H42)&amp;
IF(ISBLANK(I42),"",IF(ISERROR(SEARCH(",",I42,1)),CONCATENATE(","&amp;I42&amp;","&amp;I42),CONCATENATE(","&amp;I42))&amp;
IF(ISBLANK(J42),"",IF(ISERROR(SEARCH(",",J42,1)),CONCATENATE(","&amp;J42&amp;","&amp;J42),CONCATENATE(","&amp;J42))&amp;
IF(ISBLANK(K42),"",IF(ISERROR(SEARCH(",",K42,1)),CONCATENATE(","&amp;K42&amp;","&amp;K42),CONCATENATE(","&amp;K42))))))&amp;
")","")&amp;" "&amp;F42)</f>
        <v/>
      </c>
    </row>
    <row r="43" ht="19.9" customHeight="1" s="21">
      <c r="A43" s="1" t="n">
        <v>142</v>
      </c>
      <c r="B43" s="1">
        <f>A43</f>
        <v/>
      </c>
      <c r="C43" s="1" t="inlineStr">
        <is>
          <t>vK1m90</t>
        </is>
      </c>
      <c r="D43" s="1" t="inlineStr">
        <is>
          <t>數值</t>
        </is>
      </c>
      <c r="E43" s="1" t="n">
        <v>2</v>
      </c>
      <c r="F43" s="1" t="n"/>
      <c r="G43" s="1" t="inlineStr">
        <is>
          <t>range</t>
        </is>
      </c>
      <c r="H43" s="1" t="inlineStr">
        <is>
          <t>0,1</t>
        </is>
      </c>
      <c r="I43" s="1" t="inlineStr">
        <is>
          <t>96</t>
        </is>
      </c>
      <c r="L43" s="2">
        <f>_xlfn.CONCAT(IF(D43="數值",CONCATENATE(G43&amp;"("&amp;C43&amp;","&amp;
IF(ISERROR(SEARCH(",",H43,1)),(H43&amp;","&amp;H43),H43)&amp;
IF(ISBLANK(I43),"",IF(ISERROR(SEARCH(",",I43,1)),CONCATENATE(","&amp;I43&amp;","&amp;I43),CONCATENATE(","&amp;I43))&amp;
IF(ISBLANK(J43),"",IF(ISERROR(SEARCH(",",J43,1)),CONCATENATE(","&amp;J43&amp;","&amp;J43),CONCATENATE(","&amp;J43))&amp;
IF(ISBLANK(K43),"",IF(ISERROR(SEARCH(",",K43,1)),CONCATENATE(","&amp;K43&amp;","&amp;K43),CONCATENATE(","&amp;K43))))))&amp;
")","")&amp;" "&amp;F43)</f>
        <v/>
      </c>
    </row>
    <row r="44" ht="19.9" customHeight="1" s="21">
      <c r="A44" s="1" t="n">
        <v>143</v>
      </c>
      <c r="B44" s="1">
        <f>A44</f>
        <v/>
      </c>
      <c r="C44" s="1" t="inlineStr">
        <is>
          <t>vK2m01</t>
        </is>
      </c>
      <c r="D44" s="1" t="inlineStr">
        <is>
          <t>數值</t>
        </is>
      </c>
      <c r="E44" s="1" t="n">
        <v>2</v>
      </c>
      <c r="F44" s="1" t="n"/>
      <c r="G44" s="1" t="inlineStr">
        <is>
          <t>range</t>
        </is>
      </c>
      <c r="H44" s="1" t="inlineStr">
        <is>
          <t>0,1</t>
        </is>
      </c>
      <c r="I44" s="14" t="n"/>
      <c r="L44" s="2">
        <f>_xlfn.CONCAT(IF(D44="數值",CONCATENATE(G44&amp;"("&amp;C44&amp;","&amp;
IF(ISERROR(SEARCH(",",H44,1)),(H44&amp;","&amp;H44),H44)&amp;
IF(ISBLANK(I44),"",IF(ISERROR(SEARCH(",",I44,1)),CONCATENATE(","&amp;I44&amp;","&amp;I44),CONCATENATE(","&amp;I44))&amp;
IF(ISBLANK(J44),"",IF(ISERROR(SEARCH(",",J44,1)),CONCATENATE(","&amp;J44&amp;","&amp;J44),CONCATENATE(","&amp;J44))&amp;
IF(ISBLANK(K44),"",IF(ISERROR(SEARCH(",",K44,1)),CONCATENATE(","&amp;K44&amp;","&amp;K44),CONCATENATE(","&amp;K44))))))&amp;
")","")&amp;" "&amp;F44)</f>
        <v/>
      </c>
    </row>
    <row r="45" ht="19.9" customHeight="1" s="21">
      <c r="A45" s="1" t="n">
        <v>144</v>
      </c>
      <c r="B45" s="1">
        <f>A45</f>
        <v/>
      </c>
      <c r="C45" s="1" t="inlineStr">
        <is>
          <t>vK2m02</t>
        </is>
      </c>
      <c r="D45" s="1" t="inlineStr">
        <is>
          <t>數值</t>
        </is>
      </c>
      <c r="E45" s="1" t="n">
        <v>2</v>
      </c>
      <c r="F45" s="1" t="n"/>
      <c r="G45" s="1" t="inlineStr">
        <is>
          <t>range</t>
        </is>
      </c>
      <c r="H45" s="1" t="inlineStr">
        <is>
          <t>0,1</t>
        </is>
      </c>
      <c r="I45" s="14" t="n"/>
      <c r="L45" s="2">
        <f>_xlfn.CONCAT(IF(D45="數值",CONCATENATE(G45&amp;"("&amp;C45&amp;","&amp;
IF(ISERROR(SEARCH(",",H45,1)),(H45&amp;","&amp;H45),H45)&amp;
IF(ISBLANK(I45),"",IF(ISERROR(SEARCH(",",I45,1)),CONCATENATE(","&amp;I45&amp;","&amp;I45),CONCATENATE(","&amp;I45))&amp;
IF(ISBLANK(J45),"",IF(ISERROR(SEARCH(",",J45,1)),CONCATENATE(","&amp;J45&amp;","&amp;J45),CONCATENATE(","&amp;J45))&amp;
IF(ISBLANK(K45),"",IF(ISERROR(SEARCH(",",K45,1)),CONCATENATE(","&amp;K45&amp;","&amp;K45),CONCATENATE(","&amp;K45))))))&amp;
")","")&amp;" "&amp;F45)</f>
        <v/>
      </c>
    </row>
    <row r="46" ht="19.9" customHeight="1" s="21">
      <c r="A46" s="1" t="n">
        <v>145</v>
      </c>
      <c r="B46" s="1">
        <f>A46</f>
        <v/>
      </c>
      <c r="C46" s="1" t="inlineStr">
        <is>
          <t>vK2m03</t>
        </is>
      </c>
      <c r="D46" s="1" t="inlineStr">
        <is>
          <t>數值</t>
        </is>
      </c>
      <c r="E46" s="1" t="n">
        <v>2</v>
      </c>
      <c r="F46" s="1" t="n"/>
      <c r="G46" s="1" t="inlineStr">
        <is>
          <t>range</t>
        </is>
      </c>
      <c r="H46" s="1" t="inlineStr">
        <is>
          <t>0,1</t>
        </is>
      </c>
      <c r="I46" s="14" t="n"/>
      <c r="L46" s="2">
        <f>_xlfn.CONCAT(IF(D46="數值",CONCATENATE(G46&amp;"("&amp;C46&amp;","&amp;
IF(ISERROR(SEARCH(",",H46,1)),(H46&amp;","&amp;H46),H46)&amp;
IF(ISBLANK(I46),"",IF(ISERROR(SEARCH(",",I46,1)),CONCATENATE(","&amp;I46&amp;","&amp;I46),CONCATENATE(","&amp;I46))&amp;
IF(ISBLANK(J46),"",IF(ISERROR(SEARCH(",",J46,1)),CONCATENATE(","&amp;J46&amp;","&amp;J46),CONCATENATE(","&amp;J46))&amp;
IF(ISBLANK(K46),"",IF(ISERROR(SEARCH(",",K46,1)),CONCATENATE(","&amp;K46&amp;","&amp;K46),CONCATENATE(","&amp;K46))))))&amp;
")","")&amp;" "&amp;F46)</f>
        <v/>
      </c>
    </row>
    <row r="47" ht="19.9" customHeight="1" s="21">
      <c r="A47" s="1" t="n">
        <v>146</v>
      </c>
      <c r="B47" s="1">
        <f>A47</f>
        <v/>
      </c>
      <c r="C47" s="1" t="inlineStr">
        <is>
          <t>vK2m04</t>
        </is>
      </c>
      <c r="D47" s="1" t="inlineStr">
        <is>
          <t>數值</t>
        </is>
      </c>
      <c r="E47" s="1" t="n">
        <v>2</v>
      </c>
      <c r="F47" s="1" t="n"/>
      <c r="G47" s="1" t="inlineStr">
        <is>
          <t>range</t>
        </is>
      </c>
      <c r="H47" s="1" t="inlineStr">
        <is>
          <t>0,1</t>
        </is>
      </c>
      <c r="L47" s="2">
        <f>_xlfn.CONCAT(IF(D47="數值",CONCATENATE(G47&amp;"("&amp;C47&amp;","&amp;
IF(ISERROR(SEARCH(",",H47,1)),(H47&amp;","&amp;H47),H47)&amp;
IF(ISBLANK(I47),"",IF(ISERROR(SEARCH(",",I47,1)),CONCATENATE(","&amp;I47&amp;","&amp;I47),CONCATENATE(","&amp;I47))&amp;
IF(ISBLANK(J47),"",IF(ISERROR(SEARCH(",",J47,1)),CONCATENATE(","&amp;J47&amp;","&amp;J47),CONCATENATE(","&amp;J47))&amp;
IF(ISBLANK(K47),"",IF(ISERROR(SEARCH(",",K47,1)),CONCATENATE(","&amp;K47&amp;","&amp;K47),CONCATENATE(","&amp;K47))))))&amp;
")","")&amp;" "&amp;F47)</f>
        <v/>
      </c>
    </row>
    <row r="48" ht="19.9" customHeight="1" s="21">
      <c r="A48" s="1" t="n">
        <v>147</v>
      </c>
      <c r="B48" s="1">
        <f>A48</f>
        <v/>
      </c>
      <c r="C48" s="1" t="inlineStr">
        <is>
          <t>vK2m05</t>
        </is>
      </c>
      <c r="D48" s="1" t="inlineStr">
        <is>
          <t>數值</t>
        </is>
      </c>
      <c r="E48" s="1" t="n">
        <v>2</v>
      </c>
      <c r="F48" s="1" t="n"/>
      <c r="G48" s="1" t="inlineStr">
        <is>
          <t>range</t>
        </is>
      </c>
      <c r="H48" s="1" t="inlineStr">
        <is>
          <t>0,1</t>
        </is>
      </c>
      <c r="L48" s="2">
        <f>_xlfn.CONCAT(IF(D48="數值",CONCATENATE(G48&amp;"("&amp;C48&amp;","&amp;
IF(ISERROR(SEARCH(",",H48,1)),(H48&amp;","&amp;H48),H48)&amp;
IF(ISBLANK(I48),"",IF(ISERROR(SEARCH(",",I48,1)),CONCATENATE(","&amp;I48&amp;","&amp;I48),CONCATENATE(","&amp;I48))&amp;
IF(ISBLANK(J48),"",IF(ISERROR(SEARCH(",",J48,1)),CONCATENATE(","&amp;J48&amp;","&amp;J48),CONCATENATE(","&amp;J48))&amp;
IF(ISBLANK(K48),"",IF(ISERROR(SEARCH(",",K48,1)),CONCATENATE(","&amp;K48&amp;","&amp;K48),CONCATENATE(","&amp;K48))))))&amp;
")","")&amp;" "&amp;F48)</f>
        <v/>
      </c>
    </row>
    <row r="49" ht="19.9" customHeight="1" s="21">
      <c r="A49" s="1" t="n">
        <v>148</v>
      </c>
      <c r="B49" s="1">
        <f>A49</f>
        <v/>
      </c>
      <c r="C49" s="1" t="inlineStr">
        <is>
          <t>vK2m06</t>
        </is>
      </c>
      <c r="D49" s="1" t="inlineStr">
        <is>
          <t>數值</t>
        </is>
      </c>
      <c r="E49" s="1" t="n">
        <v>2</v>
      </c>
      <c r="F49" s="1" t="n"/>
      <c r="G49" s="1" t="inlineStr">
        <is>
          <t>range</t>
        </is>
      </c>
      <c r="H49" s="1" t="inlineStr">
        <is>
          <t>0,1</t>
        </is>
      </c>
      <c r="L49" s="2">
        <f>_xlfn.CONCAT(IF(D49="數值",CONCATENATE(G49&amp;"("&amp;C49&amp;","&amp;
IF(ISERROR(SEARCH(",",H49,1)),(H49&amp;","&amp;H49),H49)&amp;
IF(ISBLANK(I49),"",IF(ISERROR(SEARCH(",",I49,1)),CONCATENATE(","&amp;I49&amp;","&amp;I49),CONCATENATE(","&amp;I49))&amp;
IF(ISBLANK(J49),"",IF(ISERROR(SEARCH(",",J49,1)),CONCATENATE(","&amp;J49&amp;","&amp;J49),CONCATENATE(","&amp;J49))&amp;
IF(ISBLANK(K49),"",IF(ISERROR(SEARCH(",",K49,1)),CONCATENATE(","&amp;K49&amp;","&amp;K49),CONCATENATE(","&amp;K49))))))&amp;
")","")&amp;" "&amp;F49)</f>
        <v/>
      </c>
    </row>
    <row r="50" ht="19.9" customHeight="1" s="21">
      <c r="A50" s="1" t="n">
        <v>149</v>
      </c>
      <c r="B50" s="1">
        <f>A50</f>
        <v/>
      </c>
      <c r="C50" s="1" t="inlineStr">
        <is>
          <t>vK2m07</t>
        </is>
      </c>
      <c r="D50" s="1" t="inlineStr">
        <is>
          <t>數值</t>
        </is>
      </c>
      <c r="E50" s="1" t="n">
        <v>2</v>
      </c>
      <c r="F50" s="1" t="n"/>
      <c r="G50" s="1" t="inlineStr">
        <is>
          <t>range</t>
        </is>
      </c>
      <c r="H50" s="1" t="inlineStr">
        <is>
          <t>0,1</t>
        </is>
      </c>
      <c r="L50" s="2">
        <f>_xlfn.CONCAT(IF(D50="數值",CONCATENATE(G50&amp;"("&amp;C50&amp;","&amp;
IF(ISERROR(SEARCH(",",H50,1)),(H50&amp;","&amp;H50),H50)&amp;
IF(ISBLANK(I50),"",IF(ISERROR(SEARCH(",",I50,1)),CONCATENATE(","&amp;I50&amp;","&amp;I50),CONCATENATE(","&amp;I50))&amp;
IF(ISBLANK(J50),"",IF(ISERROR(SEARCH(",",J50,1)),CONCATENATE(","&amp;J50&amp;","&amp;J50),CONCATENATE(","&amp;J50))&amp;
IF(ISBLANK(K50),"",IF(ISERROR(SEARCH(",",K50,1)),CONCATENATE(","&amp;K50&amp;","&amp;K50),CONCATENATE(","&amp;K50))))))&amp;
")","")&amp;" "&amp;F50)</f>
        <v/>
      </c>
    </row>
    <row r="51" ht="19.9" customHeight="1" s="21">
      <c r="A51" s="1" t="n">
        <v>150</v>
      </c>
      <c r="B51" s="1">
        <f>A51</f>
        <v/>
      </c>
      <c r="C51" s="1" t="inlineStr">
        <is>
          <t>vK2m08</t>
        </is>
      </c>
      <c r="D51" s="1" t="inlineStr">
        <is>
          <t>數值</t>
        </is>
      </c>
      <c r="E51" s="1" t="n">
        <v>2</v>
      </c>
      <c r="F51" s="1" t="n"/>
      <c r="G51" s="1" t="inlineStr">
        <is>
          <t>range</t>
        </is>
      </c>
      <c r="H51" s="1" t="inlineStr">
        <is>
          <t>0,1</t>
        </is>
      </c>
      <c r="L51" s="2">
        <f>_xlfn.CONCAT(IF(D51="數值",CONCATENATE(G51&amp;"("&amp;C51&amp;","&amp;
IF(ISERROR(SEARCH(",",H51,1)),(H51&amp;","&amp;H51),H51)&amp;
IF(ISBLANK(I51),"",IF(ISERROR(SEARCH(",",I51,1)),CONCATENATE(","&amp;I51&amp;","&amp;I51),CONCATENATE(","&amp;I51))&amp;
IF(ISBLANK(J51),"",IF(ISERROR(SEARCH(",",J51,1)),CONCATENATE(","&amp;J51&amp;","&amp;J51),CONCATENATE(","&amp;J51))&amp;
IF(ISBLANK(K51),"",IF(ISERROR(SEARCH(",",K51,1)),CONCATENATE(","&amp;K51&amp;","&amp;K51),CONCATENATE(","&amp;K51))))))&amp;
")","")&amp;" "&amp;F51)</f>
        <v/>
      </c>
    </row>
    <row r="52" ht="19.9" customHeight="1" s="21">
      <c r="A52" s="1" t="n">
        <v>151</v>
      </c>
      <c r="B52" s="1">
        <f>A52</f>
        <v/>
      </c>
      <c r="C52" s="1" t="inlineStr">
        <is>
          <t>vK2m09</t>
        </is>
      </c>
      <c r="D52" s="1" t="inlineStr">
        <is>
          <t>數值</t>
        </is>
      </c>
      <c r="E52" s="1" t="n">
        <v>2</v>
      </c>
      <c r="F52" s="1" t="n"/>
      <c r="G52" s="1" t="inlineStr">
        <is>
          <t>range</t>
        </is>
      </c>
      <c r="H52" s="1" t="inlineStr">
        <is>
          <t>0,1</t>
        </is>
      </c>
      <c r="L52" s="2">
        <f>_xlfn.CONCAT(IF(D52="數值",CONCATENATE(G52&amp;"("&amp;C52&amp;","&amp;
IF(ISERROR(SEARCH(",",H52,1)),(H52&amp;","&amp;H52),H52)&amp;
IF(ISBLANK(I52),"",IF(ISERROR(SEARCH(",",I52,1)),CONCATENATE(","&amp;I52&amp;","&amp;I52),CONCATENATE(","&amp;I52))&amp;
IF(ISBLANK(J52),"",IF(ISERROR(SEARCH(",",J52,1)),CONCATENATE(","&amp;J52&amp;","&amp;J52),CONCATENATE(","&amp;J52))&amp;
IF(ISBLANK(K52),"",IF(ISERROR(SEARCH(",",K52,1)),CONCATENATE(","&amp;K52&amp;","&amp;K52),CONCATENATE(","&amp;K52))))))&amp;
")","")&amp;" "&amp;F52)</f>
        <v/>
      </c>
    </row>
    <row r="53" ht="19.9" customHeight="1" s="21">
      <c r="A53" s="1" t="n">
        <v>152</v>
      </c>
      <c r="B53" s="1">
        <f>A53</f>
        <v/>
      </c>
      <c r="C53" s="1" t="inlineStr">
        <is>
          <t>vK2m11</t>
        </is>
      </c>
      <c r="D53" s="1" t="inlineStr">
        <is>
          <t>數值</t>
        </is>
      </c>
      <c r="E53" s="1" t="n">
        <v>2</v>
      </c>
      <c r="F53" s="1" t="n"/>
      <c r="G53" s="1" t="inlineStr">
        <is>
          <t>range</t>
        </is>
      </c>
      <c r="H53" s="1" t="inlineStr">
        <is>
          <t>0,1</t>
        </is>
      </c>
      <c r="I53" s="1" t="inlineStr">
        <is>
          <t>96</t>
        </is>
      </c>
      <c r="L53" s="2">
        <f>_xlfn.CONCAT(IF(D53="數值",CONCATENATE(G53&amp;"("&amp;C53&amp;","&amp;
IF(ISERROR(SEARCH(",",H53,1)),(H53&amp;","&amp;H53),H53)&amp;
IF(ISBLANK(I53),"",IF(ISERROR(SEARCH(",",I53,1)),CONCATENATE(","&amp;I53&amp;","&amp;I53),CONCATENATE(","&amp;I53))&amp;
IF(ISBLANK(J53),"",IF(ISERROR(SEARCH(",",J53,1)),CONCATENATE(","&amp;J53&amp;","&amp;J53),CONCATENATE(","&amp;J53))&amp;
IF(ISBLANK(K53),"",IF(ISERROR(SEARCH(",",K53,1)),CONCATENATE(","&amp;K53&amp;","&amp;K53),CONCATENATE(","&amp;K53))))))&amp;
")","")&amp;" "&amp;F53)</f>
        <v/>
      </c>
    </row>
    <row r="54" ht="19.9" customHeight="1" s="21">
      <c r="A54" s="1" t="n">
        <v>153</v>
      </c>
      <c r="B54" s="1">
        <f>A54</f>
        <v/>
      </c>
      <c r="C54" s="1" t="inlineStr">
        <is>
          <t>vK2m12</t>
        </is>
      </c>
      <c r="D54" s="1" t="inlineStr">
        <is>
          <t>數值</t>
        </is>
      </c>
      <c r="E54" s="1" t="n">
        <v>2</v>
      </c>
      <c r="F54" s="1" t="n"/>
      <c r="G54" s="1" t="inlineStr">
        <is>
          <t>range</t>
        </is>
      </c>
      <c r="H54" s="1" t="inlineStr">
        <is>
          <t>0,1</t>
        </is>
      </c>
      <c r="I54" s="1" t="inlineStr">
        <is>
          <t>96</t>
        </is>
      </c>
      <c r="L54" s="2">
        <f>_xlfn.CONCAT(IF(D54="數值",CONCATENATE(G54&amp;"("&amp;C54&amp;","&amp;
IF(ISERROR(SEARCH(",",H54,1)),(H54&amp;","&amp;H54),H54)&amp;
IF(ISBLANK(I54),"",IF(ISERROR(SEARCH(",",I54,1)),CONCATENATE(","&amp;I54&amp;","&amp;I54),CONCATENATE(","&amp;I54))&amp;
IF(ISBLANK(J54),"",IF(ISERROR(SEARCH(",",J54,1)),CONCATENATE(","&amp;J54&amp;","&amp;J54),CONCATENATE(","&amp;J54))&amp;
IF(ISBLANK(K54),"",IF(ISERROR(SEARCH(",",K54,1)),CONCATENATE(","&amp;K54&amp;","&amp;K54),CONCATENATE(","&amp;K54))))))&amp;
")","")&amp;" "&amp;F54)</f>
        <v/>
      </c>
    </row>
    <row r="55" ht="19.9" customHeight="1" s="21">
      <c r="A55" s="1" t="n">
        <v>154</v>
      </c>
      <c r="B55" s="1">
        <f>A55</f>
        <v/>
      </c>
      <c r="C55" s="1" t="inlineStr">
        <is>
          <t>vK2m13</t>
        </is>
      </c>
      <c r="D55" s="1" t="inlineStr">
        <is>
          <t>數值</t>
        </is>
      </c>
      <c r="E55" s="1" t="n">
        <v>2</v>
      </c>
      <c r="F55" s="1" t="n"/>
      <c r="G55" s="1" t="inlineStr">
        <is>
          <t>range</t>
        </is>
      </c>
      <c r="H55" s="1" t="inlineStr">
        <is>
          <t>0,1</t>
        </is>
      </c>
      <c r="I55" s="14" t="inlineStr">
        <is>
          <t>96</t>
        </is>
      </c>
      <c r="L55" s="2">
        <f>_xlfn.CONCAT(IF(D55="數值",CONCATENATE(G55&amp;"("&amp;C55&amp;","&amp;
IF(ISERROR(SEARCH(",",H55,1)),(H55&amp;","&amp;H55),H55)&amp;
IF(ISBLANK(I55),"",IF(ISERROR(SEARCH(",",I55,1)),CONCATENATE(","&amp;I55&amp;","&amp;I55),CONCATENATE(","&amp;I55))&amp;
IF(ISBLANK(J55),"",IF(ISERROR(SEARCH(",",J55,1)),CONCATENATE(","&amp;J55&amp;","&amp;J55),CONCATENATE(","&amp;J55))&amp;
IF(ISBLANK(K55),"",IF(ISERROR(SEARCH(",",K55,1)),CONCATENATE(","&amp;K55&amp;","&amp;K55),CONCATENATE(","&amp;K55))))))&amp;
")","")&amp;" "&amp;F55)</f>
        <v/>
      </c>
    </row>
    <row r="56" ht="19.9" customHeight="1" s="21">
      <c r="A56" s="1" t="n">
        <v>155</v>
      </c>
      <c r="B56" s="1">
        <f>A56</f>
        <v/>
      </c>
      <c r="C56" s="1" t="inlineStr">
        <is>
          <t>vK2m88</t>
        </is>
      </c>
      <c r="D56" s="1" t="inlineStr">
        <is>
          <t>數值</t>
        </is>
      </c>
      <c r="E56" s="1" t="n">
        <v>2</v>
      </c>
      <c r="F56" s="1" t="n"/>
      <c r="G56" s="1" t="inlineStr">
        <is>
          <t>range</t>
        </is>
      </c>
      <c r="H56" s="1" t="inlineStr">
        <is>
          <t>0,1</t>
        </is>
      </c>
      <c r="I56" s="14" t="inlineStr">
        <is>
          <t>96</t>
        </is>
      </c>
      <c r="L56" s="2">
        <f>_xlfn.CONCAT(IF(D56="數值",CONCATENATE(G56&amp;"("&amp;C56&amp;","&amp;
IF(ISERROR(SEARCH(",",H56,1)),(H56&amp;","&amp;H56),H56)&amp;
IF(ISBLANK(I56),"",IF(ISERROR(SEARCH(",",I56,1)),CONCATENATE(","&amp;I56&amp;","&amp;I56),CONCATENATE(","&amp;I56))&amp;
IF(ISBLANK(J56),"",IF(ISERROR(SEARCH(",",J56,1)),CONCATENATE(","&amp;J56&amp;","&amp;J56),CONCATENATE(","&amp;J56))&amp;
IF(ISBLANK(K56),"",IF(ISERROR(SEARCH(",",K56,1)),CONCATENATE(","&amp;K56&amp;","&amp;K56),CONCATENATE(","&amp;K56))))))&amp;
")","")&amp;" "&amp;F56)</f>
        <v/>
      </c>
    </row>
    <row r="57" ht="19.9" customHeight="1" s="21">
      <c r="A57" s="1" t="n">
        <v>156</v>
      </c>
      <c r="B57" s="1">
        <f>A57</f>
        <v/>
      </c>
      <c r="C57" s="1" t="inlineStr">
        <is>
          <t>vK2m90</t>
        </is>
      </c>
      <c r="D57" s="1" t="inlineStr">
        <is>
          <t>數值</t>
        </is>
      </c>
      <c r="E57" s="1" t="n">
        <v>2</v>
      </c>
      <c r="F57" s="1" t="n"/>
      <c r="G57" s="1" t="inlineStr">
        <is>
          <t>range</t>
        </is>
      </c>
      <c r="H57" s="1" t="inlineStr">
        <is>
          <t>0,1</t>
        </is>
      </c>
      <c r="I57" s="1" t="inlineStr">
        <is>
          <t>96</t>
        </is>
      </c>
      <c r="L57" s="2">
        <f>_xlfn.CONCAT(IF(D57="數值",CONCATENATE(G57&amp;"("&amp;C57&amp;","&amp;
IF(ISERROR(SEARCH(",",H57,1)),(H57&amp;","&amp;H57),H57)&amp;
IF(ISBLANK(I57),"",IF(ISERROR(SEARCH(",",I57,1)),CONCATENATE(","&amp;I57&amp;","&amp;I57),CONCATENATE(","&amp;I57))&amp;
IF(ISBLANK(J57),"",IF(ISERROR(SEARCH(",",J57,1)),CONCATENATE(","&amp;J57&amp;","&amp;J57),CONCATENATE(","&amp;J57))&amp;
IF(ISBLANK(K57),"",IF(ISERROR(SEARCH(",",K57,1)),CONCATENATE(","&amp;K57&amp;","&amp;K57),CONCATENATE(","&amp;K57))))))&amp;
")","")&amp;" "&amp;F57)</f>
        <v/>
      </c>
    </row>
    <row r="58" ht="19.9" customHeight="1" s="21">
      <c r="A58" s="1" t="n">
        <v>157</v>
      </c>
      <c r="B58" s="1">
        <f>A58</f>
        <v/>
      </c>
      <c r="C58" s="1" t="inlineStr">
        <is>
          <t>vE17</t>
        </is>
      </c>
      <c r="D58" s="1" t="inlineStr">
        <is>
          <t>數值</t>
        </is>
      </c>
      <c r="E58" s="1" t="n">
        <v>2</v>
      </c>
      <c r="F58" s="1" t="n"/>
      <c r="G58" s="1" t="inlineStr">
        <is>
          <t>range</t>
        </is>
      </c>
      <c r="H58" s="1" t="inlineStr">
        <is>
          <t>1,88</t>
        </is>
      </c>
      <c r="I58" s="1" t="inlineStr">
        <is>
          <t>97</t>
        </is>
      </c>
      <c r="J58" s="1" t="inlineStr">
        <is>
          <t>98</t>
        </is>
      </c>
      <c r="L58" s="2">
        <f>_xlfn.CONCAT(IF(D58="數值",CONCATENATE(G58&amp;"("&amp;C58&amp;","&amp;
IF(ISERROR(SEARCH(",",H58,1)),(H58&amp;","&amp;H58),H58)&amp;
IF(ISBLANK(I58),"",IF(ISERROR(SEARCH(",",I58,1)),CONCATENATE(","&amp;I58&amp;","&amp;I58),CONCATENATE(","&amp;I58))&amp;
IF(ISBLANK(J58),"",IF(ISERROR(SEARCH(",",J58,1)),CONCATENATE(","&amp;J58&amp;","&amp;J58),CONCATENATE(","&amp;J58))&amp;
IF(ISBLANK(K58),"",IF(ISERROR(SEARCH(",",K58,1)),CONCATENATE(","&amp;K58&amp;","&amp;K58),CONCATENATE(","&amp;K58))))))&amp;
")","")&amp;" "&amp;F58)</f>
        <v/>
      </c>
    </row>
    <row r="59" ht="19.9" customHeight="1" s="21">
      <c r="A59" s="1" t="n">
        <v>158</v>
      </c>
      <c r="B59" s="1">
        <f>A59</f>
        <v/>
      </c>
      <c r="C59" s="1" t="inlineStr">
        <is>
          <t>vKLI1</t>
        </is>
      </c>
      <c r="D59" s="1" t="inlineStr">
        <is>
          <t>數值</t>
        </is>
      </c>
      <c r="E59" s="1" t="n">
        <v>4</v>
      </c>
      <c r="F59" s="1" t="n"/>
      <c r="G59" s="1" t="inlineStr">
        <is>
          <t>range</t>
        </is>
      </c>
      <c r="H59" s="1" t="inlineStr">
        <is>
          <t>0.5,7</t>
        </is>
      </c>
      <c r="I59" s="1" t="inlineStr">
        <is>
          <t>95</t>
        </is>
      </c>
      <c r="J59" s="1" t="inlineStr">
        <is>
          <t>97</t>
        </is>
      </c>
      <c r="K59" s="1" t="inlineStr">
        <is>
          <t>98</t>
        </is>
      </c>
      <c r="L59" s="2">
        <f>_xlfn.CONCAT(IF(D59="數值",CONCATENATE(G59&amp;"("&amp;C59&amp;","&amp;
IF(ISERROR(SEARCH(",",H59,1)),(H59&amp;","&amp;H59),H59)&amp;
IF(ISBLANK(I59),"",IF(ISERROR(SEARCH(",",I59,1)),CONCATENATE(","&amp;I59&amp;","&amp;I59),CONCATENATE(","&amp;I59))&amp;
IF(ISBLANK(J59),"",IF(ISERROR(SEARCH(",",J59,1)),CONCATENATE(","&amp;J59&amp;","&amp;J59),CONCATENATE(","&amp;J59))&amp;
IF(ISBLANK(K59),"",IF(ISERROR(SEARCH(",",K59,1)),CONCATENATE(","&amp;K59&amp;","&amp;K59),CONCATENATE(","&amp;K59))))))&amp;
")","")&amp;" "&amp;F59)</f>
        <v/>
      </c>
    </row>
    <row r="60" ht="19.9" customHeight="1" s="21">
      <c r="A60" s="1" t="n">
        <v>159</v>
      </c>
      <c r="B60" s="1">
        <f>A60</f>
        <v/>
      </c>
      <c r="C60" s="1" t="inlineStr">
        <is>
          <t>vKLI2</t>
        </is>
      </c>
      <c r="D60" s="1" t="inlineStr">
        <is>
          <t>數值</t>
        </is>
      </c>
      <c r="E60" s="1" t="n">
        <v>5</v>
      </c>
      <c r="F60" s="1" t="n"/>
      <c r="G60" s="1" t="inlineStr">
        <is>
          <t>range</t>
        </is>
      </c>
      <c r="H60" s="1" t="inlineStr">
        <is>
          <t>1,2359</t>
        </is>
      </c>
      <c r="I60" s="1" t="inlineStr">
        <is>
          <t>9797</t>
        </is>
      </c>
      <c r="J60" s="1" t="inlineStr">
        <is>
          <t>9898</t>
        </is>
      </c>
      <c r="L60" s="2">
        <f>_xlfn.CONCAT(IF(D60="數值",CONCATENATE(G60&amp;"("&amp;C60&amp;","&amp;
IF(ISERROR(SEARCH(",",H60,1)),(H60&amp;","&amp;H60),H60)&amp;
IF(ISBLANK(I60),"",IF(ISERROR(SEARCH(",",I60,1)),CONCATENATE(","&amp;I60&amp;","&amp;I60),CONCATENATE(","&amp;I60))&amp;
IF(ISBLANK(J60),"",IF(ISERROR(SEARCH(",",J60,1)),CONCATENATE(","&amp;J60&amp;","&amp;J60),CONCATENATE(","&amp;J60))&amp;
IF(ISBLANK(K60),"",IF(ISERROR(SEARCH(",",K60,1)),CONCATENATE(","&amp;K60&amp;","&amp;K60),CONCATENATE(","&amp;K60))))))&amp;
")","")&amp;" "&amp;F60)</f>
        <v/>
      </c>
    </row>
    <row r="61">
      <c r="A61" s="1" t="n">
        <v>160</v>
      </c>
      <c r="B61" s="1">
        <f>A61</f>
        <v/>
      </c>
      <c r="C61" s="1" t="inlineStr">
        <is>
          <t>vKFB1</t>
        </is>
      </c>
      <c r="D61" s="1" t="inlineStr">
        <is>
          <t>數值</t>
        </is>
      </c>
      <c r="E61" s="9" t="n">
        <v>4</v>
      </c>
      <c r="G61" s="1" t="inlineStr">
        <is>
          <t>range</t>
        </is>
      </c>
      <c r="H61" s="1" t="inlineStr">
        <is>
          <t>0.5,7</t>
        </is>
      </c>
      <c r="I61" s="14" t="inlineStr">
        <is>
          <t>95</t>
        </is>
      </c>
      <c r="J61" s="1" t="inlineStr">
        <is>
          <t>97</t>
        </is>
      </c>
      <c r="K61" s="1" t="inlineStr">
        <is>
          <t>98</t>
        </is>
      </c>
      <c r="L61" s="2">
        <f>_xlfn.CONCAT(IF(D61="數值",CONCATENATE(G61&amp;"("&amp;C61&amp;","&amp;
IF(ISERROR(SEARCH(",",H61,1)),(H61&amp;","&amp;H61),H61)&amp;
IF(ISBLANK(I61),"",IF(ISERROR(SEARCH(",",I61,1)),CONCATENATE(","&amp;I61&amp;","&amp;I61),CONCATENATE(","&amp;I61))&amp;
IF(ISBLANK(J61),"",IF(ISERROR(SEARCH(",",J61,1)),CONCATENATE(","&amp;J61&amp;","&amp;J61),CONCATENATE(","&amp;J61))&amp;
IF(ISBLANK(K61),"",IF(ISERROR(SEARCH(",",K61,1)),CONCATENATE(","&amp;K61&amp;","&amp;K61),CONCATENATE(","&amp;K61))))))&amp;
")","")&amp;" "&amp;F61)</f>
        <v/>
      </c>
    </row>
    <row r="62">
      <c r="A62" s="1" t="n">
        <v>161</v>
      </c>
      <c r="B62" s="1">
        <f>A62</f>
        <v/>
      </c>
      <c r="C62" s="1" t="inlineStr">
        <is>
          <t>vKFB2</t>
        </is>
      </c>
      <c r="D62" s="1" t="inlineStr">
        <is>
          <t>數值</t>
        </is>
      </c>
      <c r="E62" s="9" t="n">
        <v>5</v>
      </c>
      <c r="G62" s="1" t="inlineStr">
        <is>
          <t>range</t>
        </is>
      </c>
      <c r="H62" s="1" t="inlineStr">
        <is>
          <t>1,2359</t>
        </is>
      </c>
      <c r="I62" s="14" t="inlineStr">
        <is>
          <t>9797</t>
        </is>
      </c>
      <c r="J62" s="1" t="inlineStr">
        <is>
          <t>9898</t>
        </is>
      </c>
      <c r="L62" s="2">
        <f>_xlfn.CONCAT(IF(D62="數值",CONCATENATE(G62&amp;"("&amp;C62&amp;","&amp;
IF(ISERROR(SEARCH(",",H62,1)),(H62&amp;","&amp;H62),H62)&amp;
IF(ISBLANK(I62),"",IF(ISERROR(SEARCH(",",I62,1)),CONCATENATE(","&amp;I62&amp;","&amp;I62),CONCATENATE(","&amp;I62))&amp;
IF(ISBLANK(J62),"",IF(ISERROR(SEARCH(",",J62,1)),CONCATENATE(","&amp;J62&amp;","&amp;J62),CONCATENATE(","&amp;J62))&amp;
IF(ISBLANK(K62),"",IF(ISERROR(SEARCH(",",K62,1)),CONCATENATE(","&amp;K62&amp;","&amp;K62),CONCATENATE(","&amp;K62))))))&amp;
")","")&amp;" "&amp;F62)</f>
        <v/>
      </c>
    </row>
    <row r="63">
      <c r="A63" s="1" t="n">
        <v>162</v>
      </c>
      <c r="B63" s="1">
        <f>A63</f>
        <v/>
      </c>
      <c r="C63" s="1" t="inlineStr">
        <is>
          <t>vKFB3m01</t>
        </is>
      </c>
      <c r="D63" s="1" t="inlineStr">
        <is>
          <t>數值</t>
        </is>
      </c>
      <c r="E63" s="9" t="n">
        <v>2</v>
      </c>
      <c r="G63" s="1" t="inlineStr">
        <is>
          <t>range</t>
        </is>
      </c>
      <c r="H63" s="1" t="inlineStr">
        <is>
          <t>0,1</t>
        </is>
      </c>
      <c r="I63" s="14" t="n"/>
      <c r="L63" s="2">
        <f>_xlfn.CONCAT(IF(D63="數值",CONCATENATE(G63&amp;"("&amp;C63&amp;","&amp;
IF(ISERROR(SEARCH(",",H63,1)),(H63&amp;","&amp;H63),H63)&amp;
IF(ISBLANK(I63),"",IF(ISERROR(SEARCH(",",I63,1)),CONCATENATE(","&amp;I63&amp;","&amp;I63),CONCATENATE(","&amp;I63))&amp;
IF(ISBLANK(J63),"",IF(ISERROR(SEARCH(",",J63,1)),CONCATENATE(","&amp;J63&amp;","&amp;J63),CONCATENATE(","&amp;J63))&amp;
IF(ISBLANK(K63),"",IF(ISERROR(SEARCH(",",K63,1)),CONCATENATE(","&amp;K63&amp;","&amp;K63),CONCATENATE(","&amp;K63))))))&amp;
")","")&amp;" "&amp;F63)</f>
        <v/>
      </c>
    </row>
    <row r="64">
      <c r="A64" s="1" t="n">
        <v>163</v>
      </c>
      <c r="B64" s="1">
        <f>A64</f>
        <v/>
      </c>
      <c r="C64" s="1" t="inlineStr">
        <is>
          <t>vKFB3m02</t>
        </is>
      </c>
      <c r="D64" s="1" t="inlineStr">
        <is>
          <t>數值</t>
        </is>
      </c>
      <c r="E64" s="9" t="n">
        <v>2</v>
      </c>
      <c r="G64" s="1" t="inlineStr">
        <is>
          <t>range</t>
        </is>
      </c>
      <c r="H64" s="1" t="inlineStr">
        <is>
          <t>0,1</t>
        </is>
      </c>
      <c r="L64" s="2">
        <f>_xlfn.CONCAT(IF(D64="數值",CONCATENATE(G64&amp;"("&amp;C64&amp;","&amp;
IF(ISERROR(SEARCH(",",H64,1)),(H64&amp;","&amp;H64),H64)&amp;
IF(ISBLANK(I64),"",IF(ISERROR(SEARCH(",",I64,1)),CONCATENATE(","&amp;I64&amp;","&amp;I64),CONCATENATE(","&amp;I64))&amp;
IF(ISBLANK(J64),"",IF(ISERROR(SEARCH(",",J64,1)),CONCATENATE(","&amp;J64&amp;","&amp;J64),CONCATENATE(","&amp;J64))&amp;
IF(ISBLANK(K64),"",IF(ISERROR(SEARCH(",",K64,1)),CONCATENATE(","&amp;K64&amp;","&amp;K64),CONCATENATE(","&amp;K64))))))&amp;
")","")&amp;" "&amp;F64)</f>
        <v/>
      </c>
    </row>
    <row r="65">
      <c r="A65" s="1" t="n">
        <v>164</v>
      </c>
      <c r="B65" s="1">
        <f>A65</f>
        <v/>
      </c>
      <c r="C65" s="1" t="inlineStr">
        <is>
          <t>vKFB3m03</t>
        </is>
      </c>
      <c r="D65" s="1" t="inlineStr">
        <is>
          <t>數值</t>
        </is>
      </c>
      <c r="E65" s="9" t="n">
        <v>2</v>
      </c>
      <c r="G65" s="1" t="inlineStr">
        <is>
          <t>range</t>
        </is>
      </c>
      <c r="H65" s="1" t="inlineStr">
        <is>
          <t>0,1</t>
        </is>
      </c>
      <c r="L65" s="2">
        <f>_xlfn.CONCAT(IF(D65="數值",CONCATENATE(G65&amp;"("&amp;C65&amp;","&amp;
IF(ISERROR(SEARCH(",",H65,1)),(H65&amp;","&amp;H65),H65)&amp;
IF(ISBLANK(I65),"",IF(ISERROR(SEARCH(",",I65,1)),CONCATENATE(","&amp;I65&amp;","&amp;I65),CONCATENATE(","&amp;I65))&amp;
IF(ISBLANK(J65),"",IF(ISERROR(SEARCH(",",J65,1)),CONCATENATE(","&amp;J65&amp;","&amp;J65),CONCATENATE(","&amp;J65))&amp;
IF(ISBLANK(K65),"",IF(ISERROR(SEARCH(",",K65,1)),CONCATENATE(","&amp;K65&amp;","&amp;K65),CONCATENATE(","&amp;K65))))))&amp;
")","")&amp;" "&amp;F65)</f>
        <v/>
      </c>
    </row>
    <row r="66">
      <c r="A66" s="1" t="n">
        <v>165</v>
      </c>
      <c r="B66" s="1">
        <f>A66</f>
        <v/>
      </c>
      <c r="C66" s="1" t="inlineStr">
        <is>
          <t>vKFB3m04</t>
        </is>
      </c>
      <c r="D66" s="1" t="inlineStr">
        <is>
          <t>數值</t>
        </is>
      </c>
      <c r="E66" s="9" t="n">
        <v>2</v>
      </c>
      <c r="G66" s="1" t="inlineStr">
        <is>
          <t>range</t>
        </is>
      </c>
      <c r="H66" s="1" t="inlineStr">
        <is>
          <t>0,1</t>
        </is>
      </c>
      <c r="L66" s="2">
        <f>_xlfn.CONCAT(IF(D66="數值",CONCATENATE(G66&amp;"("&amp;C66&amp;","&amp;
IF(ISERROR(SEARCH(",",H66,1)),(H66&amp;","&amp;H66),H66)&amp;
IF(ISBLANK(I66),"",IF(ISERROR(SEARCH(",",I66,1)),CONCATENATE(","&amp;I66&amp;","&amp;I66),CONCATENATE(","&amp;I66))&amp;
IF(ISBLANK(J66),"",IF(ISERROR(SEARCH(",",J66,1)),CONCATENATE(","&amp;J66&amp;","&amp;J66),CONCATENATE(","&amp;J66))&amp;
IF(ISBLANK(K66),"",IF(ISERROR(SEARCH(",",K66,1)),CONCATENATE(","&amp;K66&amp;","&amp;K66),CONCATENATE(","&amp;K66))))))&amp;
")","")&amp;" "&amp;F66)</f>
        <v/>
      </c>
    </row>
    <row r="67">
      <c r="A67" s="1" t="n">
        <v>166</v>
      </c>
      <c r="B67" s="1">
        <f>A67</f>
        <v/>
      </c>
      <c r="C67" s="1" t="inlineStr">
        <is>
          <t>vKFB3m05</t>
        </is>
      </c>
      <c r="D67" s="1" t="inlineStr">
        <is>
          <t>數值</t>
        </is>
      </c>
      <c r="E67" s="9" t="n">
        <v>2</v>
      </c>
      <c r="G67" s="1" t="inlineStr">
        <is>
          <t>range</t>
        </is>
      </c>
      <c r="H67" s="1" t="inlineStr">
        <is>
          <t>0,1</t>
        </is>
      </c>
      <c r="L67" s="2">
        <f>_xlfn.CONCAT(IF(D67="數值",CONCATENATE(G67&amp;"("&amp;C67&amp;","&amp;
IF(ISERROR(SEARCH(",",H67,1)),(H67&amp;","&amp;H67),H67)&amp;
IF(ISBLANK(I67),"",IF(ISERROR(SEARCH(",",I67,1)),CONCATENATE(","&amp;I67&amp;","&amp;I67),CONCATENATE(","&amp;I67))&amp;
IF(ISBLANK(J67),"",IF(ISERROR(SEARCH(",",J67,1)),CONCATENATE(","&amp;J67&amp;","&amp;J67),CONCATENATE(","&amp;J67))&amp;
IF(ISBLANK(K67),"",IF(ISERROR(SEARCH(",",K67,1)),CONCATENATE(","&amp;K67&amp;","&amp;K67),CONCATENATE(","&amp;K67))))))&amp;
")","")&amp;" "&amp;F67)</f>
        <v/>
      </c>
    </row>
    <row r="68">
      <c r="A68" s="1" t="n">
        <v>167</v>
      </c>
      <c r="B68" s="1">
        <f>A68</f>
        <v/>
      </c>
      <c r="C68" s="1" t="inlineStr">
        <is>
          <t>vKFB3m06</t>
        </is>
      </c>
      <c r="D68" s="1" t="inlineStr">
        <is>
          <t>數值</t>
        </is>
      </c>
      <c r="E68" s="9" t="n">
        <v>2</v>
      </c>
      <c r="G68" s="1" t="inlineStr">
        <is>
          <t>range</t>
        </is>
      </c>
      <c r="H68" s="1" t="inlineStr">
        <is>
          <t>0,1</t>
        </is>
      </c>
      <c r="I68" s="14" t="n"/>
      <c r="L68" s="2">
        <f>_xlfn.CONCAT(IF(D68="數值",CONCATENATE(G68&amp;"("&amp;C68&amp;","&amp;
IF(ISERROR(SEARCH(",",H68,1)),(H68&amp;","&amp;H68),H68)&amp;
IF(ISBLANK(I68),"",IF(ISERROR(SEARCH(",",I68,1)),CONCATENATE(","&amp;I68&amp;","&amp;I68),CONCATENATE(","&amp;I68))&amp;
IF(ISBLANK(J68),"",IF(ISERROR(SEARCH(",",J68,1)),CONCATENATE(","&amp;J68&amp;","&amp;J68),CONCATENATE(","&amp;J68))&amp;
IF(ISBLANK(K68),"",IF(ISERROR(SEARCH(",",K68,1)),CONCATENATE(","&amp;K68&amp;","&amp;K68),CONCATENATE(","&amp;K68))))))&amp;
")","")&amp;" "&amp;F68)</f>
        <v/>
      </c>
    </row>
    <row r="69">
      <c r="A69" s="1" t="n">
        <v>168</v>
      </c>
      <c r="B69" s="1">
        <f>A69</f>
        <v/>
      </c>
      <c r="C69" s="1" t="inlineStr">
        <is>
          <t>vKFB3m07</t>
        </is>
      </c>
      <c r="D69" s="1" t="inlineStr">
        <is>
          <t>數值</t>
        </is>
      </c>
      <c r="E69" s="9" t="n">
        <v>2</v>
      </c>
      <c r="G69" s="1" t="inlineStr">
        <is>
          <t>range</t>
        </is>
      </c>
      <c r="H69" s="1" t="inlineStr">
        <is>
          <t>0,1</t>
        </is>
      </c>
      <c r="I69" s="14" t="n"/>
      <c r="L69" s="2">
        <f>_xlfn.CONCAT(IF(D69="數值",CONCATENATE(G69&amp;"("&amp;C69&amp;","&amp;
IF(ISERROR(SEARCH(",",H69,1)),(H69&amp;","&amp;H69),H69)&amp;
IF(ISBLANK(I69),"",IF(ISERROR(SEARCH(",",I69,1)),CONCATENATE(","&amp;I69&amp;","&amp;I69),CONCATENATE(","&amp;I69))&amp;
IF(ISBLANK(J69),"",IF(ISERROR(SEARCH(",",J69,1)),CONCATENATE(","&amp;J69&amp;","&amp;J69),CONCATENATE(","&amp;J69))&amp;
IF(ISBLANK(K69),"",IF(ISERROR(SEARCH(",",K69,1)),CONCATENATE(","&amp;K69&amp;","&amp;K69),CONCATENATE(","&amp;K69))))))&amp;
")","")&amp;" "&amp;F69)</f>
        <v/>
      </c>
    </row>
    <row r="70">
      <c r="A70" s="1" t="n">
        <v>169</v>
      </c>
      <c r="B70" s="1">
        <f>A70</f>
        <v/>
      </c>
      <c r="C70" s="1" t="inlineStr">
        <is>
          <t>vKFB3m08</t>
        </is>
      </c>
      <c r="D70" s="1" t="inlineStr">
        <is>
          <t>數值</t>
        </is>
      </c>
      <c r="E70" s="9" t="n">
        <v>2</v>
      </c>
      <c r="G70" s="1" t="inlineStr">
        <is>
          <t>range</t>
        </is>
      </c>
      <c r="H70" s="1" t="inlineStr">
        <is>
          <t>0,1</t>
        </is>
      </c>
      <c r="I70" s="14" t="n"/>
      <c r="L70" s="2">
        <f>_xlfn.CONCAT(IF(D70="數值",CONCATENATE(G70&amp;"("&amp;C70&amp;","&amp;
IF(ISERROR(SEARCH(",",H70,1)),(H70&amp;","&amp;H70),H70)&amp;
IF(ISBLANK(I70),"",IF(ISERROR(SEARCH(",",I70,1)),CONCATENATE(","&amp;I70&amp;","&amp;I70),CONCATENATE(","&amp;I70))&amp;
IF(ISBLANK(J70),"",IF(ISERROR(SEARCH(",",J70,1)),CONCATENATE(","&amp;J70&amp;","&amp;J70),CONCATENATE(","&amp;J70))&amp;
IF(ISBLANK(K70),"",IF(ISERROR(SEARCH(",",K70,1)),CONCATENATE(","&amp;K70&amp;","&amp;K70),CONCATENATE(","&amp;K70))))))&amp;
")","")&amp;" "&amp;F70)</f>
        <v/>
      </c>
    </row>
    <row r="71">
      <c r="A71" s="1" t="n">
        <v>170</v>
      </c>
      <c r="B71" s="1">
        <f>A71</f>
        <v/>
      </c>
      <c r="C71" s="1" t="inlineStr">
        <is>
          <t>vKFB3m09</t>
        </is>
      </c>
      <c r="D71" s="1" t="inlineStr">
        <is>
          <t>數值</t>
        </is>
      </c>
      <c r="E71" s="9" t="n">
        <v>2</v>
      </c>
      <c r="G71" s="1" t="inlineStr">
        <is>
          <t>range</t>
        </is>
      </c>
      <c r="H71" s="1" t="inlineStr">
        <is>
          <t>0,1</t>
        </is>
      </c>
      <c r="I71" s="14" t="n"/>
      <c r="L71" s="2">
        <f>_xlfn.CONCAT(IF(D71="數值",CONCATENATE(G71&amp;"("&amp;C71&amp;","&amp;
IF(ISERROR(SEARCH(",",H71,1)),(H71&amp;","&amp;H71),H71)&amp;
IF(ISBLANK(I71),"",IF(ISERROR(SEARCH(",",I71,1)),CONCATENATE(","&amp;I71&amp;","&amp;I71),CONCATENATE(","&amp;I71))&amp;
IF(ISBLANK(J71),"",IF(ISERROR(SEARCH(",",J71,1)),CONCATENATE(","&amp;J71&amp;","&amp;J71),CONCATENATE(","&amp;J71))&amp;
IF(ISBLANK(K71),"",IF(ISERROR(SEARCH(",",K71,1)),CONCATENATE(","&amp;K71&amp;","&amp;K71),CONCATENATE(","&amp;K71))))))&amp;
")","")&amp;" "&amp;F71)</f>
        <v/>
      </c>
    </row>
    <row r="72">
      <c r="A72" s="1" t="n">
        <v>171</v>
      </c>
      <c r="B72" s="1">
        <f>A72</f>
        <v/>
      </c>
      <c r="C72" s="1" t="inlineStr">
        <is>
          <t>vKFB3m10</t>
        </is>
      </c>
      <c r="D72" s="1" t="inlineStr">
        <is>
          <t>數值</t>
        </is>
      </c>
      <c r="E72" s="9" t="n">
        <v>2</v>
      </c>
      <c r="G72" s="1" t="inlineStr">
        <is>
          <t>range</t>
        </is>
      </c>
      <c r="H72" s="1" t="inlineStr">
        <is>
          <t>0,1</t>
        </is>
      </c>
      <c r="I72" s="1" t="inlineStr">
        <is>
          <t>96</t>
        </is>
      </c>
      <c r="L72" s="2">
        <f>_xlfn.CONCAT(IF(D72="數值",CONCATENATE(G72&amp;"("&amp;C72&amp;","&amp;
IF(ISERROR(SEARCH(",",H72,1)),(H72&amp;","&amp;H72),H72)&amp;
IF(ISBLANK(I72),"",IF(ISERROR(SEARCH(",",I72,1)),CONCATENATE(","&amp;I72&amp;","&amp;I72),CONCATENATE(","&amp;I72))&amp;
IF(ISBLANK(J72),"",IF(ISERROR(SEARCH(",",J72,1)),CONCATENATE(","&amp;J72&amp;","&amp;J72),CONCATENATE(","&amp;J72))&amp;
IF(ISBLANK(K72),"",IF(ISERROR(SEARCH(",",K72,1)),CONCATENATE(","&amp;K72&amp;","&amp;K72),CONCATENATE(","&amp;K72))))))&amp;
")","")&amp;" "&amp;F72)</f>
        <v/>
      </c>
    </row>
    <row r="73">
      <c r="A73" s="1" t="n">
        <v>172</v>
      </c>
      <c r="B73" s="1">
        <f>A73</f>
        <v/>
      </c>
      <c r="C73" s="1" t="inlineStr">
        <is>
          <t>vKFB3m11</t>
        </is>
      </c>
      <c r="D73" s="1" t="inlineStr">
        <is>
          <t>數值</t>
        </is>
      </c>
      <c r="E73" s="9" t="n">
        <v>2</v>
      </c>
      <c r="G73" s="1" t="inlineStr">
        <is>
          <t>range</t>
        </is>
      </c>
      <c r="H73" s="1" t="inlineStr">
        <is>
          <t>0,1</t>
        </is>
      </c>
      <c r="I73" s="1" t="inlineStr">
        <is>
          <t>96</t>
        </is>
      </c>
      <c r="L73" s="2">
        <f>_xlfn.CONCAT(IF(D73="數值",CONCATENATE(G73&amp;"("&amp;C73&amp;","&amp;
IF(ISERROR(SEARCH(",",H73,1)),(H73&amp;","&amp;H73),H73)&amp;
IF(ISBLANK(I73),"",IF(ISERROR(SEARCH(",",I73,1)),CONCATENATE(","&amp;I73&amp;","&amp;I73),CONCATENATE(","&amp;I73))&amp;
IF(ISBLANK(J73),"",IF(ISERROR(SEARCH(",",J73,1)),CONCATENATE(","&amp;J73&amp;","&amp;J73),CONCATENATE(","&amp;J73))&amp;
IF(ISBLANK(K73),"",IF(ISERROR(SEARCH(",",K73,1)),CONCATENATE(","&amp;K73&amp;","&amp;K73),CONCATENATE(","&amp;K73))))))&amp;
")","")&amp;" "&amp;F73)</f>
        <v/>
      </c>
    </row>
    <row r="74">
      <c r="A74" s="1" t="n">
        <v>173</v>
      </c>
      <c r="B74" s="1">
        <f>A74</f>
        <v/>
      </c>
      <c r="C74" s="1" t="inlineStr">
        <is>
          <t>vKFB3m12</t>
        </is>
      </c>
      <c r="D74" s="1" t="inlineStr">
        <is>
          <t>數值</t>
        </is>
      </c>
      <c r="E74" s="9" t="n">
        <v>2</v>
      </c>
      <c r="G74" s="1" t="inlineStr">
        <is>
          <t>range</t>
        </is>
      </c>
      <c r="H74" s="1" t="inlineStr">
        <is>
          <t>0,1</t>
        </is>
      </c>
      <c r="I74" s="1" t="inlineStr">
        <is>
          <t>96</t>
        </is>
      </c>
      <c r="L74" s="2">
        <f>_xlfn.CONCAT(IF(D74="數值",CONCATENATE(G74&amp;"("&amp;C74&amp;","&amp;
IF(ISERROR(SEARCH(",",H74,1)),(H74&amp;","&amp;H74),H74)&amp;
IF(ISBLANK(I74),"",IF(ISERROR(SEARCH(",",I74,1)),CONCATENATE(","&amp;I74&amp;","&amp;I74),CONCATENATE(","&amp;I74))&amp;
IF(ISBLANK(J74),"",IF(ISERROR(SEARCH(",",J74,1)),CONCATENATE(","&amp;J74&amp;","&amp;J74),CONCATENATE(","&amp;J74))&amp;
IF(ISBLANK(K74),"",IF(ISERROR(SEARCH(",",K74,1)),CONCATENATE(","&amp;K74&amp;","&amp;K74),CONCATENATE(","&amp;K74))))))&amp;
")","")&amp;" "&amp;F74)</f>
        <v/>
      </c>
    </row>
    <row r="75">
      <c r="A75" s="1" t="n">
        <v>174</v>
      </c>
      <c r="B75" s="1">
        <f>A75</f>
        <v/>
      </c>
      <c r="C75" s="1" t="inlineStr">
        <is>
          <t>vKFB3m13</t>
        </is>
      </c>
      <c r="D75" s="1" t="inlineStr">
        <is>
          <t>數值</t>
        </is>
      </c>
      <c r="E75" s="9" t="n">
        <v>2</v>
      </c>
      <c r="G75" s="1" t="inlineStr">
        <is>
          <t>range</t>
        </is>
      </c>
      <c r="H75" s="1" t="inlineStr">
        <is>
          <t>0,1</t>
        </is>
      </c>
      <c r="I75" s="1" t="inlineStr">
        <is>
          <t>96</t>
        </is>
      </c>
      <c r="L75" s="2">
        <f>_xlfn.CONCAT(IF(D75="數值",CONCATENATE(G75&amp;"("&amp;C75&amp;","&amp;
IF(ISERROR(SEARCH(",",H75,1)),(H75&amp;","&amp;H75),H75)&amp;
IF(ISBLANK(I75),"",IF(ISERROR(SEARCH(",",I75,1)),CONCATENATE(","&amp;I75&amp;","&amp;I75),CONCATENATE(","&amp;I75))&amp;
IF(ISBLANK(J75),"",IF(ISERROR(SEARCH(",",J75,1)),CONCATENATE(","&amp;J75&amp;","&amp;J75),CONCATENATE(","&amp;J75))&amp;
IF(ISBLANK(K75),"",IF(ISERROR(SEARCH(",",K75,1)),CONCATENATE(","&amp;K75&amp;","&amp;K75),CONCATENATE(","&amp;K75))))))&amp;
")","")&amp;" "&amp;F75)</f>
        <v/>
      </c>
    </row>
    <row r="76">
      <c r="A76" s="1" t="n">
        <v>175</v>
      </c>
      <c r="B76" s="1">
        <f>A76</f>
        <v/>
      </c>
      <c r="C76" s="1" t="inlineStr">
        <is>
          <t>vKFB3m14</t>
        </is>
      </c>
      <c r="D76" s="1" t="inlineStr">
        <is>
          <t>數值</t>
        </is>
      </c>
      <c r="E76" s="9" t="n">
        <v>2</v>
      </c>
      <c r="G76" s="1" t="inlineStr">
        <is>
          <t>range</t>
        </is>
      </c>
      <c r="H76" s="1" t="inlineStr">
        <is>
          <t>0,1</t>
        </is>
      </c>
      <c r="I76" s="1" t="inlineStr">
        <is>
          <t>96</t>
        </is>
      </c>
      <c r="L76" s="2">
        <f>_xlfn.CONCAT(IF(D76="數值",CONCATENATE(G76&amp;"("&amp;C76&amp;","&amp;
IF(ISERROR(SEARCH(",",H76,1)),(H76&amp;","&amp;H76),H76)&amp;
IF(ISBLANK(I76),"",IF(ISERROR(SEARCH(",",I76,1)),CONCATENATE(","&amp;I76&amp;","&amp;I76),CONCATENATE(","&amp;I76))&amp;
IF(ISBLANK(J76),"",IF(ISERROR(SEARCH(",",J76,1)),CONCATENATE(","&amp;J76&amp;","&amp;J76),CONCATENATE(","&amp;J76))&amp;
IF(ISBLANK(K76),"",IF(ISERROR(SEARCH(",",K76,1)),CONCATENATE(","&amp;K76&amp;","&amp;K76),CONCATENATE(","&amp;K76))))))&amp;
")","")&amp;" "&amp;F76)</f>
        <v/>
      </c>
    </row>
    <row r="77">
      <c r="A77" s="1" t="n">
        <v>176</v>
      </c>
      <c r="B77" s="1">
        <f>A77</f>
        <v/>
      </c>
      <c r="C77" s="1" t="inlineStr">
        <is>
          <t>vKFB3m15</t>
        </is>
      </c>
      <c r="D77" s="1" t="inlineStr">
        <is>
          <t>數值</t>
        </is>
      </c>
      <c r="E77" s="9" t="n">
        <v>2</v>
      </c>
      <c r="G77" s="1" t="inlineStr">
        <is>
          <t>range</t>
        </is>
      </c>
      <c r="H77" s="1" t="inlineStr">
        <is>
          <t>0,1</t>
        </is>
      </c>
      <c r="I77" s="1" t="inlineStr">
        <is>
          <t>96</t>
        </is>
      </c>
      <c r="L77" s="2">
        <f>_xlfn.CONCAT(IF(D77="數值",CONCATENATE(G77&amp;"("&amp;C77&amp;","&amp;
IF(ISERROR(SEARCH(",",H77,1)),(H77&amp;","&amp;H77),H77)&amp;
IF(ISBLANK(I77),"",IF(ISERROR(SEARCH(",",I77,1)),CONCATENATE(","&amp;I77&amp;","&amp;I77),CONCATENATE(","&amp;I77))&amp;
IF(ISBLANK(J77),"",IF(ISERROR(SEARCH(",",J77,1)),CONCATENATE(","&amp;J77&amp;","&amp;J77),CONCATENATE(","&amp;J77))&amp;
IF(ISBLANK(K77),"",IF(ISERROR(SEARCH(",",K77,1)),CONCATENATE(","&amp;K77&amp;","&amp;K77),CONCATENATE(","&amp;K77))))))&amp;
")","")&amp;" "&amp;F77)</f>
        <v/>
      </c>
    </row>
    <row r="78">
      <c r="A78" s="1" t="n">
        <v>177</v>
      </c>
      <c r="B78" s="1">
        <f>A78</f>
        <v/>
      </c>
      <c r="C78" s="1" t="inlineStr">
        <is>
          <t>vKFB3m16</t>
        </is>
      </c>
      <c r="D78" s="1" t="inlineStr">
        <is>
          <t>數值</t>
        </is>
      </c>
      <c r="E78" s="9" t="n">
        <v>2</v>
      </c>
      <c r="G78" s="1" t="inlineStr">
        <is>
          <t>range</t>
        </is>
      </c>
      <c r="H78" s="1" t="inlineStr">
        <is>
          <t>0,1</t>
        </is>
      </c>
      <c r="I78" s="1" t="inlineStr">
        <is>
          <t>96</t>
        </is>
      </c>
      <c r="L78" s="2">
        <f>_xlfn.CONCAT(IF(D78="數值",CONCATENATE(G78&amp;"("&amp;C78&amp;","&amp;
IF(ISERROR(SEARCH(",",H78,1)),(H78&amp;","&amp;H78),H78)&amp;
IF(ISBLANK(I78),"",IF(ISERROR(SEARCH(",",I78,1)),CONCATENATE(","&amp;I78&amp;","&amp;I78),CONCATENATE(","&amp;I78))&amp;
IF(ISBLANK(J78),"",IF(ISERROR(SEARCH(",",J78,1)),CONCATENATE(","&amp;J78&amp;","&amp;J78),CONCATENATE(","&amp;J78))&amp;
IF(ISBLANK(K78),"",IF(ISERROR(SEARCH(",",K78,1)),CONCATENATE(","&amp;K78&amp;","&amp;K78),CONCATENATE(","&amp;K78))))))&amp;
")","")&amp;" "&amp;F78)</f>
        <v/>
      </c>
    </row>
    <row r="79">
      <c r="A79" s="1" t="n">
        <v>178</v>
      </c>
      <c r="B79" s="1">
        <f>A79</f>
        <v/>
      </c>
      <c r="C79" s="1" t="inlineStr">
        <is>
          <t>vKFB3m17</t>
        </is>
      </c>
      <c r="D79" s="1" t="inlineStr">
        <is>
          <t>數值</t>
        </is>
      </c>
      <c r="E79" s="9" t="n">
        <v>2</v>
      </c>
      <c r="G79" s="1" t="inlineStr">
        <is>
          <t>range</t>
        </is>
      </c>
      <c r="H79" s="1" t="inlineStr">
        <is>
          <t>0,1</t>
        </is>
      </c>
      <c r="I79" s="1" t="inlineStr">
        <is>
          <t>96</t>
        </is>
      </c>
      <c r="L79" s="2">
        <f>_xlfn.CONCAT(IF(D79="數值",CONCATENATE(G79&amp;"("&amp;C79&amp;","&amp;
IF(ISERROR(SEARCH(",",H79,1)),(H79&amp;","&amp;H79),H79)&amp;
IF(ISBLANK(I79),"",IF(ISERROR(SEARCH(",",I79,1)),CONCATENATE(","&amp;I79&amp;","&amp;I79),CONCATENATE(","&amp;I79))&amp;
IF(ISBLANK(J79),"",IF(ISERROR(SEARCH(",",J79,1)),CONCATENATE(","&amp;J79&amp;","&amp;J79),CONCATENATE(","&amp;J79))&amp;
IF(ISBLANK(K79),"",IF(ISERROR(SEARCH(",",K79,1)),CONCATENATE(","&amp;K79&amp;","&amp;K79),CONCATENATE(","&amp;K79))))))&amp;
")","")&amp;" "&amp;F79)</f>
        <v/>
      </c>
    </row>
    <row r="80">
      <c r="A80" s="1" t="n">
        <v>179</v>
      </c>
      <c r="B80" s="1">
        <f>A80</f>
        <v/>
      </c>
      <c r="C80" s="1" t="inlineStr">
        <is>
          <t>vKFB3m88</t>
        </is>
      </c>
      <c r="D80" s="1" t="inlineStr">
        <is>
          <t>數值</t>
        </is>
      </c>
      <c r="E80" s="9" t="n">
        <v>2</v>
      </c>
      <c r="G80" s="1" t="inlineStr">
        <is>
          <t>range</t>
        </is>
      </c>
      <c r="H80" s="1" t="inlineStr">
        <is>
          <t>0,1</t>
        </is>
      </c>
      <c r="I80" s="1" t="inlineStr">
        <is>
          <t>96</t>
        </is>
      </c>
      <c r="L80" s="2">
        <f>_xlfn.CONCAT(IF(D80="數值",CONCATENATE(G80&amp;"("&amp;C80&amp;","&amp;
IF(ISERROR(SEARCH(",",H80,1)),(H80&amp;","&amp;H80),H80)&amp;
IF(ISBLANK(I80),"",IF(ISERROR(SEARCH(",",I80,1)),CONCATENATE(","&amp;I80&amp;","&amp;I80),CONCATENATE(","&amp;I80))&amp;
IF(ISBLANK(J80),"",IF(ISERROR(SEARCH(",",J80,1)),CONCATENATE(","&amp;J80&amp;","&amp;J80),CONCATENATE(","&amp;J80))&amp;
IF(ISBLANK(K80),"",IF(ISERROR(SEARCH(",",K80,1)),CONCATENATE(","&amp;K80&amp;","&amp;K80),CONCATENATE(","&amp;K80))))))&amp;
")","")&amp;" "&amp;F80)</f>
        <v/>
      </c>
    </row>
    <row r="81">
      <c r="A81" s="1" t="n">
        <v>180</v>
      </c>
      <c r="B81" s="1">
        <f>A81</f>
        <v/>
      </c>
      <c r="C81" s="1" t="inlineStr">
        <is>
          <t>vKFB4m01</t>
        </is>
      </c>
      <c r="D81" s="1" t="inlineStr">
        <is>
          <t>數值</t>
        </is>
      </c>
      <c r="E81" s="9" t="n">
        <v>2</v>
      </c>
      <c r="G81" s="1" t="inlineStr">
        <is>
          <t>range</t>
        </is>
      </c>
      <c r="H81" s="1" t="inlineStr">
        <is>
          <t>0,1</t>
        </is>
      </c>
      <c r="L81" s="2">
        <f>_xlfn.CONCAT(IF(D81="數值",CONCATENATE(G81&amp;"("&amp;C81&amp;","&amp;
IF(ISERROR(SEARCH(",",H81,1)),(H81&amp;","&amp;H81),H81)&amp;
IF(ISBLANK(I81),"",IF(ISERROR(SEARCH(",",I81,1)),CONCATENATE(","&amp;I81&amp;","&amp;I81),CONCATENATE(","&amp;I81))&amp;
IF(ISBLANK(J81),"",IF(ISERROR(SEARCH(",",J81,1)),CONCATENATE(","&amp;J81&amp;","&amp;J81),CONCATENATE(","&amp;J81))&amp;
IF(ISBLANK(K81),"",IF(ISERROR(SEARCH(",",K81,1)),CONCATENATE(","&amp;K81&amp;","&amp;K81),CONCATENATE(","&amp;K81))))))&amp;
")","")&amp;" "&amp;F81)</f>
        <v/>
      </c>
    </row>
    <row r="82">
      <c r="A82" s="1" t="n">
        <v>181</v>
      </c>
      <c r="B82" s="1">
        <f>A82</f>
        <v/>
      </c>
      <c r="C82" s="1" t="inlineStr">
        <is>
          <t>vKFB4m02</t>
        </is>
      </c>
      <c r="D82" s="1" t="inlineStr">
        <is>
          <t>數值</t>
        </is>
      </c>
      <c r="E82" s="9" t="n">
        <v>2</v>
      </c>
      <c r="G82" s="1" t="inlineStr">
        <is>
          <t>range</t>
        </is>
      </c>
      <c r="H82" s="1" t="inlineStr">
        <is>
          <t>0,1</t>
        </is>
      </c>
      <c r="L82" s="2">
        <f>_xlfn.CONCAT(IF(D82="數值",CONCATENATE(G82&amp;"("&amp;C82&amp;","&amp;
IF(ISERROR(SEARCH(",",H82,1)),(H82&amp;","&amp;H82),H82)&amp;
IF(ISBLANK(I82),"",IF(ISERROR(SEARCH(",",I82,1)),CONCATENATE(","&amp;I82&amp;","&amp;I82),CONCATENATE(","&amp;I82))&amp;
IF(ISBLANK(J82),"",IF(ISERROR(SEARCH(",",J82,1)),CONCATENATE(","&amp;J82&amp;","&amp;J82),CONCATENATE(","&amp;J82))&amp;
IF(ISBLANK(K82),"",IF(ISERROR(SEARCH(",",K82,1)),CONCATENATE(","&amp;K82&amp;","&amp;K82),CONCATENATE(","&amp;K82))))))&amp;
")","")&amp;" "&amp;F82)</f>
        <v/>
      </c>
    </row>
    <row r="83">
      <c r="A83" s="1" t="n">
        <v>182</v>
      </c>
      <c r="B83" s="1">
        <f>A83</f>
        <v/>
      </c>
      <c r="C83" s="1" t="inlineStr">
        <is>
          <t>vKFB4m03</t>
        </is>
      </c>
      <c r="D83" s="1" t="inlineStr">
        <is>
          <t>數值</t>
        </is>
      </c>
      <c r="E83" s="9" t="n">
        <v>2</v>
      </c>
      <c r="G83" s="1" t="inlineStr">
        <is>
          <t>range</t>
        </is>
      </c>
      <c r="H83" s="1" t="inlineStr">
        <is>
          <t>0,1</t>
        </is>
      </c>
      <c r="L83" s="2">
        <f>_xlfn.CONCAT(IF(D83="數值",CONCATENATE(G83&amp;"("&amp;C83&amp;","&amp;
IF(ISERROR(SEARCH(",",H83,1)),(H83&amp;","&amp;H83),H83)&amp;
IF(ISBLANK(I83),"",IF(ISERROR(SEARCH(",",I83,1)),CONCATENATE(","&amp;I83&amp;","&amp;I83),CONCATENATE(","&amp;I83))&amp;
IF(ISBLANK(J83),"",IF(ISERROR(SEARCH(",",J83,1)),CONCATENATE(","&amp;J83&amp;","&amp;J83),CONCATENATE(","&amp;J83))&amp;
IF(ISBLANK(K83),"",IF(ISERROR(SEARCH(",",K83,1)),CONCATENATE(","&amp;K83&amp;","&amp;K83),CONCATENATE(","&amp;K83))))))&amp;
")","")&amp;" "&amp;F83)</f>
        <v/>
      </c>
    </row>
    <row r="84">
      <c r="A84" s="1" t="n">
        <v>183</v>
      </c>
      <c r="B84" s="1">
        <f>A84</f>
        <v/>
      </c>
      <c r="C84" s="1" t="inlineStr">
        <is>
          <t>vKFB4m04</t>
        </is>
      </c>
      <c r="D84" s="1" t="inlineStr">
        <is>
          <t>數值</t>
        </is>
      </c>
      <c r="E84" s="9" t="n">
        <v>2</v>
      </c>
      <c r="G84" s="1" t="inlineStr">
        <is>
          <t>range</t>
        </is>
      </c>
      <c r="H84" s="1" t="inlineStr">
        <is>
          <t>0,1</t>
        </is>
      </c>
      <c r="L84" s="2">
        <f>_xlfn.CONCAT(IF(D84="數值",CONCATENATE(G84&amp;"("&amp;C84&amp;","&amp;
IF(ISERROR(SEARCH(",",H84,1)),(H84&amp;","&amp;H84),H84)&amp;
IF(ISBLANK(I84),"",IF(ISERROR(SEARCH(",",I84,1)),CONCATENATE(","&amp;I84&amp;","&amp;I84),CONCATENATE(","&amp;I84))&amp;
IF(ISBLANK(J84),"",IF(ISERROR(SEARCH(",",J84,1)),CONCATENATE(","&amp;J84&amp;","&amp;J84),CONCATENATE(","&amp;J84))&amp;
IF(ISBLANK(K84),"",IF(ISERROR(SEARCH(",",K84,1)),CONCATENATE(","&amp;K84&amp;","&amp;K84),CONCATENATE(","&amp;K84))))))&amp;
")","")&amp;" "&amp;F84)</f>
        <v/>
      </c>
    </row>
    <row r="85">
      <c r="A85" s="1" t="n">
        <v>184</v>
      </c>
      <c r="B85" s="1">
        <f>A85</f>
        <v/>
      </c>
      <c r="C85" s="1" t="inlineStr">
        <is>
          <t>vKFB4m05</t>
        </is>
      </c>
      <c r="D85" s="1" t="inlineStr">
        <is>
          <t>數值</t>
        </is>
      </c>
      <c r="E85" s="9" t="n">
        <v>2</v>
      </c>
      <c r="G85" s="1" t="inlineStr">
        <is>
          <t>range</t>
        </is>
      </c>
      <c r="H85" s="1" t="inlineStr">
        <is>
          <t>0,1</t>
        </is>
      </c>
      <c r="L85" s="2">
        <f>_xlfn.CONCAT(IF(D85="數值",CONCATENATE(G85&amp;"("&amp;C85&amp;","&amp;
IF(ISERROR(SEARCH(",",H85,1)),(H85&amp;","&amp;H85),H85)&amp;
IF(ISBLANK(I85),"",IF(ISERROR(SEARCH(",",I85,1)),CONCATENATE(","&amp;I85&amp;","&amp;I85),CONCATENATE(","&amp;I85))&amp;
IF(ISBLANK(J85),"",IF(ISERROR(SEARCH(",",J85,1)),CONCATENATE(","&amp;J85&amp;","&amp;J85),CONCATENATE(","&amp;J85))&amp;
IF(ISBLANK(K85),"",IF(ISERROR(SEARCH(",",K85,1)),CONCATENATE(","&amp;K85&amp;","&amp;K85),CONCATENATE(","&amp;K85))))))&amp;
")","")&amp;" "&amp;F85)</f>
        <v/>
      </c>
    </row>
    <row r="86">
      <c r="A86" s="1" t="n">
        <v>185</v>
      </c>
      <c r="B86" s="1">
        <f>A86</f>
        <v/>
      </c>
      <c r="C86" s="1" t="inlineStr">
        <is>
          <t>vKFB4m06</t>
        </is>
      </c>
      <c r="D86" s="1" t="inlineStr">
        <is>
          <t>數值</t>
        </is>
      </c>
      <c r="E86" s="9" t="n">
        <v>2</v>
      </c>
      <c r="G86" s="1" t="inlineStr">
        <is>
          <t>range</t>
        </is>
      </c>
      <c r="H86" s="1" t="inlineStr">
        <is>
          <t>0,1</t>
        </is>
      </c>
      <c r="L86" s="2">
        <f>_xlfn.CONCAT(IF(D86="數值",CONCATENATE(G86&amp;"("&amp;C86&amp;","&amp;
IF(ISERROR(SEARCH(",",H86,1)),(H86&amp;","&amp;H86),H86)&amp;
IF(ISBLANK(I86),"",IF(ISERROR(SEARCH(",",I86,1)),CONCATENATE(","&amp;I86&amp;","&amp;I86),CONCATENATE(","&amp;I86))&amp;
IF(ISBLANK(J86),"",IF(ISERROR(SEARCH(",",J86,1)),CONCATENATE(","&amp;J86&amp;","&amp;J86),CONCATENATE(","&amp;J86))&amp;
IF(ISBLANK(K86),"",IF(ISERROR(SEARCH(",",K86,1)),CONCATENATE(","&amp;K86&amp;","&amp;K86),CONCATENATE(","&amp;K86))))))&amp;
")","")&amp;" "&amp;F86)</f>
        <v/>
      </c>
    </row>
    <row r="87">
      <c r="A87" s="1" t="n">
        <v>186</v>
      </c>
      <c r="B87" s="1">
        <f>A87</f>
        <v/>
      </c>
      <c r="C87" s="1" t="inlineStr">
        <is>
          <t>vKFB4m07</t>
        </is>
      </c>
      <c r="D87" s="1" t="inlineStr">
        <is>
          <t>數值</t>
        </is>
      </c>
      <c r="E87" s="9" t="n">
        <v>2</v>
      </c>
      <c r="G87" s="1" t="inlineStr">
        <is>
          <t>range</t>
        </is>
      </c>
      <c r="H87" s="1" t="inlineStr">
        <is>
          <t>0,1</t>
        </is>
      </c>
      <c r="L87" s="2">
        <f>_xlfn.CONCAT(IF(D87="數值",CONCATENATE(G87&amp;"("&amp;C87&amp;","&amp;
IF(ISERROR(SEARCH(",",H87,1)),(H87&amp;","&amp;H87),H87)&amp;
IF(ISBLANK(I87),"",IF(ISERROR(SEARCH(",",I87,1)),CONCATENATE(","&amp;I87&amp;","&amp;I87),CONCATENATE(","&amp;I87))&amp;
IF(ISBLANK(J87),"",IF(ISERROR(SEARCH(",",J87,1)),CONCATENATE(","&amp;J87&amp;","&amp;J87),CONCATENATE(","&amp;J87))&amp;
IF(ISBLANK(K87),"",IF(ISERROR(SEARCH(",",K87,1)),CONCATENATE(","&amp;K87&amp;","&amp;K87),CONCATENATE(","&amp;K87))))))&amp;
")","")&amp;" "&amp;F87)</f>
        <v/>
      </c>
    </row>
    <row r="88">
      <c r="A88" s="1" t="n">
        <v>187</v>
      </c>
      <c r="B88" s="1">
        <f>A88</f>
        <v/>
      </c>
      <c r="C88" s="1" t="inlineStr">
        <is>
          <t>vKFB4m08</t>
        </is>
      </c>
      <c r="D88" s="1" t="inlineStr">
        <is>
          <t>數值</t>
        </is>
      </c>
      <c r="E88" s="9" t="n">
        <v>2</v>
      </c>
      <c r="G88" s="1" t="inlineStr">
        <is>
          <t>range</t>
        </is>
      </c>
      <c r="H88" s="1" t="inlineStr">
        <is>
          <t>0,1</t>
        </is>
      </c>
      <c r="L88" s="2">
        <f>_xlfn.CONCAT(IF(D88="數值",CONCATENATE(G88&amp;"("&amp;C88&amp;","&amp;
IF(ISERROR(SEARCH(",",H88,1)),(H88&amp;","&amp;H88),H88)&amp;
IF(ISBLANK(I88),"",IF(ISERROR(SEARCH(",",I88,1)),CONCATENATE(","&amp;I88&amp;","&amp;I88),CONCATENATE(","&amp;I88))&amp;
IF(ISBLANK(J88),"",IF(ISERROR(SEARCH(",",J88,1)),CONCATENATE(","&amp;J88&amp;","&amp;J88),CONCATENATE(","&amp;J88))&amp;
IF(ISBLANK(K88),"",IF(ISERROR(SEARCH(",",K88,1)),CONCATENATE(","&amp;K88&amp;","&amp;K88),CONCATENATE(","&amp;K88))))))&amp;
")","")&amp;" "&amp;F88)</f>
        <v/>
      </c>
    </row>
    <row r="89">
      <c r="A89" s="1" t="n">
        <v>188</v>
      </c>
      <c r="B89" s="1">
        <f>A89</f>
        <v/>
      </c>
      <c r="C89" s="1" t="inlineStr">
        <is>
          <t>vKFB4m09</t>
        </is>
      </c>
      <c r="D89" s="1" t="inlineStr">
        <is>
          <t>數值</t>
        </is>
      </c>
      <c r="E89" s="9" t="n">
        <v>2</v>
      </c>
      <c r="G89" s="1" t="inlineStr">
        <is>
          <t>range</t>
        </is>
      </c>
      <c r="H89" s="1" t="inlineStr">
        <is>
          <t>0,1</t>
        </is>
      </c>
      <c r="L89" s="2">
        <f>_xlfn.CONCAT(IF(D89="數值",CONCATENATE(G89&amp;"("&amp;C89&amp;","&amp;
IF(ISERROR(SEARCH(",",H89,1)),(H89&amp;","&amp;H89),H89)&amp;
IF(ISBLANK(I89),"",IF(ISERROR(SEARCH(",",I89,1)),CONCATENATE(","&amp;I89&amp;","&amp;I89),CONCATENATE(","&amp;I89))&amp;
IF(ISBLANK(J89),"",IF(ISERROR(SEARCH(",",J89,1)),CONCATENATE(","&amp;J89&amp;","&amp;J89),CONCATENATE(","&amp;J89))&amp;
IF(ISBLANK(K89),"",IF(ISERROR(SEARCH(",",K89,1)),CONCATENATE(","&amp;K89&amp;","&amp;K89),CONCATENATE(","&amp;K89))))))&amp;
")","")&amp;" "&amp;F89)</f>
        <v/>
      </c>
    </row>
    <row r="90">
      <c r="A90" s="1" t="n">
        <v>189</v>
      </c>
      <c r="B90" s="1">
        <f>A90</f>
        <v/>
      </c>
      <c r="C90" s="1" t="inlineStr">
        <is>
          <t>vKFB4m10</t>
        </is>
      </c>
      <c r="D90" s="1" t="inlineStr">
        <is>
          <t>數值</t>
        </is>
      </c>
      <c r="E90" s="9" t="n">
        <v>2</v>
      </c>
      <c r="G90" s="1" t="inlineStr">
        <is>
          <t>range</t>
        </is>
      </c>
      <c r="H90" s="1" t="inlineStr">
        <is>
          <t>0,1</t>
        </is>
      </c>
      <c r="I90" s="1" t="inlineStr">
        <is>
          <t>96</t>
        </is>
      </c>
      <c r="L90" s="2">
        <f>_xlfn.CONCAT(IF(D90="數值",CONCATENATE(G90&amp;"("&amp;C90&amp;","&amp;
IF(ISERROR(SEARCH(",",H90,1)),(H90&amp;","&amp;H90),H90)&amp;
IF(ISBLANK(I90),"",IF(ISERROR(SEARCH(",",I90,1)),CONCATENATE(","&amp;I90&amp;","&amp;I90),CONCATENATE(","&amp;I90))&amp;
IF(ISBLANK(J90),"",IF(ISERROR(SEARCH(",",J90,1)),CONCATENATE(","&amp;J90&amp;","&amp;J90),CONCATENATE(","&amp;J90))&amp;
IF(ISBLANK(K90),"",IF(ISERROR(SEARCH(",",K90,1)),CONCATENATE(","&amp;K90&amp;","&amp;K90),CONCATENATE(","&amp;K90))))))&amp;
")","")&amp;" "&amp;F90)</f>
        <v/>
      </c>
    </row>
    <row r="91">
      <c r="A91" s="1" t="n">
        <v>190</v>
      </c>
      <c r="B91" s="1">
        <f>A91</f>
        <v/>
      </c>
      <c r="C91" s="1" t="inlineStr">
        <is>
          <t>vKFB4m11</t>
        </is>
      </c>
      <c r="D91" s="1" t="inlineStr">
        <is>
          <t>數值</t>
        </is>
      </c>
      <c r="E91" s="9" t="n">
        <v>2</v>
      </c>
      <c r="G91" s="1" t="inlineStr">
        <is>
          <t>range</t>
        </is>
      </c>
      <c r="H91" s="1" t="inlineStr">
        <is>
          <t>0,1</t>
        </is>
      </c>
      <c r="I91" s="1" t="inlineStr">
        <is>
          <t>96</t>
        </is>
      </c>
      <c r="L91" s="2">
        <f>_xlfn.CONCAT(IF(D91="數值",CONCATENATE(G91&amp;"("&amp;C91&amp;","&amp;
IF(ISERROR(SEARCH(",",H91,1)),(H91&amp;","&amp;H91),H91)&amp;
IF(ISBLANK(I91),"",IF(ISERROR(SEARCH(",",I91,1)),CONCATENATE(","&amp;I91&amp;","&amp;I91),CONCATENATE(","&amp;I91))&amp;
IF(ISBLANK(J91),"",IF(ISERROR(SEARCH(",",J91,1)),CONCATENATE(","&amp;J91&amp;","&amp;J91),CONCATENATE(","&amp;J91))&amp;
IF(ISBLANK(K91),"",IF(ISERROR(SEARCH(",",K91,1)),CONCATENATE(","&amp;K91&amp;","&amp;K91),CONCATENATE(","&amp;K91))))))&amp;
")","")&amp;" "&amp;F91)</f>
        <v/>
      </c>
    </row>
    <row r="92">
      <c r="A92" s="1" t="n">
        <v>191</v>
      </c>
      <c r="B92" s="1">
        <f>A92</f>
        <v/>
      </c>
      <c r="C92" s="1" t="inlineStr">
        <is>
          <t>vKFB4m12</t>
        </is>
      </c>
      <c r="D92" s="1" t="inlineStr">
        <is>
          <t>數值</t>
        </is>
      </c>
      <c r="E92" s="9" t="n">
        <v>2</v>
      </c>
      <c r="G92" s="1" t="inlineStr">
        <is>
          <t>range</t>
        </is>
      </c>
      <c r="H92" s="1" t="inlineStr">
        <is>
          <t>0,1</t>
        </is>
      </c>
      <c r="I92" s="1" t="inlineStr">
        <is>
          <t>96</t>
        </is>
      </c>
      <c r="L92" s="2">
        <f>_xlfn.CONCAT(IF(D92="數值",CONCATENATE(G92&amp;"("&amp;C92&amp;","&amp;
IF(ISERROR(SEARCH(",",H92,1)),(H92&amp;","&amp;H92),H92)&amp;
IF(ISBLANK(I92),"",IF(ISERROR(SEARCH(",",I92,1)),CONCATENATE(","&amp;I92&amp;","&amp;I92),CONCATENATE(","&amp;I92))&amp;
IF(ISBLANK(J92),"",IF(ISERROR(SEARCH(",",J92,1)),CONCATENATE(","&amp;J92&amp;","&amp;J92),CONCATENATE(","&amp;J92))&amp;
IF(ISBLANK(K92),"",IF(ISERROR(SEARCH(",",K92,1)),CONCATENATE(","&amp;K92&amp;","&amp;K92),CONCATENATE(","&amp;K92))))))&amp;
")","")&amp;" "&amp;F92)</f>
        <v/>
      </c>
    </row>
    <row r="93">
      <c r="A93" s="1" t="n">
        <v>192</v>
      </c>
      <c r="B93" s="1">
        <f>A93</f>
        <v/>
      </c>
      <c r="C93" s="1" t="inlineStr">
        <is>
          <t>vKFB4m13</t>
        </is>
      </c>
      <c r="D93" s="1" t="inlineStr">
        <is>
          <t>數值</t>
        </is>
      </c>
      <c r="E93" s="9" t="n">
        <v>2</v>
      </c>
      <c r="G93" s="1" t="inlineStr">
        <is>
          <t>range</t>
        </is>
      </c>
      <c r="H93" s="1" t="inlineStr">
        <is>
          <t>0,1</t>
        </is>
      </c>
      <c r="I93" s="1" t="inlineStr">
        <is>
          <t>96</t>
        </is>
      </c>
      <c r="L93" s="2">
        <f>_xlfn.CONCAT(IF(D93="數值",CONCATENATE(G93&amp;"("&amp;C93&amp;","&amp;
IF(ISERROR(SEARCH(",",H93,1)),(H93&amp;","&amp;H93),H93)&amp;
IF(ISBLANK(I93),"",IF(ISERROR(SEARCH(",",I93,1)),CONCATENATE(","&amp;I93&amp;","&amp;I93),CONCATENATE(","&amp;I93))&amp;
IF(ISBLANK(J93),"",IF(ISERROR(SEARCH(",",J93,1)),CONCATENATE(","&amp;J93&amp;","&amp;J93),CONCATENATE(","&amp;J93))&amp;
IF(ISBLANK(K93),"",IF(ISERROR(SEARCH(",",K93,1)),CONCATENATE(","&amp;K93&amp;","&amp;K93),CONCATENATE(","&amp;K93))))))&amp;
")","")&amp;" "&amp;F93)</f>
        <v/>
      </c>
    </row>
    <row r="94">
      <c r="A94" s="1" t="n">
        <v>193</v>
      </c>
      <c r="B94" s="1">
        <f>A94</f>
        <v/>
      </c>
      <c r="C94" s="1" t="inlineStr">
        <is>
          <t>vKFB4m14</t>
        </is>
      </c>
      <c r="D94" s="1" t="inlineStr">
        <is>
          <t>數值</t>
        </is>
      </c>
      <c r="E94" s="9" t="n">
        <v>2</v>
      </c>
      <c r="G94" s="1" t="inlineStr">
        <is>
          <t>range</t>
        </is>
      </c>
      <c r="H94" s="1" t="inlineStr">
        <is>
          <t>0,1</t>
        </is>
      </c>
      <c r="I94" s="1" t="inlineStr">
        <is>
          <t>96</t>
        </is>
      </c>
      <c r="L94" s="2">
        <f>_xlfn.CONCAT(IF(D94="數值",CONCATENATE(G94&amp;"("&amp;C94&amp;","&amp;
IF(ISERROR(SEARCH(",",H94,1)),(H94&amp;","&amp;H94),H94)&amp;
IF(ISBLANK(I94),"",IF(ISERROR(SEARCH(",",I94,1)),CONCATENATE(","&amp;I94&amp;","&amp;I94),CONCATENATE(","&amp;I94))&amp;
IF(ISBLANK(J94),"",IF(ISERROR(SEARCH(",",J94,1)),CONCATENATE(","&amp;J94&amp;","&amp;J94),CONCATENATE(","&amp;J94))&amp;
IF(ISBLANK(K94),"",IF(ISERROR(SEARCH(",",K94,1)),CONCATENATE(","&amp;K94&amp;","&amp;K94),CONCATENATE(","&amp;K94))))))&amp;
")","")&amp;" "&amp;F94)</f>
        <v/>
      </c>
    </row>
    <row r="95">
      <c r="A95" s="1" t="n">
        <v>194</v>
      </c>
      <c r="B95" s="1">
        <f>A95</f>
        <v/>
      </c>
      <c r="C95" s="1" t="inlineStr">
        <is>
          <t>vKFB4m15</t>
        </is>
      </c>
      <c r="D95" s="1" t="inlineStr">
        <is>
          <t>數值</t>
        </is>
      </c>
      <c r="E95" s="9" t="n">
        <v>2</v>
      </c>
      <c r="G95" s="1" t="inlineStr">
        <is>
          <t>range</t>
        </is>
      </c>
      <c r="H95" s="1" t="inlineStr">
        <is>
          <t>0,1</t>
        </is>
      </c>
      <c r="I95" s="1" t="inlineStr">
        <is>
          <t>96</t>
        </is>
      </c>
      <c r="L95" s="2">
        <f>_xlfn.CONCAT(IF(D95="數值",CONCATENATE(G95&amp;"("&amp;C95&amp;","&amp;
IF(ISERROR(SEARCH(",",H95,1)),(H95&amp;","&amp;H95),H95)&amp;
IF(ISBLANK(I95),"",IF(ISERROR(SEARCH(",",I95,1)),CONCATENATE(","&amp;I95&amp;","&amp;I95),CONCATENATE(","&amp;I95))&amp;
IF(ISBLANK(J95),"",IF(ISERROR(SEARCH(",",J95,1)),CONCATENATE(","&amp;J95&amp;","&amp;J95),CONCATENATE(","&amp;J95))&amp;
IF(ISBLANK(K95),"",IF(ISERROR(SEARCH(",",K95,1)),CONCATENATE(","&amp;K95&amp;","&amp;K95),CONCATENATE(","&amp;K95))))))&amp;
")","")&amp;" "&amp;F95)</f>
        <v/>
      </c>
    </row>
    <row r="96">
      <c r="A96" s="1" t="n">
        <v>195</v>
      </c>
      <c r="B96" s="1">
        <f>A96</f>
        <v/>
      </c>
      <c r="C96" s="1" t="inlineStr">
        <is>
          <t>vKFB4m16</t>
        </is>
      </c>
      <c r="D96" s="1" t="inlineStr">
        <is>
          <t>數值</t>
        </is>
      </c>
      <c r="E96" s="9" t="n">
        <v>2</v>
      </c>
      <c r="G96" s="1" t="inlineStr">
        <is>
          <t>range</t>
        </is>
      </c>
      <c r="H96" s="1" t="inlineStr">
        <is>
          <t>0,1</t>
        </is>
      </c>
      <c r="I96" s="1" t="inlineStr">
        <is>
          <t>96</t>
        </is>
      </c>
      <c r="L96" s="2">
        <f>_xlfn.CONCAT(IF(D96="數值",CONCATENATE(G96&amp;"("&amp;C96&amp;","&amp;
IF(ISERROR(SEARCH(",",H96,1)),(H96&amp;","&amp;H96),H96)&amp;
IF(ISBLANK(I96),"",IF(ISERROR(SEARCH(",",I96,1)),CONCATENATE(","&amp;I96&amp;","&amp;I96),CONCATENATE(","&amp;I96))&amp;
IF(ISBLANK(J96),"",IF(ISERROR(SEARCH(",",J96,1)),CONCATENATE(","&amp;J96&amp;","&amp;J96),CONCATENATE(","&amp;J96))&amp;
IF(ISBLANK(K96),"",IF(ISERROR(SEARCH(",",K96,1)),CONCATENATE(","&amp;K96&amp;","&amp;K96),CONCATENATE(","&amp;K96))))))&amp;
")","")&amp;" "&amp;F96)</f>
        <v/>
      </c>
    </row>
    <row r="97">
      <c r="A97" s="1" t="n">
        <v>196</v>
      </c>
      <c r="B97" s="1">
        <f>A97</f>
        <v/>
      </c>
      <c r="C97" s="1" t="inlineStr">
        <is>
          <t>vKFB4m17</t>
        </is>
      </c>
      <c r="D97" s="1" t="inlineStr">
        <is>
          <t>數值</t>
        </is>
      </c>
      <c r="E97" s="9" t="n">
        <v>2</v>
      </c>
      <c r="G97" s="1" t="inlineStr">
        <is>
          <t>range</t>
        </is>
      </c>
      <c r="H97" s="1" t="inlineStr">
        <is>
          <t>0,1</t>
        </is>
      </c>
      <c r="I97" s="1" t="inlineStr">
        <is>
          <t>96</t>
        </is>
      </c>
      <c r="L97" s="2">
        <f>_xlfn.CONCAT(IF(D97="數值",CONCATENATE(G97&amp;"("&amp;C97&amp;","&amp;
IF(ISERROR(SEARCH(",",H97,1)),(H97&amp;","&amp;H97),H97)&amp;
IF(ISBLANK(I97),"",IF(ISERROR(SEARCH(",",I97,1)),CONCATENATE(","&amp;I97&amp;","&amp;I97),CONCATENATE(","&amp;I97))&amp;
IF(ISBLANK(J97),"",IF(ISERROR(SEARCH(",",J97,1)),CONCATENATE(","&amp;J97&amp;","&amp;J97),CONCATENATE(","&amp;J97))&amp;
IF(ISBLANK(K97),"",IF(ISERROR(SEARCH(",",K97,1)),CONCATENATE(","&amp;K97&amp;","&amp;K97),CONCATENATE(","&amp;K97))))))&amp;
")","")&amp;" "&amp;F97)</f>
        <v/>
      </c>
    </row>
    <row r="98">
      <c r="A98" s="1" t="n">
        <v>197</v>
      </c>
      <c r="B98" s="1">
        <f>A98</f>
        <v/>
      </c>
      <c r="C98" s="1" t="inlineStr">
        <is>
          <t>vKFB4m18</t>
        </is>
      </c>
      <c r="D98" s="1" t="inlineStr">
        <is>
          <t>數值</t>
        </is>
      </c>
      <c r="E98" s="9" t="n">
        <v>2</v>
      </c>
      <c r="G98" s="1" t="inlineStr">
        <is>
          <t>range</t>
        </is>
      </c>
      <c r="H98" s="1" t="inlineStr">
        <is>
          <t>0,1</t>
        </is>
      </c>
      <c r="I98" s="1" t="inlineStr">
        <is>
          <t>96</t>
        </is>
      </c>
      <c r="L98" s="2">
        <f>_xlfn.CONCAT(IF(D98="數值",CONCATENATE(G98&amp;"("&amp;C98&amp;","&amp;
IF(ISERROR(SEARCH(",",H98,1)),(H98&amp;","&amp;H98),H98)&amp;
IF(ISBLANK(I98),"",IF(ISERROR(SEARCH(",",I98,1)),CONCATENATE(","&amp;I98&amp;","&amp;I98),CONCATENATE(","&amp;I98))&amp;
IF(ISBLANK(J98),"",IF(ISERROR(SEARCH(",",J98,1)),CONCATENATE(","&amp;J98&amp;","&amp;J98),CONCATENATE(","&amp;J98))&amp;
IF(ISBLANK(K98),"",IF(ISERROR(SEARCH(",",K98,1)),CONCATENATE(","&amp;K98&amp;","&amp;K98),CONCATENATE(","&amp;K98))))))&amp;
")","")&amp;" "&amp;F98)</f>
        <v/>
      </c>
    </row>
    <row r="99">
      <c r="A99" s="1" t="n">
        <v>198</v>
      </c>
      <c r="B99" s="1">
        <f>A99</f>
        <v/>
      </c>
      <c r="C99" s="1" t="inlineStr">
        <is>
          <t>vKFB4m88</t>
        </is>
      </c>
      <c r="D99" s="1" t="inlineStr">
        <is>
          <t>數值</t>
        </is>
      </c>
      <c r="E99" s="9" t="n">
        <v>2</v>
      </c>
      <c r="G99" s="1" t="inlineStr">
        <is>
          <t>range</t>
        </is>
      </c>
      <c r="H99" s="1" t="inlineStr">
        <is>
          <t>0,1</t>
        </is>
      </c>
      <c r="I99" s="1" t="inlineStr">
        <is>
          <t>96</t>
        </is>
      </c>
      <c r="L99" s="2">
        <f>_xlfn.CONCAT(IF(D99="數值",CONCATENATE(G99&amp;"("&amp;C99&amp;","&amp;
IF(ISERROR(SEARCH(",",H99,1)),(H99&amp;","&amp;H99),H99)&amp;
IF(ISBLANK(I99),"",IF(ISERROR(SEARCH(",",I99,1)),CONCATENATE(","&amp;I99&amp;","&amp;I99),CONCATENATE(","&amp;I99))&amp;
IF(ISBLANK(J99),"",IF(ISERROR(SEARCH(",",J99,1)),CONCATENATE(","&amp;J99&amp;","&amp;J99),CONCATENATE(","&amp;J99))&amp;
IF(ISBLANK(K99),"",IF(ISERROR(SEARCH(",",K99,1)),CONCATENATE(","&amp;K99&amp;","&amp;K99),CONCATENATE(","&amp;K99))))))&amp;
")","")&amp;" "&amp;F99)</f>
        <v/>
      </c>
    </row>
    <row r="100">
      <c r="A100" s="1" t="n">
        <v>199</v>
      </c>
      <c r="B100" s="1">
        <f>A100</f>
        <v/>
      </c>
      <c r="C100" s="1" t="inlineStr">
        <is>
          <t>vKIG1</t>
        </is>
      </c>
      <c r="D100" s="1" t="inlineStr">
        <is>
          <t>數值</t>
        </is>
      </c>
      <c r="E100" s="9" t="n">
        <v>4</v>
      </c>
      <c r="G100" s="1" t="inlineStr">
        <is>
          <t>range</t>
        </is>
      </c>
      <c r="H100" s="1" t="inlineStr">
        <is>
          <t>0.5,7</t>
        </is>
      </c>
      <c r="I100" s="1" t="inlineStr">
        <is>
          <t>95</t>
        </is>
      </c>
      <c r="J100" s="1" t="inlineStr">
        <is>
          <t>97</t>
        </is>
      </c>
      <c r="K100" s="1" t="inlineStr">
        <is>
          <t>98</t>
        </is>
      </c>
      <c r="L100" s="2">
        <f>_xlfn.CONCAT(IF(D100="數值",CONCATENATE(G100&amp;"("&amp;C100&amp;","&amp;
IF(ISERROR(SEARCH(",",H100,1)),(H100&amp;","&amp;H100),H100)&amp;
IF(ISBLANK(I100),"",IF(ISERROR(SEARCH(",",I100,1)),CONCATENATE(","&amp;I100&amp;","&amp;I100),CONCATENATE(","&amp;I100))&amp;
IF(ISBLANK(J100),"",IF(ISERROR(SEARCH(",",J100,1)),CONCATENATE(","&amp;J100&amp;","&amp;J100),CONCATENATE(","&amp;J100))&amp;
IF(ISBLANK(K100),"",IF(ISERROR(SEARCH(",",K100,1)),CONCATENATE(","&amp;K100&amp;","&amp;K100),CONCATENATE(","&amp;K100))))))&amp;
")","")&amp;" "&amp;F100)</f>
        <v/>
      </c>
    </row>
    <row r="101">
      <c r="A101" s="1" t="n">
        <v>200</v>
      </c>
      <c r="B101" s="1">
        <f>A101</f>
        <v/>
      </c>
      <c r="C101" s="1" t="inlineStr">
        <is>
          <t>vKIG2</t>
        </is>
      </c>
      <c r="D101" s="1" t="inlineStr">
        <is>
          <t>數值</t>
        </is>
      </c>
      <c r="E101" s="9" t="n">
        <v>5</v>
      </c>
      <c r="G101" s="1" t="inlineStr">
        <is>
          <t>range</t>
        </is>
      </c>
      <c r="H101" s="1" t="inlineStr">
        <is>
          <t>1,2359</t>
        </is>
      </c>
      <c r="I101" s="1" t="inlineStr">
        <is>
          <t>9797</t>
        </is>
      </c>
      <c r="J101" s="1" t="inlineStr">
        <is>
          <t>9898</t>
        </is>
      </c>
      <c r="L101" s="2">
        <f>_xlfn.CONCAT(IF(D101="數值",CONCATENATE(G101&amp;"("&amp;C101&amp;","&amp;
IF(ISERROR(SEARCH(",",H101,1)),(H101&amp;","&amp;H101),H101)&amp;
IF(ISBLANK(I101),"",IF(ISERROR(SEARCH(",",I101,1)),CONCATENATE(","&amp;I101&amp;","&amp;I101),CONCATENATE(","&amp;I101))&amp;
IF(ISBLANK(J101),"",IF(ISERROR(SEARCH(",",J101,1)),CONCATENATE(","&amp;J101&amp;","&amp;J101),CONCATENATE(","&amp;J101))&amp;
IF(ISBLANK(K101),"",IF(ISERROR(SEARCH(",",K101,1)),CONCATENATE(","&amp;K101&amp;","&amp;K101),CONCATENATE(","&amp;K101))))))&amp;
")","")&amp;" "&amp;F101)</f>
        <v/>
      </c>
    </row>
    <row r="102">
      <c r="A102" s="1" t="n">
        <v>201</v>
      </c>
      <c r="B102" s="1">
        <f>A102</f>
        <v/>
      </c>
      <c r="C102" s="1" t="inlineStr">
        <is>
          <t>vKIG3m01</t>
        </is>
      </c>
      <c r="D102" s="1" t="inlineStr">
        <is>
          <t>數值</t>
        </is>
      </c>
      <c r="E102" s="9" t="n">
        <v>2</v>
      </c>
      <c r="G102" s="1" t="inlineStr">
        <is>
          <t>range</t>
        </is>
      </c>
      <c r="H102" s="1" t="inlineStr">
        <is>
          <t>0,1</t>
        </is>
      </c>
      <c r="L102" s="2">
        <f>_xlfn.CONCAT(IF(D102="數值",CONCATENATE(G102&amp;"("&amp;C102&amp;","&amp;
IF(ISERROR(SEARCH(",",H102,1)),(H102&amp;","&amp;H102),H102)&amp;
IF(ISBLANK(I102),"",IF(ISERROR(SEARCH(",",I102,1)),CONCATENATE(","&amp;I102&amp;","&amp;I102),CONCATENATE(","&amp;I102))&amp;
IF(ISBLANK(J102),"",IF(ISERROR(SEARCH(",",J102,1)),CONCATENATE(","&amp;J102&amp;","&amp;J102),CONCATENATE(","&amp;J102))&amp;
IF(ISBLANK(K102),"",IF(ISERROR(SEARCH(",",K102,1)),CONCATENATE(","&amp;K102&amp;","&amp;K102),CONCATENATE(","&amp;K102))))))&amp;
")","")&amp;" "&amp;F102)</f>
        <v/>
      </c>
    </row>
    <row r="103">
      <c r="A103" s="1" t="n">
        <v>202</v>
      </c>
      <c r="B103" s="1">
        <f>A103</f>
        <v/>
      </c>
      <c r="C103" s="1" t="inlineStr">
        <is>
          <t>vKIG3m02</t>
        </is>
      </c>
      <c r="D103" s="1" t="inlineStr">
        <is>
          <t>數值</t>
        </is>
      </c>
      <c r="E103" s="9" t="n">
        <v>2</v>
      </c>
      <c r="G103" s="1" t="inlineStr">
        <is>
          <t>range</t>
        </is>
      </c>
      <c r="H103" s="1" t="inlineStr">
        <is>
          <t>0,1</t>
        </is>
      </c>
      <c r="L103" s="2">
        <f>_xlfn.CONCAT(IF(D103="數值",CONCATENATE(G103&amp;"("&amp;C103&amp;","&amp;
IF(ISERROR(SEARCH(",",H103,1)),(H103&amp;","&amp;H103),H103)&amp;
IF(ISBLANK(I103),"",IF(ISERROR(SEARCH(",",I103,1)),CONCATENATE(","&amp;I103&amp;","&amp;I103),CONCATENATE(","&amp;I103))&amp;
IF(ISBLANK(J103),"",IF(ISERROR(SEARCH(",",J103,1)),CONCATENATE(","&amp;J103&amp;","&amp;J103),CONCATENATE(","&amp;J103))&amp;
IF(ISBLANK(K103),"",IF(ISERROR(SEARCH(",",K103,1)),CONCATENATE(","&amp;K103&amp;","&amp;K103),CONCATENATE(","&amp;K103))))))&amp;
")","")&amp;" "&amp;F103)</f>
        <v/>
      </c>
    </row>
    <row r="104">
      <c r="A104" s="1" t="n">
        <v>203</v>
      </c>
      <c r="B104" s="1">
        <f>A104</f>
        <v/>
      </c>
      <c r="C104" s="1" t="inlineStr">
        <is>
          <t>vKIG3m03</t>
        </is>
      </c>
      <c r="D104" s="1" t="inlineStr">
        <is>
          <t>數值</t>
        </is>
      </c>
      <c r="E104" s="9" t="n">
        <v>2</v>
      </c>
      <c r="G104" s="1" t="inlineStr">
        <is>
          <t>range</t>
        </is>
      </c>
      <c r="H104" s="1" t="inlineStr">
        <is>
          <t>0,1</t>
        </is>
      </c>
      <c r="L104" s="2">
        <f>_xlfn.CONCAT(IF(D104="數值",CONCATENATE(G104&amp;"("&amp;C104&amp;","&amp;
IF(ISERROR(SEARCH(",",H104,1)),(H104&amp;","&amp;H104),H104)&amp;
IF(ISBLANK(I104),"",IF(ISERROR(SEARCH(",",I104,1)),CONCATENATE(","&amp;I104&amp;","&amp;I104),CONCATENATE(","&amp;I104))&amp;
IF(ISBLANK(J104),"",IF(ISERROR(SEARCH(",",J104,1)),CONCATENATE(","&amp;J104&amp;","&amp;J104),CONCATENATE(","&amp;J104))&amp;
IF(ISBLANK(K104),"",IF(ISERROR(SEARCH(",",K104,1)),CONCATENATE(","&amp;K104&amp;","&amp;K104),CONCATENATE(","&amp;K104))))))&amp;
")","")&amp;" "&amp;F104)</f>
        <v/>
      </c>
    </row>
    <row r="105">
      <c r="A105" s="1" t="n">
        <v>204</v>
      </c>
      <c r="B105" s="1">
        <f>A105</f>
        <v/>
      </c>
      <c r="C105" s="1" t="inlineStr">
        <is>
          <t>vKIG3m04</t>
        </is>
      </c>
      <c r="D105" s="1" t="inlineStr">
        <is>
          <t>數值</t>
        </is>
      </c>
      <c r="E105" s="9" t="n">
        <v>2</v>
      </c>
      <c r="G105" s="1" t="inlineStr">
        <is>
          <t>range</t>
        </is>
      </c>
      <c r="H105" s="1" t="inlineStr">
        <is>
          <t>0,1</t>
        </is>
      </c>
      <c r="L105" s="2">
        <f>_xlfn.CONCAT(IF(D105="數值",CONCATENATE(G105&amp;"("&amp;C105&amp;","&amp;
IF(ISERROR(SEARCH(",",H105,1)),(H105&amp;","&amp;H105),H105)&amp;
IF(ISBLANK(I105),"",IF(ISERROR(SEARCH(",",I105,1)),CONCATENATE(","&amp;I105&amp;","&amp;I105),CONCATENATE(","&amp;I105))&amp;
IF(ISBLANK(J105),"",IF(ISERROR(SEARCH(",",J105,1)),CONCATENATE(","&amp;J105&amp;","&amp;J105),CONCATENATE(","&amp;J105))&amp;
IF(ISBLANK(K105),"",IF(ISERROR(SEARCH(",",K105,1)),CONCATENATE(","&amp;K105&amp;","&amp;K105),CONCATENATE(","&amp;K105))))))&amp;
")","")&amp;" "&amp;F105)</f>
        <v/>
      </c>
    </row>
    <row r="106">
      <c r="A106" s="1" t="n">
        <v>205</v>
      </c>
      <c r="B106" s="1">
        <f>A106</f>
        <v/>
      </c>
      <c r="C106" s="1" t="inlineStr">
        <is>
          <t>vKIG3m05</t>
        </is>
      </c>
      <c r="D106" s="1" t="inlineStr">
        <is>
          <t>數值</t>
        </is>
      </c>
      <c r="E106" s="9" t="n">
        <v>2</v>
      </c>
      <c r="G106" s="1" t="inlineStr">
        <is>
          <t>range</t>
        </is>
      </c>
      <c r="H106" s="1" t="inlineStr">
        <is>
          <t>0,1</t>
        </is>
      </c>
      <c r="L106" s="2">
        <f>_xlfn.CONCAT(IF(D106="數值",CONCATENATE(G106&amp;"("&amp;C106&amp;","&amp;
IF(ISERROR(SEARCH(",",H106,1)),(H106&amp;","&amp;H106),H106)&amp;
IF(ISBLANK(I106),"",IF(ISERROR(SEARCH(",",I106,1)),CONCATENATE(","&amp;I106&amp;","&amp;I106),CONCATENATE(","&amp;I106))&amp;
IF(ISBLANK(J106),"",IF(ISERROR(SEARCH(",",J106,1)),CONCATENATE(","&amp;J106&amp;","&amp;J106),CONCATENATE(","&amp;J106))&amp;
IF(ISBLANK(K106),"",IF(ISERROR(SEARCH(",",K106,1)),CONCATENATE(","&amp;K106&amp;","&amp;K106),CONCATENATE(","&amp;K106))))))&amp;
")","")&amp;" "&amp;F106)</f>
        <v/>
      </c>
    </row>
    <row r="107">
      <c r="A107" s="1" t="n">
        <v>206</v>
      </c>
      <c r="B107" s="1">
        <f>A107</f>
        <v/>
      </c>
      <c r="C107" s="1" t="inlineStr">
        <is>
          <t>vKIG3m06</t>
        </is>
      </c>
      <c r="D107" s="1" t="inlineStr">
        <is>
          <t>數值</t>
        </is>
      </c>
      <c r="E107" s="9" t="n">
        <v>2</v>
      </c>
      <c r="G107" s="1" t="inlineStr">
        <is>
          <t>range</t>
        </is>
      </c>
      <c r="H107" s="1" t="inlineStr">
        <is>
          <t>0,1</t>
        </is>
      </c>
      <c r="L107" s="2">
        <f>_xlfn.CONCAT(IF(D107="數值",CONCATENATE(G107&amp;"("&amp;C107&amp;","&amp;
IF(ISERROR(SEARCH(",",H107,1)),(H107&amp;","&amp;H107),H107)&amp;
IF(ISBLANK(I107),"",IF(ISERROR(SEARCH(",",I107,1)),CONCATENATE(","&amp;I107&amp;","&amp;I107),CONCATENATE(","&amp;I107))&amp;
IF(ISBLANK(J107),"",IF(ISERROR(SEARCH(",",J107,1)),CONCATENATE(","&amp;J107&amp;","&amp;J107),CONCATENATE(","&amp;J107))&amp;
IF(ISBLANK(K107),"",IF(ISERROR(SEARCH(",",K107,1)),CONCATENATE(","&amp;K107&amp;","&amp;K107),CONCATENATE(","&amp;K107))))))&amp;
")","")&amp;" "&amp;F107)</f>
        <v/>
      </c>
    </row>
    <row r="108">
      <c r="A108" s="1" t="n">
        <v>207</v>
      </c>
      <c r="B108" s="1">
        <f>A108</f>
        <v/>
      </c>
      <c r="C108" s="1" t="inlineStr">
        <is>
          <t>vKIG3m07</t>
        </is>
      </c>
      <c r="D108" s="1" t="inlineStr">
        <is>
          <t>數值</t>
        </is>
      </c>
      <c r="E108" s="9" t="n">
        <v>2</v>
      </c>
      <c r="G108" s="1" t="inlineStr">
        <is>
          <t>range</t>
        </is>
      </c>
      <c r="H108" s="1" t="inlineStr">
        <is>
          <t>0,1</t>
        </is>
      </c>
      <c r="L108" s="2">
        <f>_xlfn.CONCAT(IF(D108="數值",CONCATENATE(G108&amp;"("&amp;C108&amp;","&amp;
IF(ISERROR(SEARCH(",",H108,1)),(H108&amp;","&amp;H108),H108)&amp;
IF(ISBLANK(I108),"",IF(ISERROR(SEARCH(",",I108,1)),CONCATENATE(","&amp;I108&amp;","&amp;I108),CONCATENATE(","&amp;I108))&amp;
IF(ISBLANK(J108),"",IF(ISERROR(SEARCH(",",J108,1)),CONCATENATE(","&amp;J108&amp;","&amp;J108),CONCATENATE(","&amp;J108))&amp;
IF(ISBLANK(K108),"",IF(ISERROR(SEARCH(",",K108,1)),CONCATENATE(","&amp;K108&amp;","&amp;K108),CONCATENATE(","&amp;K108))))))&amp;
")","")&amp;" "&amp;F108)</f>
        <v/>
      </c>
    </row>
    <row r="109">
      <c r="A109" s="1" t="n">
        <v>208</v>
      </c>
      <c r="B109" s="1">
        <f>A109</f>
        <v/>
      </c>
      <c r="C109" s="1" t="inlineStr">
        <is>
          <t>vKIG3m08</t>
        </is>
      </c>
      <c r="D109" s="1" t="inlineStr">
        <is>
          <t>數值</t>
        </is>
      </c>
      <c r="E109" s="9" t="n">
        <v>2</v>
      </c>
      <c r="G109" s="1" t="inlineStr">
        <is>
          <t>range</t>
        </is>
      </c>
      <c r="H109" s="1" t="inlineStr">
        <is>
          <t>0,1</t>
        </is>
      </c>
      <c r="L109" s="2">
        <f>_xlfn.CONCAT(IF(D109="數值",CONCATENATE(G109&amp;"("&amp;C109&amp;","&amp;
IF(ISERROR(SEARCH(",",H109,1)),(H109&amp;","&amp;H109),H109)&amp;
IF(ISBLANK(I109),"",IF(ISERROR(SEARCH(",",I109,1)),CONCATENATE(","&amp;I109&amp;","&amp;I109),CONCATENATE(","&amp;I109))&amp;
IF(ISBLANK(J109),"",IF(ISERROR(SEARCH(",",J109,1)),CONCATENATE(","&amp;J109&amp;","&amp;J109),CONCATENATE(","&amp;J109))&amp;
IF(ISBLANK(K109),"",IF(ISERROR(SEARCH(",",K109,1)),CONCATENATE(","&amp;K109&amp;","&amp;K109),CONCATENATE(","&amp;K109))))))&amp;
")","")&amp;" "&amp;F109)</f>
        <v/>
      </c>
    </row>
    <row r="110">
      <c r="A110" s="1" t="n">
        <v>209</v>
      </c>
      <c r="B110" s="1">
        <f>A110</f>
        <v/>
      </c>
      <c r="C110" s="1" t="inlineStr">
        <is>
          <t>vKIG3m09</t>
        </is>
      </c>
      <c r="D110" s="1" t="inlineStr">
        <is>
          <t>數值</t>
        </is>
      </c>
      <c r="E110" s="9" t="n">
        <v>2</v>
      </c>
      <c r="G110" s="1" t="inlineStr">
        <is>
          <t>range</t>
        </is>
      </c>
      <c r="H110" s="1" t="inlineStr">
        <is>
          <t>0,1</t>
        </is>
      </c>
      <c r="L110" s="2">
        <f>_xlfn.CONCAT(IF(D110="數值",CONCATENATE(G110&amp;"("&amp;C110&amp;","&amp;
IF(ISERROR(SEARCH(",",H110,1)),(H110&amp;","&amp;H110),H110)&amp;
IF(ISBLANK(I110),"",IF(ISERROR(SEARCH(",",I110,1)),CONCATENATE(","&amp;I110&amp;","&amp;I110),CONCATENATE(","&amp;I110))&amp;
IF(ISBLANK(J110),"",IF(ISERROR(SEARCH(",",J110,1)),CONCATENATE(","&amp;J110&amp;","&amp;J110),CONCATENATE(","&amp;J110))&amp;
IF(ISBLANK(K110),"",IF(ISERROR(SEARCH(",",K110,1)),CONCATENATE(","&amp;K110&amp;","&amp;K110),CONCATENATE(","&amp;K110))))))&amp;
")","")&amp;" "&amp;F110)</f>
        <v/>
      </c>
    </row>
    <row r="111">
      <c r="A111" s="1" t="n">
        <v>210</v>
      </c>
      <c r="B111" s="1">
        <f>A111</f>
        <v/>
      </c>
      <c r="C111" s="1" t="inlineStr">
        <is>
          <t>vKIG3m10</t>
        </is>
      </c>
      <c r="D111" s="1" t="inlineStr">
        <is>
          <t>數值</t>
        </is>
      </c>
      <c r="E111" s="9" t="n">
        <v>2</v>
      </c>
      <c r="G111" s="1" t="inlineStr">
        <is>
          <t>range</t>
        </is>
      </c>
      <c r="H111" s="1" t="inlineStr">
        <is>
          <t>0,1</t>
        </is>
      </c>
      <c r="I111" s="1" t="inlineStr">
        <is>
          <t>96</t>
        </is>
      </c>
      <c r="L111" s="2">
        <f>_xlfn.CONCAT(IF(D111="數值",CONCATENATE(G111&amp;"("&amp;C111&amp;","&amp;
IF(ISERROR(SEARCH(",",H111,1)),(H111&amp;","&amp;H111),H111)&amp;
IF(ISBLANK(I111),"",IF(ISERROR(SEARCH(",",I111,1)),CONCATENATE(","&amp;I111&amp;","&amp;I111),CONCATENATE(","&amp;I111))&amp;
IF(ISBLANK(J111),"",IF(ISERROR(SEARCH(",",J111,1)),CONCATENATE(","&amp;J111&amp;","&amp;J111),CONCATENATE(","&amp;J111))&amp;
IF(ISBLANK(K111),"",IF(ISERROR(SEARCH(",",K111,1)),CONCATENATE(","&amp;K111&amp;","&amp;K111),CONCATENATE(","&amp;K111))))))&amp;
")","")&amp;" "&amp;F111)</f>
        <v/>
      </c>
    </row>
    <row r="112">
      <c r="A112" s="1" t="n">
        <v>211</v>
      </c>
      <c r="B112" s="1">
        <f>A112</f>
        <v/>
      </c>
      <c r="C112" s="1" t="inlineStr">
        <is>
          <t>vKIG3m11</t>
        </is>
      </c>
      <c r="D112" s="1" t="inlineStr">
        <is>
          <t>數值</t>
        </is>
      </c>
      <c r="E112" s="9" t="n">
        <v>2</v>
      </c>
      <c r="G112" s="1" t="inlineStr">
        <is>
          <t>range</t>
        </is>
      </c>
      <c r="H112" s="1" t="inlineStr">
        <is>
          <t>0,1</t>
        </is>
      </c>
      <c r="I112" s="1" t="inlineStr">
        <is>
          <t>96</t>
        </is>
      </c>
      <c r="L112" s="2">
        <f>_xlfn.CONCAT(IF(D112="數值",CONCATENATE(G112&amp;"("&amp;C112&amp;","&amp;
IF(ISERROR(SEARCH(",",H112,1)),(H112&amp;","&amp;H112),H112)&amp;
IF(ISBLANK(I112),"",IF(ISERROR(SEARCH(",",I112,1)),CONCATENATE(","&amp;I112&amp;","&amp;I112),CONCATENATE(","&amp;I112))&amp;
IF(ISBLANK(J112),"",IF(ISERROR(SEARCH(",",J112,1)),CONCATENATE(","&amp;J112&amp;","&amp;J112),CONCATENATE(","&amp;J112))&amp;
IF(ISBLANK(K112),"",IF(ISERROR(SEARCH(",",K112,1)),CONCATENATE(","&amp;K112&amp;","&amp;K112),CONCATENATE(","&amp;K112))))))&amp;
")","")&amp;" "&amp;F112)</f>
        <v/>
      </c>
    </row>
    <row r="113">
      <c r="A113" s="1" t="n">
        <v>212</v>
      </c>
      <c r="B113" s="1">
        <f>A113</f>
        <v/>
      </c>
      <c r="C113" s="1" t="inlineStr">
        <is>
          <t>vKIG3m12</t>
        </is>
      </c>
      <c r="D113" s="1" t="inlineStr">
        <is>
          <t>數值</t>
        </is>
      </c>
      <c r="E113" s="9" t="n">
        <v>2</v>
      </c>
      <c r="G113" s="1" t="inlineStr">
        <is>
          <t>range</t>
        </is>
      </c>
      <c r="H113" s="1" t="inlineStr">
        <is>
          <t>0,1</t>
        </is>
      </c>
      <c r="I113" s="14" t="inlineStr">
        <is>
          <t>96</t>
        </is>
      </c>
      <c r="L113" s="2">
        <f>_xlfn.CONCAT(IF(D113="數值",CONCATENATE(G113&amp;"("&amp;C113&amp;","&amp;
IF(ISERROR(SEARCH(",",H113,1)),(H113&amp;","&amp;H113),H113)&amp;
IF(ISBLANK(I113),"",IF(ISERROR(SEARCH(",",I113,1)),CONCATENATE(","&amp;I113&amp;","&amp;I113),CONCATENATE(","&amp;I113))&amp;
IF(ISBLANK(J113),"",IF(ISERROR(SEARCH(",",J113,1)),CONCATENATE(","&amp;J113&amp;","&amp;J113),CONCATENATE(","&amp;J113))&amp;
IF(ISBLANK(K113),"",IF(ISERROR(SEARCH(",",K113,1)),CONCATENATE(","&amp;K113&amp;","&amp;K113),CONCATENATE(","&amp;K113))))))&amp;
")","")&amp;" "&amp;F113)</f>
        <v/>
      </c>
    </row>
    <row r="114">
      <c r="A114" s="1" t="n">
        <v>213</v>
      </c>
      <c r="B114" s="1">
        <f>A114</f>
        <v/>
      </c>
      <c r="C114" s="1" t="inlineStr">
        <is>
          <t>vKIG3m13</t>
        </is>
      </c>
      <c r="D114" s="1" t="inlineStr">
        <is>
          <t>數值</t>
        </is>
      </c>
      <c r="E114" s="9" t="n">
        <v>2</v>
      </c>
      <c r="G114" s="1" t="inlineStr">
        <is>
          <t>range</t>
        </is>
      </c>
      <c r="H114" s="1" t="inlineStr">
        <is>
          <t>0,1</t>
        </is>
      </c>
      <c r="I114" s="14" t="inlineStr">
        <is>
          <t>96</t>
        </is>
      </c>
      <c r="L114" s="2">
        <f>_xlfn.CONCAT(IF(D114="數值",CONCATENATE(G114&amp;"("&amp;C114&amp;","&amp;
IF(ISERROR(SEARCH(",",H114,1)),(H114&amp;","&amp;H114),H114)&amp;
IF(ISBLANK(I114),"",IF(ISERROR(SEARCH(",",I114,1)),CONCATENATE(","&amp;I114&amp;","&amp;I114),CONCATENATE(","&amp;I114))&amp;
IF(ISBLANK(J114),"",IF(ISERROR(SEARCH(",",J114,1)),CONCATENATE(","&amp;J114&amp;","&amp;J114),CONCATENATE(","&amp;J114))&amp;
IF(ISBLANK(K114),"",IF(ISERROR(SEARCH(",",K114,1)),CONCATENATE(","&amp;K114&amp;","&amp;K114),CONCATENATE(","&amp;K114))))))&amp;
")","")&amp;" "&amp;F114)</f>
        <v/>
      </c>
    </row>
    <row r="115">
      <c r="A115" s="1" t="n">
        <v>214</v>
      </c>
      <c r="B115" s="1">
        <f>A115</f>
        <v/>
      </c>
      <c r="C115" s="1" t="inlineStr">
        <is>
          <t>vKIG3m14</t>
        </is>
      </c>
      <c r="D115" s="1" t="inlineStr">
        <is>
          <t>數值</t>
        </is>
      </c>
      <c r="E115" s="9" t="n">
        <v>2</v>
      </c>
      <c r="G115" s="1" t="inlineStr">
        <is>
          <t>range</t>
        </is>
      </c>
      <c r="H115" s="1" t="inlineStr">
        <is>
          <t>0,1</t>
        </is>
      </c>
      <c r="I115" s="14" t="inlineStr">
        <is>
          <t>96</t>
        </is>
      </c>
      <c r="L115" s="2">
        <f>_xlfn.CONCAT(IF(D115="數值",CONCATENATE(G115&amp;"("&amp;C115&amp;","&amp;
IF(ISERROR(SEARCH(",",H115,1)),(H115&amp;","&amp;H115),H115)&amp;
IF(ISBLANK(I115),"",IF(ISERROR(SEARCH(",",I115,1)),CONCATENATE(","&amp;I115&amp;","&amp;I115),CONCATENATE(","&amp;I115))&amp;
IF(ISBLANK(J115),"",IF(ISERROR(SEARCH(",",J115,1)),CONCATENATE(","&amp;J115&amp;","&amp;J115),CONCATENATE(","&amp;J115))&amp;
IF(ISBLANK(K115),"",IF(ISERROR(SEARCH(",",K115,1)),CONCATENATE(","&amp;K115&amp;","&amp;K115),CONCATENATE(","&amp;K115))))))&amp;
")","")&amp;" "&amp;F115)</f>
        <v/>
      </c>
    </row>
    <row r="116">
      <c r="A116" s="1" t="n">
        <v>215</v>
      </c>
      <c r="B116" s="1">
        <f>A116</f>
        <v/>
      </c>
      <c r="C116" s="1" t="inlineStr">
        <is>
          <t>vKIG3m15</t>
        </is>
      </c>
      <c r="D116" s="1" t="inlineStr">
        <is>
          <t>數值</t>
        </is>
      </c>
      <c r="E116" s="9" t="n">
        <v>2</v>
      </c>
      <c r="G116" s="1" t="inlineStr">
        <is>
          <t>range</t>
        </is>
      </c>
      <c r="H116" s="1" t="inlineStr">
        <is>
          <t>0,1</t>
        </is>
      </c>
      <c r="I116" s="14" t="inlineStr">
        <is>
          <t>96</t>
        </is>
      </c>
      <c r="L116" s="2">
        <f>_xlfn.CONCAT(IF(D116="數值",CONCATENATE(G116&amp;"("&amp;C116&amp;","&amp;
IF(ISERROR(SEARCH(",",H116,1)),(H116&amp;","&amp;H116),H116)&amp;
IF(ISBLANK(I116),"",IF(ISERROR(SEARCH(",",I116,1)),CONCATENATE(","&amp;I116&amp;","&amp;I116),CONCATENATE(","&amp;I116))&amp;
IF(ISBLANK(J116),"",IF(ISERROR(SEARCH(",",J116,1)),CONCATENATE(","&amp;J116&amp;","&amp;J116),CONCATENATE(","&amp;J116))&amp;
IF(ISBLANK(K116),"",IF(ISERROR(SEARCH(",",K116,1)),CONCATENATE(","&amp;K116&amp;","&amp;K116),CONCATENATE(","&amp;K116))))))&amp;
")","")&amp;" "&amp;F116)</f>
        <v/>
      </c>
    </row>
    <row r="117">
      <c r="A117" s="1" t="n">
        <v>216</v>
      </c>
      <c r="B117" s="1">
        <f>A117</f>
        <v/>
      </c>
      <c r="C117" s="1" t="inlineStr">
        <is>
          <t>vKIG3m16</t>
        </is>
      </c>
      <c r="D117" s="1" t="inlineStr">
        <is>
          <t>數值</t>
        </is>
      </c>
      <c r="E117" s="9" t="n">
        <v>2</v>
      </c>
      <c r="G117" s="1" t="inlineStr">
        <is>
          <t>range</t>
        </is>
      </c>
      <c r="H117" s="1" t="inlineStr">
        <is>
          <t>0,1</t>
        </is>
      </c>
      <c r="I117" s="14" t="inlineStr">
        <is>
          <t>96</t>
        </is>
      </c>
      <c r="L117" s="2">
        <f>_xlfn.CONCAT(IF(D117="數值",CONCATENATE(G117&amp;"("&amp;C117&amp;","&amp;
IF(ISERROR(SEARCH(",",H117,1)),(H117&amp;","&amp;H117),H117)&amp;
IF(ISBLANK(I117),"",IF(ISERROR(SEARCH(",",I117,1)),CONCATENATE(","&amp;I117&amp;","&amp;I117),CONCATENATE(","&amp;I117))&amp;
IF(ISBLANK(J117),"",IF(ISERROR(SEARCH(",",J117,1)),CONCATENATE(","&amp;J117&amp;","&amp;J117),CONCATENATE(","&amp;J117))&amp;
IF(ISBLANK(K117),"",IF(ISERROR(SEARCH(",",K117,1)),CONCATENATE(","&amp;K117&amp;","&amp;K117),CONCATENATE(","&amp;K117))))))&amp;
")","")&amp;" "&amp;F117)</f>
        <v/>
      </c>
    </row>
    <row r="118">
      <c r="A118" s="1" t="n">
        <v>217</v>
      </c>
      <c r="B118" s="1">
        <f>A118</f>
        <v/>
      </c>
      <c r="C118" s="1" t="inlineStr">
        <is>
          <t>vKIG3m17</t>
        </is>
      </c>
      <c r="D118" s="1" t="inlineStr">
        <is>
          <t>數值</t>
        </is>
      </c>
      <c r="E118" s="9" t="n">
        <v>2</v>
      </c>
      <c r="G118" s="1" t="inlineStr">
        <is>
          <t>range</t>
        </is>
      </c>
      <c r="H118" s="1" t="inlineStr">
        <is>
          <t>0,1</t>
        </is>
      </c>
      <c r="I118" s="14" t="inlineStr">
        <is>
          <t>96</t>
        </is>
      </c>
      <c r="L118" s="2">
        <f>_xlfn.CONCAT(IF(D118="數值",CONCATENATE(G118&amp;"("&amp;C118&amp;","&amp;
IF(ISERROR(SEARCH(",",H118,1)),(H118&amp;","&amp;H118),H118)&amp;
IF(ISBLANK(I118),"",IF(ISERROR(SEARCH(",",I118,1)),CONCATENATE(","&amp;I118&amp;","&amp;I118),CONCATENATE(","&amp;I118))&amp;
IF(ISBLANK(J118),"",IF(ISERROR(SEARCH(",",J118,1)),CONCATENATE(","&amp;J118&amp;","&amp;J118),CONCATENATE(","&amp;J118))&amp;
IF(ISBLANK(K118),"",IF(ISERROR(SEARCH(",",K118,1)),CONCATENATE(","&amp;K118&amp;","&amp;K118),CONCATENATE(","&amp;K118))))))&amp;
")","")&amp;" "&amp;F118)</f>
        <v/>
      </c>
    </row>
    <row r="119">
      <c r="A119" s="1" t="n">
        <v>218</v>
      </c>
      <c r="B119" s="1">
        <f>A119</f>
        <v/>
      </c>
      <c r="C119" s="1" t="inlineStr">
        <is>
          <t>vKIG3m88</t>
        </is>
      </c>
      <c r="D119" s="1" t="inlineStr">
        <is>
          <t>數值</t>
        </is>
      </c>
      <c r="E119" s="9" t="n">
        <v>2</v>
      </c>
      <c r="G119" s="1" t="inlineStr">
        <is>
          <t>range</t>
        </is>
      </c>
      <c r="H119" s="1" t="inlineStr">
        <is>
          <t>0,1</t>
        </is>
      </c>
      <c r="I119" s="1" t="inlineStr">
        <is>
          <t>96</t>
        </is>
      </c>
      <c r="L119" s="2">
        <f>_xlfn.CONCAT(IF(D119="數值",CONCATENATE(G119&amp;"("&amp;C119&amp;","&amp;
IF(ISERROR(SEARCH(",",H119,1)),(H119&amp;","&amp;H119),H119)&amp;
IF(ISBLANK(I119),"",IF(ISERROR(SEARCH(",",I119,1)),CONCATENATE(","&amp;I119&amp;","&amp;I119),CONCATENATE(","&amp;I119))&amp;
IF(ISBLANK(J119),"",IF(ISERROR(SEARCH(",",J119,1)),CONCATENATE(","&amp;J119&amp;","&amp;J119),CONCATENATE(","&amp;J119))&amp;
IF(ISBLANK(K119),"",IF(ISERROR(SEARCH(",",K119,1)),CONCATENATE(","&amp;K119&amp;","&amp;K119),CONCATENATE(","&amp;K119))))))&amp;
")","")&amp;" "&amp;F119)</f>
        <v/>
      </c>
    </row>
    <row r="120">
      <c r="A120" s="1" t="n">
        <v>219</v>
      </c>
      <c r="B120" s="1">
        <f>A120</f>
        <v/>
      </c>
      <c r="C120" s="1" t="inlineStr">
        <is>
          <t>vKIG4m01</t>
        </is>
      </c>
      <c r="D120" s="1" t="inlineStr">
        <is>
          <t>數值</t>
        </is>
      </c>
      <c r="E120" s="9" t="n">
        <v>2</v>
      </c>
      <c r="G120" s="1" t="inlineStr">
        <is>
          <t>range</t>
        </is>
      </c>
      <c r="H120" s="1" t="inlineStr">
        <is>
          <t>0,1</t>
        </is>
      </c>
      <c r="L120" s="2">
        <f>_xlfn.CONCAT(IF(D120="數值",CONCATENATE(G120&amp;"("&amp;C120&amp;","&amp;
IF(ISERROR(SEARCH(",",H120,1)),(H120&amp;","&amp;H120),H120)&amp;
IF(ISBLANK(I120),"",IF(ISERROR(SEARCH(",",I120,1)),CONCATENATE(","&amp;I120&amp;","&amp;I120),CONCATENATE(","&amp;I120))&amp;
IF(ISBLANK(J120),"",IF(ISERROR(SEARCH(",",J120,1)),CONCATENATE(","&amp;J120&amp;","&amp;J120),CONCATENATE(","&amp;J120))&amp;
IF(ISBLANK(K120),"",IF(ISERROR(SEARCH(",",K120,1)),CONCATENATE(","&amp;K120&amp;","&amp;K120),CONCATENATE(","&amp;K120))))))&amp;
")","")&amp;" "&amp;F120)</f>
        <v/>
      </c>
    </row>
    <row r="121">
      <c r="A121" s="1" t="n">
        <v>220</v>
      </c>
      <c r="B121" s="1">
        <f>A121</f>
        <v/>
      </c>
      <c r="C121" s="1" t="inlineStr">
        <is>
          <t>vKIG4m02</t>
        </is>
      </c>
      <c r="D121" s="1" t="inlineStr">
        <is>
          <t>數值</t>
        </is>
      </c>
      <c r="E121" s="9" t="n">
        <v>2</v>
      </c>
      <c r="G121" s="1" t="inlineStr">
        <is>
          <t>range</t>
        </is>
      </c>
      <c r="H121" s="1" t="inlineStr">
        <is>
          <t>0,1</t>
        </is>
      </c>
      <c r="L121" s="2">
        <f>_xlfn.CONCAT(IF(D121="數值",CONCATENATE(G121&amp;"("&amp;C121&amp;","&amp;
IF(ISERROR(SEARCH(",",H121,1)),(H121&amp;","&amp;H121),H121)&amp;
IF(ISBLANK(I121),"",IF(ISERROR(SEARCH(",",I121,1)),CONCATENATE(","&amp;I121&amp;","&amp;I121),CONCATENATE(","&amp;I121))&amp;
IF(ISBLANK(J121),"",IF(ISERROR(SEARCH(",",J121,1)),CONCATENATE(","&amp;J121&amp;","&amp;J121),CONCATENATE(","&amp;J121))&amp;
IF(ISBLANK(K121),"",IF(ISERROR(SEARCH(",",K121,1)),CONCATENATE(","&amp;K121&amp;","&amp;K121),CONCATENATE(","&amp;K121))))))&amp;
")","")&amp;" "&amp;F121)</f>
        <v/>
      </c>
    </row>
    <row r="122">
      <c r="A122" s="1" t="n">
        <v>221</v>
      </c>
      <c r="B122" s="1">
        <f>A122</f>
        <v/>
      </c>
      <c r="C122" s="1" t="inlineStr">
        <is>
          <t>vKIG4m03</t>
        </is>
      </c>
      <c r="D122" s="1" t="inlineStr">
        <is>
          <t>數值</t>
        </is>
      </c>
      <c r="E122" s="9" t="n">
        <v>2</v>
      </c>
      <c r="G122" s="1" t="inlineStr">
        <is>
          <t>range</t>
        </is>
      </c>
      <c r="H122" s="1" t="inlineStr">
        <is>
          <t>0,1</t>
        </is>
      </c>
      <c r="L122" s="2">
        <f>_xlfn.CONCAT(IF(D122="數值",CONCATENATE(G122&amp;"("&amp;C122&amp;","&amp;
IF(ISERROR(SEARCH(",",H122,1)),(H122&amp;","&amp;H122),H122)&amp;
IF(ISBLANK(I122),"",IF(ISERROR(SEARCH(",",I122,1)),CONCATENATE(","&amp;I122&amp;","&amp;I122),CONCATENATE(","&amp;I122))&amp;
IF(ISBLANK(J122),"",IF(ISERROR(SEARCH(",",J122,1)),CONCATENATE(","&amp;J122&amp;","&amp;J122),CONCATENATE(","&amp;J122))&amp;
IF(ISBLANK(K122),"",IF(ISERROR(SEARCH(",",K122,1)),CONCATENATE(","&amp;K122&amp;","&amp;K122),CONCATENATE(","&amp;K122))))))&amp;
")","")&amp;" "&amp;F122)</f>
        <v/>
      </c>
    </row>
    <row r="123">
      <c r="A123" s="1" t="n">
        <v>222</v>
      </c>
      <c r="B123" s="1">
        <f>A123</f>
        <v/>
      </c>
      <c r="C123" s="1" t="inlineStr">
        <is>
          <t>vKIG4m04</t>
        </is>
      </c>
      <c r="D123" s="1" t="inlineStr">
        <is>
          <t>數值</t>
        </is>
      </c>
      <c r="E123" s="9" t="n">
        <v>2</v>
      </c>
      <c r="G123" s="1" t="inlineStr">
        <is>
          <t>range</t>
        </is>
      </c>
      <c r="H123" s="1" t="inlineStr">
        <is>
          <t>0,1</t>
        </is>
      </c>
      <c r="L123" s="2">
        <f>_xlfn.CONCAT(IF(D123="數值",CONCATENATE(G123&amp;"("&amp;C123&amp;","&amp;
IF(ISERROR(SEARCH(",",H123,1)),(H123&amp;","&amp;H123),H123)&amp;
IF(ISBLANK(I123),"",IF(ISERROR(SEARCH(",",I123,1)),CONCATENATE(","&amp;I123&amp;","&amp;I123),CONCATENATE(","&amp;I123))&amp;
IF(ISBLANK(J123),"",IF(ISERROR(SEARCH(",",J123,1)),CONCATENATE(","&amp;J123&amp;","&amp;J123),CONCATENATE(","&amp;J123))&amp;
IF(ISBLANK(K123),"",IF(ISERROR(SEARCH(",",K123,1)),CONCATENATE(","&amp;K123&amp;","&amp;K123),CONCATENATE(","&amp;K123))))))&amp;
")","")&amp;" "&amp;F123)</f>
        <v/>
      </c>
    </row>
    <row r="124">
      <c r="A124" s="1" t="n">
        <v>223</v>
      </c>
      <c r="B124" s="1">
        <f>A124</f>
        <v/>
      </c>
      <c r="C124" s="1" t="inlineStr">
        <is>
          <t>vKIG4m05</t>
        </is>
      </c>
      <c r="D124" s="1" t="inlineStr">
        <is>
          <t>數值</t>
        </is>
      </c>
      <c r="E124" s="9" t="n">
        <v>2</v>
      </c>
      <c r="G124" s="1" t="inlineStr">
        <is>
          <t>range</t>
        </is>
      </c>
      <c r="H124" s="1" t="inlineStr">
        <is>
          <t>0,1</t>
        </is>
      </c>
      <c r="L124" s="2">
        <f>_xlfn.CONCAT(IF(D124="數值",CONCATENATE(G124&amp;"("&amp;C124&amp;","&amp;
IF(ISERROR(SEARCH(",",H124,1)),(H124&amp;","&amp;H124),H124)&amp;
IF(ISBLANK(I124),"",IF(ISERROR(SEARCH(",",I124,1)),CONCATENATE(","&amp;I124&amp;","&amp;I124),CONCATENATE(","&amp;I124))&amp;
IF(ISBLANK(J124),"",IF(ISERROR(SEARCH(",",J124,1)),CONCATENATE(","&amp;J124&amp;","&amp;J124),CONCATENATE(","&amp;J124))&amp;
IF(ISBLANK(K124),"",IF(ISERROR(SEARCH(",",K124,1)),CONCATENATE(","&amp;K124&amp;","&amp;K124),CONCATENATE(","&amp;K124))))))&amp;
")","")&amp;" "&amp;F124)</f>
        <v/>
      </c>
    </row>
    <row r="125">
      <c r="A125" s="1" t="n">
        <v>224</v>
      </c>
      <c r="B125" s="1">
        <f>A125</f>
        <v/>
      </c>
      <c r="C125" s="1" t="inlineStr">
        <is>
          <t>vKIG4m06</t>
        </is>
      </c>
      <c r="D125" s="1" t="inlineStr">
        <is>
          <t>數值</t>
        </is>
      </c>
      <c r="E125" s="9" t="n">
        <v>2</v>
      </c>
      <c r="G125" s="1" t="inlineStr">
        <is>
          <t>range</t>
        </is>
      </c>
      <c r="H125" s="1" t="inlineStr">
        <is>
          <t>0,1</t>
        </is>
      </c>
      <c r="L125" s="2">
        <f>_xlfn.CONCAT(IF(D125="數值",CONCATENATE(G125&amp;"("&amp;C125&amp;","&amp;
IF(ISERROR(SEARCH(",",H125,1)),(H125&amp;","&amp;H125),H125)&amp;
IF(ISBLANK(I125),"",IF(ISERROR(SEARCH(",",I125,1)),CONCATENATE(","&amp;I125&amp;","&amp;I125),CONCATENATE(","&amp;I125))&amp;
IF(ISBLANK(J125),"",IF(ISERROR(SEARCH(",",J125,1)),CONCATENATE(","&amp;J125&amp;","&amp;J125),CONCATENATE(","&amp;J125))&amp;
IF(ISBLANK(K125),"",IF(ISERROR(SEARCH(",",K125,1)),CONCATENATE(","&amp;K125&amp;","&amp;K125),CONCATENATE(","&amp;K125))))))&amp;
")","")&amp;" "&amp;F125)</f>
        <v/>
      </c>
    </row>
    <row r="126">
      <c r="A126" s="1" t="n">
        <v>225</v>
      </c>
      <c r="B126" s="1">
        <f>A126</f>
        <v/>
      </c>
      <c r="C126" s="1" t="inlineStr">
        <is>
          <t>vKIG4m07</t>
        </is>
      </c>
      <c r="D126" s="1" t="inlineStr">
        <is>
          <t>數值</t>
        </is>
      </c>
      <c r="E126" s="9" t="n">
        <v>2</v>
      </c>
      <c r="G126" s="1" t="inlineStr">
        <is>
          <t>range</t>
        </is>
      </c>
      <c r="H126" s="1" t="inlineStr">
        <is>
          <t>0,1</t>
        </is>
      </c>
      <c r="L126" s="2">
        <f>_xlfn.CONCAT(IF(D126="數值",CONCATENATE(G126&amp;"("&amp;C126&amp;","&amp;
IF(ISERROR(SEARCH(",",H126,1)),(H126&amp;","&amp;H126),H126)&amp;
IF(ISBLANK(I126),"",IF(ISERROR(SEARCH(",",I126,1)),CONCATENATE(","&amp;I126&amp;","&amp;I126),CONCATENATE(","&amp;I126))&amp;
IF(ISBLANK(J126),"",IF(ISERROR(SEARCH(",",J126,1)),CONCATENATE(","&amp;J126&amp;","&amp;J126),CONCATENATE(","&amp;J126))&amp;
IF(ISBLANK(K126),"",IF(ISERROR(SEARCH(",",K126,1)),CONCATENATE(","&amp;K126&amp;","&amp;K126),CONCATENATE(","&amp;K126))))))&amp;
")","")&amp;" "&amp;F126)</f>
        <v/>
      </c>
    </row>
    <row r="127">
      <c r="A127" s="1" t="n">
        <v>226</v>
      </c>
      <c r="B127" s="1">
        <f>A127</f>
        <v/>
      </c>
      <c r="C127" s="1" t="inlineStr">
        <is>
          <t>vKIG4m08</t>
        </is>
      </c>
      <c r="D127" s="1" t="inlineStr">
        <is>
          <t>數值</t>
        </is>
      </c>
      <c r="E127" s="9" t="n">
        <v>2</v>
      </c>
      <c r="G127" s="1" t="inlineStr">
        <is>
          <t>range</t>
        </is>
      </c>
      <c r="H127" s="1" t="inlineStr">
        <is>
          <t>0,1</t>
        </is>
      </c>
      <c r="L127" s="2">
        <f>_xlfn.CONCAT(IF(D127="數值",CONCATENATE(G127&amp;"("&amp;C127&amp;","&amp;
IF(ISERROR(SEARCH(",",H127,1)),(H127&amp;","&amp;H127),H127)&amp;
IF(ISBLANK(I127),"",IF(ISERROR(SEARCH(",",I127,1)),CONCATENATE(","&amp;I127&amp;","&amp;I127),CONCATENATE(","&amp;I127))&amp;
IF(ISBLANK(J127),"",IF(ISERROR(SEARCH(",",J127,1)),CONCATENATE(","&amp;J127&amp;","&amp;J127),CONCATENATE(","&amp;J127))&amp;
IF(ISBLANK(K127),"",IF(ISERROR(SEARCH(",",K127,1)),CONCATENATE(","&amp;K127&amp;","&amp;K127),CONCATENATE(","&amp;K127))))))&amp;
")","")&amp;" "&amp;F127)</f>
        <v/>
      </c>
    </row>
    <row r="128">
      <c r="A128" s="1" t="n">
        <v>227</v>
      </c>
      <c r="B128" s="1">
        <f>A128</f>
        <v/>
      </c>
      <c r="C128" s="1" t="inlineStr">
        <is>
          <t>vKIG4m09</t>
        </is>
      </c>
      <c r="D128" s="1" t="inlineStr">
        <is>
          <t>數值</t>
        </is>
      </c>
      <c r="E128" s="9" t="n">
        <v>2</v>
      </c>
      <c r="G128" s="1" t="inlineStr">
        <is>
          <t>range</t>
        </is>
      </c>
      <c r="H128" s="1" t="inlineStr">
        <is>
          <t>0,1</t>
        </is>
      </c>
      <c r="L128" s="2">
        <f>_xlfn.CONCAT(IF(D128="數值",CONCATENATE(G128&amp;"("&amp;C128&amp;","&amp;
IF(ISERROR(SEARCH(",",H128,1)),(H128&amp;","&amp;H128),H128)&amp;
IF(ISBLANK(I128),"",IF(ISERROR(SEARCH(",",I128,1)),CONCATENATE(","&amp;I128&amp;","&amp;I128),CONCATENATE(","&amp;I128))&amp;
IF(ISBLANK(J128),"",IF(ISERROR(SEARCH(",",J128,1)),CONCATENATE(","&amp;J128&amp;","&amp;J128),CONCATENATE(","&amp;J128))&amp;
IF(ISBLANK(K128),"",IF(ISERROR(SEARCH(",",K128,1)),CONCATENATE(","&amp;K128&amp;","&amp;K128),CONCATENATE(","&amp;K128))))))&amp;
")","")&amp;" "&amp;F128)</f>
        <v/>
      </c>
    </row>
    <row r="129">
      <c r="A129" s="1" t="n">
        <v>228</v>
      </c>
      <c r="B129" s="1">
        <f>A129</f>
        <v/>
      </c>
      <c r="C129" s="1" t="inlineStr">
        <is>
          <t>vKIG4m10</t>
        </is>
      </c>
      <c r="D129" s="1" t="inlineStr">
        <is>
          <t>數值</t>
        </is>
      </c>
      <c r="E129" s="9" t="n">
        <v>2</v>
      </c>
      <c r="G129" s="1" t="inlineStr">
        <is>
          <t>range</t>
        </is>
      </c>
      <c r="H129" s="1" t="inlineStr">
        <is>
          <t>0,1</t>
        </is>
      </c>
      <c r="I129" s="1" t="inlineStr">
        <is>
          <t>96</t>
        </is>
      </c>
      <c r="L129" s="2">
        <f>_xlfn.CONCAT(IF(D129="數值",CONCATENATE(G129&amp;"("&amp;C129&amp;","&amp;
IF(ISERROR(SEARCH(",",H129,1)),(H129&amp;","&amp;H129),H129)&amp;
IF(ISBLANK(I129),"",IF(ISERROR(SEARCH(",",I129,1)),CONCATENATE(","&amp;I129&amp;","&amp;I129),CONCATENATE(","&amp;I129))&amp;
IF(ISBLANK(J129),"",IF(ISERROR(SEARCH(",",J129,1)),CONCATENATE(","&amp;J129&amp;","&amp;J129),CONCATENATE(","&amp;J129))&amp;
IF(ISBLANK(K129),"",IF(ISERROR(SEARCH(",",K129,1)),CONCATENATE(","&amp;K129&amp;","&amp;K129),CONCATENATE(","&amp;K129))))))&amp;
")","")&amp;" "&amp;F129)</f>
        <v/>
      </c>
    </row>
    <row r="130">
      <c r="A130" s="1" t="n">
        <v>229</v>
      </c>
      <c r="B130" s="1">
        <f>A130</f>
        <v/>
      </c>
      <c r="C130" s="1" t="inlineStr">
        <is>
          <t>vKIG4m11</t>
        </is>
      </c>
      <c r="D130" s="1" t="inlineStr">
        <is>
          <t>數值</t>
        </is>
      </c>
      <c r="E130" s="9" t="n">
        <v>2</v>
      </c>
      <c r="G130" s="1" t="inlineStr">
        <is>
          <t>range</t>
        </is>
      </c>
      <c r="H130" s="1" t="inlineStr">
        <is>
          <t>0,1</t>
        </is>
      </c>
      <c r="I130" s="1" t="inlineStr">
        <is>
          <t>96</t>
        </is>
      </c>
      <c r="L130" s="2">
        <f>_xlfn.CONCAT(IF(D130="數值",CONCATENATE(G130&amp;"("&amp;C130&amp;","&amp;
IF(ISERROR(SEARCH(",",H130,1)),(H130&amp;","&amp;H130),H130)&amp;
IF(ISBLANK(I130),"",IF(ISERROR(SEARCH(",",I130,1)),CONCATENATE(","&amp;I130&amp;","&amp;I130),CONCATENATE(","&amp;I130))&amp;
IF(ISBLANK(J130),"",IF(ISERROR(SEARCH(",",J130,1)),CONCATENATE(","&amp;J130&amp;","&amp;J130),CONCATENATE(","&amp;J130))&amp;
IF(ISBLANK(K130),"",IF(ISERROR(SEARCH(",",K130,1)),CONCATENATE(","&amp;K130&amp;","&amp;K130),CONCATENATE(","&amp;K130))))))&amp;
")","")&amp;" "&amp;F130)</f>
        <v/>
      </c>
    </row>
    <row r="131">
      <c r="A131" s="1" t="n">
        <v>230</v>
      </c>
      <c r="B131" s="1">
        <f>A131</f>
        <v/>
      </c>
      <c r="C131" s="1" t="inlineStr">
        <is>
          <t>vKIG4m12</t>
        </is>
      </c>
      <c r="D131" s="1" t="inlineStr">
        <is>
          <t>數值</t>
        </is>
      </c>
      <c r="E131" s="9" t="n">
        <v>2</v>
      </c>
      <c r="G131" s="1" t="inlineStr">
        <is>
          <t>range</t>
        </is>
      </c>
      <c r="H131" s="1" t="inlineStr">
        <is>
          <t>0,1</t>
        </is>
      </c>
      <c r="I131" s="1" t="inlineStr">
        <is>
          <t>96</t>
        </is>
      </c>
      <c r="L131" s="2">
        <f>_xlfn.CONCAT(IF(D131="數值",CONCATENATE(G131&amp;"("&amp;C131&amp;","&amp;
IF(ISERROR(SEARCH(",",H131,1)),(H131&amp;","&amp;H131),H131)&amp;
IF(ISBLANK(I131),"",IF(ISERROR(SEARCH(",",I131,1)),CONCATENATE(","&amp;I131&amp;","&amp;I131),CONCATENATE(","&amp;I131))&amp;
IF(ISBLANK(J131),"",IF(ISERROR(SEARCH(",",J131,1)),CONCATENATE(","&amp;J131&amp;","&amp;J131),CONCATENATE(","&amp;J131))&amp;
IF(ISBLANK(K131),"",IF(ISERROR(SEARCH(",",K131,1)),CONCATENATE(","&amp;K131&amp;","&amp;K131),CONCATENATE(","&amp;K131))))))&amp;
")","")&amp;" "&amp;F131)</f>
        <v/>
      </c>
    </row>
    <row r="132">
      <c r="A132" s="1" t="n">
        <v>231</v>
      </c>
      <c r="B132" s="1">
        <f>A132</f>
        <v/>
      </c>
      <c r="C132" s="1" t="inlineStr">
        <is>
          <t>vKIG4m13</t>
        </is>
      </c>
      <c r="D132" s="1" t="inlineStr">
        <is>
          <t>數值</t>
        </is>
      </c>
      <c r="E132" s="9" t="n">
        <v>2</v>
      </c>
      <c r="G132" s="1" t="inlineStr">
        <is>
          <t>range</t>
        </is>
      </c>
      <c r="H132" s="1" t="inlineStr">
        <is>
          <t>0,1</t>
        </is>
      </c>
      <c r="I132" s="1" t="inlineStr">
        <is>
          <t>96</t>
        </is>
      </c>
      <c r="L132" s="2">
        <f>_xlfn.CONCAT(IF(D132="數值",CONCATENATE(G132&amp;"("&amp;C132&amp;","&amp;
IF(ISERROR(SEARCH(",",H132,1)),(H132&amp;","&amp;H132),H132)&amp;
IF(ISBLANK(I132),"",IF(ISERROR(SEARCH(",",I132,1)),CONCATENATE(","&amp;I132&amp;","&amp;I132),CONCATENATE(","&amp;I132))&amp;
IF(ISBLANK(J132),"",IF(ISERROR(SEARCH(",",J132,1)),CONCATENATE(","&amp;J132&amp;","&amp;J132),CONCATENATE(","&amp;J132))&amp;
IF(ISBLANK(K132),"",IF(ISERROR(SEARCH(",",K132,1)),CONCATENATE(","&amp;K132&amp;","&amp;K132),CONCATENATE(","&amp;K132))))))&amp;
")","")&amp;" "&amp;F132)</f>
        <v/>
      </c>
    </row>
    <row r="133">
      <c r="A133" s="1" t="n">
        <v>232</v>
      </c>
      <c r="B133" s="1">
        <f>A133</f>
        <v/>
      </c>
      <c r="C133" s="1" t="inlineStr">
        <is>
          <t>vKIG4m14</t>
        </is>
      </c>
      <c r="D133" s="1" t="inlineStr">
        <is>
          <t>數值</t>
        </is>
      </c>
      <c r="E133" s="9" t="n">
        <v>2</v>
      </c>
      <c r="G133" s="1" t="inlineStr">
        <is>
          <t>range</t>
        </is>
      </c>
      <c r="H133" s="1" t="inlineStr">
        <is>
          <t>0,1</t>
        </is>
      </c>
      <c r="I133" s="1" t="inlineStr">
        <is>
          <t>96</t>
        </is>
      </c>
      <c r="L133" s="2">
        <f>_xlfn.CONCAT(IF(D133="數值",CONCATENATE(G133&amp;"("&amp;C133&amp;","&amp;
IF(ISERROR(SEARCH(",",H133,1)),(H133&amp;","&amp;H133),H133)&amp;
IF(ISBLANK(I133),"",IF(ISERROR(SEARCH(",",I133,1)),CONCATENATE(","&amp;I133&amp;","&amp;I133),CONCATENATE(","&amp;I133))&amp;
IF(ISBLANK(J133),"",IF(ISERROR(SEARCH(",",J133,1)),CONCATENATE(","&amp;J133&amp;","&amp;J133),CONCATENATE(","&amp;J133))&amp;
IF(ISBLANK(K133),"",IF(ISERROR(SEARCH(",",K133,1)),CONCATENATE(","&amp;K133&amp;","&amp;K133),CONCATENATE(","&amp;K133))))))&amp;
")","")&amp;" "&amp;F133)</f>
        <v/>
      </c>
    </row>
    <row r="134">
      <c r="A134" s="1" t="n">
        <v>233</v>
      </c>
      <c r="B134" s="1">
        <f>A134</f>
        <v/>
      </c>
      <c r="C134" s="1" t="inlineStr">
        <is>
          <t>vKIG4m88</t>
        </is>
      </c>
      <c r="D134" s="1" t="inlineStr">
        <is>
          <t>數值</t>
        </is>
      </c>
      <c r="E134" s="9" t="n">
        <v>2</v>
      </c>
      <c r="G134" s="1" t="inlineStr">
        <is>
          <t>range</t>
        </is>
      </c>
      <c r="H134" s="1" t="inlineStr">
        <is>
          <t>0,1</t>
        </is>
      </c>
      <c r="I134" s="1" t="inlineStr">
        <is>
          <t>96</t>
        </is>
      </c>
      <c r="L134" s="2">
        <f>_xlfn.CONCAT(IF(D134="數值",CONCATENATE(G134&amp;"("&amp;C134&amp;","&amp;
IF(ISERROR(SEARCH(",",H134,1)),(H134&amp;","&amp;H134),H134)&amp;
IF(ISBLANK(I134),"",IF(ISERROR(SEARCH(",",I134,1)),CONCATENATE(","&amp;I134&amp;","&amp;I134),CONCATENATE(","&amp;I134))&amp;
IF(ISBLANK(J134),"",IF(ISERROR(SEARCH(",",J134,1)),CONCATENATE(","&amp;J134&amp;","&amp;J134),CONCATENATE(","&amp;J134))&amp;
IF(ISBLANK(K134),"",IF(ISERROR(SEARCH(",",K134,1)),CONCATENATE(","&amp;K134&amp;","&amp;K134),CONCATENATE(","&amp;K134))))))&amp;
")","")&amp;" "&amp;F134)</f>
        <v/>
      </c>
    </row>
    <row r="135">
      <c r="A135" s="1" t="n">
        <v>234</v>
      </c>
      <c r="B135" s="1">
        <f>A135</f>
        <v/>
      </c>
      <c r="C135" s="1" t="inlineStr">
        <is>
          <t>vKTT1</t>
        </is>
      </c>
      <c r="D135" s="1" t="inlineStr">
        <is>
          <t>數值</t>
        </is>
      </c>
      <c r="E135" s="9" t="n">
        <v>4</v>
      </c>
      <c r="G135" s="1" t="inlineStr">
        <is>
          <t>range</t>
        </is>
      </c>
      <c r="H135" s="1" t="inlineStr">
        <is>
          <t>0.5,7</t>
        </is>
      </c>
      <c r="I135" s="1" t="inlineStr">
        <is>
          <t>95</t>
        </is>
      </c>
      <c r="J135" s="1" t="inlineStr">
        <is>
          <t>97</t>
        </is>
      </c>
      <c r="K135" s="1" t="inlineStr">
        <is>
          <t>98</t>
        </is>
      </c>
      <c r="L135" s="2">
        <f>_xlfn.CONCAT(IF(D135="數值",CONCATENATE(G135&amp;"("&amp;C135&amp;","&amp;
IF(ISERROR(SEARCH(",",H135,1)),(H135&amp;","&amp;H135),H135)&amp;
IF(ISBLANK(I135),"",IF(ISERROR(SEARCH(",",I135,1)),CONCATENATE(","&amp;I135&amp;","&amp;I135),CONCATENATE(","&amp;I135))&amp;
IF(ISBLANK(J135),"",IF(ISERROR(SEARCH(",",J135,1)),CONCATENATE(","&amp;J135&amp;","&amp;J135),CONCATENATE(","&amp;J135))&amp;
IF(ISBLANK(K135),"",IF(ISERROR(SEARCH(",",K135,1)),CONCATENATE(","&amp;K135&amp;","&amp;K135),CONCATENATE(","&amp;K135))))))&amp;
")","")&amp;" "&amp;F135)</f>
        <v/>
      </c>
    </row>
    <row r="136">
      <c r="A136" s="1" t="n">
        <v>235</v>
      </c>
      <c r="B136" s="1">
        <f>A136</f>
        <v/>
      </c>
      <c r="C136" s="1" t="inlineStr">
        <is>
          <t>vKTT2</t>
        </is>
      </c>
      <c r="D136" s="1" t="inlineStr">
        <is>
          <t>數值</t>
        </is>
      </c>
      <c r="E136" s="9" t="n">
        <v>5</v>
      </c>
      <c r="G136" s="1" t="inlineStr">
        <is>
          <t>range</t>
        </is>
      </c>
      <c r="H136" s="1" t="inlineStr">
        <is>
          <t>1,2359</t>
        </is>
      </c>
      <c r="I136" s="1" t="inlineStr">
        <is>
          <t>9797</t>
        </is>
      </c>
      <c r="J136" s="1" t="inlineStr">
        <is>
          <t>9898</t>
        </is>
      </c>
      <c r="L136" s="2">
        <f>_xlfn.CONCAT(IF(D136="數值",CONCATENATE(G136&amp;"("&amp;C136&amp;","&amp;
IF(ISERROR(SEARCH(",",H136,1)),(H136&amp;","&amp;H136),H136)&amp;
IF(ISBLANK(I136),"",IF(ISERROR(SEARCH(",",I136,1)),CONCATENATE(","&amp;I136&amp;","&amp;I136),CONCATENATE(","&amp;I136))&amp;
IF(ISBLANK(J136),"",IF(ISERROR(SEARCH(",",J136,1)),CONCATENATE(","&amp;J136&amp;","&amp;J136),CONCATENATE(","&amp;J136))&amp;
IF(ISBLANK(K136),"",IF(ISERROR(SEARCH(",",K136,1)),CONCATENATE(","&amp;K136&amp;","&amp;K136),CONCATENATE(","&amp;K136))))))&amp;
")","")&amp;" "&amp;F136)</f>
        <v/>
      </c>
    </row>
    <row r="137">
      <c r="A137" s="1" t="n">
        <v>236</v>
      </c>
      <c r="B137" s="1">
        <f>A137</f>
        <v/>
      </c>
      <c r="C137" s="1" t="inlineStr">
        <is>
          <t>vKTT3m01</t>
        </is>
      </c>
      <c r="D137" s="1" t="inlineStr">
        <is>
          <t>數值</t>
        </is>
      </c>
      <c r="E137" s="9" t="n">
        <v>2</v>
      </c>
      <c r="G137" s="1" t="inlineStr">
        <is>
          <t>range</t>
        </is>
      </c>
      <c r="H137" s="1" t="inlineStr">
        <is>
          <t>0,1</t>
        </is>
      </c>
      <c r="L137" s="2">
        <f>_xlfn.CONCAT(IF(D137="數值",CONCATENATE(G137&amp;"("&amp;C137&amp;","&amp;
IF(ISERROR(SEARCH(",",H137,1)),(H137&amp;","&amp;H137),H137)&amp;
IF(ISBLANK(I137),"",IF(ISERROR(SEARCH(",",I137,1)),CONCATENATE(","&amp;I137&amp;","&amp;I137),CONCATENATE(","&amp;I137))&amp;
IF(ISBLANK(J137),"",IF(ISERROR(SEARCH(",",J137,1)),CONCATENATE(","&amp;J137&amp;","&amp;J137),CONCATENATE(","&amp;J137))&amp;
IF(ISBLANK(K137),"",IF(ISERROR(SEARCH(",",K137,1)),CONCATENATE(","&amp;K137&amp;","&amp;K137),CONCATENATE(","&amp;K137))))))&amp;
")","")&amp;" "&amp;F137)</f>
        <v/>
      </c>
    </row>
    <row r="138">
      <c r="A138" s="1" t="n">
        <v>237</v>
      </c>
      <c r="B138" s="1">
        <f>A138</f>
        <v/>
      </c>
      <c r="C138" s="1" t="inlineStr">
        <is>
          <t>vKTT3m02</t>
        </is>
      </c>
      <c r="D138" s="1" t="inlineStr">
        <is>
          <t>數值</t>
        </is>
      </c>
      <c r="E138" s="9" t="n">
        <v>2</v>
      </c>
      <c r="G138" s="1" t="inlineStr">
        <is>
          <t>range</t>
        </is>
      </c>
      <c r="H138" s="1" t="inlineStr">
        <is>
          <t>0,1</t>
        </is>
      </c>
      <c r="L138" s="2">
        <f>_xlfn.CONCAT(IF(D138="數值",CONCATENATE(G138&amp;"("&amp;C138&amp;","&amp;
IF(ISERROR(SEARCH(",",H138,1)),(H138&amp;","&amp;H138),H138)&amp;
IF(ISBLANK(I138),"",IF(ISERROR(SEARCH(",",I138,1)),CONCATENATE(","&amp;I138&amp;","&amp;I138),CONCATENATE(","&amp;I138))&amp;
IF(ISBLANK(J138),"",IF(ISERROR(SEARCH(",",J138,1)),CONCATENATE(","&amp;J138&amp;","&amp;J138),CONCATENATE(","&amp;J138))&amp;
IF(ISBLANK(K138),"",IF(ISERROR(SEARCH(",",K138,1)),CONCATENATE(","&amp;K138&amp;","&amp;K138),CONCATENATE(","&amp;K138))))))&amp;
")","")&amp;" "&amp;F138)</f>
        <v/>
      </c>
    </row>
    <row r="139">
      <c r="A139" s="1" t="n">
        <v>238</v>
      </c>
      <c r="B139" s="1">
        <f>A139</f>
        <v/>
      </c>
      <c r="C139" s="1" t="inlineStr">
        <is>
          <t>vKTT3m03</t>
        </is>
      </c>
      <c r="D139" s="1" t="inlineStr">
        <is>
          <t>數值</t>
        </is>
      </c>
      <c r="E139" s="9" t="n">
        <v>2</v>
      </c>
      <c r="G139" s="1" t="inlineStr">
        <is>
          <t>range</t>
        </is>
      </c>
      <c r="H139" s="1" t="inlineStr">
        <is>
          <t>0,1</t>
        </is>
      </c>
      <c r="L139" s="2">
        <f>_xlfn.CONCAT(IF(D139="數值",CONCATENATE(G139&amp;"("&amp;C139&amp;","&amp;
IF(ISERROR(SEARCH(",",H139,1)),(H139&amp;","&amp;H139),H139)&amp;
IF(ISBLANK(I139),"",IF(ISERROR(SEARCH(",",I139,1)),CONCATENATE(","&amp;I139&amp;","&amp;I139),CONCATENATE(","&amp;I139))&amp;
IF(ISBLANK(J139),"",IF(ISERROR(SEARCH(",",J139,1)),CONCATENATE(","&amp;J139&amp;","&amp;J139),CONCATENATE(","&amp;J139))&amp;
IF(ISBLANK(K139),"",IF(ISERROR(SEARCH(",",K139,1)),CONCATENATE(","&amp;K139&amp;","&amp;K139),CONCATENATE(","&amp;K139))))))&amp;
")","")&amp;" "&amp;F139)</f>
        <v/>
      </c>
    </row>
    <row r="140">
      <c r="A140" s="1" t="n">
        <v>239</v>
      </c>
      <c r="B140" s="1">
        <f>A140</f>
        <v/>
      </c>
      <c r="C140" s="1" t="inlineStr">
        <is>
          <t>vKTT3m04</t>
        </is>
      </c>
      <c r="D140" s="1" t="inlineStr">
        <is>
          <t>數值</t>
        </is>
      </c>
      <c r="E140" s="9" t="n">
        <v>2</v>
      </c>
      <c r="G140" s="1" t="inlineStr">
        <is>
          <t>range</t>
        </is>
      </c>
      <c r="H140" s="1" t="inlineStr">
        <is>
          <t>0,1</t>
        </is>
      </c>
      <c r="L140" s="2">
        <f>_xlfn.CONCAT(IF(D140="數值",CONCATENATE(G140&amp;"("&amp;C140&amp;","&amp;
IF(ISERROR(SEARCH(",",H140,1)),(H140&amp;","&amp;H140),H140)&amp;
IF(ISBLANK(I140),"",IF(ISERROR(SEARCH(",",I140,1)),CONCATENATE(","&amp;I140&amp;","&amp;I140),CONCATENATE(","&amp;I140))&amp;
IF(ISBLANK(J140),"",IF(ISERROR(SEARCH(",",J140,1)),CONCATENATE(","&amp;J140&amp;","&amp;J140),CONCATENATE(","&amp;J140))&amp;
IF(ISBLANK(K140),"",IF(ISERROR(SEARCH(",",K140,1)),CONCATENATE(","&amp;K140&amp;","&amp;K140),CONCATENATE(","&amp;K140))))))&amp;
")","")&amp;" "&amp;F140)</f>
        <v/>
      </c>
    </row>
    <row r="141">
      <c r="A141" s="1" t="n">
        <v>240</v>
      </c>
      <c r="B141" s="1">
        <f>A141</f>
        <v/>
      </c>
      <c r="C141" s="1" t="inlineStr">
        <is>
          <t>vKTT3m05</t>
        </is>
      </c>
      <c r="D141" s="1" t="inlineStr">
        <is>
          <t>數值</t>
        </is>
      </c>
      <c r="E141" s="9" t="n">
        <v>2</v>
      </c>
      <c r="G141" s="1" t="inlineStr">
        <is>
          <t>range</t>
        </is>
      </c>
      <c r="H141" s="1" t="inlineStr">
        <is>
          <t>0,1</t>
        </is>
      </c>
      <c r="L141" s="2">
        <f>_xlfn.CONCAT(IF(D141="數值",CONCATENATE(G141&amp;"("&amp;C141&amp;","&amp;
IF(ISERROR(SEARCH(",",H141,1)),(H141&amp;","&amp;H141),H141)&amp;
IF(ISBLANK(I141),"",IF(ISERROR(SEARCH(",",I141,1)),CONCATENATE(","&amp;I141&amp;","&amp;I141),CONCATENATE(","&amp;I141))&amp;
IF(ISBLANK(J141),"",IF(ISERROR(SEARCH(",",J141,1)),CONCATENATE(","&amp;J141&amp;","&amp;J141),CONCATENATE(","&amp;J141))&amp;
IF(ISBLANK(K141),"",IF(ISERROR(SEARCH(",",K141,1)),CONCATENATE(","&amp;K141&amp;","&amp;K141),CONCATENATE(","&amp;K141))))))&amp;
")","")&amp;" "&amp;F141)</f>
        <v/>
      </c>
    </row>
    <row r="142">
      <c r="A142" s="1" t="n">
        <v>241</v>
      </c>
      <c r="B142" s="1">
        <f>A142</f>
        <v/>
      </c>
      <c r="C142" s="1" t="inlineStr">
        <is>
          <t>vKTT3m06</t>
        </is>
      </c>
      <c r="D142" s="1" t="inlineStr">
        <is>
          <t>數值</t>
        </is>
      </c>
      <c r="E142" s="9" t="n">
        <v>2</v>
      </c>
      <c r="G142" s="1" t="inlineStr">
        <is>
          <t>range</t>
        </is>
      </c>
      <c r="H142" s="1" t="inlineStr">
        <is>
          <t>0,1</t>
        </is>
      </c>
      <c r="L142" s="2">
        <f>_xlfn.CONCAT(IF(D142="數值",CONCATENATE(G142&amp;"("&amp;C142&amp;","&amp;
IF(ISERROR(SEARCH(",",H142,1)),(H142&amp;","&amp;H142),H142)&amp;
IF(ISBLANK(I142),"",IF(ISERROR(SEARCH(",",I142,1)),CONCATENATE(","&amp;I142&amp;","&amp;I142),CONCATENATE(","&amp;I142))&amp;
IF(ISBLANK(J142),"",IF(ISERROR(SEARCH(",",J142,1)),CONCATENATE(","&amp;J142&amp;","&amp;J142),CONCATENATE(","&amp;J142))&amp;
IF(ISBLANK(K142),"",IF(ISERROR(SEARCH(",",K142,1)),CONCATENATE(","&amp;K142&amp;","&amp;K142),CONCATENATE(","&amp;K142))))))&amp;
")","")&amp;" "&amp;F142)</f>
        <v/>
      </c>
    </row>
    <row r="143">
      <c r="A143" s="1" t="n">
        <v>242</v>
      </c>
      <c r="B143" s="1">
        <f>A143</f>
        <v/>
      </c>
      <c r="C143" s="1" t="inlineStr">
        <is>
          <t>vKTT3m07</t>
        </is>
      </c>
      <c r="D143" s="1" t="inlineStr">
        <is>
          <t>數值</t>
        </is>
      </c>
      <c r="E143" s="9" t="n">
        <v>2</v>
      </c>
      <c r="G143" s="1" t="inlineStr">
        <is>
          <t>range</t>
        </is>
      </c>
      <c r="H143" s="1" t="inlineStr">
        <is>
          <t>0,1</t>
        </is>
      </c>
      <c r="L143" s="2">
        <f>_xlfn.CONCAT(IF(D143="數值",CONCATENATE(G143&amp;"("&amp;C143&amp;","&amp;
IF(ISERROR(SEARCH(",",H143,1)),(H143&amp;","&amp;H143),H143)&amp;
IF(ISBLANK(I143),"",IF(ISERROR(SEARCH(",",I143,1)),CONCATENATE(","&amp;I143&amp;","&amp;I143),CONCATENATE(","&amp;I143))&amp;
IF(ISBLANK(J143),"",IF(ISERROR(SEARCH(",",J143,1)),CONCATENATE(","&amp;J143&amp;","&amp;J143),CONCATENATE(","&amp;J143))&amp;
IF(ISBLANK(K143),"",IF(ISERROR(SEARCH(",",K143,1)),CONCATENATE(","&amp;K143&amp;","&amp;K143),CONCATENATE(","&amp;K143))))))&amp;
")","")&amp;" "&amp;F143)</f>
        <v/>
      </c>
    </row>
    <row r="144">
      <c r="A144" s="1" t="n">
        <v>243</v>
      </c>
      <c r="B144" s="1">
        <f>A144</f>
        <v/>
      </c>
      <c r="C144" s="1" t="inlineStr">
        <is>
          <t>vKTT3m08</t>
        </is>
      </c>
      <c r="D144" s="1" t="inlineStr">
        <is>
          <t>數值</t>
        </is>
      </c>
      <c r="E144" s="9" t="n">
        <v>2</v>
      </c>
      <c r="G144" s="1" t="inlineStr">
        <is>
          <t>range</t>
        </is>
      </c>
      <c r="H144" s="1" t="inlineStr">
        <is>
          <t>0,1</t>
        </is>
      </c>
      <c r="L144" s="2">
        <f>_xlfn.CONCAT(IF(D144="數值",CONCATENATE(G144&amp;"("&amp;C144&amp;","&amp;
IF(ISERROR(SEARCH(",",H144,1)),(H144&amp;","&amp;H144),H144)&amp;
IF(ISBLANK(I144),"",IF(ISERROR(SEARCH(",",I144,1)),CONCATENATE(","&amp;I144&amp;","&amp;I144),CONCATENATE(","&amp;I144))&amp;
IF(ISBLANK(J144),"",IF(ISERROR(SEARCH(",",J144,1)),CONCATENATE(","&amp;J144&amp;","&amp;J144),CONCATENATE(","&amp;J144))&amp;
IF(ISBLANK(K144),"",IF(ISERROR(SEARCH(",",K144,1)),CONCATENATE(","&amp;K144&amp;","&amp;K144),CONCATENATE(","&amp;K144))))))&amp;
")","")&amp;" "&amp;F144)</f>
        <v/>
      </c>
    </row>
    <row r="145">
      <c r="A145" s="1" t="n">
        <v>244</v>
      </c>
      <c r="B145" s="1">
        <f>A145</f>
        <v/>
      </c>
      <c r="C145" s="1" t="inlineStr">
        <is>
          <t>vKTT3m09</t>
        </is>
      </c>
      <c r="D145" s="1" t="inlineStr">
        <is>
          <t>數值</t>
        </is>
      </c>
      <c r="E145" s="9" t="n">
        <v>2</v>
      </c>
      <c r="G145" s="1" t="inlineStr">
        <is>
          <t>range</t>
        </is>
      </c>
      <c r="H145" s="1" t="inlineStr">
        <is>
          <t>0,1</t>
        </is>
      </c>
      <c r="L145" s="2">
        <f>_xlfn.CONCAT(IF(D145="數值",CONCATENATE(G145&amp;"("&amp;C145&amp;","&amp;
IF(ISERROR(SEARCH(",",H145,1)),(H145&amp;","&amp;H145),H145)&amp;
IF(ISBLANK(I145),"",IF(ISERROR(SEARCH(",",I145,1)),CONCATENATE(","&amp;I145&amp;","&amp;I145),CONCATENATE(","&amp;I145))&amp;
IF(ISBLANK(J145),"",IF(ISERROR(SEARCH(",",J145,1)),CONCATENATE(","&amp;J145&amp;","&amp;J145),CONCATENATE(","&amp;J145))&amp;
IF(ISBLANK(K145),"",IF(ISERROR(SEARCH(",",K145,1)),CONCATENATE(","&amp;K145&amp;","&amp;K145),CONCATENATE(","&amp;K145))))))&amp;
")","")&amp;" "&amp;F145)</f>
        <v/>
      </c>
    </row>
    <row r="146">
      <c r="A146" s="1" t="n">
        <v>245</v>
      </c>
      <c r="B146" s="1">
        <f>A146</f>
        <v/>
      </c>
      <c r="C146" s="1" t="inlineStr">
        <is>
          <t>vKTT3m10</t>
        </is>
      </c>
      <c r="D146" s="1" t="inlineStr">
        <is>
          <t>數值</t>
        </is>
      </c>
      <c r="E146" s="9" t="n">
        <v>2</v>
      </c>
      <c r="G146" s="1" t="inlineStr">
        <is>
          <t>range</t>
        </is>
      </c>
      <c r="H146" s="1" t="inlineStr">
        <is>
          <t>0,1</t>
        </is>
      </c>
      <c r="I146" s="1" t="inlineStr">
        <is>
          <t>96</t>
        </is>
      </c>
      <c r="L146" s="2">
        <f>_xlfn.CONCAT(IF(D146="數值",CONCATENATE(G146&amp;"("&amp;C146&amp;","&amp;
IF(ISERROR(SEARCH(",",H146,1)),(H146&amp;","&amp;H146),H146)&amp;
IF(ISBLANK(I146),"",IF(ISERROR(SEARCH(",",I146,1)),CONCATENATE(","&amp;I146&amp;","&amp;I146),CONCATENATE(","&amp;I146))&amp;
IF(ISBLANK(J146),"",IF(ISERROR(SEARCH(",",J146,1)),CONCATENATE(","&amp;J146&amp;","&amp;J146),CONCATENATE(","&amp;J146))&amp;
IF(ISBLANK(K146),"",IF(ISERROR(SEARCH(",",K146,1)),CONCATENATE(","&amp;K146&amp;","&amp;K146),CONCATENATE(","&amp;K146))))))&amp;
")","")&amp;" "&amp;F146)</f>
        <v/>
      </c>
    </row>
    <row r="147">
      <c r="A147" s="1" t="n">
        <v>246</v>
      </c>
      <c r="B147" s="1">
        <f>A147</f>
        <v/>
      </c>
      <c r="C147" s="1" t="inlineStr">
        <is>
          <t>vKTT3m11</t>
        </is>
      </c>
      <c r="D147" s="1" t="inlineStr">
        <is>
          <t>數值</t>
        </is>
      </c>
      <c r="E147" s="9" t="n">
        <v>2</v>
      </c>
      <c r="G147" s="1" t="inlineStr">
        <is>
          <t>range</t>
        </is>
      </c>
      <c r="H147" s="1" t="inlineStr">
        <is>
          <t>0,1</t>
        </is>
      </c>
      <c r="I147" s="1" t="inlineStr">
        <is>
          <t>96</t>
        </is>
      </c>
      <c r="L147" s="2">
        <f>_xlfn.CONCAT(IF(D147="數值",CONCATENATE(G147&amp;"("&amp;C147&amp;","&amp;
IF(ISERROR(SEARCH(",",H147,1)),(H147&amp;","&amp;H147),H147)&amp;
IF(ISBLANK(I147),"",IF(ISERROR(SEARCH(",",I147,1)),CONCATENATE(","&amp;I147&amp;","&amp;I147),CONCATENATE(","&amp;I147))&amp;
IF(ISBLANK(J147),"",IF(ISERROR(SEARCH(",",J147,1)),CONCATENATE(","&amp;J147&amp;","&amp;J147),CONCATENATE(","&amp;J147))&amp;
IF(ISBLANK(K147),"",IF(ISERROR(SEARCH(",",K147,1)),CONCATENATE(","&amp;K147&amp;","&amp;K147),CONCATENATE(","&amp;K147))))))&amp;
")","")&amp;" "&amp;F147)</f>
        <v/>
      </c>
    </row>
    <row r="148">
      <c r="A148" s="1" t="n">
        <v>247</v>
      </c>
      <c r="B148" s="1">
        <f>A148</f>
        <v/>
      </c>
      <c r="C148" s="1" t="inlineStr">
        <is>
          <t>vKTT3m12</t>
        </is>
      </c>
      <c r="D148" s="1" t="inlineStr">
        <is>
          <t>數值</t>
        </is>
      </c>
      <c r="E148" s="9" t="n">
        <v>2</v>
      </c>
      <c r="G148" s="1" t="inlineStr">
        <is>
          <t>range</t>
        </is>
      </c>
      <c r="H148" s="1" t="inlineStr">
        <is>
          <t>0,1</t>
        </is>
      </c>
      <c r="I148" s="1" t="inlineStr">
        <is>
          <t>96</t>
        </is>
      </c>
      <c r="L148" s="2">
        <f>_xlfn.CONCAT(IF(D148="數值",CONCATENATE(G148&amp;"("&amp;C148&amp;","&amp;
IF(ISERROR(SEARCH(",",H148,1)),(H148&amp;","&amp;H148),H148)&amp;
IF(ISBLANK(I148),"",IF(ISERROR(SEARCH(",",I148,1)),CONCATENATE(","&amp;I148&amp;","&amp;I148),CONCATENATE(","&amp;I148))&amp;
IF(ISBLANK(J148),"",IF(ISERROR(SEARCH(",",J148,1)),CONCATENATE(","&amp;J148&amp;","&amp;J148),CONCATENATE(","&amp;J148))&amp;
IF(ISBLANK(K148),"",IF(ISERROR(SEARCH(",",K148,1)),CONCATENATE(","&amp;K148&amp;","&amp;K148),CONCATENATE(","&amp;K148))))))&amp;
")","")&amp;" "&amp;F148)</f>
        <v/>
      </c>
    </row>
    <row r="149">
      <c r="A149" s="1" t="n">
        <v>248</v>
      </c>
      <c r="B149" s="1">
        <f>A149</f>
        <v/>
      </c>
      <c r="C149" s="1" t="inlineStr">
        <is>
          <t>vKTT3m13</t>
        </is>
      </c>
      <c r="D149" s="1" t="inlineStr">
        <is>
          <t>數值</t>
        </is>
      </c>
      <c r="E149" s="9" t="n">
        <v>2</v>
      </c>
      <c r="G149" s="1" t="inlineStr">
        <is>
          <t>range</t>
        </is>
      </c>
      <c r="H149" s="1" t="inlineStr">
        <is>
          <t>0,1</t>
        </is>
      </c>
      <c r="I149" s="1" t="inlineStr">
        <is>
          <t>96</t>
        </is>
      </c>
      <c r="L149" s="2">
        <f>_xlfn.CONCAT(IF(D149="數值",CONCATENATE(G149&amp;"("&amp;C149&amp;","&amp;
IF(ISERROR(SEARCH(",",H149,1)),(H149&amp;","&amp;H149),H149)&amp;
IF(ISBLANK(I149),"",IF(ISERROR(SEARCH(",",I149,1)),CONCATENATE(","&amp;I149&amp;","&amp;I149),CONCATENATE(","&amp;I149))&amp;
IF(ISBLANK(J149),"",IF(ISERROR(SEARCH(",",J149,1)),CONCATENATE(","&amp;J149&amp;","&amp;J149),CONCATENATE(","&amp;J149))&amp;
IF(ISBLANK(K149),"",IF(ISERROR(SEARCH(",",K149,1)),CONCATENATE(","&amp;K149&amp;","&amp;K149),CONCATENATE(","&amp;K149))))))&amp;
")","")&amp;" "&amp;F149)</f>
        <v/>
      </c>
    </row>
    <row r="150">
      <c r="A150" s="1" t="n">
        <v>249</v>
      </c>
      <c r="B150" s="1">
        <f>A150</f>
        <v/>
      </c>
      <c r="C150" s="1" t="inlineStr">
        <is>
          <t>vKTT3m14</t>
        </is>
      </c>
      <c r="D150" s="1" t="inlineStr">
        <is>
          <t>數值</t>
        </is>
      </c>
      <c r="E150" s="9" t="n">
        <v>2</v>
      </c>
      <c r="G150" s="1" t="inlineStr">
        <is>
          <t>range</t>
        </is>
      </c>
      <c r="H150" s="1" t="inlineStr">
        <is>
          <t>0,1</t>
        </is>
      </c>
      <c r="I150" s="1" t="inlineStr">
        <is>
          <t>96</t>
        </is>
      </c>
      <c r="L150" s="2">
        <f>_xlfn.CONCAT(IF(D150="數值",CONCATENATE(G150&amp;"("&amp;C150&amp;","&amp;
IF(ISERROR(SEARCH(",",H150,1)),(H150&amp;","&amp;H150),H150)&amp;
IF(ISBLANK(I150),"",IF(ISERROR(SEARCH(",",I150,1)),CONCATENATE(","&amp;I150&amp;","&amp;I150),CONCATENATE(","&amp;I150))&amp;
IF(ISBLANK(J150),"",IF(ISERROR(SEARCH(",",J150,1)),CONCATENATE(","&amp;J150&amp;","&amp;J150),CONCATENATE(","&amp;J150))&amp;
IF(ISBLANK(K150),"",IF(ISERROR(SEARCH(",",K150,1)),CONCATENATE(","&amp;K150&amp;","&amp;K150),CONCATENATE(","&amp;K150))))))&amp;
")","")&amp;" "&amp;F150)</f>
        <v/>
      </c>
    </row>
    <row r="151">
      <c r="A151" s="1" t="n">
        <v>250</v>
      </c>
      <c r="B151" s="1">
        <f>A151</f>
        <v/>
      </c>
      <c r="C151" s="1" t="inlineStr">
        <is>
          <t>vKTT3m15</t>
        </is>
      </c>
      <c r="D151" s="1" t="inlineStr">
        <is>
          <t>數值</t>
        </is>
      </c>
      <c r="E151" s="9" t="n">
        <v>2</v>
      </c>
      <c r="G151" s="1" t="inlineStr">
        <is>
          <t>range</t>
        </is>
      </c>
      <c r="H151" s="1" t="inlineStr">
        <is>
          <t>0,1</t>
        </is>
      </c>
      <c r="I151" s="1" t="inlineStr">
        <is>
          <t>96</t>
        </is>
      </c>
      <c r="L151" s="2">
        <f>_xlfn.CONCAT(IF(D151="數值",CONCATENATE(G151&amp;"("&amp;C151&amp;","&amp;
IF(ISERROR(SEARCH(",",H151,1)),(H151&amp;","&amp;H151),H151)&amp;
IF(ISBLANK(I151),"",IF(ISERROR(SEARCH(",",I151,1)),CONCATENATE(","&amp;I151&amp;","&amp;I151),CONCATENATE(","&amp;I151))&amp;
IF(ISBLANK(J151),"",IF(ISERROR(SEARCH(",",J151,1)),CONCATENATE(","&amp;J151&amp;","&amp;J151),CONCATENATE(","&amp;J151))&amp;
IF(ISBLANK(K151),"",IF(ISERROR(SEARCH(",",K151,1)),CONCATENATE(","&amp;K151&amp;","&amp;K151),CONCATENATE(","&amp;K151))))))&amp;
")","")&amp;" "&amp;F151)</f>
        <v/>
      </c>
    </row>
    <row r="152">
      <c r="A152" s="1" t="n">
        <v>251</v>
      </c>
      <c r="B152" s="1">
        <f>A152</f>
        <v/>
      </c>
      <c r="C152" s="1" t="inlineStr">
        <is>
          <t>vKTT3m16</t>
        </is>
      </c>
      <c r="D152" s="1" t="inlineStr">
        <is>
          <t>數值</t>
        </is>
      </c>
      <c r="E152" s="9" t="n">
        <v>2</v>
      </c>
      <c r="G152" s="1" t="inlineStr">
        <is>
          <t>range</t>
        </is>
      </c>
      <c r="H152" s="1" t="inlineStr">
        <is>
          <t>0,1</t>
        </is>
      </c>
      <c r="I152" s="1" t="inlineStr">
        <is>
          <t>96</t>
        </is>
      </c>
      <c r="L152" s="2">
        <f>_xlfn.CONCAT(IF(D152="數值",CONCATENATE(G152&amp;"("&amp;C152&amp;","&amp;
IF(ISERROR(SEARCH(",",H152,1)),(H152&amp;","&amp;H152),H152)&amp;
IF(ISBLANK(I152),"",IF(ISERROR(SEARCH(",",I152,1)),CONCATENATE(","&amp;I152&amp;","&amp;I152),CONCATENATE(","&amp;I152))&amp;
IF(ISBLANK(J152),"",IF(ISERROR(SEARCH(",",J152,1)),CONCATENATE(","&amp;J152&amp;","&amp;J152),CONCATENATE(","&amp;J152))&amp;
IF(ISBLANK(K152),"",IF(ISERROR(SEARCH(",",K152,1)),CONCATENATE(","&amp;K152&amp;","&amp;K152),CONCATENATE(","&amp;K152))))))&amp;
")","")&amp;" "&amp;F152)</f>
        <v/>
      </c>
    </row>
    <row r="153">
      <c r="A153" s="1" t="n">
        <v>252</v>
      </c>
      <c r="B153" s="1">
        <f>A153</f>
        <v/>
      </c>
      <c r="C153" s="1" t="inlineStr">
        <is>
          <t>vKTT3m88</t>
        </is>
      </c>
      <c r="D153" s="1" t="inlineStr">
        <is>
          <t>數值</t>
        </is>
      </c>
      <c r="E153" s="9" t="n">
        <v>2</v>
      </c>
      <c r="G153" s="1" t="inlineStr">
        <is>
          <t>range</t>
        </is>
      </c>
      <c r="H153" s="1" t="inlineStr">
        <is>
          <t>0,1</t>
        </is>
      </c>
      <c r="I153" s="1" t="inlineStr">
        <is>
          <t>96</t>
        </is>
      </c>
      <c r="L153" s="2">
        <f>_xlfn.CONCAT(IF(D153="數值",CONCATENATE(G153&amp;"("&amp;C153&amp;","&amp;
IF(ISERROR(SEARCH(",",H153,1)),(H153&amp;","&amp;H153),H153)&amp;
IF(ISBLANK(I153),"",IF(ISERROR(SEARCH(",",I153,1)),CONCATENATE(","&amp;I153&amp;","&amp;I153),CONCATENATE(","&amp;I153))&amp;
IF(ISBLANK(J153),"",IF(ISERROR(SEARCH(",",J153,1)),CONCATENATE(","&amp;J153&amp;","&amp;J153),CONCATENATE(","&amp;J153))&amp;
IF(ISBLANK(K153),"",IF(ISERROR(SEARCH(",",K153,1)),CONCATENATE(","&amp;K153&amp;","&amp;K153),CONCATENATE(","&amp;K153))))))&amp;
")","")&amp;" "&amp;F153)</f>
        <v/>
      </c>
    </row>
    <row r="154">
      <c r="A154" s="1" t="n">
        <v>253</v>
      </c>
      <c r="B154" s="1">
        <f>A154</f>
        <v/>
      </c>
      <c r="C154" s="1" t="inlineStr">
        <is>
          <t>vKTT4m01</t>
        </is>
      </c>
      <c r="D154" s="1" t="inlineStr">
        <is>
          <t>數值</t>
        </is>
      </c>
      <c r="E154" s="9" t="n">
        <v>2</v>
      </c>
      <c r="G154" s="1" t="inlineStr">
        <is>
          <t>range</t>
        </is>
      </c>
      <c r="H154" s="1" t="inlineStr">
        <is>
          <t>0,1</t>
        </is>
      </c>
      <c r="L154" s="2">
        <f>_xlfn.CONCAT(IF(D154="數值",CONCATENATE(G154&amp;"("&amp;C154&amp;","&amp;
IF(ISERROR(SEARCH(",",H154,1)),(H154&amp;","&amp;H154),H154)&amp;
IF(ISBLANK(I154),"",IF(ISERROR(SEARCH(",",I154,1)),CONCATENATE(","&amp;I154&amp;","&amp;I154),CONCATENATE(","&amp;I154))&amp;
IF(ISBLANK(J154),"",IF(ISERROR(SEARCH(",",J154,1)),CONCATENATE(","&amp;J154&amp;","&amp;J154),CONCATENATE(","&amp;J154))&amp;
IF(ISBLANK(K154),"",IF(ISERROR(SEARCH(",",K154,1)),CONCATENATE(","&amp;K154&amp;","&amp;K154),CONCATENATE(","&amp;K154))))))&amp;
")","")&amp;" "&amp;F154)</f>
        <v/>
      </c>
    </row>
    <row r="155">
      <c r="A155" s="1" t="n">
        <v>254</v>
      </c>
      <c r="B155" s="1">
        <f>A155</f>
        <v/>
      </c>
      <c r="C155" s="1" t="inlineStr">
        <is>
          <t>vKTT4m02</t>
        </is>
      </c>
      <c r="D155" s="1" t="inlineStr">
        <is>
          <t>數值</t>
        </is>
      </c>
      <c r="E155" s="9" t="n">
        <v>2</v>
      </c>
      <c r="G155" s="1" t="inlineStr">
        <is>
          <t>range</t>
        </is>
      </c>
      <c r="H155" s="1" t="inlineStr">
        <is>
          <t>0,1</t>
        </is>
      </c>
      <c r="L155" s="2">
        <f>_xlfn.CONCAT(IF(D155="數值",CONCATENATE(G155&amp;"("&amp;C155&amp;","&amp;
IF(ISERROR(SEARCH(",",H155,1)),(H155&amp;","&amp;H155),H155)&amp;
IF(ISBLANK(I155),"",IF(ISERROR(SEARCH(",",I155,1)),CONCATENATE(","&amp;I155&amp;","&amp;I155),CONCATENATE(","&amp;I155))&amp;
IF(ISBLANK(J155),"",IF(ISERROR(SEARCH(",",J155,1)),CONCATENATE(","&amp;J155&amp;","&amp;J155),CONCATENATE(","&amp;J155))&amp;
IF(ISBLANK(K155),"",IF(ISERROR(SEARCH(",",K155,1)),CONCATENATE(","&amp;K155&amp;","&amp;K155),CONCATENATE(","&amp;K155))))))&amp;
")","")&amp;" "&amp;F155)</f>
        <v/>
      </c>
    </row>
    <row r="156">
      <c r="A156" s="1" t="n">
        <v>255</v>
      </c>
      <c r="B156" s="1">
        <f>A156</f>
        <v/>
      </c>
      <c r="C156" s="1" t="inlineStr">
        <is>
          <t>vKTT4m03</t>
        </is>
      </c>
      <c r="D156" s="1" t="inlineStr">
        <is>
          <t>數值</t>
        </is>
      </c>
      <c r="E156" s="9" t="n">
        <v>2</v>
      </c>
      <c r="G156" s="1" t="inlineStr">
        <is>
          <t>range</t>
        </is>
      </c>
      <c r="H156" s="1" t="inlineStr">
        <is>
          <t>0,1</t>
        </is>
      </c>
      <c r="L156" s="2">
        <f>_xlfn.CONCAT(IF(D156="數值",CONCATENATE(G156&amp;"("&amp;C156&amp;","&amp;
IF(ISERROR(SEARCH(",",H156,1)),(H156&amp;","&amp;H156),H156)&amp;
IF(ISBLANK(I156),"",IF(ISERROR(SEARCH(",",I156,1)),CONCATENATE(","&amp;I156&amp;","&amp;I156),CONCATENATE(","&amp;I156))&amp;
IF(ISBLANK(J156),"",IF(ISERROR(SEARCH(",",J156,1)),CONCATENATE(","&amp;J156&amp;","&amp;J156),CONCATENATE(","&amp;J156))&amp;
IF(ISBLANK(K156),"",IF(ISERROR(SEARCH(",",K156,1)),CONCATENATE(","&amp;K156&amp;","&amp;K156),CONCATENATE(","&amp;K156))))))&amp;
")","")&amp;" "&amp;F156)</f>
        <v/>
      </c>
    </row>
    <row r="157">
      <c r="A157" s="1" t="n">
        <v>256</v>
      </c>
      <c r="B157" s="1">
        <f>A157</f>
        <v/>
      </c>
      <c r="C157" s="1" t="inlineStr">
        <is>
          <t>vKTT4m04</t>
        </is>
      </c>
      <c r="D157" s="1" t="inlineStr">
        <is>
          <t>數值</t>
        </is>
      </c>
      <c r="E157" s="9" t="n">
        <v>2</v>
      </c>
      <c r="G157" s="1" t="inlineStr">
        <is>
          <t>range</t>
        </is>
      </c>
      <c r="H157" s="1" t="inlineStr">
        <is>
          <t>0,1</t>
        </is>
      </c>
      <c r="L157" s="2">
        <f>_xlfn.CONCAT(IF(D157="數值",CONCATENATE(G157&amp;"("&amp;C157&amp;","&amp;
IF(ISERROR(SEARCH(",",H157,1)),(H157&amp;","&amp;H157),H157)&amp;
IF(ISBLANK(I157),"",IF(ISERROR(SEARCH(",",I157,1)),CONCATENATE(","&amp;I157&amp;","&amp;I157),CONCATENATE(","&amp;I157))&amp;
IF(ISBLANK(J157),"",IF(ISERROR(SEARCH(",",J157,1)),CONCATENATE(","&amp;J157&amp;","&amp;J157),CONCATENATE(","&amp;J157))&amp;
IF(ISBLANK(K157),"",IF(ISERROR(SEARCH(",",K157,1)),CONCATENATE(","&amp;K157&amp;","&amp;K157),CONCATENATE(","&amp;K157))))))&amp;
")","")&amp;" "&amp;F157)</f>
        <v/>
      </c>
    </row>
    <row r="158">
      <c r="A158" s="1" t="n">
        <v>257</v>
      </c>
      <c r="B158" s="1">
        <f>A158</f>
        <v/>
      </c>
      <c r="C158" s="1" t="inlineStr">
        <is>
          <t>vKTT4m05</t>
        </is>
      </c>
      <c r="D158" s="1" t="inlineStr">
        <is>
          <t>數值</t>
        </is>
      </c>
      <c r="E158" s="9" t="n">
        <v>2</v>
      </c>
      <c r="G158" s="1" t="inlineStr">
        <is>
          <t>range</t>
        </is>
      </c>
      <c r="H158" s="1" t="inlineStr">
        <is>
          <t>0,1</t>
        </is>
      </c>
      <c r="L158" s="2">
        <f>_xlfn.CONCAT(IF(D158="數值",CONCATENATE(G158&amp;"("&amp;C158&amp;","&amp;
IF(ISERROR(SEARCH(",",H158,1)),(H158&amp;","&amp;H158),H158)&amp;
IF(ISBLANK(I158),"",IF(ISERROR(SEARCH(",",I158,1)),CONCATENATE(","&amp;I158&amp;","&amp;I158),CONCATENATE(","&amp;I158))&amp;
IF(ISBLANK(J158),"",IF(ISERROR(SEARCH(",",J158,1)),CONCATENATE(","&amp;J158&amp;","&amp;J158),CONCATENATE(","&amp;J158))&amp;
IF(ISBLANK(K158),"",IF(ISERROR(SEARCH(",",K158,1)),CONCATENATE(","&amp;K158&amp;","&amp;K158),CONCATENATE(","&amp;K158))))))&amp;
")","")&amp;" "&amp;F158)</f>
        <v/>
      </c>
    </row>
    <row r="159">
      <c r="A159" s="1" t="n">
        <v>258</v>
      </c>
      <c r="B159" s="1">
        <f>A159</f>
        <v/>
      </c>
      <c r="C159" s="1" t="inlineStr">
        <is>
          <t>vKTT4m06</t>
        </is>
      </c>
      <c r="D159" s="1" t="inlineStr">
        <is>
          <t>數值</t>
        </is>
      </c>
      <c r="E159" s="9" t="n">
        <v>2</v>
      </c>
      <c r="G159" s="1" t="inlineStr">
        <is>
          <t>range</t>
        </is>
      </c>
      <c r="H159" s="1" t="inlineStr">
        <is>
          <t>0,1</t>
        </is>
      </c>
      <c r="L159" s="2">
        <f>_xlfn.CONCAT(IF(D159="數值",CONCATENATE(G159&amp;"("&amp;C159&amp;","&amp;
IF(ISERROR(SEARCH(",",H159,1)),(H159&amp;","&amp;H159),H159)&amp;
IF(ISBLANK(I159),"",IF(ISERROR(SEARCH(",",I159,1)),CONCATENATE(","&amp;I159&amp;","&amp;I159),CONCATENATE(","&amp;I159))&amp;
IF(ISBLANK(J159),"",IF(ISERROR(SEARCH(",",J159,1)),CONCATENATE(","&amp;J159&amp;","&amp;J159),CONCATENATE(","&amp;J159))&amp;
IF(ISBLANK(K159),"",IF(ISERROR(SEARCH(",",K159,1)),CONCATENATE(","&amp;K159&amp;","&amp;K159),CONCATENATE(","&amp;K159))))))&amp;
")","")&amp;" "&amp;F159)</f>
        <v/>
      </c>
    </row>
    <row r="160">
      <c r="A160" s="1" t="n">
        <v>259</v>
      </c>
      <c r="B160" s="1">
        <f>A160</f>
        <v/>
      </c>
      <c r="C160" s="1" t="inlineStr">
        <is>
          <t>vKTT4m07</t>
        </is>
      </c>
      <c r="D160" s="1" t="inlineStr">
        <is>
          <t>數值</t>
        </is>
      </c>
      <c r="E160" s="9" t="n">
        <v>2</v>
      </c>
      <c r="G160" s="1" t="inlineStr">
        <is>
          <t>range</t>
        </is>
      </c>
      <c r="H160" s="1" t="inlineStr">
        <is>
          <t>0,1</t>
        </is>
      </c>
      <c r="L160" s="2">
        <f>_xlfn.CONCAT(IF(D160="數值",CONCATENATE(G160&amp;"("&amp;C160&amp;","&amp;
IF(ISERROR(SEARCH(",",H160,1)),(H160&amp;","&amp;H160),H160)&amp;
IF(ISBLANK(I160),"",IF(ISERROR(SEARCH(",",I160,1)),CONCATENATE(","&amp;I160&amp;","&amp;I160),CONCATENATE(","&amp;I160))&amp;
IF(ISBLANK(J160),"",IF(ISERROR(SEARCH(",",J160,1)),CONCATENATE(","&amp;J160&amp;","&amp;J160),CONCATENATE(","&amp;J160))&amp;
IF(ISBLANK(K160),"",IF(ISERROR(SEARCH(",",K160,1)),CONCATENATE(","&amp;K160&amp;","&amp;K160),CONCATENATE(","&amp;K160))))))&amp;
")","")&amp;" "&amp;F160)</f>
        <v/>
      </c>
    </row>
    <row r="161">
      <c r="A161" s="1" t="n">
        <v>260</v>
      </c>
      <c r="B161" s="1">
        <f>A161</f>
        <v/>
      </c>
      <c r="C161" s="1" t="inlineStr">
        <is>
          <t>vKTT4m08</t>
        </is>
      </c>
      <c r="D161" s="1" t="inlineStr">
        <is>
          <t>數值</t>
        </is>
      </c>
      <c r="E161" s="9" t="n">
        <v>2</v>
      </c>
      <c r="G161" s="1" t="inlineStr">
        <is>
          <t>range</t>
        </is>
      </c>
      <c r="H161" s="1" t="inlineStr">
        <is>
          <t>0,1</t>
        </is>
      </c>
      <c r="L161" s="2">
        <f>_xlfn.CONCAT(IF(D161="數值",CONCATENATE(G161&amp;"("&amp;C161&amp;","&amp;
IF(ISERROR(SEARCH(",",H161,1)),(H161&amp;","&amp;H161),H161)&amp;
IF(ISBLANK(I161),"",IF(ISERROR(SEARCH(",",I161,1)),CONCATENATE(","&amp;I161&amp;","&amp;I161),CONCATENATE(","&amp;I161))&amp;
IF(ISBLANK(J161),"",IF(ISERROR(SEARCH(",",J161,1)),CONCATENATE(","&amp;J161&amp;","&amp;J161),CONCATENATE(","&amp;J161))&amp;
IF(ISBLANK(K161),"",IF(ISERROR(SEARCH(",",K161,1)),CONCATENATE(","&amp;K161&amp;","&amp;K161),CONCATENATE(","&amp;K161))))))&amp;
")","")&amp;" "&amp;F161)</f>
        <v/>
      </c>
    </row>
    <row r="162">
      <c r="A162" s="1" t="n">
        <v>261</v>
      </c>
      <c r="B162" s="1">
        <f>A162</f>
        <v/>
      </c>
      <c r="C162" s="1" t="inlineStr">
        <is>
          <t>vKTT4m09</t>
        </is>
      </c>
      <c r="D162" s="1" t="inlineStr">
        <is>
          <t>數值</t>
        </is>
      </c>
      <c r="E162" s="9" t="n">
        <v>2</v>
      </c>
      <c r="G162" s="1" t="inlineStr">
        <is>
          <t>range</t>
        </is>
      </c>
      <c r="H162" s="1" t="inlineStr">
        <is>
          <t>0,1</t>
        </is>
      </c>
      <c r="L162" s="2">
        <f>_xlfn.CONCAT(IF(D162="數值",CONCATENATE(G162&amp;"("&amp;C162&amp;","&amp;
IF(ISERROR(SEARCH(",",H162,1)),(H162&amp;","&amp;H162),H162)&amp;
IF(ISBLANK(I162),"",IF(ISERROR(SEARCH(",",I162,1)),CONCATENATE(","&amp;I162&amp;","&amp;I162),CONCATENATE(","&amp;I162))&amp;
IF(ISBLANK(J162),"",IF(ISERROR(SEARCH(",",J162,1)),CONCATENATE(","&amp;J162&amp;","&amp;J162),CONCATENATE(","&amp;J162))&amp;
IF(ISBLANK(K162),"",IF(ISERROR(SEARCH(",",K162,1)),CONCATENATE(","&amp;K162&amp;","&amp;K162),CONCATENATE(","&amp;K162))))))&amp;
")","")&amp;" "&amp;F162)</f>
        <v/>
      </c>
    </row>
    <row r="163">
      <c r="A163" s="1" t="n">
        <v>262</v>
      </c>
      <c r="B163" s="1">
        <f>A163</f>
        <v/>
      </c>
      <c r="C163" s="1" t="inlineStr">
        <is>
          <t>vKTT4m10</t>
        </is>
      </c>
      <c r="D163" s="1" t="inlineStr">
        <is>
          <t>數值</t>
        </is>
      </c>
      <c r="E163" s="9" t="n">
        <v>2</v>
      </c>
      <c r="G163" s="1" t="inlineStr">
        <is>
          <t>range</t>
        </is>
      </c>
      <c r="H163" s="1" t="inlineStr">
        <is>
          <t>0,1</t>
        </is>
      </c>
      <c r="I163" s="1" t="inlineStr">
        <is>
          <t>96</t>
        </is>
      </c>
      <c r="L163" s="2">
        <f>_xlfn.CONCAT(IF(D163="數值",CONCATENATE(G163&amp;"("&amp;C163&amp;","&amp;
IF(ISERROR(SEARCH(",",H163,1)),(H163&amp;","&amp;H163),H163)&amp;
IF(ISBLANK(I163),"",IF(ISERROR(SEARCH(",",I163,1)),CONCATENATE(","&amp;I163&amp;","&amp;I163),CONCATENATE(","&amp;I163))&amp;
IF(ISBLANK(J163),"",IF(ISERROR(SEARCH(",",J163,1)),CONCATENATE(","&amp;J163&amp;","&amp;J163),CONCATENATE(","&amp;J163))&amp;
IF(ISBLANK(K163),"",IF(ISERROR(SEARCH(",",K163,1)),CONCATENATE(","&amp;K163&amp;","&amp;K163),CONCATENATE(","&amp;K163))))))&amp;
")","")&amp;" "&amp;F163)</f>
        <v/>
      </c>
    </row>
    <row r="164">
      <c r="A164" s="1" t="n">
        <v>263</v>
      </c>
      <c r="B164" s="1">
        <f>A164</f>
        <v/>
      </c>
      <c r="C164" s="1" t="inlineStr">
        <is>
          <t>vKTT4m11</t>
        </is>
      </c>
      <c r="D164" s="1" t="inlineStr">
        <is>
          <t>數值</t>
        </is>
      </c>
      <c r="E164" s="9" t="n">
        <v>2</v>
      </c>
      <c r="G164" s="1" t="inlineStr">
        <is>
          <t>range</t>
        </is>
      </c>
      <c r="H164" s="1" t="inlineStr">
        <is>
          <t>0,1</t>
        </is>
      </c>
      <c r="I164" s="1" t="inlineStr">
        <is>
          <t>96</t>
        </is>
      </c>
      <c r="L164" s="2">
        <f>_xlfn.CONCAT(IF(D164="數值",CONCATENATE(G164&amp;"("&amp;C164&amp;","&amp;
IF(ISERROR(SEARCH(",",H164,1)),(H164&amp;","&amp;H164),H164)&amp;
IF(ISBLANK(I164),"",IF(ISERROR(SEARCH(",",I164,1)),CONCATENATE(","&amp;I164&amp;","&amp;I164),CONCATENATE(","&amp;I164))&amp;
IF(ISBLANK(J164),"",IF(ISERROR(SEARCH(",",J164,1)),CONCATENATE(","&amp;J164&amp;","&amp;J164),CONCATENATE(","&amp;J164))&amp;
IF(ISBLANK(K164),"",IF(ISERROR(SEARCH(",",K164,1)),CONCATENATE(","&amp;K164&amp;","&amp;K164),CONCATENATE(","&amp;K164))))))&amp;
")","")&amp;" "&amp;F164)</f>
        <v/>
      </c>
    </row>
    <row r="165">
      <c r="A165" s="1" t="n">
        <v>264</v>
      </c>
      <c r="B165" s="1">
        <f>A165</f>
        <v/>
      </c>
      <c r="C165" s="1" t="inlineStr">
        <is>
          <t>vKTT4m12</t>
        </is>
      </c>
      <c r="D165" s="1" t="inlineStr">
        <is>
          <t>數值</t>
        </is>
      </c>
      <c r="E165" s="9" t="n">
        <v>2</v>
      </c>
      <c r="G165" s="1" t="inlineStr">
        <is>
          <t>range</t>
        </is>
      </c>
      <c r="H165" s="1" t="inlineStr">
        <is>
          <t>0,1</t>
        </is>
      </c>
      <c r="I165" s="1" t="inlineStr">
        <is>
          <t>96</t>
        </is>
      </c>
      <c r="L165" s="2">
        <f>_xlfn.CONCAT(IF(D165="數值",CONCATENATE(G165&amp;"("&amp;C165&amp;","&amp;
IF(ISERROR(SEARCH(",",H165,1)),(H165&amp;","&amp;H165),H165)&amp;
IF(ISBLANK(I165),"",IF(ISERROR(SEARCH(",",I165,1)),CONCATENATE(","&amp;I165&amp;","&amp;I165),CONCATENATE(","&amp;I165))&amp;
IF(ISBLANK(J165),"",IF(ISERROR(SEARCH(",",J165,1)),CONCATENATE(","&amp;J165&amp;","&amp;J165),CONCATENATE(","&amp;J165))&amp;
IF(ISBLANK(K165),"",IF(ISERROR(SEARCH(",",K165,1)),CONCATENATE(","&amp;K165&amp;","&amp;K165),CONCATENATE(","&amp;K165))))))&amp;
")","")&amp;" "&amp;F165)</f>
        <v/>
      </c>
    </row>
    <row r="166">
      <c r="A166" s="1" t="n">
        <v>265</v>
      </c>
      <c r="B166" s="1">
        <f>A166</f>
        <v/>
      </c>
      <c r="C166" s="1" t="inlineStr">
        <is>
          <t>vKTT4m13</t>
        </is>
      </c>
      <c r="D166" s="1" t="inlineStr">
        <is>
          <t>數值</t>
        </is>
      </c>
      <c r="E166" s="9" t="n">
        <v>2</v>
      </c>
      <c r="G166" s="1" t="inlineStr">
        <is>
          <t>range</t>
        </is>
      </c>
      <c r="H166" s="1" t="inlineStr">
        <is>
          <t>0,1</t>
        </is>
      </c>
      <c r="I166" s="1" t="inlineStr">
        <is>
          <t>96</t>
        </is>
      </c>
      <c r="L166" s="2">
        <f>_xlfn.CONCAT(IF(D166="數值",CONCATENATE(G166&amp;"("&amp;C166&amp;","&amp;
IF(ISERROR(SEARCH(",",H166,1)),(H166&amp;","&amp;H166),H166)&amp;
IF(ISBLANK(I166),"",IF(ISERROR(SEARCH(",",I166,1)),CONCATENATE(","&amp;I166&amp;","&amp;I166),CONCATENATE(","&amp;I166))&amp;
IF(ISBLANK(J166),"",IF(ISERROR(SEARCH(",",J166,1)),CONCATENATE(","&amp;J166&amp;","&amp;J166),CONCATENATE(","&amp;J166))&amp;
IF(ISBLANK(K166),"",IF(ISERROR(SEARCH(",",K166,1)),CONCATENATE(","&amp;K166&amp;","&amp;K166),CONCATENATE(","&amp;K166))))))&amp;
")","")&amp;" "&amp;F166)</f>
        <v/>
      </c>
    </row>
    <row r="167">
      <c r="A167" s="1" t="n">
        <v>266</v>
      </c>
      <c r="B167" s="1">
        <f>A167</f>
        <v/>
      </c>
      <c r="C167" s="1" t="inlineStr">
        <is>
          <t>vKTT4m14</t>
        </is>
      </c>
      <c r="D167" s="1" t="inlineStr">
        <is>
          <t>數值</t>
        </is>
      </c>
      <c r="E167" s="9" t="n">
        <v>2</v>
      </c>
      <c r="G167" s="1" t="inlineStr">
        <is>
          <t>range</t>
        </is>
      </c>
      <c r="H167" s="1" t="inlineStr">
        <is>
          <t>0,1</t>
        </is>
      </c>
      <c r="I167" s="1" t="inlineStr">
        <is>
          <t>96</t>
        </is>
      </c>
      <c r="L167" s="2">
        <f>_xlfn.CONCAT(IF(D167="數值",CONCATENATE(G167&amp;"("&amp;C167&amp;","&amp;
IF(ISERROR(SEARCH(",",H167,1)),(H167&amp;","&amp;H167),H167)&amp;
IF(ISBLANK(I167),"",IF(ISERROR(SEARCH(",",I167,1)),CONCATENATE(","&amp;I167&amp;","&amp;I167),CONCATENATE(","&amp;I167))&amp;
IF(ISBLANK(J167),"",IF(ISERROR(SEARCH(",",J167,1)),CONCATENATE(","&amp;J167&amp;","&amp;J167),CONCATENATE(","&amp;J167))&amp;
IF(ISBLANK(K167),"",IF(ISERROR(SEARCH(",",K167,1)),CONCATENATE(","&amp;K167&amp;","&amp;K167),CONCATENATE(","&amp;K167))))))&amp;
")","")&amp;" "&amp;F167)</f>
        <v/>
      </c>
    </row>
    <row r="168">
      <c r="A168" s="1" t="n">
        <v>267</v>
      </c>
      <c r="B168" s="1">
        <f>A168</f>
        <v/>
      </c>
      <c r="C168" s="1" t="inlineStr">
        <is>
          <t>vKTT4m88</t>
        </is>
      </c>
      <c r="D168" s="1" t="inlineStr">
        <is>
          <t>數值</t>
        </is>
      </c>
      <c r="E168" s="9" t="n">
        <v>2</v>
      </c>
      <c r="G168" s="1" t="inlineStr">
        <is>
          <t>range</t>
        </is>
      </c>
      <c r="H168" s="1" t="inlineStr">
        <is>
          <t>0,1</t>
        </is>
      </c>
      <c r="I168" s="1" t="inlineStr">
        <is>
          <t>96</t>
        </is>
      </c>
      <c r="L168" s="2">
        <f>_xlfn.CONCAT(IF(D168="數值",CONCATENATE(G168&amp;"("&amp;C168&amp;","&amp;
IF(ISERROR(SEARCH(",",H168,1)),(H168&amp;","&amp;H168),H168)&amp;
IF(ISBLANK(I168),"",IF(ISERROR(SEARCH(",",I168,1)),CONCATENATE(","&amp;I168&amp;","&amp;I168),CONCATENATE(","&amp;I168))&amp;
IF(ISBLANK(J168),"",IF(ISERROR(SEARCH(",",J168,1)),CONCATENATE(","&amp;J168&amp;","&amp;J168),CONCATENATE(","&amp;J168))&amp;
IF(ISBLANK(K168),"",IF(ISERROR(SEARCH(",",K168,1)),CONCATENATE(","&amp;K168&amp;","&amp;K168),CONCATENATE(","&amp;K168))))))&amp;
")","")&amp;" "&amp;F168)</f>
        <v/>
      </c>
    </row>
    <row r="169">
      <c r="A169" s="1" t="n">
        <v>268</v>
      </c>
      <c r="B169" s="1">
        <f>A169</f>
        <v/>
      </c>
      <c r="C169" s="1" t="inlineStr">
        <is>
          <t>vKTT5m01</t>
        </is>
      </c>
      <c r="D169" s="1" t="inlineStr">
        <is>
          <t>數值</t>
        </is>
      </c>
      <c r="E169" s="9" t="n">
        <v>2</v>
      </c>
      <c r="G169" s="1" t="inlineStr">
        <is>
          <t>range</t>
        </is>
      </c>
      <c r="H169" s="1" t="inlineStr">
        <is>
          <t>0,1</t>
        </is>
      </c>
      <c r="L169" s="2">
        <f>_xlfn.CONCAT(IF(D169="數值",CONCATENATE(G169&amp;"("&amp;C169&amp;","&amp;
IF(ISERROR(SEARCH(",",H169,1)),(H169&amp;","&amp;H169),H169)&amp;
IF(ISBLANK(I169),"",IF(ISERROR(SEARCH(",",I169,1)),CONCATENATE(","&amp;I169&amp;","&amp;I169),CONCATENATE(","&amp;I169))&amp;
IF(ISBLANK(J169),"",IF(ISERROR(SEARCH(",",J169,1)),CONCATENATE(","&amp;J169&amp;","&amp;J169),CONCATENATE(","&amp;J169))&amp;
IF(ISBLANK(K169),"",IF(ISERROR(SEARCH(",",K169,1)),CONCATENATE(","&amp;K169&amp;","&amp;K169),CONCATENATE(","&amp;K169))))))&amp;
")","")&amp;" "&amp;F169)</f>
        <v/>
      </c>
    </row>
    <row r="170">
      <c r="A170" s="1" t="n">
        <v>269</v>
      </c>
      <c r="B170" s="1">
        <f>A170</f>
        <v/>
      </c>
      <c r="C170" s="1" t="inlineStr">
        <is>
          <t>vKTT5m02</t>
        </is>
      </c>
      <c r="D170" s="1" t="inlineStr">
        <is>
          <t>數值</t>
        </is>
      </c>
      <c r="E170" s="9" t="n">
        <v>2</v>
      </c>
      <c r="G170" s="1" t="inlineStr">
        <is>
          <t>range</t>
        </is>
      </c>
      <c r="H170" s="1" t="inlineStr">
        <is>
          <t>0,1</t>
        </is>
      </c>
      <c r="L170" s="2">
        <f>_xlfn.CONCAT(IF(D170="數值",CONCATENATE(G170&amp;"("&amp;C170&amp;","&amp;
IF(ISERROR(SEARCH(",",H170,1)),(H170&amp;","&amp;H170),H170)&amp;
IF(ISBLANK(I170),"",IF(ISERROR(SEARCH(",",I170,1)),CONCATENATE(","&amp;I170&amp;","&amp;I170),CONCATENATE(","&amp;I170))&amp;
IF(ISBLANK(J170),"",IF(ISERROR(SEARCH(",",J170,1)),CONCATENATE(","&amp;J170&amp;","&amp;J170),CONCATENATE(","&amp;J170))&amp;
IF(ISBLANK(K170),"",IF(ISERROR(SEARCH(",",K170,1)),CONCATENATE(","&amp;K170&amp;","&amp;K170),CONCATENATE(","&amp;K170))))))&amp;
")","")&amp;" "&amp;F170)</f>
        <v/>
      </c>
    </row>
    <row r="171">
      <c r="A171" s="1" t="n">
        <v>270</v>
      </c>
      <c r="B171" s="1">
        <f>A171</f>
        <v/>
      </c>
      <c r="C171" s="1" t="inlineStr">
        <is>
          <t>vKTT5m03</t>
        </is>
      </c>
      <c r="D171" s="1" t="inlineStr">
        <is>
          <t>數值</t>
        </is>
      </c>
      <c r="E171" s="9" t="n">
        <v>2</v>
      </c>
      <c r="G171" s="1" t="inlineStr">
        <is>
          <t>range</t>
        </is>
      </c>
      <c r="H171" s="1" t="inlineStr">
        <is>
          <t>0,1</t>
        </is>
      </c>
      <c r="L171" s="2">
        <f>_xlfn.CONCAT(IF(D171="數值",CONCATENATE(G171&amp;"("&amp;C171&amp;","&amp;
IF(ISERROR(SEARCH(",",H171,1)),(H171&amp;","&amp;H171),H171)&amp;
IF(ISBLANK(I171),"",IF(ISERROR(SEARCH(",",I171,1)),CONCATENATE(","&amp;I171&amp;","&amp;I171),CONCATENATE(","&amp;I171))&amp;
IF(ISBLANK(J171),"",IF(ISERROR(SEARCH(",",J171,1)),CONCATENATE(","&amp;J171&amp;","&amp;J171),CONCATENATE(","&amp;J171))&amp;
IF(ISBLANK(K171),"",IF(ISERROR(SEARCH(",",K171,1)),CONCATENATE(","&amp;K171&amp;","&amp;K171),CONCATENATE(","&amp;K171))))))&amp;
")","")&amp;" "&amp;F171)</f>
        <v/>
      </c>
    </row>
    <row r="172">
      <c r="A172" s="1" t="n">
        <v>271</v>
      </c>
      <c r="B172" s="1">
        <f>A172</f>
        <v/>
      </c>
      <c r="C172" s="1" t="inlineStr">
        <is>
          <t>vKTT5m04</t>
        </is>
      </c>
      <c r="D172" s="1" t="inlineStr">
        <is>
          <t>數值</t>
        </is>
      </c>
      <c r="E172" s="9" t="n">
        <v>2</v>
      </c>
      <c r="G172" s="1" t="inlineStr">
        <is>
          <t>range</t>
        </is>
      </c>
      <c r="H172" s="1" t="inlineStr">
        <is>
          <t>0,1</t>
        </is>
      </c>
      <c r="L172" s="2">
        <f>_xlfn.CONCAT(IF(D172="數值",CONCATENATE(G172&amp;"("&amp;C172&amp;","&amp;
IF(ISERROR(SEARCH(",",H172,1)),(H172&amp;","&amp;H172),H172)&amp;
IF(ISBLANK(I172),"",IF(ISERROR(SEARCH(",",I172,1)),CONCATENATE(","&amp;I172&amp;","&amp;I172),CONCATENATE(","&amp;I172))&amp;
IF(ISBLANK(J172),"",IF(ISERROR(SEARCH(",",J172,1)),CONCATENATE(","&amp;J172&amp;","&amp;J172),CONCATENATE(","&amp;J172))&amp;
IF(ISBLANK(K172),"",IF(ISERROR(SEARCH(",",K172,1)),CONCATENATE(","&amp;K172&amp;","&amp;K172),CONCATENATE(","&amp;K172))))))&amp;
")","")&amp;" "&amp;F172)</f>
        <v/>
      </c>
    </row>
    <row r="173">
      <c r="A173" s="1" t="n">
        <v>272</v>
      </c>
      <c r="B173" s="1">
        <f>A173</f>
        <v/>
      </c>
      <c r="C173" s="1" t="inlineStr">
        <is>
          <t>vKTT5m05</t>
        </is>
      </c>
      <c r="D173" s="1" t="inlineStr">
        <is>
          <t>數值</t>
        </is>
      </c>
      <c r="E173" s="9" t="n">
        <v>2</v>
      </c>
      <c r="G173" s="1" t="inlineStr">
        <is>
          <t>range</t>
        </is>
      </c>
      <c r="H173" s="1" t="inlineStr">
        <is>
          <t>0,1</t>
        </is>
      </c>
      <c r="L173" s="2">
        <f>_xlfn.CONCAT(IF(D173="數值",CONCATENATE(G173&amp;"("&amp;C173&amp;","&amp;
IF(ISERROR(SEARCH(",",H173,1)),(H173&amp;","&amp;H173),H173)&amp;
IF(ISBLANK(I173),"",IF(ISERROR(SEARCH(",",I173,1)),CONCATENATE(","&amp;I173&amp;","&amp;I173),CONCATENATE(","&amp;I173))&amp;
IF(ISBLANK(J173),"",IF(ISERROR(SEARCH(",",J173,1)),CONCATENATE(","&amp;J173&amp;","&amp;J173),CONCATENATE(","&amp;J173))&amp;
IF(ISBLANK(K173),"",IF(ISERROR(SEARCH(",",K173,1)),CONCATENATE(","&amp;K173&amp;","&amp;K173),CONCATENATE(","&amp;K173))))))&amp;
")","")&amp;" "&amp;F173)</f>
        <v/>
      </c>
    </row>
    <row r="174">
      <c r="A174" s="1" t="n">
        <v>273</v>
      </c>
      <c r="B174" s="1">
        <f>A174</f>
        <v/>
      </c>
      <c r="C174" s="1" t="inlineStr">
        <is>
          <t>vKTT5m06</t>
        </is>
      </c>
      <c r="D174" s="1" t="inlineStr">
        <is>
          <t>數值</t>
        </is>
      </c>
      <c r="E174" s="9" t="n">
        <v>2</v>
      </c>
      <c r="G174" s="1" t="inlineStr">
        <is>
          <t>range</t>
        </is>
      </c>
      <c r="H174" s="1" t="inlineStr">
        <is>
          <t>0,1</t>
        </is>
      </c>
      <c r="L174" s="2">
        <f>_xlfn.CONCAT(IF(D174="數值",CONCATENATE(G174&amp;"("&amp;C174&amp;","&amp;
IF(ISERROR(SEARCH(",",H174,1)),(H174&amp;","&amp;H174),H174)&amp;
IF(ISBLANK(I174),"",IF(ISERROR(SEARCH(",",I174,1)),CONCATENATE(","&amp;I174&amp;","&amp;I174),CONCATENATE(","&amp;I174))&amp;
IF(ISBLANK(J174),"",IF(ISERROR(SEARCH(",",J174,1)),CONCATENATE(","&amp;J174&amp;","&amp;J174),CONCATENATE(","&amp;J174))&amp;
IF(ISBLANK(K174),"",IF(ISERROR(SEARCH(",",K174,1)),CONCATENATE(","&amp;K174&amp;","&amp;K174),CONCATENATE(","&amp;K174))))))&amp;
")","")&amp;" "&amp;F174)</f>
        <v/>
      </c>
    </row>
    <row r="175">
      <c r="A175" s="1" t="n">
        <v>274</v>
      </c>
      <c r="B175" s="1">
        <f>A175</f>
        <v/>
      </c>
      <c r="C175" s="1" t="inlineStr">
        <is>
          <t>vKTT5m07</t>
        </is>
      </c>
      <c r="D175" s="1" t="inlineStr">
        <is>
          <t>數值</t>
        </is>
      </c>
      <c r="E175" s="9" t="n">
        <v>2</v>
      </c>
      <c r="G175" s="1" t="inlineStr">
        <is>
          <t>range</t>
        </is>
      </c>
      <c r="H175" s="1" t="inlineStr">
        <is>
          <t>0,1</t>
        </is>
      </c>
      <c r="L175" s="2">
        <f>_xlfn.CONCAT(IF(D175="數值",CONCATENATE(G175&amp;"("&amp;C175&amp;","&amp;
IF(ISERROR(SEARCH(",",H175,1)),(H175&amp;","&amp;H175),H175)&amp;
IF(ISBLANK(I175),"",IF(ISERROR(SEARCH(",",I175,1)),CONCATENATE(","&amp;I175&amp;","&amp;I175),CONCATENATE(","&amp;I175))&amp;
IF(ISBLANK(J175),"",IF(ISERROR(SEARCH(",",J175,1)),CONCATENATE(","&amp;J175&amp;","&amp;J175),CONCATENATE(","&amp;J175))&amp;
IF(ISBLANK(K175),"",IF(ISERROR(SEARCH(",",K175,1)),CONCATENATE(","&amp;K175&amp;","&amp;K175),CONCATENATE(","&amp;K175))))))&amp;
")","")&amp;" "&amp;F175)</f>
        <v/>
      </c>
    </row>
    <row r="176">
      <c r="A176" s="1" t="n">
        <v>275</v>
      </c>
      <c r="B176" s="1">
        <f>A176</f>
        <v/>
      </c>
      <c r="C176" s="1" t="inlineStr">
        <is>
          <t>vKTT5m08</t>
        </is>
      </c>
      <c r="D176" s="1" t="inlineStr">
        <is>
          <t>數值</t>
        </is>
      </c>
      <c r="E176" s="9" t="n">
        <v>2</v>
      </c>
      <c r="G176" s="1" t="inlineStr">
        <is>
          <t>range</t>
        </is>
      </c>
      <c r="H176" s="1" t="inlineStr">
        <is>
          <t>0,1</t>
        </is>
      </c>
      <c r="L176" s="2">
        <f>_xlfn.CONCAT(IF(D176="數值",CONCATENATE(G176&amp;"("&amp;C176&amp;","&amp;
IF(ISERROR(SEARCH(",",H176,1)),(H176&amp;","&amp;H176),H176)&amp;
IF(ISBLANK(I176),"",IF(ISERROR(SEARCH(",",I176,1)),CONCATENATE(","&amp;I176&amp;","&amp;I176),CONCATENATE(","&amp;I176))&amp;
IF(ISBLANK(J176),"",IF(ISERROR(SEARCH(",",J176,1)),CONCATENATE(","&amp;J176&amp;","&amp;J176),CONCATENATE(","&amp;J176))&amp;
IF(ISBLANK(K176),"",IF(ISERROR(SEARCH(",",K176,1)),CONCATENATE(","&amp;K176&amp;","&amp;K176),CONCATENATE(","&amp;K176))))))&amp;
")","")&amp;" "&amp;F176)</f>
        <v/>
      </c>
    </row>
    <row r="177">
      <c r="A177" s="1" t="n">
        <v>276</v>
      </c>
      <c r="B177" s="1">
        <f>A177</f>
        <v/>
      </c>
      <c r="C177" s="1" t="inlineStr">
        <is>
          <t>vKTT5m09</t>
        </is>
      </c>
      <c r="D177" s="1" t="inlineStr">
        <is>
          <t>數值</t>
        </is>
      </c>
      <c r="E177" s="9" t="n">
        <v>2</v>
      </c>
      <c r="G177" s="1" t="inlineStr">
        <is>
          <t>range</t>
        </is>
      </c>
      <c r="H177" s="1" t="inlineStr">
        <is>
          <t>0,1</t>
        </is>
      </c>
      <c r="L177" s="2">
        <f>_xlfn.CONCAT(IF(D177="數值",CONCATENATE(G177&amp;"("&amp;C177&amp;","&amp;
IF(ISERROR(SEARCH(",",H177,1)),(H177&amp;","&amp;H177),H177)&amp;
IF(ISBLANK(I177),"",IF(ISERROR(SEARCH(",",I177,1)),CONCATENATE(","&amp;I177&amp;","&amp;I177),CONCATENATE(","&amp;I177))&amp;
IF(ISBLANK(J177),"",IF(ISERROR(SEARCH(",",J177,1)),CONCATENATE(","&amp;J177&amp;","&amp;J177),CONCATENATE(","&amp;J177))&amp;
IF(ISBLANK(K177),"",IF(ISERROR(SEARCH(",",K177,1)),CONCATENATE(","&amp;K177&amp;","&amp;K177),CONCATENATE(","&amp;K177))))))&amp;
")","")&amp;" "&amp;F177)</f>
        <v/>
      </c>
    </row>
    <row r="178">
      <c r="A178" s="1" t="n">
        <v>277</v>
      </c>
      <c r="B178" s="1">
        <f>A178</f>
        <v/>
      </c>
      <c r="C178" s="1" t="inlineStr">
        <is>
          <t>vKTT5m10</t>
        </is>
      </c>
      <c r="D178" s="1" t="inlineStr">
        <is>
          <t>數值</t>
        </is>
      </c>
      <c r="E178" s="9" t="n">
        <v>2</v>
      </c>
      <c r="G178" s="1" t="inlineStr">
        <is>
          <t>range</t>
        </is>
      </c>
      <c r="H178" s="1" t="inlineStr">
        <is>
          <t>0,1</t>
        </is>
      </c>
      <c r="I178" s="1" t="inlineStr">
        <is>
          <t>96</t>
        </is>
      </c>
      <c r="L178" s="2">
        <f>_xlfn.CONCAT(IF(D178="數值",CONCATENATE(G178&amp;"("&amp;C178&amp;","&amp;
IF(ISERROR(SEARCH(",",H178,1)),(H178&amp;","&amp;H178),H178)&amp;
IF(ISBLANK(I178),"",IF(ISERROR(SEARCH(",",I178,1)),CONCATENATE(","&amp;I178&amp;","&amp;I178),CONCATENATE(","&amp;I178))&amp;
IF(ISBLANK(J178),"",IF(ISERROR(SEARCH(",",J178,1)),CONCATENATE(","&amp;J178&amp;","&amp;J178),CONCATENATE(","&amp;J178))&amp;
IF(ISBLANK(K178),"",IF(ISERROR(SEARCH(",",K178,1)),CONCATENATE(","&amp;K178&amp;","&amp;K178),CONCATENATE(","&amp;K178))))))&amp;
")","")&amp;" "&amp;F178)</f>
        <v/>
      </c>
    </row>
    <row r="179">
      <c r="A179" s="1" t="n">
        <v>278</v>
      </c>
      <c r="B179" s="1">
        <f>A179</f>
        <v/>
      </c>
      <c r="C179" s="1" t="inlineStr">
        <is>
          <t>vKTT5m11</t>
        </is>
      </c>
      <c r="D179" s="1" t="inlineStr">
        <is>
          <t>數值</t>
        </is>
      </c>
      <c r="E179" s="9" t="n">
        <v>2</v>
      </c>
      <c r="G179" s="1" t="inlineStr">
        <is>
          <t>range</t>
        </is>
      </c>
      <c r="H179" s="1" t="inlineStr">
        <is>
          <t>0,1</t>
        </is>
      </c>
      <c r="I179" s="1" t="inlineStr">
        <is>
          <t>96</t>
        </is>
      </c>
      <c r="L179" s="2">
        <f>_xlfn.CONCAT(IF(D179="數值",CONCATENATE(G179&amp;"("&amp;C179&amp;","&amp;
IF(ISERROR(SEARCH(",",H179,1)),(H179&amp;","&amp;H179),H179)&amp;
IF(ISBLANK(I179),"",IF(ISERROR(SEARCH(",",I179,1)),CONCATENATE(","&amp;I179&amp;","&amp;I179),CONCATENATE(","&amp;I179))&amp;
IF(ISBLANK(J179),"",IF(ISERROR(SEARCH(",",J179,1)),CONCATENATE(","&amp;J179&amp;","&amp;J179),CONCATENATE(","&amp;J179))&amp;
IF(ISBLANK(K179),"",IF(ISERROR(SEARCH(",",K179,1)),CONCATENATE(","&amp;K179&amp;","&amp;K179),CONCATENATE(","&amp;K179))))))&amp;
")","")&amp;" "&amp;F179)</f>
        <v/>
      </c>
    </row>
    <row r="180">
      <c r="A180" s="1" t="n">
        <v>279</v>
      </c>
      <c r="B180" s="1">
        <f>A180</f>
        <v/>
      </c>
      <c r="C180" s="1" t="inlineStr">
        <is>
          <t>vKTT5m12</t>
        </is>
      </c>
      <c r="D180" s="1" t="inlineStr">
        <is>
          <t>數值</t>
        </is>
      </c>
      <c r="E180" s="9" t="n">
        <v>2</v>
      </c>
      <c r="G180" s="1" t="inlineStr">
        <is>
          <t>range</t>
        </is>
      </c>
      <c r="H180" s="1" t="inlineStr">
        <is>
          <t>0,1</t>
        </is>
      </c>
      <c r="I180" s="1" t="inlineStr">
        <is>
          <t>96</t>
        </is>
      </c>
      <c r="L180" s="2">
        <f>_xlfn.CONCAT(IF(D180="數值",CONCATENATE(G180&amp;"("&amp;C180&amp;","&amp;
IF(ISERROR(SEARCH(",",H180,1)),(H180&amp;","&amp;H180),H180)&amp;
IF(ISBLANK(I180),"",IF(ISERROR(SEARCH(",",I180,1)),CONCATENATE(","&amp;I180&amp;","&amp;I180),CONCATENATE(","&amp;I180))&amp;
IF(ISBLANK(J180),"",IF(ISERROR(SEARCH(",",J180,1)),CONCATENATE(","&amp;J180&amp;","&amp;J180),CONCATENATE(","&amp;J180))&amp;
IF(ISBLANK(K180),"",IF(ISERROR(SEARCH(",",K180,1)),CONCATENATE(","&amp;K180&amp;","&amp;K180),CONCATENATE(","&amp;K180))))))&amp;
")","")&amp;" "&amp;F180)</f>
        <v/>
      </c>
    </row>
    <row r="181">
      <c r="A181" s="1" t="n">
        <v>280</v>
      </c>
      <c r="B181" s="1">
        <f>A181</f>
        <v/>
      </c>
      <c r="C181" s="1" t="inlineStr">
        <is>
          <t>vKTT5m88</t>
        </is>
      </c>
      <c r="D181" s="1" t="inlineStr">
        <is>
          <t>數值</t>
        </is>
      </c>
      <c r="E181" s="9" t="n">
        <v>2</v>
      </c>
      <c r="G181" s="1" t="inlineStr">
        <is>
          <t>range</t>
        </is>
      </c>
      <c r="H181" s="1" t="inlineStr">
        <is>
          <t>0,1</t>
        </is>
      </c>
      <c r="I181" s="1" t="inlineStr">
        <is>
          <t>96</t>
        </is>
      </c>
      <c r="L181" s="2">
        <f>_xlfn.CONCAT(IF(D181="數值",CONCATENATE(G181&amp;"("&amp;C181&amp;","&amp;
IF(ISERROR(SEARCH(",",H181,1)),(H181&amp;","&amp;H181),H181)&amp;
IF(ISBLANK(I181),"",IF(ISERROR(SEARCH(",",I181,1)),CONCATENATE(","&amp;I181&amp;","&amp;I181),CONCATENATE(","&amp;I181))&amp;
IF(ISBLANK(J181),"",IF(ISERROR(SEARCH(",",J181,1)),CONCATENATE(","&amp;J181&amp;","&amp;J181),CONCATENATE(","&amp;J181))&amp;
IF(ISBLANK(K181),"",IF(ISERROR(SEARCH(",",K181,1)),CONCATENATE(","&amp;K181&amp;","&amp;K181),CONCATENATE(","&amp;K181))))))&amp;
")","")&amp;" "&amp;F181)</f>
        <v/>
      </c>
    </row>
    <row r="182">
      <c r="A182" s="1" t="n">
        <v>281</v>
      </c>
      <c r="B182" s="1">
        <f>A182</f>
        <v/>
      </c>
      <c r="C182" s="1" t="inlineStr">
        <is>
          <t>vP5_1</t>
        </is>
      </c>
      <c r="D182" s="1" t="inlineStr">
        <is>
          <t>數值</t>
        </is>
      </c>
      <c r="E182" s="9" t="n">
        <v>4</v>
      </c>
      <c r="G182" s="1" t="inlineStr">
        <is>
          <t>range</t>
        </is>
      </c>
      <c r="H182" s="1" t="inlineStr">
        <is>
          <t>0.5,7</t>
        </is>
      </c>
      <c r="I182" s="1" t="inlineStr">
        <is>
          <t>95</t>
        </is>
      </c>
      <c r="J182" s="1" t="inlineStr">
        <is>
          <t>97</t>
        </is>
      </c>
      <c r="K182" s="1" t="inlineStr">
        <is>
          <t>98</t>
        </is>
      </c>
      <c r="L182" s="2">
        <f>_xlfn.CONCAT(IF(D182="數值",CONCATENATE(G182&amp;"("&amp;C182&amp;","&amp;
IF(ISERROR(SEARCH(",",H182,1)),(H182&amp;","&amp;H182),H182)&amp;
IF(ISBLANK(I182),"",IF(ISERROR(SEARCH(",",I182,1)),CONCATENATE(","&amp;I182&amp;","&amp;I182),CONCATENATE(","&amp;I182))&amp;
IF(ISBLANK(J182),"",IF(ISERROR(SEARCH(",",J182,1)),CONCATENATE(","&amp;J182&amp;","&amp;J182),CONCATENATE(","&amp;J182))&amp;
IF(ISBLANK(K182),"",IF(ISERROR(SEARCH(",",K182,1)),CONCATENATE(","&amp;K182&amp;","&amp;K182),CONCATENATE(","&amp;K182))))))&amp;
")","")&amp;" "&amp;F182)</f>
        <v/>
      </c>
    </row>
    <row r="183">
      <c r="A183" s="1" t="n">
        <v>282</v>
      </c>
      <c r="B183" s="1">
        <f>A183</f>
        <v/>
      </c>
      <c r="C183" s="1" t="inlineStr">
        <is>
          <t>vP5_2</t>
        </is>
      </c>
      <c r="D183" s="1" t="inlineStr">
        <is>
          <t>數值</t>
        </is>
      </c>
      <c r="E183" s="9" t="n">
        <v>5</v>
      </c>
      <c r="G183" s="1" t="inlineStr">
        <is>
          <t>range</t>
        </is>
      </c>
      <c r="H183" s="1" t="inlineStr">
        <is>
          <t>1,2359</t>
        </is>
      </c>
      <c r="I183" s="1" t="inlineStr">
        <is>
          <t>9797</t>
        </is>
      </c>
      <c r="J183" s="1" t="inlineStr">
        <is>
          <t>9898</t>
        </is>
      </c>
      <c r="L183" s="2">
        <f>_xlfn.CONCAT(IF(D183="數值",CONCATENATE(G183&amp;"("&amp;C183&amp;","&amp;
IF(ISERROR(SEARCH(",",H183,1)),(H183&amp;","&amp;H183),H183)&amp;
IF(ISBLANK(I183),"",IF(ISERROR(SEARCH(",",I183,1)),CONCATENATE(","&amp;I183&amp;","&amp;I183),CONCATENATE(","&amp;I183))&amp;
IF(ISBLANK(J183),"",IF(ISERROR(SEARCH(",",J183,1)),CONCATENATE(","&amp;J183&amp;","&amp;J183),CONCATENATE(","&amp;J183))&amp;
IF(ISBLANK(K183),"",IF(ISERROR(SEARCH(",",K183,1)),CONCATENATE(","&amp;K183&amp;","&amp;K183),CONCATENATE(","&amp;K183))))))&amp;
")","")&amp;" "&amp;F183)</f>
        <v/>
      </c>
    </row>
    <row r="184">
      <c r="A184" s="1" t="n">
        <v>283</v>
      </c>
      <c r="B184" s="1">
        <f>A184</f>
        <v/>
      </c>
      <c r="C184" s="1" t="inlineStr">
        <is>
          <t>vK3m01</t>
        </is>
      </c>
      <c r="D184" s="1" t="inlineStr">
        <is>
          <t>數值</t>
        </is>
      </c>
      <c r="E184" s="9" t="n">
        <v>2</v>
      </c>
      <c r="G184" s="1" t="inlineStr">
        <is>
          <t>range</t>
        </is>
      </c>
      <c r="H184" s="1" t="inlineStr">
        <is>
          <t>0,1</t>
        </is>
      </c>
      <c r="L184" s="2">
        <f>_xlfn.CONCAT(IF(D184="數值",CONCATENATE(G184&amp;"("&amp;C184&amp;","&amp;
IF(ISERROR(SEARCH(",",H184,1)),(H184&amp;","&amp;H184),H184)&amp;
IF(ISBLANK(I184),"",IF(ISERROR(SEARCH(",",I184,1)),CONCATENATE(","&amp;I184&amp;","&amp;I184),CONCATENATE(","&amp;I184))&amp;
IF(ISBLANK(J184),"",IF(ISERROR(SEARCH(",",J184,1)),CONCATENATE(","&amp;J184&amp;","&amp;J184),CONCATENATE(","&amp;J184))&amp;
IF(ISBLANK(K184),"",IF(ISERROR(SEARCH(",",K184,1)),CONCATENATE(","&amp;K184&amp;","&amp;K184),CONCATENATE(","&amp;K184))))))&amp;
")","")&amp;" "&amp;F184)</f>
        <v/>
      </c>
    </row>
    <row r="185">
      <c r="A185" s="1" t="n">
        <v>284</v>
      </c>
      <c r="B185" s="1">
        <f>A185</f>
        <v/>
      </c>
      <c r="C185" s="1" t="inlineStr">
        <is>
          <t>vK3m02</t>
        </is>
      </c>
      <c r="D185" s="1" t="inlineStr">
        <is>
          <t>數值</t>
        </is>
      </c>
      <c r="E185" s="9" t="n">
        <v>2</v>
      </c>
      <c r="G185" s="1" t="inlineStr">
        <is>
          <t>range</t>
        </is>
      </c>
      <c r="H185" s="1" t="inlineStr">
        <is>
          <t>0,1</t>
        </is>
      </c>
      <c r="L185" s="2">
        <f>_xlfn.CONCAT(IF(D185="數值",CONCATENATE(G185&amp;"("&amp;C185&amp;","&amp;
IF(ISERROR(SEARCH(",",H185,1)),(H185&amp;","&amp;H185),H185)&amp;
IF(ISBLANK(I185),"",IF(ISERROR(SEARCH(",",I185,1)),CONCATENATE(","&amp;I185&amp;","&amp;I185),CONCATENATE(","&amp;I185))&amp;
IF(ISBLANK(J185),"",IF(ISERROR(SEARCH(",",J185,1)),CONCATENATE(","&amp;J185&amp;","&amp;J185),CONCATENATE(","&amp;J185))&amp;
IF(ISBLANK(K185),"",IF(ISERROR(SEARCH(",",K185,1)),CONCATENATE(","&amp;K185&amp;","&amp;K185),CONCATENATE(","&amp;K185))))))&amp;
")","")&amp;" "&amp;F185)</f>
        <v/>
      </c>
    </row>
    <row r="186">
      <c r="A186" s="1" t="n">
        <v>285</v>
      </c>
      <c r="B186" s="1">
        <f>A186</f>
        <v/>
      </c>
      <c r="C186" s="1" t="inlineStr">
        <is>
          <t>vK3m03</t>
        </is>
      </c>
      <c r="D186" s="1" t="inlineStr">
        <is>
          <t>數值</t>
        </is>
      </c>
      <c r="E186" s="9" t="n">
        <v>2</v>
      </c>
      <c r="G186" s="1" t="inlineStr">
        <is>
          <t>range</t>
        </is>
      </c>
      <c r="H186" s="1" t="inlineStr">
        <is>
          <t>0,1</t>
        </is>
      </c>
      <c r="L186" s="2">
        <f>_xlfn.CONCAT(IF(D186="數值",CONCATENATE(G186&amp;"("&amp;C186&amp;","&amp;
IF(ISERROR(SEARCH(",",H186,1)),(H186&amp;","&amp;H186),H186)&amp;
IF(ISBLANK(I186),"",IF(ISERROR(SEARCH(",",I186,1)),CONCATENATE(","&amp;I186&amp;","&amp;I186),CONCATENATE(","&amp;I186))&amp;
IF(ISBLANK(J186),"",IF(ISERROR(SEARCH(",",J186,1)),CONCATENATE(","&amp;J186&amp;","&amp;J186),CONCATENATE(","&amp;J186))&amp;
IF(ISBLANK(K186),"",IF(ISERROR(SEARCH(",",K186,1)),CONCATENATE(","&amp;K186&amp;","&amp;K186),CONCATENATE(","&amp;K186))))))&amp;
")","")&amp;" "&amp;F186)</f>
        <v/>
      </c>
    </row>
    <row r="187">
      <c r="A187" s="1" t="n">
        <v>286</v>
      </c>
      <c r="B187" s="1">
        <f>A187</f>
        <v/>
      </c>
      <c r="C187" s="1" t="inlineStr">
        <is>
          <t>vK3m04</t>
        </is>
      </c>
      <c r="D187" s="1" t="inlineStr">
        <is>
          <t>數值</t>
        </is>
      </c>
      <c r="E187" s="9" t="n">
        <v>2</v>
      </c>
      <c r="G187" s="1" t="inlineStr">
        <is>
          <t>range</t>
        </is>
      </c>
      <c r="H187" s="1" t="inlineStr">
        <is>
          <t>0,1</t>
        </is>
      </c>
      <c r="L187" s="2">
        <f>_xlfn.CONCAT(IF(D187="數值",CONCATENATE(G187&amp;"("&amp;C187&amp;","&amp;
IF(ISERROR(SEARCH(",",H187,1)),(H187&amp;","&amp;H187),H187)&amp;
IF(ISBLANK(I187),"",IF(ISERROR(SEARCH(",",I187,1)),CONCATENATE(","&amp;I187&amp;","&amp;I187),CONCATENATE(","&amp;I187))&amp;
IF(ISBLANK(J187),"",IF(ISERROR(SEARCH(",",J187,1)),CONCATENATE(","&amp;J187&amp;","&amp;J187),CONCATENATE(","&amp;J187))&amp;
IF(ISBLANK(K187),"",IF(ISERROR(SEARCH(",",K187,1)),CONCATENATE(","&amp;K187&amp;","&amp;K187),CONCATENATE(","&amp;K187))))))&amp;
")","")&amp;" "&amp;F187)</f>
        <v/>
      </c>
    </row>
    <row r="188">
      <c r="A188" s="1" t="n">
        <v>287</v>
      </c>
      <c r="B188" s="1">
        <f>A188</f>
        <v/>
      </c>
      <c r="C188" s="1" t="inlineStr">
        <is>
          <t>vK3m05</t>
        </is>
      </c>
      <c r="D188" s="1" t="inlineStr">
        <is>
          <t>數值</t>
        </is>
      </c>
      <c r="E188" s="9" t="n">
        <v>2</v>
      </c>
      <c r="G188" s="1" t="inlineStr">
        <is>
          <t>range</t>
        </is>
      </c>
      <c r="H188" s="1" t="inlineStr">
        <is>
          <t>0,1</t>
        </is>
      </c>
      <c r="L188" s="2">
        <f>_xlfn.CONCAT(IF(D188="數值",CONCATENATE(G188&amp;"("&amp;C188&amp;","&amp;
IF(ISERROR(SEARCH(",",H188,1)),(H188&amp;","&amp;H188),H188)&amp;
IF(ISBLANK(I188),"",IF(ISERROR(SEARCH(",",I188,1)),CONCATENATE(","&amp;I188&amp;","&amp;I188),CONCATENATE(","&amp;I188))&amp;
IF(ISBLANK(J188),"",IF(ISERROR(SEARCH(",",J188,1)),CONCATENATE(","&amp;J188&amp;","&amp;J188),CONCATENATE(","&amp;J188))&amp;
IF(ISBLANK(K188),"",IF(ISERROR(SEARCH(",",K188,1)),CONCATENATE(","&amp;K188&amp;","&amp;K188),CONCATENATE(","&amp;K188))))))&amp;
")","")&amp;" "&amp;F188)</f>
        <v/>
      </c>
    </row>
    <row r="189">
      <c r="A189" s="1" t="n">
        <v>288</v>
      </c>
      <c r="B189" s="1">
        <f>A189</f>
        <v/>
      </c>
      <c r="C189" s="1" t="inlineStr">
        <is>
          <t>vK3m06</t>
        </is>
      </c>
      <c r="D189" s="1" t="inlineStr">
        <is>
          <t>數值</t>
        </is>
      </c>
      <c r="E189" s="9" t="n">
        <v>2</v>
      </c>
      <c r="G189" s="1" t="inlineStr">
        <is>
          <t>range</t>
        </is>
      </c>
      <c r="H189" s="1" t="inlineStr">
        <is>
          <t>0,1</t>
        </is>
      </c>
      <c r="L189" s="2">
        <f>_xlfn.CONCAT(IF(D189="數值",CONCATENATE(G189&amp;"("&amp;C189&amp;","&amp;
IF(ISERROR(SEARCH(",",H189,1)),(H189&amp;","&amp;H189),H189)&amp;
IF(ISBLANK(I189),"",IF(ISERROR(SEARCH(",",I189,1)),CONCATENATE(","&amp;I189&amp;","&amp;I189),CONCATENATE(","&amp;I189))&amp;
IF(ISBLANK(J189),"",IF(ISERROR(SEARCH(",",J189,1)),CONCATENATE(","&amp;J189&amp;","&amp;J189),CONCATENATE(","&amp;J189))&amp;
IF(ISBLANK(K189),"",IF(ISERROR(SEARCH(",",K189,1)),CONCATENATE(","&amp;K189&amp;","&amp;K189),CONCATENATE(","&amp;K189))))))&amp;
")","")&amp;" "&amp;F189)</f>
        <v/>
      </c>
    </row>
    <row r="190">
      <c r="A190" s="1" t="n">
        <v>289</v>
      </c>
      <c r="B190" s="1">
        <f>A190</f>
        <v/>
      </c>
      <c r="C190" s="1" t="inlineStr">
        <is>
          <t>vK3m07</t>
        </is>
      </c>
      <c r="D190" s="1" t="inlineStr">
        <is>
          <t>數值</t>
        </is>
      </c>
      <c r="E190" s="9" t="n">
        <v>2</v>
      </c>
      <c r="G190" s="1" t="inlineStr">
        <is>
          <t>range</t>
        </is>
      </c>
      <c r="H190" s="1" t="inlineStr">
        <is>
          <t>0,1</t>
        </is>
      </c>
      <c r="L190" s="2">
        <f>_xlfn.CONCAT(IF(D190="數值",CONCATENATE(G190&amp;"("&amp;C190&amp;","&amp;
IF(ISERROR(SEARCH(",",H190,1)),(H190&amp;","&amp;H190),H190)&amp;
IF(ISBLANK(I190),"",IF(ISERROR(SEARCH(",",I190,1)),CONCATENATE(","&amp;I190&amp;","&amp;I190),CONCATENATE(","&amp;I190))&amp;
IF(ISBLANK(J190),"",IF(ISERROR(SEARCH(",",J190,1)),CONCATENATE(","&amp;J190&amp;","&amp;J190),CONCATENATE(","&amp;J190))&amp;
IF(ISBLANK(K190),"",IF(ISERROR(SEARCH(",",K190,1)),CONCATENATE(","&amp;K190&amp;","&amp;K190),CONCATENATE(","&amp;K190))))))&amp;
")","")&amp;" "&amp;F190)</f>
        <v/>
      </c>
    </row>
    <row r="191">
      <c r="A191" s="1" t="n">
        <v>290</v>
      </c>
      <c r="B191" s="1">
        <f>A191</f>
        <v/>
      </c>
      <c r="C191" s="1" t="inlineStr">
        <is>
          <t>vK3m08</t>
        </is>
      </c>
      <c r="D191" s="1" t="inlineStr">
        <is>
          <t>數值</t>
        </is>
      </c>
      <c r="E191" s="9" t="n">
        <v>2</v>
      </c>
      <c r="G191" s="1" t="inlineStr">
        <is>
          <t>range</t>
        </is>
      </c>
      <c r="H191" s="1" t="inlineStr">
        <is>
          <t>0,1</t>
        </is>
      </c>
      <c r="L191" s="2">
        <f>_xlfn.CONCAT(IF(D191="數值",CONCATENATE(G191&amp;"("&amp;C191&amp;","&amp;
IF(ISERROR(SEARCH(",",H191,1)),(H191&amp;","&amp;H191),H191)&amp;
IF(ISBLANK(I191),"",IF(ISERROR(SEARCH(",",I191,1)),CONCATENATE(","&amp;I191&amp;","&amp;I191),CONCATENATE(","&amp;I191))&amp;
IF(ISBLANK(J191),"",IF(ISERROR(SEARCH(",",J191,1)),CONCATENATE(","&amp;J191&amp;","&amp;J191),CONCATENATE(","&amp;J191))&amp;
IF(ISBLANK(K191),"",IF(ISERROR(SEARCH(",",K191,1)),CONCATENATE(","&amp;K191&amp;","&amp;K191),CONCATENATE(","&amp;K191))))))&amp;
")","")&amp;" "&amp;F191)</f>
        <v/>
      </c>
    </row>
    <row r="192">
      <c r="A192" s="1" t="n">
        <v>291</v>
      </c>
      <c r="B192" s="1">
        <f>A192</f>
        <v/>
      </c>
      <c r="C192" s="1" t="inlineStr">
        <is>
          <t>vK3m09</t>
        </is>
      </c>
      <c r="D192" s="1" t="inlineStr">
        <is>
          <t>數值</t>
        </is>
      </c>
      <c r="E192" s="9" t="n">
        <v>2</v>
      </c>
      <c r="G192" s="1" t="inlineStr">
        <is>
          <t>range</t>
        </is>
      </c>
      <c r="H192" s="1" t="inlineStr">
        <is>
          <t>0,1</t>
        </is>
      </c>
      <c r="L192" s="2">
        <f>_xlfn.CONCAT(IF(D192="數值",CONCATENATE(G192&amp;"("&amp;C192&amp;","&amp;
IF(ISERROR(SEARCH(",",H192,1)),(H192&amp;","&amp;H192),H192)&amp;
IF(ISBLANK(I192),"",IF(ISERROR(SEARCH(",",I192,1)),CONCATENATE(","&amp;I192&amp;","&amp;I192),CONCATENATE(","&amp;I192))&amp;
IF(ISBLANK(J192),"",IF(ISERROR(SEARCH(",",J192,1)),CONCATENATE(","&amp;J192&amp;","&amp;J192),CONCATENATE(","&amp;J192))&amp;
IF(ISBLANK(K192),"",IF(ISERROR(SEARCH(",",K192,1)),CONCATENATE(","&amp;K192&amp;","&amp;K192),CONCATENATE(","&amp;K192))))))&amp;
")","")&amp;" "&amp;F192)</f>
        <v/>
      </c>
    </row>
    <row r="193">
      <c r="A193" s="1" t="n">
        <v>292</v>
      </c>
      <c r="B193" s="1">
        <f>A193</f>
        <v/>
      </c>
      <c r="C193" s="1" t="inlineStr">
        <is>
          <t>vK3m88</t>
        </is>
      </c>
      <c r="D193" s="1" t="inlineStr">
        <is>
          <t>數值</t>
        </is>
      </c>
      <c r="E193" s="9" t="n">
        <v>2</v>
      </c>
      <c r="G193" s="1" t="inlineStr">
        <is>
          <t>range</t>
        </is>
      </c>
      <c r="H193" s="1" t="inlineStr">
        <is>
          <t>0,1</t>
        </is>
      </c>
      <c r="I193" s="1" t="inlineStr">
        <is>
          <t>96</t>
        </is>
      </c>
      <c r="L193" s="2">
        <f>_xlfn.CONCAT(IF(D193="數值",CONCATENATE(G193&amp;"("&amp;C193&amp;","&amp;
IF(ISERROR(SEARCH(",",H193,1)),(H193&amp;","&amp;H193),H193)&amp;
IF(ISBLANK(I193),"",IF(ISERROR(SEARCH(",",I193,1)),CONCATENATE(","&amp;I193&amp;","&amp;I193),CONCATENATE(","&amp;I193))&amp;
IF(ISBLANK(J193),"",IF(ISERROR(SEARCH(",",J193,1)),CONCATENATE(","&amp;J193&amp;","&amp;J193),CONCATENATE(","&amp;J193))&amp;
IF(ISBLANK(K193),"",IF(ISERROR(SEARCH(",",K193,1)),CONCATENATE(","&amp;K193&amp;","&amp;K193),CONCATENATE(","&amp;K193))))))&amp;
")","")&amp;" "&amp;F193)</f>
        <v/>
      </c>
    </row>
    <row r="194">
      <c r="A194" s="1" t="n">
        <v>293</v>
      </c>
      <c r="B194" s="1">
        <f>A194</f>
        <v/>
      </c>
      <c r="C194" s="1" t="inlineStr">
        <is>
          <t>vK3m90</t>
        </is>
      </c>
      <c r="D194" s="1" t="inlineStr">
        <is>
          <t>數值</t>
        </is>
      </c>
      <c r="E194" s="9" t="n">
        <v>2</v>
      </c>
      <c r="G194" s="1" t="inlineStr">
        <is>
          <t>range</t>
        </is>
      </c>
      <c r="H194" s="1" t="inlineStr">
        <is>
          <t>0,1</t>
        </is>
      </c>
      <c r="I194" s="1" t="inlineStr">
        <is>
          <t>96</t>
        </is>
      </c>
      <c r="L194" s="2">
        <f>_xlfn.CONCAT(IF(D194="數值",CONCATENATE(G194&amp;"("&amp;C194&amp;","&amp;
IF(ISERROR(SEARCH(",",H194,1)),(H194&amp;","&amp;H194),H194)&amp;
IF(ISBLANK(I194),"",IF(ISERROR(SEARCH(",",I194,1)),CONCATENATE(","&amp;I194&amp;","&amp;I194),CONCATENATE(","&amp;I194))&amp;
IF(ISBLANK(J194),"",IF(ISERROR(SEARCH(",",J194,1)),CONCATENATE(","&amp;J194&amp;","&amp;J194),CONCATENATE(","&amp;J194))&amp;
IF(ISBLANK(K194),"",IF(ISERROR(SEARCH(",",K194,1)),CONCATENATE(","&amp;K194&amp;","&amp;K194),CONCATENATE(","&amp;K194))))))&amp;
")","")&amp;" "&amp;F194)</f>
        <v/>
      </c>
    </row>
    <row r="195">
      <c r="A195" s="1" t="n">
        <v>294</v>
      </c>
      <c r="B195" s="1">
        <f>A195</f>
        <v/>
      </c>
      <c r="C195" s="1" t="inlineStr">
        <is>
          <t>vE18</t>
        </is>
      </c>
      <c r="D195" s="1" t="inlineStr">
        <is>
          <t>數值</t>
        </is>
      </c>
      <c r="E195" s="9" t="n">
        <v>2</v>
      </c>
      <c r="G195" s="1" t="inlineStr">
        <is>
          <t>range</t>
        </is>
      </c>
      <c r="H195" s="1" t="inlineStr">
        <is>
          <t>1,88</t>
        </is>
      </c>
      <c r="I195" s="1" t="inlineStr">
        <is>
          <t>97</t>
        </is>
      </c>
      <c r="J195" s="1" t="inlineStr">
        <is>
          <t>98</t>
        </is>
      </c>
      <c r="L195" s="2">
        <f>_xlfn.CONCAT(IF(D195="數值",CONCATENATE(G195&amp;"("&amp;C195&amp;","&amp;
IF(ISERROR(SEARCH(",",H195,1)),(H195&amp;","&amp;H195),H195)&amp;
IF(ISBLANK(I195),"",IF(ISERROR(SEARCH(",",I195,1)),CONCATENATE(","&amp;I195&amp;","&amp;I195),CONCATENATE(","&amp;I195))&amp;
IF(ISBLANK(J195),"",IF(ISERROR(SEARCH(",",J195,1)),CONCATENATE(","&amp;J195&amp;","&amp;J195),CONCATENATE(","&amp;J195))&amp;
IF(ISBLANK(K195),"",IF(ISERROR(SEARCH(",",K195,1)),CONCATENATE(","&amp;K195&amp;","&amp;K195),CONCATENATE(","&amp;K195))))))&amp;
")","")&amp;" "&amp;F195)</f>
        <v/>
      </c>
    </row>
    <row r="196">
      <c r="A196" s="1" t="n">
        <v>295</v>
      </c>
      <c r="B196" s="1">
        <f>A196</f>
        <v/>
      </c>
      <c r="C196" s="1" t="inlineStr">
        <is>
          <t>vKYT1</t>
        </is>
      </c>
      <c r="D196" s="1" t="inlineStr">
        <is>
          <t>數值</t>
        </is>
      </c>
      <c r="E196" s="9" t="n">
        <v>4</v>
      </c>
      <c r="G196" s="1" t="inlineStr">
        <is>
          <t>range</t>
        </is>
      </c>
      <c r="H196" s="1" t="inlineStr">
        <is>
          <t>0.5,7</t>
        </is>
      </c>
      <c r="I196" s="1" t="inlineStr">
        <is>
          <t>95</t>
        </is>
      </c>
      <c r="J196" s="1" t="inlineStr">
        <is>
          <t>97</t>
        </is>
      </c>
      <c r="K196" s="1" t="inlineStr">
        <is>
          <t>98</t>
        </is>
      </c>
      <c r="L196" s="2">
        <f>_xlfn.CONCAT(IF(D196="數值",CONCATENATE(G196&amp;"("&amp;C196&amp;","&amp;
IF(ISERROR(SEARCH(",",H196,1)),(H196&amp;","&amp;H196),H196)&amp;
IF(ISBLANK(I196),"",IF(ISERROR(SEARCH(",",I196,1)),CONCATENATE(","&amp;I196&amp;","&amp;I196),CONCATENATE(","&amp;I196))&amp;
IF(ISBLANK(J196),"",IF(ISERROR(SEARCH(",",J196,1)),CONCATENATE(","&amp;J196&amp;","&amp;J196),CONCATENATE(","&amp;J196))&amp;
IF(ISBLANK(K196),"",IF(ISERROR(SEARCH(",",K196,1)),CONCATENATE(","&amp;K196&amp;","&amp;K196),CONCATENATE(","&amp;K196))))))&amp;
")","")&amp;" "&amp;F196)</f>
        <v/>
      </c>
    </row>
    <row r="197">
      <c r="A197" s="1" t="n">
        <v>296</v>
      </c>
      <c r="B197" s="1">
        <f>A197</f>
        <v/>
      </c>
      <c r="C197" s="1" t="inlineStr">
        <is>
          <t>vKYT2</t>
        </is>
      </c>
      <c r="D197" s="1" t="inlineStr">
        <is>
          <t>數值</t>
        </is>
      </c>
      <c r="E197" s="9" t="n">
        <v>5</v>
      </c>
      <c r="G197" s="1" t="inlineStr">
        <is>
          <t>range</t>
        </is>
      </c>
      <c r="H197" s="1" t="inlineStr">
        <is>
          <t>1,2359</t>
        </is>
      </c>
      <c r="I197" s="1" t="inlineStr">
        <is>
          <t>9797</t>
        </is>
      </c>
      <c r="J197" s="1" t="inlineStr">
        <is>
          <t>9898</t>
        </is>
      </c>
      <c r="L197" s="2">
        <f>_xlfn.CONCAT(IF(D197="數值",CONCATENATE(G197&amp;"("&amp;C197&amp;","&amp;
IF(ISERROR(SEARCH(",",H197,1)),(H197&amp;","&amp;H197),H197)&amp;
IF(ISBLANK(I197),"",IF(ISERROR(SEARCH(",",I197,1)),CONCATENATE(","&amp;I197&amp;","&amp;I197),CONCATENATE(","&amp;I197))&amp;
IF(ISBLANK(J197),"",IF(ISERROR(SEARCH(",",J197,1)),CONCATENATE(","&amp;J197&amp;","&amp;J197),CONCATENATE(","&amp;J197))&amp;
IF(ISBLANK(K197),"",IF(ISERROR(SEARCH(",",K197,1)),CONCATENATE(","&amp;K197&amp;","&amp;K197),CONCATENATE(","&amp;K197))))))&amp;
")","")&amp;" "&amp;F197)</f>
        <v/>
      </c>
    </row>
    <row r="198">
      <c r="A198" s="1" t="n">
        <v>297</v>
      </c>
      <c r="B198" s="1">
        <f>A198</f>
        <v/>
      </c>
      <c r="C198" s="1" t="inlineStr">
        <is>
          <t>vE1</t>
        </is>
      </c>
      <c r="D198" s="1" t="inlineStr">
        <is>
          <t>數值</t>
        </is>
      </c>
      <c r="E198" s="9" t="n">
        <v>2</v>
      </c>
      <c r="G198" s="1" t="inlineStr">
        <is>
          <t>range</t>
        </is>
      </c>
      <c r="H198" s="1" t="inlineStr">
        <is>
          <t>1,88</t>
        </is>
      </c>
      <c r="I198" s="1" t="inlineStr">
        <is>
          <t>97</t>
        </is>
      </c>
      <c r="J198" s="1" t="inlineStr">
        <is>
          <t>98</t>
        </is>
      </c>
      <c r="L198" s="2">
        <f>_xlfn.CONCAT(IF(D198="數值",CONCATENATE(G198&amp;"("&amp;C198&amp;","&amp;
IF(ISERROR(SEARCH(",",H198,1)),(H198&amp;","&amp;H198),H198)&amp;
IF(ISBLANK(I198),"",IF(ISERROR(SEARCH(",",I198,1)),CONCATENATE(","&amp;I198&amp;","&amp;I198),CONCATENATE(","&amp;I198))&amp;
IF(ISBLANK(J198),"",IF(ISERROR(SEARCH(",",J198,1)),CONCATENATE(","&amp;J198&amp;","&amp;J198),CONCATENATE(","&amp;J198))&amp;
IF(ISBLANK(K198),"",IF(ISERROR(SEARCH(",",K198,1)),CONCATENATE(","&amp;K198&amp;","&amp;K198),CONCATENATE(","&amp;K198))))))&amp;
")","")&amp;" "&amp;F198)</f>
        <v/>
      </c>
    </row>
    <row r="199">
      <c r="A199" s="1" t="n">
        <v>298</v>
      </c>
      <c r="B199" s="1">
        <f>A199</f>
        <v/>
      </c>
      <c r="C199" s="1" t="inlineStr">
        <is>
          <t>vE2m01</t>
        </is>
      </c>
      <c r="D199" s="1" t="inlineStr">
        <is>
          <t>數值</t>
        </is>
      </c>
      <c r="E199" s="9" t="n">
        <v>2</v>
      </c>
      <c r="G199" s="1" t="inlineStr">
        <is>
          <t>range</t>
        </is>
      </c>
      <c r="H199" s="1" t="inlineStr">
        <is>
          <t>0,1</t>
        </is>
      </c>
      <c r="L199" s="2">
        <f>_xlfn.CONCAT(IF(D199="數值",CONCATENATE(G199&amp;"("&amp;C199&amp;","&amp;
IF(ISERROR(SEARCH(",",H199,1)),(H199&amp;","&amp;H199),H199)&amp;
IF(ISBLANK(I199),"",IF(ISERROR(SEARCH(",",I199,1)),CONCATENATE(","&amp;I199&amp;","&amp;I199),CONCATENATE(","&amp;I199))&amp;
IF(ISBLANK(J199),"",IF(ISERROR(SEARCH(",",J199,1)),CONCATENATE(","&amp;J199&amp;","&amp;J199),CONCATENATE(","&amp;J199))&amp;
IF(ISBLANK(K199),"",IF(ISERROR(SEARCH(",",K199,1)),CONCATENATE(","&amp;K199&amp;","&amp;K199),CONCATENATE(","&amp;K199))))))&amp;
")","")&amp;" "&amp;F199)</f>
        <v/>
      </c>
    </row>
    <row r="200">
      <c r="A200" s="1" t="n">
        <v>299</v>
      </c>
      <c r="B200" s="1">
        <f>A200</f>
        <v/>
      </c>
      <c r="C200" s="1" t="inlineStr">
        <is>
          <t>vE2m02</t>
        </is>
      </c>
      <c r="D200" s="1" t="inlineStr">
        <is>
          <t>數值</t>
        </is>
      </c>
      <c r="E200" s="9" t="n">
        <v>2</v>
      </c>
      <c r="G200" s="1" t="inlineStr">
        <is>
          <t>range</t>
        </is>
      </c>
      <c r="H200" s="1" t="inlineStr">
        <is>
          <t>0,1</t>
        </is>
      </c>
      <c r="L200" s="2">
        <f>_xlfn.CONCAT(IF(D200="數值",CONCATENATE(G200&amp;"("&amp;C200&amp;","&amp;
IF(ISERROR(SEARCH(",",H200,1)),(H200&amp;","&amp;H200),H200)&amp;
IF(ISBLANK(I200),"",IF(ISERROR(SEARCH(",",I200,1)),CONCATENATE(","&amp;I200&amp;","&amp;I200),CONCATENATE(","&amp;I200))&amp;
IF(ISBLANK(J200),"",IF(ISERROR(SEARCH(",",J200,1)),CONCATENATE(","&amp;J200&amp;","&amp;J200),CONCATENATE(","&amp;J200))&amp;
IF(ISBLANK(K200),"",IF(ISERROR(SEARCH(",",K200,1)),CONCATENATE(","&amp;K200&amp;","&amp;K200),CONCATENATE(","&amp;K200))))))&amp;
")","")&amp;" "&amp;F200)</f>
        <v/>
      </c>
    </row>
    <row r="201">
      <c r="A201" s="1" t="n">
        <v>300</v>
      </c>
      <c r="B201" s="1">
        <f>A201</f>
        <v/>
      </c>
      <c r="C201" s="1" t="inlineStr">
        <is>
          <t>vE2m03</t>
        </is>
      </c>
      <c r="D201" s="1" t="inlineStr">
        <is>
          <t>數值</t>
        </is>
      </c>
      <c r="E201" s="9" t="n">
        <v>2</v>
      </c>
      <c r="G201" s="1" t="inlineStr">
        <is>
          <t>range</t>
        </is>
      </c>
      <c r="H201" s="1" t="inlineStr">
        <is>
          <t>0,1</t>
        </is>
      </c>
      <c r="L201" s="2">
        <f>_xlfn.CONCAT(IF(D201="數值",CONCATENATE(G201&amp;"("&amp;C201&amp;","&amp;
IF(ISERROR(SEARCH(",",H201,1)),(H201&amp;","&amp;H201),H201)&amp;
IF(ISBLANK(I201),"",IF(ISERROR(SEARCH(",",I201,1)),CONCATENATE(","&amp;I201&amp;","&amp;I201),CONCATENATE(","&amp;I201))&amp;
IF(ISBLANK(J201),"",IF(ISERROR(SEARCH(",",J201,1)),CONCATENATE(","&amp;J201&amp;","&amp;J201),CONCATENATE(","&amp;J201))&amp;
IF(ISBLANK(K201),"",IF(ISERROR(SEARCH(",",K201,1)),CONCATENATE(","&amp;K201&amp;","&amp;K201),CONCATENATE(","&amp;K201))))))&amp;
")","")&amp;" "&amp;F201)</f>
        <v/>
      </c>
    </row>
    <row r="202">
      <c r="A202" s="1" t="n">
        <v>301</v>
      </c>
      <c r="B202" s="1">
        <f>A202</f>
        <v/>
      </c>
      <c r="C202" s="1" t="inlineStr">
        <is>
          <t>vE2m04</t>
        </is>
      </c>
      <c r="D202" s="1" t="inlineStr">
        <is>
          <t>數值</t>
        </is>
      </c>
      <c r="E202" s="9" t="n">
        <v>2</v>
      </c>
      <c r="G202" s="1" t="inlineStr">
        <is>
          <t>range</t>
        </is>
      </c>
      <c r="H202" s="1" t="inlineStr">
        <is>
          <t>0,1</t>
        </is>
      </c>
      <c r="L202" s="2">
        <f>_xlfn.CONCAT(IF(D202="數值",CONCATENATE(G202&amp;"("&amp;C202&amp;","&amp;
IF(ISERROR(SEARCH(",",H202,1)),(H202&amp;","&amp;H202),H202)&amp;
IF(ISBLANK(I202),"",IF(ISERROR(SEARCH(",",I202,1)),CONCATENATE(","&amp;I202&amp;","&amp;I202),CONCATENATE(","&amp;I202))&amp;
IF(ISBLANK(J202),"",IF(ISERROR(SEARCH(",",J202,1)),CONCATENATE(","&amp;J202&amp;","&amp;J202),CONCATENATE(","&amp;J202))&amp;
IF(ISBLANK(K202),"",IF(ISERROR(SEARCH(",",K202,1)),CONCATENATE(","&amp;K202&amp;","&amp;K202),CONCATENATE(","&amp;K202))))))&amp;
")","")&amp;" "&amp;F202)</f>
        <v/>
      </c>
    </row>
    <row r="203">
      <c r="A203" s="1" t="n">
        <v>302</v>
      </c>
      <c r="B203" s="1">
        <f>A203</f>
        <v/>
      </c>
      <c r="C203" s="1" t="inlineStr">
        <is>
          <t>vE2m88</t>
        </is>
      </c>
      <c r="D203" s="1" t="inlineStr">
        <is>
          <t>數值</t>
        </is>
      </c>
      <c r="E203" s="9" t="n">
        <v>2</v>
      </c>
      <c r="G203" s="1" t="inlineStr">
        <is>
          <t>range</t>
        </is>
      </c>
      <c r="H203" s="1" t="inlineStr">
        <is>
          <t>0,1</t>
        </is>
      </c>
      <c r="I203" s="1" t="inlineStr">
        <is>
          <t>96</t>
        </is>
      </c>
      <c r="L203" s="2">
        <f>_xlfn.CONCAT(IF(D203="數值",CONCATENATE(G203&amp;"("&amp;C203&amp;","&amp;
IF(ISERROR(SEARCH(",",H203,1)),(H203&amp;","&amp;H203),H203)&amp;
IF(ISBLANK(I203),"",IF(ISERROR(SEARCH(",",I203,1)),CONCATENATE(","&amp;I203&amp;","&amp;I203),CONCATENATE(","&amp;I203))&amp;
IF(ISBLANK(J203),"",IF(ISERROR(SEARCH(",",J203,1)),CONCATENATE(","&amp;J203&amp;","&amp;J203),CONCATENATE(","&amp;J203))&amp;
IF(ISBLANK(K203),"",IF(ISERROR(SEARCH(",",K203,1)),CONCATENATE(","&amp;K203&amp;","&amp;K203),CONCATENATE(","&amp;K203))))))&amp;
")","")&amp;" "&amp;F203)</f>
        <v/>
      </c>
    </row>
    <row r="204">
      <c r="A204" s="1" t="n">
        <v>303</v>
      </c>
      <c r="B204" s="1">
        <f>A204</f>
        <v/>
      </c>
      <c r="C204" s="1" t="inlineStr">
        <is>
          <t>vE4</t>
        </is>
      </c>
      <c r="D204" s="1" t="inlineStr">
        <is>
          <t>數值</t>
        </is>
      </c>
      <c r="E204" s="9" t="n">
        <v>4</v>
      </c>
      <c r="G204" s="1" t="inlineStr">
        <is>
          <t>range</t>
        </is>
      </c>
      <c r="H204" s="1" t="inlineStr">
        <is>
          <t>0.5,7</t>
        </is>
      </c>
      <c r="I204" s="1" t="inlineStr">
        <is>
          <t>95</t>
        </is>
      </c>
      <c r="J204" s="1" t="inlineStr">
        <is>
          <t>97</t>
        </is>
      </c>
      <c r="K204" s="1" t="inlineStr">
        <is>
          <t>98</t>
        </is>
      </c>
      <c r="L204" s="2">
        <f>_xlfn.CONCAT(IF(D204="數值",CONCATENATE(G204&amp;"("&amp;C204&amp;","&amp;
IF(ISERROR(SEARCH(",",H204,1)),(H204&amp;","&amp;H204),H204)&amp;
IF(ISBLANK(I204),"",IF(ISERROR(SEARCH(",",I204,1)),CONCATENATE(","&amp;I204&amp;","&amp;I204),CONCATENATE(","&amp;I204))&amp;
IF(ISBLANK(J204),"",IF(ISERROR(SEARCH(",",J204,1)),CONCATENATE(","&amp;J204&amp;","&amp;J204),CONCATENATE(","&amp;J204))&amp;
IF(ISBLANK(K204),"",IF(ISERROR(SEARCH(",",K204,1)),CONCATENATE(","&amp;K204&amp;","&amp;K204),CONCATENATE(","&amp;K204))))))&amp;
")","")&amp;" "&amp;F204)</f>
        <v/>
      </c>
    </row>
    <row r="205">
      <c r="A205" s="1" t="n">
        <v>304</v>
      </c>
      <c r="B205" s="1">
        <f>A205</f>
        <v/>
      </c>
      <c r="C205" s="1" t="inlineStr">
        <is>
          <t>vCKE4</t>
        </is>
      </c>
      <c r="D205" s="1" t="inlineStr">
        <is>
          <t>數值</t>
        </is>
      </c>
      <c r="E205" s="9" t="n">
        <v>2</v>
      </c>
      <c r="G205" s="1" t="inlineStr">
        <is>
          <t>range</t>
        </is>
      </c>
      <c r="H205" s="1" t="inlineStr">
        <is>
          <t>1</t>
        </is>
      </c>
      <c r="L205" s="2">
        <f>_xlfn.CONCAT(IF(D205="數值",CONCATENATE(G205&amp;"("&amp;C205&amp;","&amp;
IF(ISERROR(SEARCH(",",H205,1)),(H205&amp;","&amp;H205),H205)&amp;
IF(ISBLANK(I205),"",IF(ISERROR(SEARCH(",",I205,1)),CONCATENATE(","&amp;I205&amp;","&amp;I205),CONCATENATE(","&amp;I205))&amp;
IF(ISBLANK(J205),"",IF(ISERROR(SEARCH(",",J205,1)),CONCATENATE(","&amp;J205&amp;","&amp;J205),CONCATENATE(","&amp;J205))&amp;
IF(ISBLANK(K205),"",IF(ISERROR(SEARCH(",",K205,1)),CONCATENATE(","&amp;K205&amp;","&amp;K205),CONCATENATE(","&amp;K205))))))&amp;
")","")&amp;" "&amp;F205)</f>
        <v/>
      </c>
    </row>
    <row r="206">
      <c r="A206" s="1" t="n">
        <v>305</v>
      </c>
      <c r="B206" s="1">
        <f>A206</f>
        <v/>
      </c>
      <c r="C206" s="1" t="inlineStr">
        <is>
          <t>vE5</t>
        </is>
      </c>
      <c r="D206" s="1" t="inlineStr">
        <is>
          <t>數值</t>
        </is>
      </c>
      <c r="E206" s="9" t="n">
        <v>5</v>
      </c>
      <c r="G206" s="1" t="inlineStr">
        <is>
          <t>range</t>
        </is>
      </c>
      <c r="H206" s="1" t="inlineStr">
        <is>
          <t>0,2359</t>
        </is>
      </c>
      <c r="I206" s="1" t="inlineStr">
        <is>
          <t>9797</t>
        </is>
      </c>
      <c r="J206" s="1" t="inlineStr">
        <is>
          <t>9898</t>
        </is>
      </c>
      <c r="L206" s="2">
        <f>_xlfn.CONCAT(IF(D206="數值",CONCATENATE(G206&amp;"("&amp;C206&amp;","&amp;
IF(ISERROR(SEARCH(",",H206,1)),(H206&amp;","&amp;H206),H206)&amp;
IF(ISBLANK(I206),"",IF(ISERROR(SEARCH(",",I206,1)),CONCATENATE(","&amp;I206&amp;","&amp;I206),CONCATENATE(","&amp;I206))&amp;
IF(ISBLANK(J206),"",IF(ISERROR(SEARCH(",",J206,1)),CONCATENATE(","&amp;J206&amp;","&amp;J206),CONCATENATE(","&amp;J206))&amp;
IF(ISBLANK(K206),"",IF(ISERROR(SEARCH(",",K206,1)),CONCATENATE(","&amp;K206&amp;","&amp;K206),CONCATENATE(","&amp;K206))))))&amp;
")","")&amp;" "&amp;F206)</f>
        <v/>
      </c>
    </row>
    <row r="207">
      <c r="A207" s="1" t="n">
        <v>306</v>
      </c>
      <c r="B207" s="1">
        <f>A207</f>
        <v/>
      </c>
      <c r="C207" s="1" t="inlineStr">
        <is>
          <t>vE6</t>
        </is>
      </c>
      <c r="D207" s="1" t="inlineStr">
        <is>
          <t>數值</t>
        </is>
      </c>
      <c r="E207" s="9" t="n">
        <v>5</v>
      </c>
      <c r="G207" s="1" t="inlineStr">
        <is>
          <t>range</t>
        </is>
      </c>
      <c r="H207" s="1" t="inlineStr">
        <is>
          <t>0,2359</t>
        </is>
      </c>
      <c r="I207" s="1" t="inlineStr">
        <is>
          <t>9797</t>
        </is>
      </c>
      <c r="J207" s="1" t="inlineStr">
        <is>
          <t>9898</t>
        </is>
      </c>
      <c r="L207" s="2">
        <f>_xlfn.CONCAT(IF(D207="數值",CONCATENATE(G207&amp;"("&amp;C207&amp;","&amp;
IF(ISERROR(SEARCH(",",H207,1)),(H207&amp;","&amp;H207),H207)&amp;
IF(ISBLANK(I207),"",IF(ISERROR(SEARCH(",",I207,1)),CONCATENATE(","&amp;I207&amp;","&amp;I207),CONCATENATE(","&amp;I207))&amp;
IF(ISBLANK(J207),"",IF(ISERROR(SEARCH(",",J207,1)),CONCATENATE(","&amp;J207&amp;","&amp;J207),CONCATENATE(","&amp;J207))&amp;
IF(ISBLANK(K207),"",IF(ISERROR(SEARCH(",",K207,1)),CONCATENATE(","&amp;K207&amp;","&amp;K207),CONCATENATE(","&amp;K207))))))&amp;
")","")&amp;" "&amp;F207)</f>
        <v/>
      </c>
    </row>
    <row r="208">
      <c r="A208" s="1" t="n">
        <v>307</v>
      </c>
      <c r="B208" s="1">
        <f>A208</f>
        <v/>
      </c>
      <c r="C208" s="1" t="inlineStr">
        <is>
          <t>vCKE5</t>
        </is>
      </c>
      <c r="D208" s="1" t="inlineStr">
        <is>
          <t>數值</t>
        </is>
      </c>
      <c r="E208" s="9" t="n">
        <v>2</v>
      </c>
      <c r="G208" s="1" t="inlineStr">
        <is>
          <t>range</t>
        </is>
      </c>
      <c r="H208" s="1" t="inlineStr">
        <is>
          <t>1,88</t>
        </is>
      </c>
      <c r="I208" s="1" t="inlineStr">
        <is>
          <t>97</t>
        </is>
      </c>
      <c r="J208" s="1" t="inlineStr">
        <is>
          <t>98</t>
        </is>
      </c>
      <c r="L208" s="2">
        <f>_xlfn.CONCAT(IF(D208="數值",CONCATENATE(G208&amp;"("&amp;C208&amp;","&amp;
IF(ISERROR(SEARCH(",",H208,1)),(H208&amp;","&amp;H208),H208)&amp;
IF(ISBLANK(I208),"",IF(ISERROR(SEARCH(",",I208,1)),CONCATENATE(","&amp;I208&amp;","&amp;I208),CONCATENATE(","&amp;I208))&amp;
IF(ISBLANK(J208),"",IF(ISERROR(SEARCH(",",J208,1)),CONCATENATE(","&amp;J208&amp;","&amp;J208),CONCATENATE(","&amp;J208))&amp;
IF(ISBLANK(K208),"",IF(ISERROR(SEARCH(",",K208,1)),CONCATENATE(","&amp;K208&amp;","&amp;K208),CONCATENATE(","&amp;K208))))))&amp;
")","")&amp;" "&amp;F208)</f>
        <v/>
      </c>
    </row>
    <row r="209">
      <c r="A209" s="1" t="n">
        <v>308</v>
      </c>
      <c r="B209" s="1">
        <f>A209</f>
        <v/>
      </c>
      <c r="C209" s="1" t="inlineStr">
        <is>
          <t>vE7</t>
        </is>
      </c>
      <c r="D209" s="1" t="inlineStr">
        <is>
          <t>數值</t>
        </is>
      </c>
      <c r="E209" s="9" t="n">
        <v>4</v>
      </c>
      <c r="G209" s="1" t="inlineStr">
        <is>
          <t>range</t>
        </is>
      </c>
      <c r="H209" s="1" t="inlineStr">
        <is>
          <t>0.5,7</t>
        </is>
      </c>
      <c r="I209" s="1" t="inlineStr">
        <is>
          <t>95</t>
        </is>
      </c>
      <c r="J209" s="1" t="inlineStr">
        <is>
          <t>97</t>
        </is>
      </c>
      <c r="K209" s="1" t="inlineStr">
        <is>
          <t>98</t>
        </is>
      </c>
      <c r="L209" s="2">
        <f>_xlfn.CONCAT(IF(D209="數值",CONCATENATE(G209&amp;"("&amp;C209&amp;","&amp;
IF(ISERROR(SEARCH(",",H209,1)),(H209&amp;","&amp;H209),H209)&amp;
IF(ISBLANK(I209),"",IF(ISERROR(SEARCH(",",I209,1)),CONCATENATE(","&amp;I209&amp;","&amp;I209),CONCATENATE(","&amp;I209))&amp;
IF(ISBLANK(J209),"",IF(ISERROR(SEARCH(",",J209,1)),CONCATENATE(","&amp;J209&amp;","&amp;J209),CONCATENATE(","&amp;J209))&amp;
IF(ISBLANK(K209),"",IF(ISERROR(SEARCH(",",K209,1)),CONCATENATE(","&amp;K209&amp;","&amp;K209),CONCATENATE(","&amp;K209))))))&amp;
")","")&amp;" "&amp;F209)</f>
        <v/>
      </c>
    </row>
    <row r="210">
      <c r="A210" s="1" t="n">
        <v>309</v>
      </c>
      <c r="B210" s="1">
        <f>A210</f>
        <v/>
      </c>
      <c r="C210" s="1" t="inlineStr">
        <is>
          <t>vE8</t>
        </is>
      </c>
      <c r="D210" s="1" t="inlineStr">
        <is>
          <t>數值</t>
        </is>
      </c>
      <c r="E210" s="9" t="n">
        <v>5</v>
      </c>
      <c r="G210" s="1" t="inlineStr">
        <is>
          <t>range</t>
        </is>
      </c>
      <c r="H210" s="1" t="inlineStr">
        <is>
          <t>0,2359</t>
        </is>
      </c>
      <c r="I210" s="1" t="inlineStr">
        <is>
          <t>9797</t>
        </is>
      </c>
      <c r="J210" s="1" t="inlineStr">
        <is>
          <t>9898</t>
        </is>
      </c>
      <c r="L210" s="2">
        <f>_xlfn.CONCAT(IF(D210="數值",CONCATENATE(G210&amp;"("&amp;C210&amp;","&amp;
IF(ISERROR(SEARCH(",",H210,1)),(H210&amp;","&amp;H210),H210)&amp;
IF(ISBLANK(I210),"",IF(ISERROR(SEARCH(",",I210,1)),CONCATENATE(","&amp;I210&amp;","&amp;I210),CONCATENATE(","&amp;I210))&amp;
IF(ISBLANK(J210),"",IF(ISERROR(SEARCH(",",J210,1)),CONCATENATE(","&amp;J210&amp;","&amp;J210),CONCATENATE(","&amp;J210))&amp;
IF(ISBLANK(K210),"",IF(ISERROR(SEARCH(",",K210,1)),CONCATENATE(","&amp;K210&amp;","&amp;K210),CONCATENATE(","&amp;K210))))))&amp;
")","")&amp;" "&amp;F210)</f>
        <v/>
      </c>
    </row>
    <row r="211">
      <c r="A211" s="1" t="n">
        <v>310</v>
      </c>
      <c r="B211" s="1">
        <f>A211</f>
        <v/>
      </c>
      <c r="C211" s="1" t="inlineStr">
        <is>
          <t>vE9</t>
        </is>
      </c>
      <c r="D211" s="1" t="inlineStr">
        <is>
          <t>數值</t>
        </is>
      </c>
      <c r="E211" s="9" t="n">
        <v>5</v>
      </c>
      <c r="G211" s="1" t="inlineStr">
        <is>
          <t>range</t>
        </is>
      </c>
      <c r="H211" s="1" t="inlineStr">
        <is>
          <t>0,2359</t>
        </is>
      </c>
      <c r="I211" s="1" t="inlineStr">
        <is>
          <t>9797</t>
        </is>
      </c>
      <c r="J211" s="1" t="inlineStr">
        <is>
          <t>9898</t>
        </is>
      </c>
      <c r="L211" s="2">
        <f>_xlfn.CONCAT(IF(D211="數值",CONCATENATE(G211&amp;"("&amp;C211&amp;","&amp;
IF(ISERROR(SEARCH(",",H211,1)),(H211&amp;","&amp;H211),H211)&amp;
IF(ISBLANK(I211),"",IF(ISERROR(SEARCH(",",I211,1)),CONCATENATE(","&amp;I211&amp;","&amp;I211),CONCATENATE(","&amp;I211))&amp;
IF(ISBLANK(J211),"",IF(ISERROR(SEARCH(",",J211,1)),CONCATENATE(","&amp;J211&amp;","&amp;J211),CONCATENATE(","&amp;J211))&amp;
IF(ISBLANK(K211),"",IF(ISERROR(SEARCH(",",K211,1)),CONCATENATE(","&amp;K211&amp;","&amp;K211),CONCATENATE(","&amp;K211))))))&amp;
")","")&amp;" "&amp;F211)</f>
        <v/>
      </c>
    </row>
    <row r="212">
      <c r="A212" s="1" t="n">
        <v>311</v>
      </c>
      <c r="B212" s="1">
        <f>A212</f>
        <v/>
      </c>
      <c r="C212" s="1" t="inlineStr">
        <is>
          <t>vCKE8</t>
        </is>
      </c>
      <c r="D212" s="1" t="inlineStr">
        <is>
          <t>數值</t>
        </is>
      </c>
      <c r="E212" s="9" t="n">
        <v>2</v>
      </c>
      <c r="G212" s="1" t="inlineStr">
        <is>
          <t>range</t>
        </is>
      </c>
      <c r="H212" s="1" t="inlineStr">
        <is>
          <t>1,88</t>
        </is>
      </c>
      <c r="I212" s="1" t="inlineStr">
        <is>
          <t>97</t>
        </is>
      </c>
      <c r="J212" s="1" t="inlineStr">
        <is>
          <t>98</t>
        </is>
      </c>
      <c r="L212" s="2">
        <f>_xlfn.CONCAT(IF(D212="數值",CONCATENATE(G212&amp;"("&amp;C212&amp;","&amp;
IF(ISERROR(SEARCH(",",H212,1)),(H212&amp;","&amp;H212),H212)&amp;
IF(ISBLANK(I212),"",IF(ISERROR(SEARCH(",",I212,1)),CONCATENATE(","&amp;I212&amp;","&amp;I212),CONCATENATE(","&amp;I212))&amp;
IF(ISBLANK(J212),"",IF(ISERROR(SEARCH(",",J212,1)),CONCATENATE(","&amp;J212&amp;","&amp;J212),CONCATENATE(","&amp;J212))&amp;
IF(ISBLANK(K212),"",IF(ISERROR(SEARCH(",",K212,1)),CONCATENATE(","&amp;K212&amp;","&amp;K212),CONCATENATE(","&amp;K212))))))&amp;
")","")&amp;" "&amp;F212)</f>
        <v/>
      </c>
    </row>
    <row r="213">
      <c r="A213" s="1" t="n">
        <v>312</v>
      </c>
      <c r="B213" s="1">
        <f>A213</f>
        <v/>
      </c>
      <c r="C213" s="1" t="inlineStr">
        <is>
          <t>vE10</t>
        </is>
      </c>
      <c r="D213" s="1" t="inlineStr">
        <is>
          <t>數值</t>
        </is>
      </c>
      <c r="E213" s="9" t="n">
        <v>4</v>
      </c>
      <c r="G213" s="1" t="inlineStr">
        <is>
          <t>range</t>
        </is>
      </c>
      <c r="H213" s="1" t="inlineStr">
        <is>
          <t>0.5,7</t>
        </is>
      </c>
      <c r="I213" s="1" t="inlineStr">
        <is>
          <t>95</t>
        </is>
      </c>
      <c r="J213" s="1" t="inlineStr">
        <is>
          <t>97</t>
        </is>
      </c>
      <c r="K213" s="1" t="inlineStr">
        <is>
          <t>98</t>
        </is>
      </c>
      <c r="L213" s="2">
        <f>_xlfn.CONCAT(IF(D213="數值",CONCATENATE(G213&amp;"("&amp;C213&amp;","&amp;
IF(ISERROR(SEARCH(",",H213,1)),(H213&amp;","&amp;H213),H213)&amp;
IF(ISBLANK(I213),"",IF(ISERROR(SEARCH(",",I213,1)),CONCATENATE(","&amp;I213&amp;","&amp;I213),CONCATENATE(","&amp;I213))&amp;
IF(ISBLANK(J213),"",IF(ISERROR(SEARCH(",",J213,1)),CONCATENATE(","&amp;J213&amp;","&amp;J213),CONCATENATE(","&amp;J213))&amp;
IF(ISBLANK(K213),"",IF(ISERROR(SEARCH(",",K213,1)),CONCATENATE(","&amp;K213&amp;","&amp;K213),CONCATENATE(","&amp;K213))))))&amp;
")","")&amp;" "&amp;F213)</f>
        <v/>
      </c>
    </row>
    <row r="214">
      <c r="A214" s="1" t="n">
        <v>313</v>
      </c>
      <c r="B214" s="1">
        <f>A214</f>
        <v/>
      </c>
      <c r="C214" s="1" t="inlineStr">
        <is>
          <t>vE11</t>
        </is>
      </c>
      <c r="D214" s="1" t="inlineStr">
        <is>
          <t>數值</t>
        </is>
      </c>
      <c r="E214" s="9" t="n">
        <v>5</v>
      </c>
      <c r="G214" s="1" t="inlineStr">
        <is>
          <t>range</t>
        </is>
      </c>
      <c r="H214" s="1" t="inlineStr">
        <is>
          <t>0,2359</t>
        </is>
      </c>
      <c r="I214" s="1" t="inlineStr">
        <is>
          <t>9797</t>
        </is>
      </c>
      <c r="J214" s="1" t="inlineStr">
        <is>
          <t>9898</t>
        </is>
      </c>
      <c r="L214" s="2">
        <f>_xlfn.CONCAT(IF(D214="數值",CONCATENATE(G214&amp;"("&amp;C214&amp;","&amp;
IF(ISERROR(SEARCH(",",H214,1)),(H214&amp;","&amp;H214),H214)&amp;
IF(ISBLANK(I214),"",IF(ISERROR(SEARCH(",",I214,1)),CONCATENATE(","&amp;I214&amp;","&amp;I214),CONCATENATE(","&amp;I214))&amp;
IF(ISBLANK(J214),"",IF(ISERROR(SEARCH(",",J214,1)),CONCATENATE(","&amp;J214&amp;","&amp;J214),CONCATENATE(","&amp;J214))&amp;
IF(ISBLANK(K214),"",IF(ISERROR(SEARCH(",",K214,1)),CONCATENATE(","&amp;K214&amp;","&amp;K214),CONCATENATE(","&amp;K214))))))&amp;
")","")&amp;" "&amp;F214)</f>
        <v/>
      </c>
    </row>
    <row r="215">
      <c r="A215" s="1" t="n">
        <v>314</v>
      </c>
      <c r="B215" s="1">
        <f>A215</f>
        <v/>
      </c>
      <c r="C215" s="1" t="inlineStr">
        <is>
          <t>vE12</t>
        </is>
      </c>
      <c r="D215" s="1" t="inlineStr">
        <is>
          <t>數值</t>
        </is>
      </c>
      <c r="E215" s="9" t="n">
        <v>5</v>
      </c>
      <c r="G215" s="1" t="inlineStr">
        <is>
          <t>range</t>
        </is>
      </c>
      <c r="H215" s="1" t="inlineStr">
        <is>
          <t>0,2359</t>
        </is>
      </c>
      <c r="I215" s="1" t="inlineStr">
        <is>
          <t>9797</t>
        </is>
      </c>
      <c r="J215" s="1" t="inlineStr">
        <is>
          <t>9898</t>
        </is>
      </c>
      <c r="L215" s="2">
        <f>_xlfn.CONCAT(IF(D215="數值",CONCATENATE(G215&amp;"("&amp;C215&amp;","&amp;
IF(ISERROR(SEARCH(",",H215,1)),(H215&amp;","&amp;H215),H215)&amp;
IF(ISBLANK(I215),"",IF(ISERROR(SEARCH(",",I215,1)),CONCATENATE(","&amp;I215&amp;","&amp;I215),CONCATENATE(","&amp;I215))&amp;
IF(ISBLANK(J215),"",IF(ISERROR(SEARCH(",",J215,1)),CONCATENATE(","&amp;J215&amp;","&amp;J215),CONCATENATE(","&amp;J215))&amp;
IF(ISBLANK(K215),"",IF(ISERROR(SEARCH(",",K215,1)),CONCATENATE(","&amp;K215&amp;","&amp;K215),CONCATENATE(","&amp;K215))))))&amp;
")","")&amp;" "&amp;F215)</f>
        <v/>
      </c>
    </row>
    <row r="216">
      <c r="A216" s="1" t="n">
        <v>315</v>
      </c>
      <c r="B216" s="1">
        <f>A216</f>
        <v/>
      </c>
      <c r="C216" s="1" t="inlineStr">
        <is>
          <t>vCKE11</t>
        </is>
      </c>
      <c r="D216" s="1" t="inlineStr">
        <is>
          <t>數值</t>
        </is>
      </c>
      <c r="E216" s="9" t="n">
        <v>2</v>
      </c>
      <c r="G216" s="1" t="inlineStr">
        <is>
          <t>range</t>
        </is>
      </c>
      <c r="H216" s="1" t="inlineStr">
        <is>
          <t>1,88</t>
        </is>
      </c>
      <c r="I216" s="1" t="inlineStr">
        <is>
          <t>97</t>
        </is>
      </c>
      <c r="J216" s="1" t="inlineStr">
        <is>
          <t>98</t>
        </is>
      </c>
      <c r="L216" s="2">
        <f>_xlfn.CONCAT(IF(D216="數值",CONCATENATE(G216&amp;"("&amp;C216&amp;","&amp;
IF(ISERROR(SEARCH(",",H216,1)),(H216&amp;","&amp;H216),H216)&amp;
IF(ISBLANK(I216),"",IF(ISERROR(SEARCH(",",I216,1)),CONCATENATE(","&amp;I216&amp;","&amp;I216),CONCATENATE(","&amp;I216))&amp;
IF(ISBLANK(J216),"",IF(ISERROR(SEARCH(",",J216,1)),CONCATENATE(","&amp;J216&amp;","&amp;J216),CONCATENATE(","&amp;J216))&amp;
IF(ISBLANK(K216),"",IF(ISERROR(SEARCH(",",K216,1)),CONCATENATE(","&amp;K216&amp;","&amp;K216),CONCATENATE(","&amp;K216))))))&amp;
")","")&amp;" "&amp;F216)</f>
        <v/>
      </c>
    </row>
    <row r="217">
      <c r="A217" s="1" t="n">
        <v>316</v>
      </c>
      <c r="B217" s="1">
        <f>A217</f>
        <v/>
      </c>
      <c r="C217" s="1" t="inlineStr">
        <is>
          <t>vE3</t>
        </is>
      </c>
      <c r="D217" s="1" t="inlineStr">
        <is>
          <t>數值</t>
        </is>
      </c>
      <c r="E217" s="9" t="n">
        <v>5</v>
      </c>
      <c r="G217" s="1" t="inlineStr">
        <is>
          <t>range</t>
        </is>
      </c>
      <c r="H217" s="1" t="inlineStr">
        <is>
          <t>1,2359</t>
        </is>
      </c>
      <c r="I217" s="1" t="inlineStr">
        <is>
          <t>9797</t>
        </is>
      </c>
      <c r="J217" s="1" t="inlineStr">
        <is>
          <t>9898</t>
        </is>
      </c>
      <c r="L217" s="2">
        <f>_xlfn.CONCAT(IF(D217="數值",CONCATENATE(G217&amp;"("&amp;C217&amp;","&amp;
IF(ISERROR(SEARCH(",",H217,1)),(H217&amp;","&amp;H217),H217)&amp;
IF(ISBLANK(I217),"",IF(ISERROR(SEARCH(",",I217,1)),CONCATENATE(","&amp;I217&amp;","&amp;I217),CONCATENATE(","&amp;I217))&amp;
IF(ISBLANK(J217),"",IF(ISERROR(SEARCH(",",J217,1)),CONCATENATE(","&amp;J217&amp;","&amp;J217),CONCATENATE(","&amp;J217))&amp;
IF(ISBLANK(K217),"",IF(ISERROR(SEARCH(",",K217,1)),CONCATENATE(","&amp;K217&amp;","&amp;K217),CONCATENATE(","&amp;K217))))))&amp;
")","")&amp;" "&amp;F217)</f>
        <v/>
      </c>
    </row>
    <row r="218">
      <c r="A218" s="1" t="n">
        <v>317</v>
      </c>
      <c r="B218" s="1">
        <f>A218</f>
        <v/>
      </c>
      <c r="C218" s="1" t="inlineStr">
        <is>
          <t>vE13m01</t>
        </is>
      </c>
      <c r="D218" s="1" t="inlineStr">
        <is>
          <t>數值</t>
        </is>
      </c>
      <c r="E218" s="9" t="n">
        <v>2</v>
      </c>
      <c r="G218" s="1" t="inlineStr">
        <is>
          <t>range</t>
        </is>
      </c>
      <c r="H218" s="1" t="inlineStr">
        <is>
          <t>0,1</t>
        </is>
      </c>
      <c r="L218" s="2">
        <f>_xlfn.CONCAT(IF(D218="數值",CONCATENATE(G218&amp;"("&amp;C218&amp;","&amp;
IF(ISERROR(SEARCH(",",H218,1)),(H218&amp;","&amp;H218),H218)&amp;
IF(ISBLANK(I218),"",IF(ISERROR(SEARCH(",",I218,1)),CONCATENATE(","&amp;I218&amp;","&amp;I218),CONCATENATE(","&amp;I218))&amp;
IF(ISBLANK(J218),"",IF(ISERROR(SEARCH(",",J218,1)),CONCATENATE(","&amp;J218&amp;","&amp;J218),CONCATENATE(","&amp;J218))&amp;
IF(ISBLANK(K218),"",IF(ISERROR(SEARCH(",",K218,1)),CONCATENATE(","&amp;K218&amp;","&amp;K218),CONCATENATE(","&amp;K218))))))&amp;
")","")&amp;" "&amp;F218)</f>
        <v/>
      </c>
    </row>
    <row r="219">
      <c r="A219" s="1" t="n">
        <v>318</v>
      </c>
      <c r="B219" s="1">
        <f>A219</f>
        <v/>
      </c>
      <c r="C219" s="1" t="inlineStr">
        <is>
          <t>vE13m02</t>
        </is>
      </c>
      <c r="D219" s="1" t="inlineStr">
        <is>
          <t>數值</t>
        </is>
      </c>
      <c r="E219" s="9" t="n">
        <v>2</v>
      </c>
      <c r="G219" s="1" t="inlineStr">
        <is>
          <t>range</t>
        </is>
      </c>
      <c r="H219" s="1" t="inlineStr">
        <is>
          <t>0,1</t>
        </is>
      </c>
      <c r="L219" s="2">
        <f>_xlfn.CONCAT(IF(D219="數值",CONCATENATE(G219&amp;"("&amp;C219&amp;","&amp;
IF(ISERROR(SEARCH(",",H219,1)),(H219&amp;","&amp;H219),H219)&amp;
IF(ISBLANK(I219),"",IF(ISERROR(SEARCH(",",I219,1)),CONCATENATE(","&amp;I219&amp;","&amp;I219),CONCATENATE(","&amp;I219))&amp;
IF(ISBLANK(J219),"",IF(ISERROR(SEARCH(",",J219,1)),CONCATENATE(","&amp;J219&amp;","&amp;J219),CONCATENATE(","&amp;J219))&amp;
IF(ISBLANK(K219),"",IF(ISERROR(SEARCH(",",K219,1)),CONCATENATE(","&amp;K219&amp;","&amp;K219),CONCATENATE(","&amp;K219))))))&amp;
")","")&amp;" "&amp;F219)</f>
        <v/>
      </c>
    </row>
    <row r="220">
      <c r="A220" s="1" t="n">
        <v>319</v>
      </c>
      <c r="B220" s="1">
        <f>A220</f>
        <v/>
      </c>
      <c r="C220" s="1" t="inlineStr">
        <is>
          <t>vE13m03</t>
        </is>
      </c>
      <c r="D220" s="1" t="inlineStr">
        <is>
          <t>數值</t>
        </is>
      </c>
      <c r="E220" s="9" t="n">
        <v>2</v>
      </c>
      <c r="G220" s="1" t="inlineStr">
        <is>
          <t>range</t>
        </is>
      </c>
      <c r="H220" s="1" t="inlineStr">
        <is>
          <t>0,1</t>
        </is>
      </c>
      <c r="L220" s="2">
        <f>_xlfn.CONCAT(IF(D220="數值",CONCATENATE(G220&amp;"("&amp;C220&amp;","&amp;
IF(ISERROR(SEARCH(",",H220,1)),(H220&amp;","&amp;H220),H220)&amp;
IF(ISBLANK(I220),"",IF(ISERROR(SEARCH(",",I220,1)),CONCATENATE(","&amp;I220&amp;","&amp;I220),CONCATENATE(","&amp;I220))&amp;
IF(ISBLANK(J220),"",IF(ISERROR(SEARCH(",",J220,1)),CONCATENATE(","&amp;J220&amp;","&amp;J220),CONCATENATE(","&amp;J220))&amp;
IF(ISBLANK(K220),"",IF(ISERROR(SEARCH(",",K220,1)),CONCATENATE(","&amp;K220&amp;","&amp;K220),CONCATENATE(","&amp;K220))))))&amp;
")","")&amp;" "&amp;F220)</f>
        <v/>
      </c>
    </row>
    <row r="221">
      <c r="A221" s="1" t="n">
        <v>320</v>
      </c>
      <c r="B221" s="1">
        <f>A221</f>
        <v/>
      </c>
      <c r="C221" s="1" t="inlineStr">
        <is>
          <t>vE13m04</t>
        </is>
      </c>
      <c r="D221" s="1" t="inlineStr">
        <is>
          <t>數值</t>
        </is>
      </c>
      <c r="E221" s="9" t="n">
        <v>2</v>
      </c>
      <c r="G221" s="1" t="inlineStr">
        <is>
          <t>range</t>
        </is>
      </c>
      <c r="H221" s="1" t="inlineStr">
        <is>
          <t>0,1</t>
        </is>
      </c>
      <c r="L221" s="2">
        <f>_xlfn.CONCAT(IF(D221="數值",CONCATENATE(G221&amp;"("&amp;C221&amp;","&amp;
IF(ISERROR(SEARCH(",",H221,1)),(H221&amp;","&amp;H221),H221)&amp;
IF(ISBLANK(I221),"",IF(ISERROR(SEARCH(",",I221,1)),CONCATENATE(","&amp;I221&amp;","&amp;I221),CONCATENATE(","&amp;I221))&amp;
IF(ISBLANK(J221),"",IF(ISERROR(SEARCH(",",J221,1)),CONCATENATE(","&amp;J221&amp;","&amp;J221),CONCATENATE(","&amp;J221))&amp;
IF(ISBLANK(K221),"",IF(ISERROR(SEARCH(",",K221,1)),CONCATENATE(","&amp;K221&amp;","&amp;K221),CONCATENATE(","&amp;K221))))))&amp;
")","")&amp;" "&amp;F221)</f>
        <v/>
      </c>
    </row>
    <row r="222">
      <c r="A222" s="1" t="n">
        <v>321</v>
      </c>
      <c r="B222" s="1">
        <f>A222</f>
        <v/>
      </c>
      <c r="C222" s="1" t="inlineStr">
        <is>
          <t>vE13m05</t>
        </is>
      </c>
      <c r="D222" s="1" t="inlineStr">
        <is>
          <t>數值</t>
        </is>
      </c>
      <c r="E222" s="9" t="n">
        <v>2</v>
      </c>
      <c r="G222" s="1" t="inlineStr">
        <is>
          <t>range</t>
        </is>
      </c>
      <c r="H222" s="1" t="inlineStr">
        <is>
          <t>0,1</t>
        </is>
      </c>
      <c r="L222" s="2">
        <f>_xlfn.CONCAT(IF(D222="數值",CONCATENATE(G222&amp;"("&amp;C222&amp;","&amp;
IF(ISERROR(SEARCH(",",H222,1)),(H222&amp;","&amp;H222),H222)&amp;
IF(ISBLANK(I222),"",IF(ISERROR(SEARCH(",",I222,1)),CONCATENATE(","&amp;I222&amp;","&amp;I222),CONCATENATE(","&amp;I222))&amp;
IF(ISBLANK(J222),"",IF(ISERROR(SEARCH(",",J222,1)),CONCATENATE(","&amp;J222&amp;","&amp;J222),CONCATENATE(","&amp;J222))&amp;
IF(ISBLANK(K222),"",IF(ISERROR(SEARCH(",",K222,1)),CONCATENATE(","&amp;K222&amp;","&amp;K222),CONCATENATE(","&amp;K222))))))&amp;
")","")&amp;" "&amp;F222)</f>
        <v/>
      </c>
    </row>
    <row r="223">
      <c r="A223" s="1" t="n">
        <v>322</v>
      </c>
      <c r="B223" s="1">
        <f>A223</f>
        <v/>
      </c>
      <c r="C223" s="1" t="inlineStr">
        <is>
          <t>vE13m06</t>
        </is>
      </c>
      <c r="D223" s="1" t="inlineStr">
        <is>
          <t>數值</t>
        </is>
      </c>
      <c r="E223" s="9" t="n">
        <v>2</v>
      </c>
      <c r="G223" s="1" t="inlineStr">
        <is>
          <t>range</t>
        </is>
      </c>
      <c r="H223" s="1" t="inlineStr">
        <is>
          <t>0,1</t>
        </is>
      </c>
      <c r="L223" s="2">
        <f>_xlfn.CONCAT(IF(D223="數值",CONCATENATE(G223&amp;"("&amp;C223&amp;","&amp;
IF(ISERROR(SEARCH(",",H223,1)),(H223&amp;","&amp;H223),H223)&amp;
IF(ISBLANK(I223),"",IF(ISERROR(SEARCH(",",I223,1)),CONCATENATE(","&amp;I223&amp;","&amp;I223),CONCATENATE(","&amp;I223))&amp;
IF(ISBLANK(J223),"",IF(ISERROR(SEARCH(",",J223,1)),CONCATENATE(","&amp;J223&amp;","&amp;J223),CONCATENATE(","&amp;J223))&amp;
IF(ISBLANK(K223),"",IF(ISERROR(SEARCH(",",K223,1)),CONCATENATE(","&amp;K223&amp;","&amp;K223),CONCATENATE(","&amp;K223))))))&amp;
")","")&amp;" "&amp;F223)</f>
        <v/>
      </c>
    </row>
    <row r="224">
      <c r="A224" s="1" t="n">
        <v>323</v>
      </c>
      <c r="B224" s="1">
        <f>A224</f>
        <v/>
      </c>
      <c r="C224" s="1" t="inlineStr">
        <is>
          <t>vE13m88</t>
        </is>
      </c>
      <c r="D224" s="1" t="inlineStr">
        <is>
          <t>數值</t>
        </is>
      </c>
      <c r="E224" s="9" t="n">
        <v>2</v>
      </c>
      <c r="G224" s="1" t="inlineStr">
        <is>
          <t>range</t>
        </is>
      </c>
      <c r="H224" s="1" t="inlineStr">
        <is>
          <t>0,1</t>
        </is>
      </c>
      <c r="I224" s="1" t="inlineStr">
        <is>
          <t>96</t>
        </is>
      </c>
      <c r="L224" s="2">
        <f>_xlfn.CONCAT(IF(D224="數值",CONCATENATE(G224&amp;"("&amp;C224&amp;","&amp;
IF(ISERROR(SEARCH(",",H224,1)),(H224&amp;","&amp;H224),H224)&amp;
IF(ISBLANK(I224),"",IF(ISERROR(SEARCH(",",I224,1)),CONCATENATE(","&amp;I224&amp;","&amp;I224),CONCATENATE(","&amp;I224))&amp;
IF(ISBLANK(J224),"",IF(ISERROR(SEARCH(",",J224,1)),CONCATENATE(","&amp;J224&amp;","&amp;J224),CONCATENATE(","&amp;J224))&amp;
IF(ISBLANK(K224),"",IF(ISERROR(SEARCH(",",K224,1)),CONCATENATE(","&amp;K224&amp;","&amp;K224),CONCATENATE(","&amp;K224))))))&amp;
")","")&amp;" "&amp;F224)</f>
        <v/>
      </c>
    </row>
    <row r="225">
      <c r="A225" s="1" t="n">
        <v>324</v>
      </c>
      <c r="B225" s="1">
        <f>A225</f>
        <v/>
      </c>
      <c r="C225" s="1" t="inlineStr">
        <is>
          <t>vE14</t>
        </is>
      </c>
      <c r="D225" s="1" t="inlineStr">
        <is>
          <t>數值</t>
        </is>
      </c>
      <c r="E225" s="9" t="n">
        <v>7</v>
      </c>
      <c r="G225" s="1" t="inlineStr">
        <is>
          <t>range</t>
        </is>
      </c>
      <c r="H225" s="1" t="inlineStr">
        <is>
          <t>0,100000</t>
        </is>
      </c>
      <c r="I225" s="1" t="inlineStr">
        <is>
          <t>999991</t>
        </is>
      </c>
      <c r="J225" s="1" t="inlineStr">
        <is>
          <t>999997</t>
        </is>
      </c>
      <c r="K225" s="1" t="inlineStr">
        <is>
          <t>999998</t>
        </is>
      </c>
      <c r="L225" s="2">
        <f>_xlfn.CONCAT(IF(D225="數值",CONCATENATE(G225&amp;"("&amp;C225&amp;","&amp;
IF(ISERROR(SEARCH(",",H225,1)),(H225&amp;","&amp;H225),H225)&amp;
IF(ISBLANK(I225),"",IF(ISERROR(SEARCH(",",I225,1)),CONCATENATE(","&amp;I225&amp;","&amp;I225),CONCATENATE(","&amp;I225))&amp;
IF(ISBLANK(J225),"",IF(ISERROR(SEARCH(",",J225,1)),CONCATENATE(","&amp;J225&amp;","&amp;J225),CONCATENATE(","&amp;J225))&amp;
IF(ISBLANK(K225),"",IF(ISERROR(SEARCH(",",K225,1)),CONCATENATE(","&amp;K225&amp;","&amp;K225),CONCATENATE(","&amp;K225))))))&amp;
")","")&amp;" "&amp;F225)</f>
        <v/>
      </c>
    </row>
    <row r="226">
      <c r="A226" s="1" t="n">
        <v>325</v>
      </c>
      <c r="B226" s="1">
        <f>A226</f>
        <v/>
      </c>
      <c r="C226" s="1" t="inlineStr">
        <is>
          <t>vG7m01</t>
        </is>
      </c>
      <c r="D226" s="1" t="inlineStr">
        <is>
          <t>數值</t>
        </is>
      </c>
      <c r="E226" s="9" t="n">
        <v>2</v>
      </c>
      <c r="G226" s="1" t="inlineStr">
        <is>
          <t>range</t>
        </is>
      </c>
      <c r="H226" s="1" t="inlineStr">
        <is>
          <t>0,1</t>
        </is>
      </c>
      <c r="L226" s="2">
        <f>_xlfn.CONCAT(IF(D226="數值",CONCATENATE(G226&amp;"("&amp;C226&amp;","&amp;
IF(ISERROR(SEARCH(",",H226,1)),(H226&amp;","&amp;H226),H226)&amp;
IF(ISBLANK(I226),"",IF(ISERROR(SEARCH(",",I226,1)),CONCATENATE(","&amp;I226&amp;","&amp;I226),CONCATENATE(","&amp;I226))&amp;
IF(ISBLANK(J226),"",IF(ISERROR(SEARCH(",",J226,1)),CONCATENATE(","&amp;J226&amp;","&amp;J226),CONCATENATE(","&amp;J226))&amp;
IF(ISBLANK(K226),"",IF(ISERROR(SEARCH(",",K226,1)),CONCATENATE(","&amp;K226&amp;","&amp;K226),CONCATENATE(","&amp;K226))))))&amp;
")","")&amp;" "&amp;F226)</f>
        <v/>
      </c>
    </row>
    <row r="227">
      <c r="A227" s="1" t="n">
        <v>326</v>
      </c>
      <c r="B227" s="1">
        <f>A227</f>
        <v/>
      </c>
      <c r="C227" s="1" t="inlineStr">
        <is>
          <t>vG7m02</t>
        </is>
      </c>
      <c r="D227" s="1" t="inlineStr">
        <is>
          <t>數值</t>
        </is>
      </c>
      <c r="E227" s="9" t="n">
        <v>2</v>
      </c>
      <c r="G227" s="1" t="inlineStr">
        <is>
          <t>range</t>
        </is>
      </c>
      <c r="H227" s="1" t="inlineStr">
        <is>
          <t>0,1</t>
        </is>
      </c>
      <c r="L227" s="2">
        <f>_xlfn.CONCAT(IF(D227="數值",CONCATENATE(G227&amp;"("&amp;C227&amp;","&amp;
IF(ISERROR(SEARCH(",",H227,1)),(H227&amp;","&amp;H227),H227)&amp;
IF(ISBLANK(I227),"",IF(ISERROR(SEARCH(",",I227,1)),CONCATENATE(","&amp;I227&amp;","&amp;I227),CONCATENATE(","&amp;I227))&amp;
IF(ISBLANK(J227),"",IF(ISERROR(SEARCH(",",J227,1)),CONCATENATE(","&amp;J227&amp;","&amp;J227),CONCATENATE(","&amp;J227))&amp;
IF(ISBLANK(K227),"",IF(ISERROR(SEARCH(",",K227,1)),CONCATENATE(","&amp;K227&amp;","&amp;K227),CONCATENATE(","&amp;K227))))))&amp;
")","")&amp;" "&amp;F227)</f>
        <v/>
      </c>
    </row>
    <row r="228">
      <c r="A228" s="1" t="n">
        <v>327</v>
      </c>
      <c r="B228" s="1">
        <f>A228</f>
        <v/>
      </c>
      <c r="C228" s="1" t="inlineStr">
        <is>
          <t>vG7m03</t>
        </is>
      </c>
      <c r="D228" s="1" t="inlineStr">
        <is>
          <t>數值</t>
        </is>
      </c>
      <c r="E228" s="9" t="n">
        <v>2</v>
      </c>
      <c r="G228" s="1" t="inlineStr">
        <is>
          <t>range</t>
        </is>
      </c>
      <c r="H228" s="1" t="inlineStr">
        <is>
          <t>0,1</t>
        </is>
      </c>
      <c r="L228" s="2">
        <f>_xlfn.CONCAT(IF(D228="數值",CONCATENATE(G228&amp;"("&amp;C228&amp;","&amp;
IF(ISERROR(SEARCH(",",H228,1)),(H228&amp;","&amp;H228),H228)&amp;
IF(ISBLANK(I228),"",IF(ISERROR(SEARCH(",",I228,1)),CONCATENATE(","&amp;I228&amp;","&amp;I228),CONCATENATE(","&amp;I228))&amp;
IF(ISBLANK(J228),"",IF(ISERROR(SEARCH(",",J228,1)),CONCATENATE(","&amp;J228&amp;","&amp;J228),CONCATENATE(","&amp;J228))&amp;
IF(ISBLANK(K228),"",IF(ISERROR(SEARCH(",",K228,1)),CONCATENATE(","&amp;K228&amp;","&amp;K228),CONCATENATE(","&amp;K228))))))&amp;
")","")&amp;" "&amp;F228)</f>
        <v/>
      </c>
    </row>
    <row r="229">
      <c r="A229" s="1" t="n">
        <v>328</v>
      </c>
      <c r="B229" s="1">
        <f>A229</f>
        <v/>
      </c>
      <c r="C229" s="1" t="inlineStr">
        <is>
          <t>vG7m04</t>
        </is>
      </c>
      <c r="D229" s="1" t="inlineStr">
        <is>
          <t>數值</t>
        </is>
      </c>
      <c r="E229" s="9" t="n">
        <v>2</v>
      </c>
      <c r="G229" s="1" t="inlineStr">
        <is>
          <t>range</t>
        </is>
      </c>
      <c r="H229" s="1" t="inlineStr">
        <is>
          <t>0,1</t>
        </is>
      </c>
      <c r="L229" s="2">
        <f>_xlfn.CONCAT(IF(D229="數值",CONCATENATE(G229&amp;"("&amp;C229&amp;","&amp;
IF(ISERROR(SEARCH(",",H229,1)),(H229&amp;","&amp;H229),H229)&amp;
IF(ISBLANK(I229),"",IF(ISERROR(SEARCH(",",I229,1)),CONCATENATE(","&amp;I229&amp;","&amp;I229),CONCATENATE(","&amp;I229))&amp;
IF(ISBLANK(J229),"",IF(ISERROR(SEARCH(",",J229,1)),CONCATENATE(","&amp;J229&amp;","&amp;J229),CONCATENATE(","&amp;J229))&amp;
IF(ISBLANK(K229),"",IF(ISERROR(SEARCH(",",K229,1)),CONCATENATE(","&amp;K229&amp;","&amp;K229),CONCATENATE(","&amp;K229))))))&amp;
")","")&amp;" "&amp;F229)</f>
        <v/>
      </c>
    </row>
    <row r="230">
      <c r="A230" s="1" t="n">
        <v>329</v>
      </c>
      <c r="B230" s="1">
        <f>A230</f>
        <v/>
      </c>
      <c r="C230" s="1" t="inlineStr">
        <is>
          <t>vG7m05</t>
        </is>
      </c>
      <c r="D230" s="1" t="inlineStr">
        <is>
          <t>數值</t>
        </is>
      </c>
      <c r="E230" s="9" t="n">
        <v>2</v>
      </c>
      <c r="G230" s="1" t="inlineStr">
        <is>
          <t>range</t>
        </is>
      </c>
      <c r="H230" s="1" t="inlineStr">
        <is>
          <t>0,1</t>
        </is>
      </c>
      <c r="L230" s="2">
        <f>_xlfn.CONCAT(IF(D230="數值",CONCATENATE(G230&amp;"("&amp;C230&amp;","&amp;
IF(ISERROR(SEARCH(",",H230,1)),(H230&amp;","&amp;H230),H230)&amp;
IF(ISBLANK(I230),"",IF(ISERROR(SEARCH(",",I230,1)),CONCATENATE(","&amp;I230&amp;","&amp;I230),CONCATENATE(","&amp;I230))&amp;
IF(ISBLANK(J230),"",IF(ISERROR(SEARCH(",",J230,1)),CONCATENATE(","&amp;J230&amp;","&amp;J230),CONCATENATE(","&amp;J230))&amp;
IF(ISBLANK(K230),"",IF(ISERROR(SEARCH(",",K230,1)),CONCATENATE(","&amp;K230&amp;","&amp;K230),CONCATENATE(","&amp;K230))))))&amp;
")","")&amp;" "&amp;F230)</f>
        <v/>
      </c>
    </row>
    <row r="231">
      <c r="A231" s="1" t="n">
        <v>330</v>
      </c>
      <c r="B231" s="1">
        <f>A231</f>
        <v/>
      </c>
      <c r="C231" s="1" t="inlineStr">
        <is>
          <t>vG7m06</t>
        </is>
      </c>
      <c r="D231" s="1" t="inlineStr">
        <is>
          <t>數值</t>
        </is>
      </c>
      <c r="E231" s="9" t="n">
        <v>2</v>
      </c>
      <c r="G231" s="1" t="inlineStr">
        <is>
          <t>range</t>
        </is>
      </c>
      <c r="H231" s="1" t="inlineStr">
        <is>
          <t>0,1</t>
        </is>
      </c>
      <c r="L231" s="2">
        <f>_xlfn.CONCAT(IF(D231="數值",CONCATENATE(G231&amp;"("&amp;C231&amp;","&amp;
IF(ISERROR(SEARCH(",",H231,1)),(H231&amp;","&amp;H231),H231)&amp;
IF(ISBLANK(I231),"",IF(ISERROR(SEARCH(",",I231,1)),CONCATENATE(","&amp;I231&amp;","&amp;I231),CONCATENATE(","&amp;I231))&amp;
IF(ISBLANK(J231),"",IF(ISERROR(SEARCH(",",J231,1)),CONCATENATE(","&amp;J231&amp;","&amp;J231),CONCATENATE(","&amp;J231))&amp;
IF(ISBLANK(K231),"",IF(ISERROR(SEARCH(",",K231,1)),CONCATENATE(","&amp;K231&amp;","&amp;K231),CONCATENATE(","&amp;K231))))))&amp;
")","")&amp;" "&amp;F231)</f>
        <v/>
      </c>
    </row>
    <row r="232">
      <c r="A232" s="1" t="n">
        <v>331</v>
      </c>
      <c r="B232" s="1">
        <f>A232</f>
        <v/>
      </c>
      <c r="C232" s="1" t="inlineStr">
        <is>
          <t>vG7m07</t>
        </is>
      </c>
      <c r="D232" s="1" t="inlineStr">
        <is>
          <t>數值</t>
        </is>
      </c>
      <c r="E232" s="9" t="n">
        <v>2</v>
      </c>
      <c r="G232" s="1" t="inlineStr">
        <is>
          <t>range</t>
        </is>
      </c>
      <c r="H232" s="1" t="inlineStr">
        <is>
          <t>0,1</t>
        </is>
      </c>
      <c r="L232" s="2">
        <f>_xlfn.CONCAT(IF(D232="數值",CONCATENATE(G232&amp;"("&amp;C232&amp;","&amp;
IF(ISERROR(SEARCH(",",H232,1)),(H232&amp;","&amp;H232),H232)&amp;
IF(ISBLANK(I232),"",IF(ISERROR(SEARCH(",",I232,1)),CONCATENATE(","&amp;I232&amp;","&amp;I232),CONCATENATE(","&amp;I232))&amp;
IF(ISBLANK(J232),"",IF(ISERROR(SEARCH(",",J232,1)),CONCATENATE(","&amp;J232&amp;","&amp;J232),CONCATENATE(","&amp;J232))&amp;
IF(ISBLANK(K232),"",IF(ISERROR(SEARCH(",",K232,1)),CONCATENATE(","&amp;K232&amp;","&amp;K232),CONCATENATE(","&amp;K232))))))&amp;
")","")&amp;" "&amp;F232)</f>
        <v/>
      </c>
    </row>
    <row r="233">
      <c r="A233" s="1" t="n">
        <v>332</v>
      </c>
      <c r="B233" s="1">
        <f>A233</f>
        <v/>
      </c>
      <c r="C233" s="1" t="inlineStr">
        <is>
          <t>vG7m08</t>
        </is>
      </c>
      <c r="D233" s="1" t="inlineStr">
        <is>
          <t>數值</t>
        </is>
      </c>
      <c r="E233" s="9" t="n">
        <v>2</v>
      </c>
      <c r="G233" s="1" t="inlineStr">
        <is>
          <t>range</t>
        </is>
      </c>
      <c r="H233" s="1" t="inlineStr">
        <is>
          <t>0,1</t>
        </is>
      </c>
      <c r="L233" s="2">
        <f>_xlfn.CONCAT(IF(D233="數值",CONCATENATE(G233&amp;"("&amp;C233&amp;","&amp;
IF(ISERROR(SEARCH(",",H233,1)),(H233&amp;","&amp;H233),H233)&amp;
IF(ISBLANK(I233),"",IF(ISERROR(SEARCH(",",I233,1)),CONCATENATE(","&amp;I233&amp;","&amp;I233),CONCATENATE(","&amp;I233))&amp;
IF(ISBLANK(J233),"",IF(ISERROR(SEARCH(",",J233,1)),CONCATENATE(","&amp;J233&amp;","&amp;J233),CONCATENATE(","&amp;J233))&amp;
IF(ISBLANK(K233),"",IF(ISERROR(SEARCH(",",K233,1)),CONCATENATE(","&amp;K233&amp;","&amp;K233),CONCATENATE(","&amp;K233))))))&amp;
")","")&amp;" "&amp;F233)</f>
        <v/>
      </c>
    </row>
    <row r="234">
      <c r="A234" s="1" t="n">
        <v>333</v>
      </c>
      <c r="B234" s="1">
        <f>A234</f>
        <v/>
      </c>
      <c r="C234" s="1" t="inlineStr">
        <is>
          <t>vG7m09</t>
        </is>
      </c>
      <c r="D234" s="1" t="inlineStr">
        <is>
          <t>數值</t>
        </is>
      </c>
      <c r="E234" s="9" t="n">
        <v>2</v>
      </c>
      <c r="G234" s="1" t="inlineStr">
        <is>
          <t>range</t>
        </is>
      </c>
      <c r="H234" s="1" t="inlineStr">
        <is>
          <t>0,1</t>
        </is>
      </c>
      <c r="L234" s="2">
        <f>_xlfn.CONCAT(IF(D234="數值",CONCATENATE(G234&amp;"("&amp;C234&amp;","&amp;
IF(ISERROR(SEARCH(",",H234,1)),(H234&amp;","&amp;H234),H234)&amp;
IF(ISBLANK(I234),"",IF(ISERROR(SEARCH(",",I234,1)),CONCATENATE(","&amp;I234&amp;","&amp;I234),CONCATENATE(","&amp;I234))&amp;
IF(ISBLANK(J234),"",IF(ISERROR(SEARCH(",",J234,1)),CONCATENATE(","&amp;J234&amp;","&amp;J234),CONCATENATE(","&amp;J234))&amp;
IF(ISBLANK(K234),"",IF(ISERROR(SEARCH(",",K234,1)),CONCATENATE(","&amp;K234&amp;","&amp;K234),CONCATENATE(","&amp;K234))))))&amp;
")","")&amp;" "&amp;F234)</f>
        <v/>
      </c>
    </row>
    <row r="235">
      <c r="A235" s="1" t="n">
        <v>334</v>
      </c>
      <c r="B235" s="1">
        <f>A235</f>
        <v/>
      </c>
      <c r="C235" s="1" t="inlineStr">
        <is>
          <t>vG7m10</t>
        </is>
      </c>
      <c r="D235" s="1" t="inlineStr">
        <is>
          <t>數值</t>
        </is>
      </c>
      <c r="E235" s="9" t="n">
        <v>2</v>
      </c>
      <c r="G235" s="1" t="inlineStr">
        <is>
          <t>range</t>
        </is>
      </c>
      <c r="H235" s="1" t="inlineStr">
        <is>
          <t>0,1</t>
        </is>
      </c>
      <c r="I235" s="1" t="inlineStr">
        <is>
          <t>96</t>
        </is>
      </c>
      <c r="L235" s="2">
        <f>_xlfn.CONCAT(IF(D235="數值",CONCATENATE(G235&amp;"("&amp;C235&amp;","&amp;
IF(ISERROR(SEARCH(",",H235,1)),(H235&amp;","&amp;H235),H235)&amp;
IF(ISBLANK(I235),"",IF(ISERROR(SEARCH(",",I235,1)),CONCATENATE(","&amp;I235&amp;","&amp;I235),CONCATENATE(","&amp;I235))&amp;
IF(ISBLANK(J235),"",IF(ISERROR(SEARCH(",",J235,1)),CONCATENATE(","&amp;J235&amp;","&amp;J235),CONCATENATE(","&amp;J235))&amp;
IF(ISBLANK(K235),"",IF(ISERROR(SEARCH(",",K235,1)),CONCATENATE(","&amp;K235&amp;","&amp;K235),CONCATENATE(","&amp;K235))))))&amp;
")","")&amp;" "&amp;F235)</f>
        <v/>
      </c>
    </row>
    <row r="236">
      <c r="A236" s="1" t="n">
        <v>335</v>
      </c>
      <c r="B236" s="1">
        <f>A236</f>
        <v/>
      </c>
      <c r="C236" s="1" t="inlineStr">
        <is>
          <t>vG7m11</t>
        </is>
      </c>
      <c r="D236" s="1" t="inlineStr">
        <is>
          <t>數值</t>
        </is>
      </c>
      <c r="E236" s="9" t="n">
        <v>2</v>
      </c>
      <c r="G236" s="1" t="inlineStr">
        <is>
          <t>range</t>
        </is>
      </c>
      <c r="H236" s="1" t="inlineStr">
        <is>
          <t>0,1</t>
        </is>
      </c>
      <c r="I236" s="1" t="inlineStr">
        <is>
          <t>96</t>
        </is>
      </c>
      <c r="L236" s="2">
        <f>_xlfn.CONCAT(IF(D236="數值",CONCATENATE(G236&amp;"("&amp;C236&amp;","&amp;
IF(ISERROR(SEARCH(",",H236,1)),(H236&amp;","&amp;H236),H236)&amp;
IF(ISBLANK(I236),"",IF(ISERROR(SEARCH(",",I236,1)),CONCATENATE(","&amp;I236&amp;","&amp;I236),CONCATENATE(","&amp;I236))&amp;
IF(ISBLANK(J236),"",IF(ISERROR(SEARCH(",",J236,1)),CONCATENATE(","&amp;J236&amp;","&amp;J236),CONCATENATE(","&amp;J236))&amp;
IF(ISBLANK(K236),"",IF(ISERROR(SEARCH(",",K236,1)),CONCATENATE(","&amp;K236&amp;","&amp;K236),CONCATENATE(","&amp;K236))))))&amp;
")","")&amp;" "&amp;F236)</f>
        <v/>
      </c>
    </row>
    <row r="237">
      <c r="A237" s="1" t="n">
        <v>336</v>
      </c>
      <c r="B237" s="1">
        <f>A237</f>
        <v/>
      </c>
      <c r="C237" s="1" t="inlineStr">
        <is>
          <t>vG7m12</t>
        </is>
      </c>
      <c r="D237" s="1" t="inlineStr">
        <is>
          <t>數值</t>
        </is>
      </c>
      <c r="E237" s="9" t="n">
        <v>2</v>
      </c>
      <c r="G237" s="1" t="inlineStr">
        <is>
          <t>range</t>
        </is>
      </c>
      <c r="H237" s="1" t="inlineStr">
        <is>
          <t>0,1</t>
        </is>
      </c>
      <c r="I237" s="1" t="inlineStr">
        <is>
          <t>96</t>
        </is>
      </c>
      <c r="L237" s="2">
        <f>_xlfn.CONCAT(IF(D237="數值",CONCATENATE(G237&amp;"("&amp;C237&amp;","&amp;
IF(ISERROR(SEARCH(",",H237,1)),(H237&amp;","&amp;H237),H237)&amp;
IF(ISBLANK(I237),"",IF(ISERROR(SEARCH(",",I237,1)),CONCATENATE(","&amp;I237&amp;","&amp;I237),CONCATENATE(","&amp;I237))&amp;
IF(ISBLANK(J237),"",IF(ISERROR(SEARCH(",",J237,1)),CONCATENATE(","&amp;J237&amp;","&amp;J237),CONCATENATE(","&amp;J237))&amp;
IF(ISBLANK(K237),"",IF(ISERROR(SEARCH(",",K237,1)),CONCATENATE(","&amp;K237&amp;","&amp;K237),CONCATENATE(","&amp;K237))))))&amp;
")","")&amp;" "&amp;F237)</f>
        <v/>
      </c>
    </row>
    <row r="238">
      <c r="A238" s="1" t="n">
        <v>337</v>
      </c>
      <c r="B238" s="1">
        <f>A238</f>
        <v/>
      </c>
      <c r="C238" s="1" t="inlineStr">
        <is>
          <t>vG7m88</t>
        </is>
      </c>
      <c r="D238" s="1" t="inlineStr">
        <is>
          <t>數值</t>
        </is>
      </c>
      <c r="E238" s="9" t="n">
        <v>2</v>
      </c>
      <c r="G238" s="1" t="inlineStr">
        <is>
          <t>range</t>
        </is>
      </c>
      <c r="H238" s="1" t="inlineStr">
        <is>
          <t>0,1</t>
        </is>
      </c>
      <c r="I238" s="1" t="inlineStr">
        <is>
          <t>96</t>
        </is>
      </c>
      <c r="L238" s="2">
        <f>_xlfn.CONCAT(IF(D238="數值",CONCATENATE(G238&amp;"("&amp;C238&amp;","&amp;
IF(ISERROR(SEARCH(",",H238,1)),(H238&amp;","&amp;H238),H238)&amp;
IF(ISBLANK(I238),"",IF(ISERROR(SEARCH(",",I238,1)),CONCATENATE(","&amp;I238&amp;","&amp;I238),CONCATENATE(","&amp;I238))&amp;
IF(ISBLANK(J238),"",IF(ISERROR(SEARCH(",",J238,1)),CONCATENATE(","&amp;J238&amp;","&amp;J238),CONCATENATE(","&amp;J238))&amp;
IF(ISBLANK(K238),"",IF(ISERROR(SEARCH(",",K238,1)),CONCATENATE(","&amp;K238&amp;","&amp;K238),CONCATENATE(","&amp;K238))))))&amp;
")","")&amp;" "&amp;F238)</f>
        <v/>
      </c>
    </row>
    <row r="239">
      <c r="A239" s="1" t="n">
        <v>338</v>
      </c>
      <c r="B239" s="1">
        <f>A239</f>
        <v/>
      </c>
      <c r="C239" s="1" t="inlineStr">
        <is>
          <t>vG7m90</t>
        </is>
      </c>
      <c r="D239" s="1" t="inlineStr">
        <is>
          <t>數值</t>
        </is>
      </c>
      <c r="E239" s="9" t="n">
        <v>2</v>
      </c>
      <c r="G239" s="1" t="inlineStr">
        <is>
          <t>range</t>
        </is>
      </c>
      <c r="H239" s="1" t="inlineStr">
        <is>
          <t>0,1</t>
        </is>
      </c>
      <c r="I239" s="1" t="inlineStr">
        <is>
          <t>96</t>
        </is>
      </c>
      <c r="L239" s="2">
        <f>_xlfn.CONCAT(IF(D239="數值",CONCATENATE(G239&amp;"("&amp;C239&amp;","&amp;
IF(ISERROR(SEARCH(",",H239,1)),(H239&amp;","&amp;H239),H239)&amp;
IF(ISBLANK(I239),"",IF(ISERROR(SEARCH(",",I239,1)),CONCATENATE(","&amp;I239&amp;","&amp;I239),CONCATENATE(","&amp;I239))&amp;
IF(ISBLANK(J239),"",IF(ISERROR(SEARCH(",",J239,1)),CONCATENATE(","&amp;J239&amp;","&amp;J239),CONCATENATE(","&amp;J239))&amp;
IF(ISBLANK(K239),"",IF(ISERROR(SEARCH(",",K239,1)),CONCATENATE(","&amp;K239&amp;","&amp;K239),CONCATENATE(","&amp;K239))))))&amp;
")","")&amp;" "&amp;F239)</f>
        <v/>
      </c>
    </row>
    <row r="240">
      <c r="A240" s="1" t="n">
        <v>339</v>
      </c>
      <c r="B240" s="1">
        <f>A240</f>
        <v/>
      </c>
      <c r="C240" s="1" t="inlineStr">
        <is>
          <t>vG8m01</t>
        </is>
      </c>
      <c r="D240" s="1" t="inlineStr">
        <is>
          <t>數值</t>
        </is>
      </c>
      <c r="E240" s="9" t="n">
        <v>2</v>
      </c>
      <c r="G240" s="1" t="inlineStr">
        <is>
          <t>range</t>
        </is>
      </c>
      <c r="H240" s="1" t="inlineStr">
        <is>
          <t>0,1</t>
        </is>
      </c>
      <c r="L240" s="2">
        <f>_xlfn.CONCAT(IF(D240="數值",CONCATENATE(G240&amp;"("&amp;C240&amp;","&amp;
IF(ISERROR(SEARCH(",",H240,1)),(H240&amp;","&amp;H240),H240)&amp;
IF(ISBLANK(I240),"",IF(ISERROR(SEARCH(",",I240,1)),CONCATENATE(","&amp;I240&amp;","&amp;I240),CONCATENATE(","&amp;I240))&amp;
IF(ISBLANK(J240),"",IF(ISERROR(SEARCH(",",J240,1)),CONCATENATE(","&amp;J240&amp;","&amp;J240),CONCATENATE(","&amp;J240))&amp;
IF(ISBLANK(K240),"",IF(ISERROR(SEARCH(",",K240,1)),CONCATENATE(","&amp;K240&amp;","&amp;K240),CONCATENATE(","&amp;K240))))))&amp;
")","")&amp;" "&amp;F240)</f>
        <v/>
      </c>
    </row>
    <row r="241">
      <c r="A241" s="1" t="n">
        <v>340</v>
      </c>
      <c r="B241" s="1">
        <f>A241</f>
        <v/>
      </c>
      <c r="C241" s="1" t="inlineStr">
        <is>
          <t>vG8m02</t>
        </is>
      </c>
      <c r="D241" s="1" t="inlineStr">
        <is>
          <t>數值</t>
        </is>
      </c>
      <c r="E241" s="9" t="n">
        <v>2</v>
      </c>
      <c r="G241" s="1" t="inlineStr">
        <is>
          <t>range</t>
        </is>
      </c>
      <c r="H241" s="1" t="inlineStr">
        <is>
          <t>0,1</t>
        </is>
      </c>
      <c r="L241" s="2">
        <f>_xlfn.CONCAT(IF(D241="數值",CONCATENATE(G241&amp;"("&amp;C241&amp;","&amp;
IF(ISERROR(SEARCH(",",H241,1)),(H241&amp;","&amp;H241),H241)&amp;
IF(ISBLANK(I241),"",IF(ISERROR(SEARCH(",",I241,1)),CONCATENATE(","&amp;I241&amp;","&amp;I241),CONCATENATE(","&amp;I241))&amp;
IF(ISBLANK(J241),"",IF(ISERROR(SEARCH(",",J241,1)),CONCATENATE(","&amp;J241&amp;","&amp;J241),CONCATENATE(","&amp;J241))&amp;
IF(ISBLANK(K241),"",IF(ISERROR(SEARCH(",",K241,1)),CONCATENATE(","&amp;K241&amp;","&amp;K241),CONCATENATE(","&amp;K241))))))&amp;
")","")&amp;" "&amp;F241)</f>
        <v/>
      </c>
    </row>
    <row r="242">
      <c r="A242" s="1" t="n">
        <v>341</v>
      </c>
      <c r="B242" s="1">
        <f>A242</f>
        <v/>
      </c>
      <c r="C242" s="1" t="inlineStr">
        <is>
          <t>vG8m03</t>
        </is>
      </c>
      <c r="D242" s="1" t="inlineStr">
        <is>
          <t>數值</t>
        </is>
      </c>
      <c r="E242" s="9" t="n">
        <v>2</v>
      </c>
      <c r="G242" s="1" t="inlineStr">
        <is>
          <t>range</t>
        </is>
      </c>
      <c r="H242" s="1" t="inlineStr">
        <is>
          <t>0,1</t>
        </is>
      </c>
      <c r="L242" s="2">
        <f>_xlfn.CONCAT(IF(D242="數值",CONCATENATE(G242&amp;"("&amp;C242&amp;","&amp;
IF(ISERROR(SEARCH(",",H242,1)),(H242&amp;","&amp;H242),H242)&amp;
IF(ISBLANK(I242),"",IF(ISERROR(SEARCH(",",I242,1)),CONCATENATE(","&amp;I242&amp;","&amp;I242),CONCATENATE(","&amp;I242))&amp;
IF(ISBLANK(J242),"",IF(ISERROR(SEARCH(",",J242,1)),CONCATENATE(","&amp;J242&amp;","&amp;J242),CONCATENATE(","&amp;J242))&amp;
IF(ISBLANK(K242),"",IF(ISERROR(SEARCH(",",K242,1)),CONCATENATE(","&amp;K242&amp;","&amp;K242),CONCATENATE(","&amp;K242))))))&amp;
")","")&amp;" "&amp;F242)</f>
        <v/>
      </c>
    </row>
    <row r="243">
      <c r="A243" s="1" t="n">
        <v>342</v>
      </c>
      <c r="B243" s="1">
        <f>A243</f>
        <v/>
      </c>
      <c r="C243" s="1" t="inlineStr">
        <is>
          <t>vG8m04</t>
        </is>
      </c>
      <c r="D243" s="1" t="inlineStr">
        <is>
          <t>數值</t>
        </is>
      </c>
      <c r="E243" s="9" t="n">
        <v>2</v>
      </c>
      <c r="G243" s="1" t="inlineStr">
        <is>
          <t>range</t>
        </is>
      </c>
      <c r="H243" s="1" t="inlineStr">
        <is>
          <t>0,1</t>
        </is>
      </c>
      <c r="L243" s="2">
        <f>_xlfn.CONCAT(IF(D243="數值",CONCATENATE(G243&amp;"("&amp;C243&amp;","&amp;
IF(ISERROR(SEARCH(",",H243,1)),(H243&amp;","&amp;H243),H243)&amp;
IF(ISBLANK(I243),"",IF(ISERROR(SEARCH(",",I243,1)),CONCATENATE(","&amp;I243&amp;","&amp;I243),CONCATENATE(","&amp;I243))&amp;
IF(ISBLANK(J243),"",IF(ISERROR(SEARCH(",",J243,1)),CONCATENATE(","&amp;J243&amp;","&amp;J243),CONCATENATE(","&amp;J243))&amp;
IF(ISBLANK(K243),"",IF(ISERROR(SEARCH(",",K243,1)),CONCATENATE(","&amp;K243&amp;","&amp;K243),CONCATENATE(","&amp;K243))))))&amp;
")","")&amp;" "&amp;F243)</f>
        <v/>
      </c>
    </row>
    <row r="244">
      <c r="A244" s="1" t="n">
        <v>343</v>
      </c>
      <c r="B244" s="1">
        <f>A244</f>
        <v/>
      </c>
      <c r="C244" s="1" t="inlineStr">
        <is>
          <t>vG8m05</t>
        </is>
      </c>
      <c r="D244" s="1" t="inlineStr">
        <is>
          <t>數值</t>
        </is>
      </c>
      <c r="E244" s="9" t="n">
        <v>2</v>
      </c>
      <c r="G244" s="1" t="inlineStr">
        <is>
          <t>range</t>
        </is>
      </c>
      <c r="H244" s="1" t="inlineStr">
        <is>
          <t>0,1</t>
        </is>
      </c>
      <c r="L244" s="2">
        <f>_xlfn.CONCAT(IF(D244="數值",CONCATENATE(G244&amp;"("&amp;C244&amp;","&amp;
IF(ISERROR(SEARCH(",",H244,1)),(H244&amp;","&amp;H244),H244)&amp;
IF(ISBLANK(I244),"",IF(ISERROR(SEARCH(",",I244,1)),CONCATENATE(","&amp;I244&amp;","&amp;I244),CONCATENATE(","&amp;I244))&amp;
IF(ISBLANK(J244),"",IF(ISERROR(SEARCH(",",J244,1)),CONCATENATE(","&amp;J244&amp;","&amp;J244),CONCATENATE(","&amp;J244))&amp;
IF(ISBLANK(K244),"",IF(ISERROR(SEARCH(",",K244,1)),CONCATENATE(","&amp;K244&amp;","&amp;K244),CONCATENATE(","&amp;K244))))))&amp;
")","")&amp;" "&amp;F244)</f>
        <v/>
      </c>
    </row>
    <row r="245">
      <c r="A245" s="1" t="n">
        <v>344</v>
      </c>
      <c r="B245" s="1">
        <f>A245</f>
        <v/>
      </c>
      <c r="C245" s="1" t="inlineStr">
        <is>
          <t>vG8m06</t>
        </is>
      </c>
      <c r="D245" s="1" t="inlineStr">
        <is>
          <t>數值</t>
        </is>
      </c>
      <c r="E245" s="9" t="n">
        <v>2</v>
      </c>
      <c r="G245" s="1" t="inlineStr">
        <is>
          <t>range</t>
        </is>
      </c>
      <c r="H245" s="1" t="inlineStr">
        <is>
          <t>0,1</t>
        </is>
      </c>
      <c r="L245" s="2">
        <f>_xlfn.CONCAT(IF(D245="數值",CONCATENATE(G245&amp;"("&amp;C245&amp;","&amp;
IF(ISERROR(SEARCH(",",H245,1)),(H245&amp;","&amp;H245),H245)&amp;
IF(ISBLANK(I245),"",IF(ISERROR(SEARCH(",",I245,1)),CONCATENATE(","&amp;I245&amp;","&amp;I245),CONCATENATE(","&amp;I245))&amp;
IF(ISBLANK(J245),"",IF(ISERROR(SEARCH(",",J245,1)),CONCATENATE(","&amp;J245&amp;","&amp;J245),CONCATENATE(","&amp;J245))&amp;
IF(ISBLANK(K245),"",IF(ISERROR(SEARCH(",",K245,1)),CONCATENATE(","&amp;K245&amp;","&amp;K245),CONCATENATE(","&amp;K245))))))&amp;
")","")&amp;" "&amp;F245)</f>
        <v/>
      </c>
    </row>
    <row r="246">
      <c r="A246" s="1" t="n">
        <v>345</v>
      </c>
      <c r="B246" s="1">
        <f>A246</f>
        <v/>
      </c>
      <c r="C246" s="1" t="inlineStr">
        <is>
          <t>vG8m07</t>
        </is>
      </c>
      <c r="D246" s="1" t="inlineStr">
        <is>
          <t>數值</t>
        </is>
      </c>
      <c r="E246" s="9" t="n">
        <v>2</v>
      </c>
      <c r="G246" s="1" t="inlineStr">
        <is>
          <t>range</t>
        </is>
      </c>
      <c r="H246" s="1" t="inlineStr">
        <is>
          <t>0,1</t>
        </is>
      </c>
      <c r="L246" s="2">
        <f>_xlfn.CONCAT(IF(D246="數值",CONCATENATE(G246&amp;"("&amp;C246&amp;","&amp;
IF(ISERROR(SEARCH(",",H246,1)),(H246&amp;","&amp;H246),H246)&amp;
IF(ISBLANK(I246),"",IF(ISERROR(SEARCH(",",I246,1)),CONCATENATE(","&amp;I246&amp;","&amp;I246),CONCATENATE(","&amp;I246))&amp;
IF(ISBLANK(J246),"",IF(ISERROR(SEARCH(",",J246,1)),CONCATENATE(","&amp;J246&amp;","&amp;J246),CONCATENATE(","&amp;J246))&amp;
IF(ISBLANK(K246),"",IF(ISERROR(SEARCH(",",K246,1)),CONCATENATE(","&amp;K246&amp;","&amp;K246),CONCATENATE(","&amp;K246))))))&amp;
")","")&amp;" "&amp;F246)</f>
        <v/>
      </c>
    </row>
    <row r="247">
      <c r="A247" s="1" t="n">
        <v>346</v>
      </c>
      <c r="B247" s="1">
        <f>A247</f>
        <v/>
      </c>
      <c r="C247" s="1" t="inlineStr">
        <is>
          <t>vG8m08</t>
        </is>
      </c>
      <c r="D247" s="1" t="inlineStr">
        <is>
          <t>數值</t>
        </is>
      </c>
      <c r="E247" s="9" t="n">
        <v>2</v>
      </c>
      <c r="G247" s="1" t="inlineStr">
        <is>
          <t>range</t>
        </is>
      </c>
      <c r="H247" s="1" t="inlineStr">
        <is>
          <t>0,1</t>
        </is>
      </c>
      <c r="L247" s="2">
        <f>_xlfn.CONCAT(IF(D247="數值",CONCATENATE(G247&amp;"("&amp;C247&amp;","&amp;
IF(ISERROR(SEARCH(",",H247,1)),(H247&amp;","&amp;H247),H247)&amp;
IF(ISBLANK(I247),"",IF(ISERROR(SEARCH(",",I247,1)),CONCATENATE(","&amp;I247&amp;","&amp;I247),CONCATENATE(","&amp;I247))&amp;
IF(ISBLANK(J247),"",IF(ISERROR(SEARCH(",",J247,1)),CONCATENATE(","&amp;J247&amp;","&amp;J247),CONCATENATE(","&amp;J247))&amp;
IF(ISBLANK(K247),"",IF(ISERROR(SEARCH(",",K247,1)),CONCATENATE(","&amp;K247&amp;","&amp;K247),CONCATENATE(","&amp;K247))))))&amp;
")","")&amp;" "&amp;F247)</f>
        <v/>
      </c>
    </row>
    <row r="248">
      <c r="A248" s="1" t="n">
        <v>347</v>
      </c>
      <c r="B248" s="1">
        <f>A248</f>
        <v/>
      </c>
      <c r="C248" s="1" t="inlineStr">
        <is>
          <t>vG8m09</t>
        </is>
      </c>
      <c r="D248" s="1" t="inlineStr">
        <is>
          <t>數值</t>
        </is>
      </c>
      <c r="E248" s="9" t="n">
        <v>2</v>
      </c>
      <c r="G248" s="1" t="inlineStr">
        <is>
          <t>range</t>
        </is>
      </c>
      <c r="H248" s="1" t="inlineStr">
        <is>
          <t>0,1</t>
        </is>
      </c>
      <c r="L248" s="2">
        <f>_xlfn.CONCAT(IF(D248="數值",CONCATENATE(G248&amp;"("&amp;C248&amp;","&amp;
IF(ISERROR(SEARCH(",",H248,1)),(H248&amp;","&amp;H248),H248)&amp;
IF(ISBLANK(I248),"",IF(ISERROR(SEARCH(",",I248,1)),CONCATENATE(","&amp;I248&amp;","&amp;I248),CONCATENATE(","&amp;I248))&amp;
IF(ISBLANK(J248),"",IF(ISERROR(SEARCH(",",J248,1)),CONCATENATE(","&amp;J248&amp;","&amp;J248),CONCATENATE(","&amp;J248))&amp;
IF(ISBLANK(K248),"",IF(ISERROR(SEARCH(",",K248,1)),CONCATENATE(","&amp;K248&amp;","&amp;K248),CONCATENATE(","&amp;K248))))))&amp;
")","")&amp;" "&amp;F248)</f>
        <v/>
      </c>
    </row>
    <row r="249">
      <c r="A249" s="1" t="n">
        <v>348</v>
      </c>
      <c r="B249" s="1">
        <f>A249</f>
        <v/>
      </c>
      <c r="C249" s="1" t="inlineStr">
        <is>
          <t>vG8m10</t>
        </is>
      </c>
      <c r="D249" s="1" t="inlineStr">
        <is>
          <t>數值</t>
        </is>
      </c>
      <c r="E249" s="9" t="n">
        <v>2</v>
      </c>
      <c r="G249" s="1" t="inlineStr">
        <is>
          <t>range</t>
        </is>
      </c>
      <c r="H249" s="1" t="inlineStr">
        <is>
          <t>0,1</t>
        </is>
      </c>
      <c r="I249" s="1" t="inlineStr">
        <is>
          <t>96</t>
        </is>
      </c>
      <c r="L249" s="2">
        <f>_xlfn.CONCAT(IF(D249="數值",CONCATENATE(G249&amp;"("&amp;C249&amp;","&amp;
IF(ISERROR(SEARCH(",",H249,1)),(H249&amp;","&amp;H249),H249)&amp;
IF(ISBLANK(I249),"",IF(ISERROR(SEARCH(",",I249,1)),CONCATENATE(","&amp;I249&amp;","&amp;I249),CONCATENATE(","&amp;I249))&amp;
IF(ISBLANK(J249),"",IF(ISERROR(SEARCH(",",J249,1)),CONCATENATE(","&amp;J249&amp;","&amp;J249),CONCATENATE(","&amp;J249))&amp;
IF(ISBLANK(K249),"",IF(ISERROR(SEARCH(",",K249,1)),CONCATENATE(","&amp;K249&amp;","&amp;K249),CONCATENATE(","&amp;K249))))))&amp;
")","")&amp;" "&amp;F249)</f>
        <v/>
      </c>
    </row>
    <row r="250">
      <c r="A250" s="1" t="n">
        <v>349</v>
      </c>
      <c r="B250" s="1">
        <f>A250</f>
        <v/>
      </c>
      <c r="C250" s="1" t="inlineStr">
        <is>
          <t>vG8m11</t>
        </is>
      </c>
      <c r="D250" s="1" t="inlineStr">
        <is>
          <t>數值</t>
        </is>
      </c>
      <c r="E250" s="9" t="n">
        <v>2</v>
      </c>
      <c r="G250" s="1" t="inlineStr">
        <is>
          <t>range</t>
        </is>
      </c>
      <c r="H250" s="1" t="inlineStr">
        <is>
          <t>0,1</t>
        </is>
      </c>
      <c r="I250" s="1" t="inlineStr">
        <is>
          <t>96</t>
        </is>
      </c>
      <c r="L250" s="2">
        <f>_xlfn.CONCAT(IF(D250="數值",CONCATENATE(G250&amp;"("&amp;C250&amp;","&amp;
IF(ISERROR(SEARCH(",",H250,1)),(H250&amp;","&amp;H250),H250)&amp;
IF(ISBLANK(I250),"",IF(ISERROR(SEARCH(",",I250,1)),CONCATENATE(","&amp;I250&amp;","&amp;I250),CONCATENATE(","&amp;I250))&amp;
IF(ISBLANK(J250),"",IF(ISERROR(SEARCH(",",J250,1)),CONCATENATE(","&amp;J250&amp;","&amp;J250),CONCATENATE(","&amp;J250))&amp;
IF(ISBLANK(K250),"",IF(ISERROR(SEARCH(",",K250,1)),CONCATENATE(","&amp;K250&amp;","&amp;K250),CONCATENATE(","&amp;K250))))))&amp;
")","")&amp;" "&amp;F250)</f>
        <v/>
      </c>
    </row>
    <row r="251">
      <c r="A251" s="1" t="n">
        <v>350</v>
      </c>
      <c r="B251" s="1">
        <f>A251</f>
        <v/>
      </c>
      <c r="C251" s="1" t="inlineStr">
        <is>
          <t>vG8m12</t>
        </is>
      </c>
      <c r="D251" s="1" t="inlineStr">
        <is>
          <t>數值</t>
        </is>
      </c>
      <c r="E251" s="9" t="n">
        <v>2</v>
      </c>
      <c r="G251" s="1" t="inlineStr">
        <is>
          <t>range</t>
        </is>
      </c>
      <c r="H251" s="1" t="inlineStr">
        <is>
          <t>0,1</t>
        </is>
      </c>
      <c r="I251" s="1" t="inlineStr">
        <is>
          <t>96</t>
        </is>
      </c>
      <c r="L251" s="2">
        <f>_xlfn.CONCAT(IF(D251="數值",CONCATENATE(G251&amp;"("&amp;C251&amp;","&amp;
IF(ISERROR(SEARCH(",",H251,1)),(H251&amp;","&amp;H251),H251)&amp;
IF(ISBLANK(I251),"",IF(ISERROR(SEARCH(",",I251,1)),CONCATENATE(","&amp;I251&amp;","&amp;I251),CONCATENATE(","&amp;I251))&amp;
IF(ISBLANK(J251),"",IF(ISERROR(SEARCH(",",J251,1)),CONCATENATE(","&amp;J251&amp;","&amp;J251),CONCATENATE(","&amp;J251))&amp;
IF(ISBLANK(K251),"",IF(ISERROR(SEARCH(",",K251,1)),CONCATENATE(","&amp;K251&amp;","&amp;K251),CONCATENATE(","&amp;K251))))))&amp;
")","")&amp;" "&amp;F251)</f>
        <v/>
      </c>
    </row>
    <row r="252">
      <c r="A252" s="1" t="n">
        <v>351</v>
      </c>
      <c r="B252" s="1">
        <f>A252</f>
        <v/>
      </c>
      <c r="C252" s="1" t="inlineStr">
        <is>
          <t>vG8m13</t>
        </is>
      </c>
      <c r="D252" s="1" t="inlineStr">
        <is>
          <t>數值</t>
        </is>
      </c>
      <c r="E252" s="9" t="n">
        <v>2</v>
      </c>
      <c r="G252" s="1" t="inlineStr">
        <is>
          <t>range</t>
        </is>
      </c>
      <c r="H252" s="1" t="inlineStr">
        <is>
          <t>0,1</t>
        </is>
      </c>
      <c r="I252" s="1" t="inlineStr">
        <is>
          <t>96</t>
        </is>
      </c>
      <c r="L252" s="2">
        <f>_xlfn.CONCAT(IF(D252="數值",CONCATENATE(G252&amp;"("&amp;C252&amp;","&amp;
IF(ISERROR(SEARCH(",",H252,1)),(H252&amp;","&amp;H252),H252)&amp;
IF(ISBLANK(I252),"",IF(ISERROR(SEARCH(",",I252,1)),CONCATENATE(","&amp;I252&amp;","&amp;I252),CONCATENATE(","&amp;I252))&amp;
IF(ISBLANK(J252),"",IF(ISERROR(SEARCH(",",J252,1)),CONCATENATE(","&amp;J252&amp;","&amp;J252),CONCATENATE(","&amp;J252))&amp;
IF(ISBLANK(K252),"",IF(ISERROR(SEARCH(",",K252,1)),CONCATENATE(","&amp;K252&amp;","&amp;K252),CONCATENATE(","&amp;K252))))))&amp;
")","")&amp;" "&amp;F252)</f>
        <v/>
      </c>
    </row>
    <row r="253">
      <c r="A253" s="1" t="n">
        <v>352</v>
      </c>
      <c r="B253" s="1">
        <f>A253</f>
        <v/>
      </c>
      <c r="C253" s="1" t="inlineStr">
        <is>
          <t>vG8m14</t>
        </is>
      </c>
      <c r="D253" s="1" t="inlineStr">
        <is>
          <t>數值</t>
        </is>
      </c>
      <c r="E253" s="9" t="n">
        <v>2</v>
      </c>
      <c r="G253" s="1" t="inlineStr">
        <is>
          <t>range</t>
        </is>
      </c>
      <c r="H253" s="1" t="inlineStr">
        <is>
          <t>0,1</t>
        </is>
      </c>
      <c r="I253" s="1" t="inlineStr">
        <is>
          <t>96</t>
        </is>
      </c>
      <c r="L253" s="2">
        <f>_xlfn.CONCAT(IF(D253="數值",CONCATENATE(G253&amp;"("&amp;C253&amp;","&amp;
IF(ISERROR(SEARCH(",",H253,1)),(H253&amp;","&amp;H253),H253)&amp;
IF(ISBLANK(I253),"",IF(ISERROR(SEARCH(",",I253,1)),CONCATENATE(","&amp;I253&amp;","&amp;I253),CONCATENATE(","&amp;I253))&amp;
IF(ISBLANK(J253),"",IF(ISERROR(SEARCH(",",J253,1)),CONCATENATE(","&amp;J253&amp;","&amp;J253),CONCATENATE(","&amp;J253))&amp;
IF(ISBLANK(K253),"",IF(ISERROR(SEARCH(",",K253,1)),CONCATENATE(","&amp;K253&amp;","&amp;K253),CONCATENATE(","&amp;K253))))))&amp;
")","")&amp;" "&amp;F253)</f>
        <v/>
      </c>
    </row>
    <row r="254">
      <c r="A254" s="1" t="n">
        <v>353</v>
      </c>
      <c r="B254" s="1">
        <f>A254</f>
        <v/>
      </c>
      <c r="C254" s="1" t="inlineStr">
        <is>
          <t>vG8m15</t>
        </is>
      </c>
      <c r="D254" s="1" t="inlineStr">
        <is>
          <t>數值</t>
        </is>
      </c>
      <c r="E254" s="9" t="n">
        <v>2</v>
      </c>
      <c r="G254" s="1" t="inlineStr">
        <is>
          <t>range</t>
        </is>
      </c>
      <c r="H254" s="1" t="inlineStr">
        <is>
          <t>0,1</t>
        </is>
      </c>
      <c r="I254" s="1" t="inlineStr">
        <is>
          <t>96</t>
        </is>
      </c>
      <c r="L254" s="2">
        <f>_xlfn.CONCAT(IF(D254="數值",CONCATENATE(G254&amp;"("&amp;C254&amp;","&amp;
IF(ISERROR(SEARCH(",",H254,1)),(H254&amp;","&amp;H254),H254)&amp;
IF(ISBLANK(I254),"",IF(ISERROR(SEARCH(",",I254,1)),CONCATENATE(","&amp;I254&amp;","&amp;I254),CONCATENATE(","&amp;I254))&amp;
IF(ISBLANK(J254),"",IF(ISERROR(SEARCH(",",J254,1)),CONCATENATE(","&amp;J254&amp;","&amp;J254),CONCATENATE(","&amp;J254))&amp;
IF(ISBLANK(K254),"",IF(ISERROR(SEARCH(",",K254,1)),CONCATENATE(","&amp;K254&amp;","&amp;K254),CONCATENATE(","&amp;K254))))))&amp;
")","")&amp;" "&amp;F254)</f>
        <v/>
      </c>
    </row>
    <row r="255">
      <c r="A255" s="1" t="n">
        <v>354</v>
      </c>
      <c r="B255" s="1">
        <f>A255</f>
        <v/>
      </c>
      <c r="C255" s="1" t="inlineStr">
        <is>
          <t>vG8m16</t>
        </is>
      </c>
      <c r="D255" s="1" t="inlineStr">
        <is>
          <t>數值</t>
        </is>
      </c>
      <c r="E255" s="9" t="n">
        <v>2</v>
      </c>
      <c r="G255" s="1" t="inlineStr">
        <is>
          <t>range</t>
        </is>
      </c>
      <c r="H255" s="1" t="inlineStr">
        <is>
          <t>0,1</t>
        </is>
      </c>
      <c r="I255" s="1" t="inlineStr">
        <is>
          <t>96</t>
        </is>
      </c>
      <c r="L255" s="2">
        <f>_xlfn.CONCAT(IF(D255="數值",CONCATENATE(G255&amp;"("&amp;C255&amp;","&amp;
IF(ISERROR(SEARCH(",",H255,1)),(H255&amp;","&amp;H255),H255)&amp;
IF(ISBLANK(I255),"",IF(ISERROR(SEARCH(",",I255,1)),CONCATENATE(","&amp;I255&amp;","&amp;I255),CONCATENATE(","&amp;I255))&amp;
IF(ISBLANK(J255),"",IF(ISERROR(SEARCH(",",J255,1)),CONCATENATE(","&amp;J255&amp;","&amp;J255),CONCATENATE(","&amp;J255))&amp;
IF(ISBLANK(K255),"",IF(ISERROR(SEARCH(",",K255,1)),CONCATENATE(","&amp;K255&amp;","&amp;K255),CONCATENATE(","&amp;K255))))))&amp;
")","")&amp;" "&amp;F255)</f>
        <v/>
      </c>
    </row>
    <row r="256">
      <c r="A256" s="1" t="n">
        <v>355</v>
      </c>
      <c r="B256" s="1">
        <f>A256</f>
        <v/>
      </c>
      <c r="C256" s="1" t="inlineStr">
        <is>
          <t>vG8m88</t>
        </is>
      </c>
      <c r="D256" s="1" t="inlineStr">
        <is>
          <t>數值</t>
        </is>
      </c>
      <c r="E256" s="9" t="n">
        <v>2</v>
      </c>
      <c r="G256" s="1" t="inlineStr">
        <is>
          <t>range</t>
        </is>
      </c>
      <c r="H256" s="1" t="inlineStr">
        <is>
          <t>0,1</t>
        </is>
      </c>
      <c r="I256" s="1" t="inlineStr">
        <is>
          <t>96</t>
        </is>
      </c>
      <c r="L256" s="2">
        <f>_xlfn.CONCAT(IF(D256="數值",CONCATENATE(G256&amp;"("&amp;C256&amp;","&amp;
IF(ISERROR(SEARCH(",",H256,1)),(H256&amp;","&amp;H256),H256)&amp;
IF(ISBLANK(I256),"",IF(ISERROR(SEARCH(",",I256,1)),CONCATENATE(","&amp;I256&amp;","&amp;I256),CONCATENATE(","&amp;I256))&amp;
IF(ISBLANK(J256),"",IF(ISERROR(SEARCH(",",J256,1)),CONCATENATE(","&amp;J256&amp;","&amp;J256),CONCATENATE(","&amp;J256))&amp;
IF(ISBLANK(K256),"",IF(ISERROR(SEARCH(",",K256,1)),CONCATENATE(","&amp;K256&amp;","&amp;K256),CONCATENATE(","&amp;K256))))))&amp;
")","")&amp;" "&amp;F256)</f>
        <v/>
      </c>
    </row>
    <row r="257">
      <c r="A257" s="1" t="n">
        <v>356</v>
      </c>
      <c r="B257" s="1">
        <f>A257</f>
        <v/>
      </c>
      <c r="C257" s="1" t="inlineStr">
        <is>
          <t>vG8m90</t>
        </is>
      </c>
      <c r="D257" s="1" t="inlineStr">
        <is>
          <t>數值</t>
        </is>
      </c>
      <c r="E257" s="9" t="n">
        <v>2</v>
      </c>
      <c r="G257" s="1" t="inlineStr">
        <is>
          <t>range</t>
        </is>
      </c>
      <c r="H257" s="1" t="inlineStr">
        <is>
          <t>0,1</t>
        </is>
      </c>
      <c r="I257" s="1" t="inlineStr">
        <is>
          <t>96</t>
        </is>
      </c>
      <c r="L257" s="2">
        <f>_xlfn.CONCAT(IF(D257="數值",CONCATENATE(G257&amp;"("&amp;C257&amp;","&amp;
IF(ISERROR(SEARCH(",",H257,1)),(H257&amp;","&amp;H257),H257)&amp;
IF(ISBLANK(I257),"",IF(ISERROR(SEARCH(",",I257,1)),CONCATENATE(","&amp;I257&amp;","&amp;I257),CONCATENATE(","&amp;I257))&amp;
IF(ISBLANK(J257),"",IF(ISERROR(SEARCH(",",J257,1)),CONCATENATE(","&amp;J257&amp;","&amp;J257),CONCATENATE(","&amp;J257))&amp;
IF(ISBLANK(K257),"",IF(ISERROR(SEARCH(",",K257,1)),CONCATENATE(","&amp;K257&amp;","&amp;K257),CONCATENATE(","&amp;K257))))))&amp;
")","")&amp;" "&amp;F257)</f>
        <v/>
      </c>
    </row>
    <row r="258">
      <c r="A258" s="1" t="n">
        <v>357</v>
      </c>
      <c r="B258" s="1">
        <f>A258</f>
        <v/>
      </c>
      <c r="C258" s="1" t="inlineStr">
        <is>
          <t>vG9m01</t>
        </is>
      </c>
      <c r="D258" s="1" t="inlineStr">
        <is>
          <t>數值</t>
        </is>
      </c>
      <c r="E258" s="9" t="n">
        <v>2</v>
      </c>
      <c r="G258" s="1" t="inlineStr">
        <is>
          <t>range</t>
        </is>
      </c>
      <c r="H258" s="1" t="inlineStr">
        <is>
          <t>0,1</t>
        </is>
      </c>
      <c r="L258" s="2">
        <f>_xlfn.CONCAT(IF(D258="數值",CONCATENATE(G258&amp;"("&amp;C258&amp;","&amp;
IF(ISERROR(SEARCH(",",H258,1)),(H258&amp;","&amp;H258),H258)&amp;
IF(ISBLANK(I258),"",IF(ISERROR(SEARCH(",",I258,1)),CONCATENATE(","&amp;I258&amp;","&amp;I258),CONCATENATE(","&amp;I258))&amp;
IF(ISBLANK(J258),"",IF(ISERROR(SEARCH(",",J258,1)),CONCATENATE(","&amp;J258&amp;","&amp;J258),CONCATENATE(","&amp;J258))&amp;
IF(ISBLANK(K258),"",IF(ISERROR(SEARCH(",",K258,1)),CONCATENATE(","&amp;K258&amp;","&amp;K258),CONCATENATE(","&amp;K258))))))&amp;
")","")&amp;" "&amp;F258)</f>
        <v/>
      </c>
    </row>
    <row r="259">
      <c r="A259" s="1" t="n">
        <v>358</v>
      </c>
      <c r="B259" s="1">
        <f>A259</f>
        <v/>
      </c>
      <c r="C259" s="1" t="inlineStr">
        <is>
          <t>vG9m02</t>
        </is>
      </c>
      <c r="D259" s="1" t="inlineStr">
        <is>
          <t>數值</t>
        </is>
      </c>
      <c r="E259" s="9" t="n">
        <v>2</v>
      </c>
      <c r="G259" s="1" t="inlineStr">
        <is>
          <t>range</t>
        </is>
      </c>
      <c r="H259" s="1" t="inlineStr">
        <is>
          <t>0,1</t>
        </is>
      </c>
      <c r="L259" s="2">
        <f>_xlfn.CONCAT(IF(D259="數值",CONCATENATE(G259&amp;"("&amp;C259&amp;","&amp;
IF(ISERROR(SEARCH(",",H259,1)),(H259&amp;","&amp;H259),H259)&amp;
IF(ISBLANK(I259),"",IF(ISERROR(SEARCH(",",I259,1)),CONCATENATE(","&amp;I259&amp;","&amp;I259),CONCATENATE(","&amp;I259))&amp;
IF(ISBLANK(J259),"",IF(ISERROR(SEARCH(",",J259,1)),CONCATENATE(","&amp;J259&amp;","&amp;J259),CONCATENATE(","&amp;J259))&amp;
IF(ISBLANK(K259),"",IF(ISERROR(SEARCH(",",K259,1)),CONCATENATE(","&amp;K259&amp;","&amp;K259),CONCATENATE(","&amp;K259))))))&amp;
")","")&amp;" "&amp;F259)</f>
        <v/>
      </c>
    </row>
    <row r="260">
      <c r="A260" s="1" t="n">
        <v>359</v>
      </c>
      <c r="B260" s="1">
        <f>A260</f>
        <v/>
      </c>
      <c r="C260" s="1" t="inlineStr">
        <is>
          <t>vG9m03</t>
        </is>
      </c>
      <c r="D260" s="1" t="inlineStr">
        <is>
          <t>數值</t>
        </is>
      </c>
      <c r="E260" s="9" t="n">
        <v>2</v>
      </c>
      <c r="G260" s="1" t="inlineStr">
        <is>
          <t>range</t>
        </is>
      </c>
      <c r="H260" s="1" t="inlineStr">
        <is>
          <t>0,1</t>
        </is>
      </c>
      <c r="L260" s="2">
        <f>_xlfn.CONCAT(IF(D260="數值",CONCATENATE(G260&amp;"("&amp;C260&amp;","&amp;
IF(ISERROR(SEARCH(",",H260,1)),(H260&amp;","&amp;H260),H260)&amp;
IF(ISBLANK(I260),"",IF(ISERROR(SEARCH(",",I260,1)),CONCATENATE(","&amp;I260&amp;","&amp;I260),CONCATENATE(","&amp;I260))&amp;
IF(ISBLANK(J260),"",IF(ISERROR(SEARCH(",",J260,1)),CONCATENATE(","&amp;J260&amp;","&amp;J260),CONCATENATE(","&amp;J260))&amp;
IF(ISBLANK(K260),"",IF(ISERROR(SEARCH(",",K260,1)),CONCATENATE(","&amp;K260&amp;","&amp;K260),CONCATENATE(","&amp;K260))))))&amp;
")","")&amp;" "&amp;F260)</f>
        <v/>
      </c>
    </row>
    <row r="261">
      <c r="A261" s="1" t="n">
        <v>360</v>
      </c>
      <c r="B261" s="1">
        <f>A261</f>
        <v/>
      </c>
      <c r="C261" s="1" t="inlineStr">
        <is>
          <t>vG9m04</t>
        </is>
      </c>
      <c r="D261" s="1" t="inlineStr">
        <is>
          <t>數值</t>
        </is>
      </c>
      <c r="E261" s="9" t="n">
        <v>2</v>
      </c>
      <c r="G261" s="1" t="inlineStr">
        <is>
          <t>range</t>
        </is>
      </c>
      <c r="H261" s="1" t="inlineStr">
        <is>
          <t>0,1</t>
        </is>
      </c>
      <c r="L261" s="2">
        <f>_xlfn.CONCAT(IF(D261="數值",CONCATENATE(G261&amp;"("&amp;C261&amp;","&amp;
IF(ISERROR(SEARCH(",",H261,1)),(H261&amp;","&amp;H261),H261)&amp;
IF(ISBLANK(I261),"",IF(ISERROR(SEARCH(",",I261,1)),CONCATENATE(","&amp;I261&amp;","&amp;I261),CONCATENATE(","&amp;I261))&amp;
IF(ISBLANK(J261),"",IF(ISERROR(SEARCH(",",J261,1)),CONCATENATE(","&amp;J261&amp;","&amp;J261),CONCATENATE(","&amp;J261))&amp;
IF(ISBLANK(K261),"",IF(ISERROR(SEARCH(",",K261,1)),CONCATENATE(","&amp;K261&amp;","&amp;K261),CONCATENATE(","&amp;K261))))))&amp;
")","")&amp;" "&amp;F261)</f>
        <v/>
      </c>
    </row>
    <row r="262">
      <c r="A262" s="1" t="n">
        <v>361</v>
      </c>
      <c r="B262" s="1">
        <f>A262</f>
        <v/>
      </c>
      <c r="C262" s="1" t="inlineStr">
        <is>
          <t>vG9m05</t>
        </is>
      </c>
      <c r="D262" s="1" t="inlineStr">
        <is>
          <t>數值</t>
        </is>
      </c>
      <c r="E262" s="9" t="n">
        <v>2</v>
      </c>
      <c r="G262" s="1" t="inlineStr">
        <is>
          <t>range</t>
        </is>
      </c>
      <c r="H262" s="1" t="inlineStr">
        <is>
          <t>0,1</t>
        </is>
      </c>
      <c r="L262" s="2">
        <f>_xlfn.CONCAT(IF(D262="數值",CONCATENATE(G262&amp;"("&amp;C262&amp;","&amp;
IF(ISERROR(SEARCH(",",H262,1)),(H262&amp;","&amp;H262),H262)&amp;
IF(ISBLANK(I262),"",IF(ISERROR(SEARCH(",",I262,1)),CONCATENATE(","&amp;I262&amp;","&amp;I262),CONCATENATE(","&amp;I262))&amp;
IF(ISBLANK(J262),"",IF(ISERROR(SEARCH(",",J262,1)),CONCATENATE(","&amp;J262&amp;","&amp;J262),CONCATENATE(","&amp;J262))&amp;
IF(ISBLANK(K262),"",IF(ISERROR(SEARCH(",",K262,1)),CONCATENATE(","&amp;K262&amp;","&amp;K262),CONCATENATE(","&amp;K262))))))&amp;
")","")&amp;" "&amp;F262)</f>
        <v/>
      </c>
    </row>
    <row r="263">
      <c r="A263" s="1" t="n">
        <v>362</v>
      </c>
      <c r="B263" s="1">
        <f>A263</f>
        <v/>
      </c>
      <c r="C263" s="1" t="inlineStr">
        <is>
          <t>vG9m06</t>
        </is>
      </c>
      <c r="D263" s="1" t="inlineStr">
        <is>
          <t>數值</t>
        </is>
      </c>
      <c r="E263" s="9" t="n">
        <v>2</v>
      </c>
      <c r="G263" s="1" t="inlineStr">
        <is>
          <t>range</t>
        </is>
      </c>
      <c r="H263" s="1" t="inlineStr">
        <is>
          <t>0,1</t>
        </is>
      </c>
      <c r="L263" s="2">
        <f>_xlfn.CONCAT(IF(D263="數值",CONCATENATE(G263&amp;"("&amp;C263&amp;","&amp;
IF(ISERROR(SEARCH(",",H263,1)),(H263&amp;","&amp;H263),H263)&amp;
IF(ISBLANK(I263),"",IF(ISERROR(SEARCH(",",I263,1)),CONCATENATE(","&amp;I263&amp;","&amp;I263),CONCATENATE(","&amp;I263))&amp;
IF(ISBLANK(J263),"",IF(ISERROR(SEARCH(",",J263,1)),CONCATENATE(","&amp;J263&amp;","&amp;J263),CONCATENATE(","&amp;J263))&amp;
IF(ISBLANK(K263),"",IF(ISERROR(SEARCH(",",K263,1)),CONCATENATE(","&amp;K263&amp;","&amp;K263),CONCATENATE(","&amp;K263))))))&amp;
")","")&amp;" "&amp;F263)</f>
        <v/>
      </c>
    </row>
    <row r="264">
      <c r="A264" s="1" t="n">
        <v>363</v>
      </c>
      <c r="B264" s="1">
        <f>A264</f>
        <v/>
      </c>
      <c r="C264" s="1" t="inlineStr">
        <is>
          <t>vG9m07</t>
        </is>
      </c>
      <c r="D264" s="1" t="inlineStr">
        <is>
          <t>數值</t>
        </is>
      </c>
      <c r="E264" s="9" t="n">
        <v>2</v>
      </c>
      <c r="G264" s="1" t="inlineStr">
        <is>
          <t>range</t>
        </is>
      </c>
      <c r="H264" s="1" t="inlineStr">
        <is>
          <t>0,1</t>
        </is>
      </c>
      <c r="L264" s="2">
        <f>_xlfn.CONCAT(IF(D264="數值",CONCATENATE(G264&amp;"("&amp;C264&amp;","&amp;
IF(ISERROR(SEARCH(",",H264,1)),(H264&amp;","&amp;H264),H264)&amp;
IF(ISBLANK(I264),"",IF(ISERROR(SEARCH(",",I264,1)),CONCATENATE(","&amp;I264&amp;","&amp;I264),CONCATENATE(","&amp;I264))&amp;
IF(ISBLANK(J264),"",IF(ISERROR(SEARCH(",",J264,1)),CONCATENATE(","&amp;J264&amp;","&amp;J264),CONCATENATE(","&amp;J264))&amp;
IF(ISBLANK(K264),"",IF(ISERROR(SEARCH(",",K264,1)),CONCATENATE(","&amp;K264&amp;","&amp;K264),CONCATENATE(","&amp;K264))))))&amp;
")","")&amp;" "&amp;F264)</f>
        <v/>
      </c>
    </row>
    <row r="265">
      <c r="A265" s="1" t="n">
        <v>364</v>
      </c>
      <c r="B265" s="1">
        <f>A265</f>
        <v/>
      </c>
      <c r="C265" s="1" t="inlineStr">
        <is>
          <t>vG9m08</t>
        </is>
      </c>
      <c r="D265" s="1" t="inlineStr">
        <is>
          <t>數值</t>
        </is>
      </c>
      <c r="E265" s="9" t="n">
        <v>2</v>
      </c>
      <c r="G265" s="1" t="inlineStr">
        <is>
          <t>range</t>
        </is>
      </c>
      <c r="H265" s="1" t="inlineStr">
        <is>
          <t>0,1</t>
        </is>
      </c>
      <c r="L265" s="2">
        <f>_xlfn.CONCAT(IF(D265="數值",CONCATENATE(G265&amp;"("&amp;C265&amp;","&amp;
IF(ISERROR(SEARCH(",",H265,1)),(H265&amp;","&amp;H265),H265)&amp;
IF(ISBLANK(I265),"",IF(ISERROR(SEARCH(",",I265,1)),CONCATENATE(","&amp;I265&amp;","&amp;I265),CONCATENATE(","&amp;I265))&amp;
IF(ISBLANK(J265),"",IF(ISERROR(SEARCH(",",J265,1)),CONCATENATE(","&amp;J265&amp;","&amp;J265),CONCATENATE(","&amp;J265))&amp;
IF(ISBLANK(K265),"",IF(ISERROR(SEARCH(",",K265,1)),CONCATENATE(","&amp;K265&amp;","&amp;K265),CONCATENATE(","&amp;K265))))))&amp;
")","")&amp;" "&amp;F265)</f>
        <v/>
      </c>
    </row>
    <row r="266">
      <c r="A266" s="1" t="n">
        <v>365</v>
      </c>
      <c r="B266" s="1">
        <f>A266</f>
        <v/>
      </c>
      <c r="C266" s="1" t="inlineStr">
        <is>
          <t>vG9m09</t>
        </is>
      </c>
      <c r="D266" s="1" t="inlineStr">
        <is>
          <t>數值</t>
        </is>
      </c>
      <c r="E266" s="9" t="n">
        <v>2</v>
      </c>
      <c r="G266" s="1" t="inlineStr">
        <is>
          <t>range</t>
        </is>
      </c>
      <c r="H266" s="1" t="inlineStr">
        <is>
          <t>0,1</t>
        </is>
      </c>
      <c r="L266" s="2">
        <f>_xlfn.CONCAT(IF(D266="數值",CONCATENATE(G266&amp;"("&amp;C266&amp;","&amp;
IF(ISERROR(SEARCH(",",H266,1)),(H266&amp;","&amp;H266),H266)&amp;
IF(ISBLANK(I266),"",IF(ISERROR(SEARCH(",",I266,1)),CONCATENATE(","&amp;I266&amp;","&amp;I266),CONCATENATE(","&amp;I266))&amp;
IF(ISBLANK(J266),"",IF(ISERROR(SEARCH(",",J266,1)),CONCATENATE(","&amp;J266&amp;","&amp;J266),CONCATENATE(","&amp;J266))&amp;
IF(ISBLANK(K266),"",IF(ISERROR(SEARCH(",",K266,1)),CONCATENATE(","&amp;K266&amp;","&amp;K266),CONCATENATE(","&amp;K266))))))&amp;
")","")&amp;" "&amp;F266)</f>
        <v/>
      </c>
    </row>
    <row r="267">
      <c r="A267" s="1" t="n">
        <v>366</v>
      </c>
      <c r="B267" s="1">
        <f>A267</f>
        <v/>
      </c>
      <c r="C267" s="1" t="inlineStr">
        <is>
          <t>vG9m10</t>
        </is>
      </c>
      <c r="D267" s="1" t="inlineStr">
        <is>
          <t>數值</t>
        </is>
      </c>
      <c r="E267" s="9" t="n">
        <v>2</v>
      </c>
      <c r="G267" s="1" t="inlineStr">
        <is>
          <t>range</t>
        </is>
      </c>
      <c r="H267" s="1" t="inlineStr">
        <is>
          <t>0,1</t>
        </is>
      </c>
      <c r="I267" s="1" t="inlineStr">
        <is>
          <t>96</t>
        </is>
      </c>
      <c r="L267" s="2">
        <f>_xlfn.CONCAT(IF(D267="數值",CONCATENATE(G267&amp;"("&amp;C267&amp;","&amp;
IF(ISERROR(SEARCH(",",H267,1)),(H267&amp;","&amp;H267),H267)&amp;
IF(ISBLANK(I267),"",IF(ISERROR(SEARCH(",",I267,1)),CONCATENATE(","&amp;I267&amp;","&amp;I267),CONCATENATE(","&amp;I267))&amp;
IF(ISBLANK(J267),"",IF(ISERROR(SEARCH(",",J267,1)),CONCATENATE(","&amp;J267&amp;","&amp;J267),CONCATENATE(","&amp;J267))&amp;
IF(ISBLANK(K267),"",IF(ISERROR(SEARCH(",",K267,1)),CONCATENATE(","&amp;K267&amp;","&amp;K267),CONCATENATE(","&amp;K267))))))&amp;
")","")&amp;" "&amp;F267)</f>
        <v/>
      </c>
    </row>
    <row r="268">
      <c r="A268" s="1" t="n">
        <v>367</v>
      </c>
      <c r="B268" s="1">
        <f>A268</f>
        <v/>
      </c>
      <c r="C268" s="1" t="inlineStr">
        <is>
          <t>vG9m11</t>
        </is>
      </c>
      <c r="D268" s="1" t="inlineStr">
        <is>
          <t>數值</t>
        </is>
      </c>
      <c r="E268" s="9" t="n">
        <v>2</v>
      </c>
      <c r="G268" s="1" t="inlineStr">
        <is>
          <t>range</t>
        </is>
      </c>
      <c r="H268" s="1" t="inlineStr">
        <is>
          <t>0,1</t>
        </is>
      </c>
      <c r="I268" s="1" t="inlineStr">
        <is>
          <t>96</t>
        </is>
      </c>
      <c r="L268" s="2">
        <f>_xlfn.CONCAT(IF(D268="數值",CONCATENATE(G268&amp;"("&amp;C268&amp;","&amp;
IF(ISERROR(SEARCH(",",H268,1)),(H268&amp;","&amp;H268),H268)&amp;
IF(ISBLANK(I268),"",IF(ISERROR(SEARCH(",",I268,1)),CONCATENATE(","&amp;I268&amp;","&amp;I268),CONCATENATE(","&amp;I268))&amp;
IF(ISBLANK(J268),"",IF(ISERROR(SEARCH(",",J268,1)),CONCATENATE(","&amp;J268&amp;","&amp;J268),CONCATENATE(","&amp;J268))&amp;
IF(ISBLANK(K268),"",IF(ISERROR(SEARCH(",",K268,1)),CONCATENATE(","&amp;K268&amp;","&amp;K268),CONCATENATE(","&amp;K268))))))&amp;
")","")&amp;" "&amp;F268)</f>
        <v/>
      </c>
    </row>
    <row r="269">
      <c r="A269" s="1" t="n">
        <v>368</v>
      </c>
      <c r="B269" s="1">
        <f>A269</f>
        <v/>
      </c>
      <c r="C269" s="1" t="inlineStr">
        <is>
          <t>vG9m12</t>
        </is>
      </c>
      <c r="D269" s="1" t="inlineStr">
        <is>
          <t>數值</t>
        </is>
      </c>
      <c r="E269" s="9" t="n">
        <v>2</v>
      </c>
      <c r="G269" s="1" t="inlineStr">
        <is>
          <t>range</t>
        </is>
      </c>
      <c r="H269" s="1" t="inlineStr">
        <is>
          <t>0,1</t>
        </is>
      </c>
      <c r="I269" s="1" t="inlineStr">
        <is>
          <t>96</t>
        </is>
      </c>
      <c r="L269" s="2">
        <f>_xlfn.CONCAT(IF(D269="數值",CONCATENATE(G269&amp;"("&amp;C269&amp;","&amp;
IF(ISERROR(SEARCH(",",H269,1)),(H269&amp;","&amp;H269),H269)&amp;
IF(ISBLANK(I269),"",IF(ISERROR(SEARCH(",",I269,1)),CONCATENATE(","&amp;I269&amp;","&amp;I269),CONCATENATE(","&amp;I269))&amp;
IF(ISBLANK(J269),"",IF(ISERROR(SEARCH(",",J269,1)),CONCATENATE(","&amp;J269&amp;","&amp;J269),CONCATENATE(","&amp;J269))&amp;
IF(ISBLANK(K269),"",IF(ISERROR(SEARCH(",",K269,1)),CONCATENATE(","&amp;K269&amp;","&amp;K269),CONCATENATE(","&amp;K269))))))&amp;
")","")&amp;" "&amp;F269)</f>
        <v/>
      </c>
    </row>
    <row r="270">
      <c r="A270" s="1" t="n">
        <v>369</v>
      </c>
      <c r="B270" s="1">
        <f>A270</f>
        <v/>
      </c>
      <c r="C270" s="1" t="inlineStr">
        <is>
          <t>vG9m13</t>
        </is>
      </c>
      <c r="D270" s="1" t="inlineStr">
        <is>
          <t>數值</t>
        </is>
      </c>
      <c r="E270" s="9" t="n">
        <v>2</v>
      </c>
      <c r="G270" s="1" t="inlineStr">
        <is>
          <t>range</t>
        </is>
      </c>
      <c r="H270" s="1" t="inlineStr">
        <is>
          <t>0,1</t>
        </is>
      </c>
      <c r="I270" s="1" t="inlineStr">
        <is>
          <t>96</t>
        </is>
      </c>
      <c r="L270" s="2">
        <f>_xlfn.CONCAT(IF(D270="數值",CONCATENATE(G270&amp;"("&amp;C270&amp;","&amp;
IF(ISERROR(SEARCH(",",H270,1)),(H270&amp;","&amp;H270),H270)&amp;
IF(ISBLANK(I270),"",IF(ISERROR(SEARCH(",",I270,1)),CONCATENATE(","&amp;I270&amp;","&amp;I270),CONCATENATE(","&amp;I270))&amp;
IF(ISBLANK(J270),"",IF(ISERROR(SEARCH(",",J270,1)),CONCATENATE(","&amp;J270&amp;","&amp;J270),CONCATENATE(","&amp;J270))&amp;
IF(ISBLANK(K270),"",IF(ISERROR(SEARCH(",",K270,1)),CONCATENATE(","&amp;K270&amp;","&amp;K270),CONCATENATE(","&amp;K270))))))&amp;
")","")&amp;" "&amp;F270)</f>
        <v/>
      </c>
    </row>
    <row r="271">
      <c r="A271" s="1" t="n">
        <v>370</v>
      </c>
      <c r="B271" s="1">
        <f>A271</f>
        <v/>
      </c>
      <c r="C271" s="1" t="inlineStr">
        <is>
          <t>vG9m88</t>
        </is>
      </c>
      <c r="D271" s="1" t="inlineStr">
        <is>
          <t>數值</t>
        </is>
      </c>
      <c r="E271" s="9" t="n">
        <v>2</v>
      </c>
      <c r="G271" s="1" t="inlineStr">
        <is>
          <t>range</t>
        </is>
      </c>
      <c r="H271" s="1" t="inlineStr">
        <is>
          <t>0,1</t>
        </is>
      </c>
      <c r="I271" s="1" t="inlineStr">
        <is>
          <t>96</t>
        </is>
      </c>
      <c r="L271" s="2">
        <f>_xlfn.CONCAT(IF(D271="數值",CONCATENATE(G271&amp;"("&amp;C271&amp;","&amp;
IF(ISERROR(SEARCH(",",H271,1)),(H271&amp;","&amp;H271),H271)&amp;
IF(ISBLANK(I271),"",IF(ISERROR(SEARCH(",",I271,1)),CONCATENATE(","&amp;I271&amp;","&amp;I271),CONCATENATE(","&amp;I271))&amp;
IF(ISBLANK(J271),"",IF(ISERROR(SEARCH(",",J271,1)),CONCATENATE(","&amp;J271&amp;","&amp;J271),CONCATENATE(","&amp;J271))&amp;
IF(ISBLANK(K271),"",IF(ISERROR(SEARCH(",",K271,1)),CONCATENATE(","&amp;K271&amp;","&amp;K271),CONCATENATE(","&amp;K271))))))&amp;
")","")&amp;" "&amp;F271)</f>
        <v/>
      </c>
    </row>
    <row r="272">
      <c r="A272" s="1" t="n">
        <v>371</v>
      </c>
      <c r="B272" s="1">
        <f>A272</f>
        <v/>
      </c>
      <c r="C272" s="1" t="inlineStr">
        <is>
          <t>vG9m90</t>
        </is>
      </c>
      <c r="D272" s="1" t="inlineStr">
        <is>
          <t>數值</t>
        </is>
      </c>
      <c r="E272" s="9" t="n">
        <v>2</v>
      </c>
      <c r="G272" s="1" t="inlineStr">
        <is>
          <t>range</t>
        </is>
      </c>
      <c r="H272" s="1" t="inlineStr">
        <is>
          <t>0,1</t>
        </is>
      </c>
      <c r="I272" s="1" t="inlineStr">
        <is>
          <t>96</t>
        </is>
      </c>
      <c r="L272" s="2">
        <f>_xlfn.CONCAT(IF(D272="數值",CONCATENATE(G272&amp;"("&amp;C272&amp;","&amp;
IF(ISERROR(SEARCH(",",H272,1)),(H272&amp;","&amp;H272),H272)&amp;
IF(ISBLANK(I272),"",IF(ISERROR(SEARCH(",",I272,1)),CONCATENATE(","&amp;I272&amp;","&amp;I272),CONCATENATE(","&amp;I272))&amp;
IF(ISBLANK(J272),"",IF(ISERROR(SEARCH(",",J272,1)),CONCATENATE(","&amp;J272&amp;","&amp;J272),CONCATENATE(","&amp;J272))&amp;
IF(ISBLANK(K272),"",IF(ISERROR(SEARCH(",",K272,1)),CONCATENATE(","&amp;K272&amp;","&amp;K272),CONCATENATE(","&amp;K272))))))&amp;
")","")&amp;" "&amp;F272)</f>
        <v/>
      </c>
    </row>
    <row r="273">
      <c r="A273" s="1" t="n">
        <v>372</v>
      </c>
      <c r="B273" s="1">
        <f>A273</f>
        <v/>
      </c>
      <c r="C273" s="1" t="inlineStr">
        <is>
          <t>vG10m01</t>
        </is>
      </c>
      <c r="D273" s="1" t="inlineStr">
        <is>
          <t>數值</t>
        </is>
      </c>
      <c r="E273" s="9" t="n">
        <v>2</v>
      </c>
      <c r="G273" s="1" t="inlineStr">
        <is>
          <t>range</t>
        </is>
      </c>
      <c r="H273" s="1" t="inlineStr">
        <is>
          <t>0,1</t>
        </is>
      </c>
      <c r="L273" s="2">
        <f>_xlfn.CONCAT(IF(D273="數值",CONCATENATE(G273&amp;"("&amp;C273&amp;","&amp;
IF(ISERROR(SEARCH(",",H273,1)),(H273&amp;","&amp;H273),H273)&amp;
IF(ISBLANK(I273),"",IF(ISERROR(SEARCH(",",I273,1)),CONCATENATE(","&amp;I273&amp;","&amp;I273),CONCATENATE(","&amp;I273))&amp;
IF(ISBLANK(J273),"",IF(ISERROR(SEARCH(",",J273,1)),CONCATENATE(","&amp;J273&amp;","&amp;J273),CONCATENATE(","&amp;J273))&amp;
IF(ISBLANK(K273),"",IF(ISERROR(SEARCH(",",K273,1)),CONCATENATE(","&amp;K273&amp;","&amp;K273),CONCATENATE(","&amp;K273))))))&amp;
")","")&amp;" "&amp;F273)</f>
        <v/>
      </c>
    </row>
    <row r="274">
      <c r="A274" s="1" t="n">
        <v>373</v>
      </c>
      <c r="B274" s="1">
        <f>A274</f>
        <v/>
      </c>
      <c r="C274" s="1" t="inlineStr">
        <is>
          <t>vG10m02</t>
        </is>
      </c>
      <c r="D274" s="1" t="inlineStr">
        <is>
          <t>數值</t>
        </is>
      </c>
      <c r="E274" s="9" t="n">
        <v>2</v>
      </c>
      <c r="G274" s="1" t="inlineStr">
        <is>
          <t>range</t>
        </is>
      </c>
      <c r="H274" s="1" t="inlineStr">
        <is>
          <t>0,1</t>
        </is>
      </c>
      <c r="L274" s="2">
        <f>_xlfn.CONCAT(IF(D274="數值",CONCATENATE(G274&amp;"("&amp;C274&amp;","&amp;
IF(ISERROR(SEARCH(",",H274,1)),(H274&amp;","&amp;H274),H274)&amp;
IF(ISBLANK(I274),"",IF(ISERROR(SEARCH(",",I274,1)),CONCATENATE(","&amp;I274&amp;","&amp;I274),CONCATENATE(","&amp;I274))&amp;
IF(ISBLANK(J274),"",IF(ISERROR(SEARCH(",",J274,1)),CONCATENATE(","&amp;J274&amp;","&amp;J274),CONCATENATE(","&amp;J274))&amp;
IF(ISBLANK(K274),"",IF(ISERROR(SEARCH(",",K274,1)),CONCATENATE(","&amp;K274&amp;","&amp;K274),CONCATENATE(","&amp;K274))))))&amp;
")","")&amp;" "&amp;F274)</f>
        <v/>
      </c>
    </row>
    <row r="275">
      <c r="A275" s="1" t="n">
        <v>374</v>
      </c>
      <c r="B275" s="1">
        <f>A275</f>
        <v/>
      </c>
      <c r="C275" s="1" t="inlineStr">
        <is>
          <t>vG10m03</t>
        </is>
      </c>
      <c r="D275" s="1" t="inlineStr">
        <is>
          <t>數值</t>
        </is>
      </c>
      <c r="E275" s="9" t="n">
        <v>2</v>
      </c>
      <c r="G275" s="1" t="inlineStr">
        <is>
          <t>range</t>
        </is>
      </c>
      <c r="H275" s="1" t="inlineStr">
        <is>
          <t>0,1</t>
        </is>
      </c>
      <c r="L275" s="2">
        <f>_xlfn.CONCAT(IF(D275="數值",CONCATENATE(G275&amp;"("&amp;C275&amp;","&amp;
IF(ISERROR(SEARCH(",",H275,1)),(H275&amp;","&amp;H275),H275)&amp;
IF(ISBLANK(I275),"",IF(ISERROR(SEARCH(",",I275,1)),CONCATENATE(","&amp;I275&amp;","&amp;I275),CONCATENATE(","&amp;I275))&amp;
IF(ISBLANK(J275),"",IF(ISERROR(SEARCH(",",J275,1)),CONCATENATE(","&amp;J275&amp;","&amp;J275),CONCATENATE(","&amp;J275))&amp;
IF(ISBLANK(K275),"",IF(ISERROR(SEARCH(",",K275,1)),CONCATENATE(","&amp;K275&amp;","&amp;K275),CONCATENATE(","&amp;K275))))))&amp;
")","")&amp;" "&amp;F275)</f>
        <v/>
      </c>
    </row>
    <row r="276">
      <c r="A276" s="1" t="n">
        <v>375</v>
      </c>
      <c r="B276" s="1">
        <f>A276</f>
        <v/>
      </c>
      <c r="C276" s="1" t="inlineStr">
        <is>
          <t>vG10m04</t>
        </is>
      </c>
      <c r="D276" s="1" t="inlineStr">
        <is>
          <t>數值</t>
        </is>
      </c>
      <c r="E276" s="9" t="n">
        <v>2</v>
      </c>
      <c r="G276" s="1" t="inlineStr">
        <is>
          <t>range</t>
        </is>
      </c>
      <c r="H276" s="1" t="inlineStr">
        <is>
          <t>0,1</t>
        </is>
      </c>
      <c r="L276" s="2">
        <f>_xlfn.CONCAT(IF(D276="數值",CONCATENATE(G276&amp;"("&amp;C276&amp;","&amp;
IF(ISERROR(SEARCH(",",H276,1)),(H276&amp;","&amp;H276),H276)&amp;
IF(ISBLANK(I276),"",IF(ISERROR(SEARCH(",",I276,1)),CONCATENATE(","&amp;I276&amp;","&amp;I276),CONCATENATE(","&amp;I276))&amp;
IF(ISBLANK(J276),"",IF(ISERROR(SEARCH(",",J276,1)),CONCATENATE(","&amp;J276&amp;","&amp;J276),CONCATENATE(","&amp;J276))&amp;
IF(ISBLANK(K276),"",IF(ISERROR(SEARCH(",",K276,1)),CONCATENATE(","&amp;K276&amp;","&amp;K276),CONCATENATE(","&amp;K276))))))&amp;
")","")&amp;" "&amp;F276)</f>
        <v/>
      </c>
    </row>
    <row r="277">
      <c r="A277" s="1" t="n">
        <v>376</v>
      </c>
      <c r="B277" s="1">
        <f>A277</f>
        <v/>
      </c>
      <c r="C277" s="1" t="inlineStr">
        <is>
          <t>vG10m05</t>
        </is>
      </c>
      <c r="D277" s="1" t="inlineStr">
        <is>
          <t>數值</t>
        </is>
      </c>
      <c r="E277" s="9" t="n">
        <v>2</v>
      </c>
      <c r="G277" s="1" t="inlineStr">
        <is>
          <t>range</t>
        </is>
      </c>
      <c r="H277" s="1" t="inlineStr">
        <is>
          <t>0,1</t>
        </is>
      </c>
      <c r="L277" s="2">
        <f>_xlfn.CONCAT(IF(D277="數值",CONCATENATE(G277&amp;"("&amp;C277&amp;","&amp;
IF(ISERROR(SEARCH(",",H277,1)),(H277&amp;","&amp;H277),H277)&amp;
IF(ISBLANK(I277),"",IF(ISERROR(SEARCH(",",I277,1)),CONCATENATE(","&amp;I277&amp;","&amp;I277),CONCATENATE(","&amp;I277))&amp;
IF(ISBLANK(J277),"",IF(ISERROR(SEARCH(",",J277,1)),CONCATENATE(","&amp;J277&amp;","&amp;J277),CONCATENATE(","&amp;J277))&amp;
IF(ISBLANK(K277),"",IF(ISERROR(SEARCH(",",K277,1)),CONCATENATE(","&amp;K277&amp;","&amp;K277),CONCATENATE(","&amp;K277))))))&amp;
")","")&amp;" "&amp;F277)</f>
        <v/>
      </c>
    </row>
    <row r="278">
      <c r="A278" s="1" t="n">
        <v>377</v>
      </c>
      <c r="B278" s="1">
        <f>A278</f>
        <v/>
      </c>
      <c r="C278" s="1" t="inlineStr">
        <is>
          <t>vG10m06</t>
        </is>
      </c>
      <c r="D278" s="1" t="inlineStr">
        <is>
          <t>數值</t>
        </is>
      </c>
      <c r="E278" s="9" t="n">
        <v>2</v>
      </c>
      <c r="G278" s="1" t="inlineStr">
        <is>
          <t>range</t>
        </is>
      </c>
      <c r="H278" s="1" t="inlineStr">
        <is>
          <t>0,1</t>
        </is>
      </c>
      <c r="L278" s="2">
        <f>_xlfn.CONCAT(IF(D278="數值",CONCATENATE(G278&amp;"("&amp;C278&amp;","&amp;
IF(ISERROR(SEARCH(",",H278,1)),(H278&amp;","&amp;H278),H278)&amp;
IF(ISBLANK(I278),"",IF(ISERROR(SEARCH(",",I278,1)),CONCATENATE(","&amp;I278&amp;","&amp;I278),CONCATENATE(","&amp;I278))&amp;
IF(ISBLANK(J278),"",IF(ISERROR(SEARCH(",",J278,1)),CONCATENATE(","&amp;J278&amp;","&amp;J278),CONCATENATE(","&amp;J278))&amp;
IF(ISBLANK(K278),"",IF(ISERROR(SEARCH(",",K278,1)),CONCATENATE(","&amp;K278&amp;","&amp;K278),CONCATENATE(","&amp;K278))))))&amp;
")","")&amp;" "&amp;F278)</f>
        <v/>
      </c>
    </row>
    <row r="279">
      <c r="A279" s="1" t="n">
        <v>378</v>
      </c>
      <c r="B279" s="1">
        <f>A279</f>
        <v/>
      </c>
      <c r="C279" s="1" t="inlineStr">
        <is>
          <t>vG10m07</t>
        </is>
      </c>
      <c r="D279" s="1" t="inlineStr">
        <is>
          <t>數值</t>
        </is>
      </c>
      <c r="E279" s="9" t="n">
        <v>2</v>
      </c>
      <c r="G279" s="1" t="inlineStr">
        <is>
          <t>range</t>
        </is>
      </c>
      <c r="H279" s="1" t="inlineStr">
        <is>
          <t>0,1</t>
        </is>
      </c>
      <c r="L279" s="2">
        <f>_xlfn.CONCAT(IF(D279="數值",CONCATENATE(G279&amp;"("&amp;C279&amp;","&amp;
IF(ISERROR(SEARCH(",",H279,1)),(H279&amp;","&amp;H279),H279)&amp;
IF(ISBLANK(I279),"",IF(ISERROR(SEARCH(",",I279,1)),CONCATENATE(","&amp;I279&amp;","&amp;I279),CONCATENATE(","&amp;I279))&amp;
IF(ISBLANK(J279),"",IF(ISERROR(SEARCH(",",J279,1)),CONCATENATE(","&amp;J279&amp;","&amp;J279),CONCATENATE(","&amp;J279))&amp;
IF(ISBLANK(K279),"",IF(ISERROR(SEARCH(",",K279,1)),CONCATENATE(","&amp;K279&amp;","&amp;K279),CONCATENATE(","&amp;K279))))))&amp;
")","")&amp;" "&amp;F279)</f>
        <v/>
      </c>
    </row>
    <row r="280">
      <c r="A280" s="1" t="n">
        <v>379</v>
      </c>
      <c r="B280" s="1">
        <f>A280</f>
        <v/>
      </c>
      <c r="C280" s="1" t="inlineStr">
        <is>
          <t>vG10m08</t>
        </is>
      </c>
      <c r="D280" s="1" t="inlineStr">
        <is>
          <t>數值</t>
        </is>
      </c>
      <c r="E280" s="9" t="n">
        <v>2</v>
      </c>
      <c r="G280" s="1" t="inlineStr">
        <is>
          <t>range</t>
        </is>
      </c>
      <c r="H280" s="1" t="inlineStr">
        <is>
          <t>0,1</t>
        </is>
      </c>
      <c r="L280" s="2">
        <f>_xlfn.CONCAT(IF(D280="數值",CONCATENATE(G280&amp;"("&amp;C280&amp;","&amp;
IF(ISERROR(SEARCH(",",H280,1)),(H280&amp;","&amp;H280),H280)&amp;
IF(ISBLANK(I280),"",IF(ISERROR(SEARCH(",",I280,1)),CONCATENATE(","&amp;I280&amp;","&amp;I280),CONCATENATE(","&amp;I280))&amp;
IF(ISBLANK(J280),"",IF(ISERROR(SEARCH(",",J280,1)),CONCATENATE(","&amp;J280&amp;","&amp;J280),CONCATENATE(","&amp;J280))&amp;
IF(ISBLANK(K280),"",IF(ISERROR(SEARCH(",",K280,1)),CONCATENATE(","&amp;K280&amp;","&amp;K280),CONCATENATE(","&amp;K280))))))&amp;
")","")&amp;" "&amp;F280)</f>
        <v/>
      </c>
    </row>
    <row r="281">
      <c r="A281" s="1" t="n">
        <v>380</v>
      </c>
      <c r="B281" s="1">
        <f>A281</f>
        <v/>
      </c>
      <c r="C281" s="1" t="inlineStr">
        <is>
          <t>vG10m09</t>
        </is>
      </c>
      <c r="D281" s="1" t="inlineStr">
        <is>
          <t>數值</t>
        </is>
      </c>
      <c r="E281" s="9" t="n">
        <v>2</v>
      </c>
      <c r="G281" s="1" t="inlineStr">
        <is>
          <t>range</t>
        </is>
      </c>
      <c r="H281" s="1" t="inlineStr">
        <is>
          <t>0,1</t>
        </is>
      </c>
      <c r="L281" s="2">
        <f>_xlfn.CONCAT(IF(D281="數值",CONCATENATE(G281&amp;"("&amp;C281&amp;","&amp;
IF(ISERROR(SEARCH(",",H281,1)),(H281&amp;","&amp;H281),H281)&amp;
IF(ISBLANK(I281),"",IF(ISERROR(SEARCH(",",I281,1)),CONCATENATE(","&amp;I281&amp;","&amp;I281),CONCATENATE(","&amp;I281))&amp;
IF(ISBLANK(J281),"",IF(ISERROR(SEARCH(",",J281,1)),CONCATENATE(","&amp;J281&amp;","&amp;J281),CONCATENATE(","&amp;J281))&amp;
IF(ISBLANK(K281),"",IF(ISERROR(SEARCH(",",K281,1)),CONCATENATE(","&amp;K281&amp;","&amp;K281),CONCATENATE(","&amp;K281))))))&amp;
")","")&amp;" "&amp;F281)</f>
        <v/>
      </c>
    </row>
    <row r="282">
      <c r="A282" s="1" t="n">
        <v>381</v>
      </c>
      <c r="B282" s="1">
        <f>A282</f>
        <v/>
      </c>
      <c r="C282" s="1" t="inlineStr">
        <is>
          <t>vG10m10</t>
        </is>
      </c>
      <c r="D282" s="1" t="inlineStr">
        <is>
          <t>數值</t>
        </is>
      </c>
      <c r="E282" s="9" t="n">
        <v>2</v>
      </c>
      <c r="G282" s="1" t="inlineStr">
        <is>
          <t>range</t>
        </is>
      </c>
      <c r="H282" s="1" t="inlineStr">
        <is>
          <t>0,1</t>
        </is>
      </c>
      <c r="I282" s="1" t="inlineStr">
        <is>
          <t>96</t>
        </is>
      </c>
      <c r="L282" s="2">
        <f>_xlfn.CONCAT(IF(D282="數值",CONCATENATE(G282&amp;"("&amp;C282&amp;","&amp;
IF(ISERROR(SEARCH(",",H282,1)),(H282&amp;","&amp;H282),H282)&amp;
IF(ISBLANK(I282),"",IF(ISERROR(SEARCH(",",I282,1)),CONCATENATE(","&amp;I282&amp;","&amp;I282),CONCATENATE(","&amp;I282))&amp;
IF(ISBLANK(J282),"",IF(ISERROR(SEARCH(",",J282,1)),CONCATENATE(","&amp;J282&amp;","&amp;J282),CONCATENATE(","&amp;J282))&amp;
IF(ISBLANK(K282),"",IF(ISERROR(SEARCH(",",K282,1)),CONCATENATE(","&amp;K282&amp;","&amp;K282),CONCATENATE(","&amp;K282))))))&amp;
")","")&amp;" "&amp;F282)</f>
        <v/>
      </c>
    </row>
    <row r="283">
      <c r="A283" s="1" t="n">
        <v>382</v>
      </c>
      <c r="B283" s="1">
        <f>A283</f>
        <v/>
      </c>
      <c r="C283" s="1" t="inlineStr">
        <is>
          <t>vG10m11</t>
        </is>
      </c>
      <c r="D283" s="1" t="inlineStr">
        <is>
          <t>數值</t>
        </is>
      </c>
      <c r="E283" s="9" t="n">
        <v>2</v>
      </c>
      <c r="G283" s="1" t="inlineStr">
        <is>
          <t>range</t>
        </is>
      </c>
      <c r="H283" s="1" t="inlineStr">
        <is>
          <t>0,1</t>
        </is>
      </c>
      <c r="I283" s="1" t="inlineStr">
        <is>
          <t>96</t>
        </is>
      </c>
      <c r="L283" s="2">
        <f>_xlfn.CONCAT(IF(D283="數值",CONCATENATE(G283&amp;"("&amp;C283&amp;","&amp;
IF(ISERROR(SEARCH(",",H283,1)),(H283&amp;","&amp;H283),H283)&amp;
IF(ISBLANK(I283),"",IF(ISERROR(SEARCH(",",I283,1)),CONCATENATE(","&amp;I283&amp;","&amp;I283),CONCATENATE(","&amp;I283))&amp;
IF(ISBLANK(J283),"",IF(ISERROR(SEARCH(",",J283,1)),CONCATENATE(","&amp;J283&amp;","&amp;J283),CONCATENATE(","&amp;J283))&amp;
IF(ISBLANK(K283),"",IF(ISERROR(SEARCH(",",K283,1)),CONCATENATE(","&amp;K283&amp;","&amp;K283),CONCATENATE(","&amp;K283))))))&amp;
")","")&amp;" "&amp;F283)</f>
        <v/>
      </c>
    </row>
    <row r="284">
      <c r="A284" s="1" t="n">
        <v>383</v>
      </c>
      <c r="B284" s="1">
        <f>A284</f>
        <v/>
      </c>
      <c r="C284" s="1" t="inlineStr">
        <is>
          <t>vG10m12</t>
        </is>
      </c>
      <c r="D284" s="1" t="inlineStr">
        <is>
          <t>數值</t>
        </is>
      </c>
      <c r="E284" s="9" t="n">
        <v>2</v>
      </c>
      <c r="G284" s="1" t="inlineStr">
        <is>
          <t>range</t>
        </is>
      </c>
      <c r="H284" s="1" t="inlineStr">
        <is>
          <t>0,1</t>
        </is>
      </c>
      <c r="I284" s="1" t="inlineStr">
        <is>
          <t>96</t>
        </is>
      </c>
      <c r="L284" s="2">
        <f>_xlfn.CONCAT(IF(D284="數值",CONCATENATE(G284&amp;"("&amp;C284&amp;","&amp;
IF(ISERROR(SEARCH(",",H284,1)),(H284&amp;","&amp;H284),H284)&amp;
IF(ISBLANK(I284),"",IF(ISERROR(SEARCH(",",I284,1)),CONCATENATE(","&amp;I284&amp;","&amp;I284),CONCATENATE(","&amp;I284))&amp;
IF(ISBLANK(J284),"",IF(ISERROR(SEARCH(",",J284,1)),CONCATENATE(","&amp;J284&amp;","&amp;J284),CONCATENATE(","&amp;J284))&amp;
IF(ISBLANK(K284),"",IF(ISERROR(SEARCH(",",K284,1)),CONCATENATE(","&amp;K284&amp;","&amp;K284),CONCATENATE(","&amp;K284))))))&amp;
")","")&amp;" "&amp;F284)</f>
        <v/>
      </c>
    </row>
    <row r="285">
      <c r="A285" s="1" t="n">
        <v>384</v>
      </c>
      <c r="B285" s="1">
        <f>A285</f>
        <v/>
      </c>
      <c r="C285" s="1" t="inlineStr">
        <is>
          <t>vG10m13</t>
        </is>
      </c>
      <c r="D285" s="1" t="inlineStr">
        <is>
          <t>數值</t>
        </is>
      </c>
      <c r="E285" s="9" t="n">
        <v>2</v>
      </c>
      <c r="G285" s="1" t="inlineStr">
        <is>
          <t>range</t>
        </is>
      </c>
      <c r="H285" s="1" t="inlineStr">
        <is>
          <t>0,1</t>
        </is>
      </c>
      <c r="I285" s="1" t="inlineStr">
        <is>
          <t>96</t>
        </is>
      </c>
      <c r="L285" s="2">
        <f>_xlfn.CONCAT(IF(D285="數值",CONCATENATE(G285&amp;"("&amp;C285&amp;","&amp;
IF(ISERROR(SEARCH(",",H285,1)),(H285&amp;","&amp;H285),H285)&amp;
IF(ISBLANK(I285),"",IF(ISERROR(SEARCH(",",I285,1)),CONCATENATE(","&amp;I285&amp;","&amp;I285),CONCATENATE(","&amp;I285))&amp;
IF(ISBLANK(J285),"",IF(ISERROR(SEARCH(",",J285,1)),CONCATENATE(","&amp;J285&amp;","&amp;J285),CONCATENATE(","&amp;J285))&amp;
IF(ISBLANK(K285),"",IF(ISERROR(SEARCH(",",K285,1)),CONCATENATE(","&amp;K285&amp;","&amp;K285),CONCATENATE(","&amp;K285))))))&amp;
")","")&amp;" "&amp;F285)</f>
        <v/>
      </c>
    </row>
    <row r="286">
      <c r="A286" s="1" t="n">
        <v>385</v>
      </c>
      <c r="B286" s="1">
        <f>A286</f>
        <v/>
      </c>
      <c r="C286" s="1" t="inlineStr">
        <is>
          <t>vG10m14</t>
        </is>
      </c>
      <c r="D286" s="1" t="inlineStr">
        <is>
          <t>數值</t>
        </is>
      </c>
      <c r="E286" s="9" t="n">
        <v>2</v>
      </c>
      <c r="G286" s="1" t="inlineStr">
        <is>
          <t>range</t>
        </is>
      </c>
      <c r="H286" s="1" t="inlineStr">
        <is>
          <t>0,1</t>
        </is>
      </c>
      <c r="I286" s="1" t="inlineStr">
        <is>
          <t>96</t>
        </is>
      </c>
      <c r="L286" s="2">
        <f>_xlfn.CONCAT(IF(D286="數值",CONCATENATE(G286&amp;"("&amp;C286&amp;","&amp;
IF(ISERROR(SEARCH(",",H286,1)),(H286&amp;","&amp;H286),H286)&amp;
IF(ISBLANK(I286),"",IF(ISERROR(SEARCH(",",I286,1)),CONCATENATE(","&amp;I286&amp;","&amp;I286),CONCATENATE(","&amp;I286))&amp;
IF(ISBLANK(J286),"",IF(ISERROR(SEARCH(",",J286,1)),CONCATENATE(","&amp;J286&amp;","&amp;J286),CONCATENATE(","&amp;J286))&amp;
IF(ISBLANK(K286),"",IF(ISERROR(SEARCH(",",K286,1)),CONCATENATE(","&amp;K286&amp;","&amp;K286),CONCATENATE(","&amp;K286))))))&amp;
")","")&amp;" "&amp;F286)</f>
        <v/>
      </c>
    </row>
    <row r="287">
      <c r="A287" s="1" t="n">
        <v>386</v>
      </c>
      <c r="B287" s="1">
        <f>A287</f>
        <v/>
      </c>
      <c r="C287" s="1" t="inlineStr">
        <is>
          <t>vG10m15</t>
        </is>
      </c>
      <c r="D287" s="1" t="inlineStr">
        <is>
          <t>數值</t>
        </is>
      </c>
      <c r="E287" s="9" t="n">
        <v>2</v>
      </c>
      <c r="G287" s="1" t="inlineStr">
        <is>
          <t>range</t>
        </is>
      </c>
      <c r="H287" s="1" t="inlineStr">
        <is>
          <t>0,1</t>
        </is>
      </c>
      <c r="I287" s="1" t="inlineStr">
        <is>
          <t>96</t>
        </is>
      </c>
      <c r="L287" s="2">
        <f>_xlfn.CONCAT(IF(D287="數值",CONCATENATE(G287&amp;"("&amp;C287&amp;","&amp;
IF(ISERROR(SEARCH(",",H287,1)),(H287&amp;","&amp;H287),H287)&amp;
IF(ISBLANK(I287),"",IF(ISERROR(SEARCH(",",I287,1)),CONCATENATE(","&amp;I287&amp;","&amp;I287),CONCATENATE(","&amp;I287))&amp;
IF(ISBLANK(J287),"",IF(ISERROR(SEARCH(",",J287,1)),CONCATENATE(","&amp;J287&amp;","&amp;J287),CONCATENATE(","&amp;J287))&amp;
IF(ISBLANK(K287),"",IF(ISERROR(SEARCH(",",K287,1)),CONCATENATE(","&amp;K287&amp;","&amp;K287),CONCATENATE(","&amp;K287))))))&amp;
")","")&amp;" "&amp;F287)</f>
        <v/>
      </c>
    </row>
    <row r="288">
      <c r="A288" s="1" t="n">
        <v>387</v>
      </c>
      <c r="B288" s="1">
        <f>A288</f>
        <v/>
      </c>
      <c r="C288" s="1" t="inlineStr">
        <is>
          <t>vG10m16</t>
        </is>
      </c>
      <c r="D288" s="1" t="inlineStr">
        <is>
          <t>數值</t>
        </is>
      </c>
      <c r="E288" s="9" t="n">
        <v>2</v>
      </c>
      <c r="G288" s="1" t="inlineStr">
        <is>
          <t>range</t>
        </is>
      </c>
      <c r="H288" s="1" t="inlineStr">
        <is>
          <t>0,1</t>
        </is>
      </c>
      <c r="I288" s="1" t="inlineStr">
        <is>
          <t>96</t>
        </is>
      </c>
      <c r="L288" s="2">
        <f>_xlfn.CONCAT(IF(D288="數值",CONCATENATE(G288&amp;"("&amp;C288&amp;","&amp;
IF(ISERROR(SEARCH(",",H288,1)),(H288&amp;","&amp;H288),H288)&amp;
IF(ISBLANK(I288),"",IF(ISERROR(SEARCH(",",I288,1)),CONCATENATE(","&amp;I288&amp;","&amp;I288),CONCATENATE(","&amp;I288))&amp;
IF(ISBLANK(J288),"",IF(ISERROR(SEARCH(",",J288,1)),CONCATENATE(","&amp;J288&amp;","&amp;J288),CONCATENATE(","&amp;J288))&amp;
IF(ISBLANK(K288),"",IF(ISERROR(SEARCH(",",K288,1)),CONCATENATE(","&amp;K288&amp;","&amp;K288),CONCATENATE(","&amp;K288))))))&amp;
")","")&amp;" "&amp;F288)</f>
        <v/>
      </c>
    </row>
    <row r="289">
      <c r="A289" s="1" t="n">
        <v>388</v>
      </c>
      <c r="B289" s="1">
        <f>A289</f>
        <v/>
      </c>
      <c r="C289" s="1" t="inlineStr">
        <is>
          <t>vG10m17</t>
        </is>
      </c>
      <c r="D289" s="1" t="inlineStr">
        <is>
          <t>數值</t>
        </is>
      </c>
      <c r="E289" s="9" t="n">
        <v>2</v>
      </c>
      <c r="G289" s="1" t="inlineStr">
        <is>
          <t>range</t>
        </is>
      </c>
      <c r="H289" s="1" t="inlineStr">
        <is>
          <t>0,1</t>
        </is>
      </c>
      <c r="I289" s="1" t="inlineStr">
        <is>
          <t>96</t>
        </is>
      </c>
      <c r="L289" s="2">
        <f>_xlfn.CONCAT(IF(D289="數值",CONCATENATE(G289&amp;"("&amp;C289&amp;","&amp;
IF(ISERROR(SEARCH(",",H289,1)),(H289&amp;","&amp;H289),H289)&amp;
IF(ISBLANK(I289),"",IF(ISERROR(SEARCH(",",I289,1)),CONCATENATE(","&amp;I289&amp;","&amp;I289),CONCATENATE(","&amp;I289))&amp;
IF(ISBLANK(J289),"",IF(ISERROR(SEARCH(",",J289,1)),CONCATENATE(","&amp;J289&amp;","&amp;J289),CONCATENATE(","&amp;J289))&amp;
IF(ISBLANK(K289),"",IF(ISERROR(SEARCH(",",K289,1)),CONCATENATE(","&amp;K289&amp;","&amp;K289),CONCATENATE(","&amp;K289))))))&amp;
")","")&amp;" "&amp;F289)</f>
        <v/>
      </c>
    </row>
    <row r="290">
      <c r="A290" s="1" t="n">
        <v>389</v>
      </c>
      <c r="B290" s="1">
        <f>A290</f>
        <v/>
      </c>
      <c r="C290" s="1" t="inlineStr">
        <is>
          <t>vG10m18</t>
        </is>
      </c>
      <c r="D290" s="1" t="inlineStr">
        <is>
          <t>數值</t>
        </is>
      </c>
      <c r="E290" s="9" t="n">
        <v>2</v>
      </c>
      <c r="G290" s="1" t="inlineStr">
        <is>
          <t>range</t>
        </is>
      </c>
      <c r="H290" s="1" t="inlineStr">
        <is>
          <t>0,1</t>
        </is>
      </c>
      <c r="I290" s="1" t="inlineStr">
        <is>
          <t>96</t>
        </is>
      </c>
      <c r="L290" s="2">
        <f>_xlfn.CONCAT(IF(D290="數值",CONCATENATE(G290&amp;"("&amp;C290&amp;","&amp;
IF(ISERROR(SEARCH(",",H290,1)),(H290&amp;","&amp;H290),H290)&amp;
IF(ISBLANK(I290),"",IF(ISERROR(SEARCH(",",I290,1)),CONCATENATE(","&amp;I290&amp;","&amp;I290),CONCATENATE(","&amp;I290))&amp;
IF(ISBLANK(J290),"",IF(ISERROR(SEARCH(",",J290,1)),CONCATENATE(","&amp;J290&amp;","&amp;J290),CONCATENATE(","&amp;J290))&amp;
IF(ISBLANK(K290),"",IF(ISERROR(SEARCH(",",K290,1)),CONCATENATE(","&amp;K290&amp;","&amp;K290),CONCATENATE(","&amp;K290))))))&amp;
")","")&amp;" "&amp;F290)</f>
        <v/>
      </c>
    </row>
    <row r="291">
      <c r="A291" s="1" t="n">
        <v>390</v>
      </c>
      <c r="B291" s="1">
        <f>A291</f>
        <v/>
      </c>
      <c r="C291" s="1" t="inlineStr">
        <is>
          <t>vG10m19</t>
        </is>
      </c>
      <c r="D291" s="1" t="inlineStr">
        <is>
          <t>數值</t>
        </is>
      </c>
      <c r="E291" s="9" t="n">
        <v>2</v>
      </c>
      <c r="G291" s="1" t="inlineStr">
        <is>
          <t>range</t>
        </is>
      </c>
      <c r="H291" s="1" t="inlineStr">
        <is>
          <t>0,1</t>
        </is>
      </c>
      <c r="I291" s="1" t="inlineStr">
        <is>
          <t>96</t>
        </is>
      </c>
      <c r="L291" s="2">
        <f>_xlfn.CONCAT(IF(D291="數值",CONCATENATE(G291&amp;"("&amp;C291&amp;","&amp;
IF(ISERROR(SEARCH(",",H291,1)),(H291&amp;","&amp;H291),H291)&amp;
IF(ISBLANK(I291),"",IF(ISERROR(SEARCH(",",I291,1)),CONCATENATE(","&amp;I291&amp;","&amp;I291),CONCATENATE(","&amp;I291))&amp;
IF(ISBLANK(J291),"",IF(ISERROR(SEARCH(",",J291,1)),CONCATENATE(","&amp;J291&amp;","&amp;J291),CONCATENATE(","&amp;J291))&amp;
IF(ISBLANK(K291),"",IF(ISERROR(SEARCH(",",K291,1)),CONCATENATE(","&amp;K291&amp;","&amp;K291),CONCATENATE(","&amp;K291))))))&amp;
")","")&amp;" "&amp;F291)</f>
        <v/>
      </c>
    </row>
    <row r="292">
      <c r="A292" s="1" t="n">
        <v>391</v>
      </c>
      <c r="B292" s="1">
        <f>A292</f>
        <v/>
      </c>
      <c r="C292" s="1" t="inlineStr">
        <is>
          <t>vG10m88</t>
        </is>
      </c>
      <c r="D292" s="1" t="inlineStr">
        <is>
          <t>數值</t>
        </is>
      </c>
      <c r="E292" s="9" t="n">
        <v>2</v>
      </c>
      <c r="G292" s="1" t="inlineStr">
        <is>
          <t>range</t>
        </is>
      </c>
      <c r="H292" s="1" t="inlineStr">
        <is>
          <t>0,1</t>
        </is>
      </c>
      <c r="I292" s="1" t="inlineStr">
        <is>
          <t>96</t>
        </is>
      </c>
      <c r="L292" s="2">
        <f>_xlfn.CONCAT(IF(D292="數值",CONCATENATE(G292&amp;"("&amp;C292&amp;","&amp;
IF(ISERROR(SEARCH(",",H292,1)),(H292&amp;","&amp;H292),H292)&amp;
IF(ISBLANK(I292),"",IF(ISERROR(SEARCH(",",I292,1)),CONCATENATE(","&amp;I292&amp;","&amp;I292),CONCATENATE(","&amp;I292))&amp;
IF(ISBLANK(J292),"",IF(ISERROR(SEARCH(",",J292,1)),CONCATENATE(","&amp;J292&amp;","&amp;J292),CONCATENATE(","&amp;J292))&amp;
IF(ISBLANK(K292),"",IF(ISERROR(SEARCH(",",K292,1)),CONCATENATE(","&amp;K292&amp;","&amp;K292),CONCATENATE(","&amp;K292))))))&amp;
")","")&amp;" "&amp;F292)</f>
        <v/>
      </c>
    </row>
    <row r="293">
      <c r="A293" s="1" t="n">
        <v>392</v>
      </c>
      <c r="B293" s="1">
        <f>A293</f>
        <v/>
      </c>
      <c r="C293" s="1" t="inlineStr">
        <is>
          <t>vG10m90</t>
        </is>
      </c>
      <c r="D293" s="1" t="inlineStr">
        <is>
          <t>數值</t>
        </is>
      </c>
      <c r="E293" s="9" t="n">
        <v>2</v>
      </c>
      <c r="G293" s="1" t="inlineStr">
        <is>
          <t>range</t>
        </is>
      </c>
      <c r="H293" s="1" t="inlineStr">
        <is>
          <t>0,1</t>
        </is>
      </c>
      <c r="I293" s="1" t="inlineStr">
        <is>
          <t>96</t>
        </is>
      </c>
      <c r="L293" s="2">
        <f>_xlfn.CONCAT(IF(D293="數值",CONCATENATE(G293&amp;"("&amp;C293&amp;","&amp;
IF(ISERROR(SEARCH(",",H293,1)),(H293&amp;","&amp;H293),H293)&amp;
IF(ISBLANK(I293),"",IF(ISERROR(SEARCH(",",I293,1)),CONCATENATE(","&amp;I293&amp;","&amp;I293),CONCATENATE(","&amp;I293))&amp;
IF(ISBLANK(J293),"",IF(ISERROR(SEARCH(",",J293,1)),CONCATENATE(","&amp;J293&amp;","&amp;J293),CONCATENATE(","&amp;J293))&amp;
IF(ISBLANK(K293),"",IF(ISERROR(SEARCH(",",K293,1)),CONCATENATE(","&amp;K293&amp;","&amp;K293),CONCATENATE(","&amp;K293))))))&amp;
")","")&amp;" "&amp;F293)</f>
        <v/>
      </c>
    </row>
    <row r="294">
      <c r="A294" s="1" t="n">
        <v>393</v>
      </c>
      <c r="B294" s="1">
        <f>A294</f>
        <v/>
      </c>
      <c r="C294" s="1" t="inlineStr">
        <is>
          <t>vG11m01</t>
        </is>
      </c>
      <c r="D294" s="1" t="inlineStr">
        <is>
          <t>數值</t>
        </is>
      </c>
      <c r="E294" s="9" t="n">
        <v>2</v>
      </c>
      <c r="G294" s="1" t="inlineStr">
        <is>
          <t>range</t>
        </is>
      </c>
      <c r="H294" s="1" t="inlineStr">
        <is>
          <t>0,1</t>
        </is>
      </c>
      <c r="L294" s="2">
        <f>_xlfn.CONCAT(IF(D294="數值",CONCATENATE(G294&amp;"("&amp;C294&amp;","&amp;
IF(ISERROR(SEARCH(",",H294,1)),(H294&amp;","&amp;H294),H294)&amp;
IF(ISBLANK(I294),"",IF(ISERROR(SEARCH(",",I294,1)),CONCATENATE(","&amp;I294&amp;","&amp;I294),CONCATENATE(","&amp;I294))&amp;
IF(ISBLANK(J294),"",IF(ISERROR(SEARCH(",",J294,1)),CONCATENATE(","&amp;J294&amp;","&amp;J294),CONCATENATE(","&amp;J294))&amp;
IF(ISBLANK(K294),"",IF(ISERROR(SEARCH(",",K294,1)),CONCATENATE(","&amp;K294&amp;","&amp;K294),CONCATENATE(","&amp;K294))))))&amp;
")","")&amp;" "&amp;F294)</f>
        <v/>
      </c>
    </row>
    <row r="295">
      <c r="A295" s="1" t="n">
        <v>394</v>
      </c>
      <c r="B295" s="1">
        <f>A295</f>
        <v/>
      </c>
      <c r="C295" s="1" t="inlineStr">
        <is>
          <t>vG11m02</t>
        </is>
      </c>
      <c r="D295" s="1" t="inlineStr">
        <is>
          <t>數值</t>
        </is>
      </c>
      <c r="E295" s="9" t="n">
        <v>2</v>
      </c>
      <c r="G295" s="1" t="inlineStr">
        <is>
          <t>range</t>
        </is>
      </c>
      <c r="H295" s="1" t="inlineStr">
        <is>
          <t>0,1</t>
        </is>
      </c>
      <c r="L295" s="2">
        <f>_xlfn.CONCAT(IF(D295="數值",CONCATENATE(G295&amp;"("&amp;C295&amp;","&amp;
IF(ISERROR(SEARCH(",",H295,1)),(H295&amp;","&amp;H295),H295)&amp;
IF(ISBLANK(I295),"",IF(ISERROR(SEARCH(",",I295,1)),CONCATENATE(","&amp;I295&amp;","&amp;I295),CONCATENATE(","&amp;I295))&amp;
IF(ISBLANK(J295),"",IF(ISERROR(SEARCH(",",J295,1)),CONCATENATE(","&amp;J295&amp;","&amp;J295),CONCATENATE(","&amp;J295))&amp;
IF(ISBLANK(K295),"",IF(ISERROR(SEARCH(",",K295,1)),CONCATENATE(","&amp;K295&amp;","&amp;K295),CONCATENATE(","&amp;K295))))))&amp;
")","")&amp;" "&amp;F295)</f>
        <v/>
      </c>
    </row>
    <row r="296">
      <c r="A296" s="1" t="n">
        <v>395</v>
      </c>
      <c r="B296" s="1">
        <f>A296</f>
        <v/>
      </c>
      <c r="C296" s="1" t="inlineStr">
        <is>
          <t>vG11m03</t>
        </is>
      </c>
      <c r="D296" s="1" t="inlineStr">
        <is>
          <t>數值</t>
        </is>
      </c>
      <c r="E296" s="9" t="n">
        <v>2</v>
      </c>
      <c r="G296" s="1" t="inlineStr">
        <is>
          <t>range</t>
        </is>
      </c>
      <c r="H296" s="1" t="inlineStr">
        <is>
          <t>0,1</t>
        </is>
      </c>
      <c r="L296" s="2">
        <f>_xlfn.CONCAT(IF(D296="數值",CONCATENATE(G296&amp;"("&amp;C296&amp;","&amp;
IF(ISERROR(SEARCH(",",H296,1)),(H296&amp;","&amp;H296),H296)&amp;
IF(ISBLANK(I296),"",IF(ISERROR(SEARCH(",",I296,1)),CONCATENATE(","&amp;I296&amp;","&amp;I296),CONCATENATE(","&amp;I296))&amp;
IF(ISBLANK(J296),"",IF(ISERROR(SEARCH(",",J296,1)),CONCATENATE(","&amp;J296&amp;","&amp;J296),CONCATENATE(","&amp;J296))&amp;
IF(ISBLANK(K296),"",IF(ISERROR(SEARCH(",",K296,1)),CONCATENATE(","&amp;K296&amp;","&amp;K296),CONCATENATE(","&amp;K296))))))&amp;
")","")&amp;" "&amp;F296)</f>
        <v/>
      </c>
    </row>
    <row r="297">
      <c r="A297" s="1" t="n">
        <v>396</v>
      </c>
      <c r="B297" s="1">
        <f>A297</f>
        <v/>
      </c>
      <c r="C297" s="1" t="inlineStr">
        <is>
          <t>vG11m04</t>
        </is>
      </c>
      <c r="D297" s="1" t="inlineStr">
        <is>
          <t>數值</t>
        </is>
      </c>
      <c r="E297" s="9" t="n">
        <v>2</v>
      </c>
      <c r="G297" s="1" t="inlineStr">
        <is>
          <t>range</t>
        </is>
      </c>
      <c r="H297" s="1" t="inlineStr">
        <is>
          <t>0,1</t>
        </is>
      </c>
      <c r="L297" s="2">
        <f>_xlfn.CONCAT(IF(D297="數值",CONCATENATE(G297&amp;"("&amp;C297&amp;","&amp;
IF(ISERROR(SEARCH(",",H297,1)),(H297&amp;","&amp;H297),H297)&amp;
IF(ISBLANK(I297),"",IF(ISERROR(SEARCH(",",I297,1)),CONCATENATE(","&amp;I297&amp;","&amp;I297),CONCATENATE(","&amp;I297))&amp;
IF(ISBLANK(J297),"",IF(ISERROR(SEARCH(",",J297,1)),CONCATENATE(","&amp;J297&amp;","&amp;J297),CONCATENATE(","&amp;J297))&amp;
IF(ISBLANK(K297),"",IF(ISERROR(SEARCH(",",K297,1)),CONCATENATE(","&amp;K297&amp;","&amp;K297),CONCATENATE(","&amp;K297))))))&amp;
")","")&amp;" "&amp;F297)</f>
        <v/>
      </c>
    </row>
    <row r="298">
      <c r="A298" s="1" t="n">
        <v>397</v>
      </c>
      <c r="B298" s="1">
        <f>A298</f>
        <v/>
      </c>
      <c r="C298" s="1" t="inlineStr">
        <is>
          <t>vG11m05</t>
        </is>
      </c>
      <c r="D298" s="1" t="inlineStr">
        <is>
          <t>數值</t>
        </is>
      </c>
      <c r="E298" s="9" t="n">
        <v>2</v>
      </c>
      <c r="G298" s="1" t="inlineStr">
        <is>
          <t>range</t>
        </is>
      </c>
      <c r="H298" s="1" t="inlineStr">
        <is>
          <t>0,1</t>
        </is>
      </c>
      <c r="L298" s="2">
        <f>_xlfn.CONCAT(IF(D298="數值",CONCATENATE(G298&amp;"("&amp;C298&amp;","&amp;
IF(ISERROR(SEARCH(",",H298,1)),(H298&amp;","&amp;H298),H298)&amp;
IF(ISBLANK(I298),"",IF(ISERROR(SEARCH(",",I298,1)),CONCATENATE(","&amp;I298&amp;","&amp;I298),CONCATENATE(","&amp;I298))&amp;
IF(ISBLANK(J298),"",IF(ISERROR(SEARCH(",",J298,1)),CONCATENATE(","&amp;J298&amp;","&amp;J298),CONCATENATE(","&amp;J298))&amp;
IF(ISBLANK(K298),"",IF(ISERROR(SEARCH(",",K298,1)),CONCATENATE(","&amp;K298&amp;","&amp;K298),CONCATENATE(","&amp;K298))))))&amp;
")","")&amp;" "&amp;F298)</f>
        <v/>
      </c>
    </row>
    <row r="299">
      <c r="A299" s="1" t="n">
        <v>398</v>
      </c>
      <c r="B299" s="1">
        <f>A299</f>
        <v/>
      </c>
      <c r="C299" s="1" t="inlineStr">
        <is>
          <t>vG11m88</t>
        </is>
      </c>
      <c r="D299" s="1" t="inlineStr">
        <is>
          <t>數值</t>
        </is>
      </c>
      <c r="E299" s="9" t="n">
        <v>2</v>
      </c>
      <c r="G299" s="1" t="inlineStr">
        <is>
          <t>range</t>
        </is>
      </c>
      <c r="H299" s="1" t="inlineStr">
        <is>
          <t>0,1</t>
        </is>
      </c>
      <c r="I299" s="1" t="inlineStr">
        <is>
          <t>96</t>
        </is>
      </c>
      <c r="L299" s="2">
        <f>_xlfn.CONCAT(IF(D299="數值",CONCATENATE(G299&amp;"("&amp;C299&amp;","&amp;
IF(ISERROR(SEARCH(",",H299,1)),(H299&amp;","&amp;H299),H299)&amp;
IF(ISBLANK(I299),"",IF(ISERROR(SEARCH(",",I299,1)),CONCATENATE(","&amp;I299&amp;","&amp;I299),CONCATENATE(","&amp;I299))&amp;
IF(ISBLANK(J299),"",IF(ISERROR(SEARCH(",",J299,1)),CONCATENATE(","&amp;J299&amp;","&amp;J299),CONCATENATE(","&amp;J299))&amp;
IF(ISBLANK(K299),"",IF(ISERROR(SEARCH(",",K299,1)),CONCATENATE(","&amp;K299&amp;","&amp;K299),CONCATENATE(","&amp;K299))))))&amp;
")","")&amp;" "&amp;F299)</f>
        <v/>
      </c>
    </row>
    <row r="300">
      <c r="A300" s="1" t="n">
        <v>399</v>
      </c>
      <c r="B300" s="1">
        <f>A300</f>
        <v/>
      </c>
      <c r="C300" s="1" t="inlineStr">
        <is>
          <t>vG11m90</t>
        </is>
      </c>
      <c r="D300" s="1" t="inlineStr">
        <is>
          <t>數值</t>
        </is>
      </c>
      <c r="E300" s="9" t="n">
        <v>2</v>
      </c>
      <c r="G300" s="1" t="inlineStr">
        <is>
          <t>range</t>
        </is>
      </c>
      <c r="H300" s="1" t="inlineStr">
        <is>
          <t>0,1</t>
        </is>
      </c>
      <c r="I300" s="1" t="inlineStr">
        <is>
          <t>96</t>
        </is>
      </c>
      <c r="L300" s="2">
        <f>_xlfn.CONCAT(IF(D300="數值",CONCATENATE(G300&amp;"("&amp;C300&amp;","&amp;
IF(ISERROR(SEARCH(",",H300,1)),(H300&amp;","&amp;H300),H300)&amp;
IF(ISBLANK(I300),"",IF(ISERROR(SEARCH(",",I300,1)),CONCATENATE(","&amp;I300&amp;","&amp;I300),CONCATENATE(","&amp;I300))&amp;
IF(ISBLANK(J300),"",IF(ISERROR(SEARCH(",",J300,1)),CONCATENATE(","&amp;J300&amp;","&amp;J300),CONCATENATE(","&amp;J300))&amp;
IF(ISBLANK(K300),"",IF(ISERROR(SEARCH(",",K300,1)),CONCATENATE(","&amp;K300&amp;","&amp;K300),CONCATENATE(","&amp;K300))))))&amp;
")","")&amp;" "&amp;F300)</f>
        <v/>
      </c>
    </row>
    <row r="301">
      <c r="A301" s="1" t="n">
        <v>400</v>
      </c>
      <c r="B301" s="1">
        <f>A301</f>
        <v/>
      </c>
      <c r="C301" s="1" t="inlineStr">
        <is>
          <t>vG4</t>
        </is>
      </c>
      <c r="D301" s="1" t="inlineStr">
        <is>
          <t>數值</t>
        </is>
      </c>
      <c r="E301" s="9" t="n">
        <v>4</v>
      </c>
      <c r="G301" s="1" t="inlineStr">
        <is>
          <t>range</t>
        </is>
      </c>
      <c r="H301" s="1" t="inlineStr">
        <is>
          <t>0.5,7</t>
        </is>
      </c>
      <c r="I301" s="1" t="inlineStr">
        <is>
          <t>95</t>
        </is>
      </c>
      <c r="J301" s="1" t="inlineStr">
        <is>
          <t>97</t>
        </is>
      </c>
      <c r="K301" s="1" t="inlineStr">
        <is>
          <t>98</t>
        </is>
      </c>
      <c r="L301" s="2">
        <f>_xlfn.CONCAT(IF(D301="數值",CONCATENATE(G301&amp;"("&amp;C301&amp;","&amp;
IF(ISERROR(SEARCH(",",H301,1)),(H301&amp;","&amp;H301),H301)&amp;
IF(ISBLANK(I301),"",IF(ISERROR(SEARCH(",",I301,1)),CONCATENATE(","&amp;I301&amp;","&amp;I301),CONCATENATE(","&amp;I301))&amp;
IF(ISBLANK(J301),"",IF(ISERROR(SEARCH(",",J301,1)),CONCATENATE(","&amp;J301&amp;","&amp;J301),CONCATENATE(","&amp;J301))&amp;
IF(ISBLANK(K301),"",IF(ISERROR(SEARCH(",",K301,1)),CONCATENATE(","&amp;K301&amp;","&amp;K301),CONCATENATE(","&amp;K301))))))&amp;
")","")&amp;" "&amp;F301)</f>
        <v/>
      </c>
    </row>
    <row r="302">
      <c r="A302" s="1" t="n">
        <v>401</v>
      </c>
      <c r="B302" s="1">
        <f>A302</f>
        <v/>
      </c>
      <c r="C302" s="1" t="inlineStr">
        <is>
          <t>vG5</t>
        </is>
      </c>
      <c r="D302" s="1" t="inlineStr">
        <is>
          <t>數值</t>
        </is>
      </c>
      <c r="E302" s="9" t="n">
        <v>5</v>
      </c>
      <c r="G302" s="1" t="inlineStr">
        <is>
          <t>range</t>
        </is>
      </c>
      <c r="H302" s="1" t="inlineStr">
        <is>
          <t>1,2359</t>
        </is>
      </c>
      <c r="I302" s="1" t="inlineStr">
        <is>
          <t>9797</t>
        </is>
      </c>
      <c r="J302" s="1" t="inlineStr">
        <is>
          <t>9898</t>
        </is>
      </c>
      <c r="L302" s="2">
        <f>_xlfn.CONCAT(IF(D302="數值",CONCATENATE(G302&amp;"("&amp;C302&amp;","&amp;
IF(ISERROR(SEARCH(",",H302,1)),(H302&amp;","&amp;H302),H302)&amp;
IF(ISBLANK(I302),"",IF(ISERROR(SEARCH(",",I302,1)),CONCATENATE(","&amp;I302&amp;","&amp;I302),CONCATENATE(","&amp;I302))&amp;
IF(ISBLANK(J302),"",IF(ISERROR(SEARCH(",",J302,1)),CONCATENATE(","&amp;J302&amp;","&amp;J302),CONCATENATE(","&amp;J302))&amp;
IF(ISBLANK(K302),"",IF(ISERROR(SEARCH(",",K302,1)),CONCATENATE(","&amp;K302&amp;","&amp;K302),CONCATENATE(","&amp;K302))))))&amp;
")","")&amp;" "&amp;F302)</f>
        <v/>
      </c>
    </row>
    <row r="303">
      <c r="A303" s="1" t="n">
        <v>402</v>
      </c>
      <c r="B303" s="1">
        <f>A303</f>
        <v/>
      </c>
      <c r="C303" s="1" t="inlineStr">
        <is>
          <t>vB1</t>
        </is>
      </c>
      <c r="D303" s="1" t="inlineStr">
        <is>
          <t>數值</t>
        </is>
      </c>
      <c r="E303" s="9" t="n">
        <v>4</v>
      </c>
      <c r="G303" s="1" t="inlineStr">
        <is>
          <t>range</t>
        </is>
      </c>
      <c r="H303" s="1" t="inlineStr">
        <is>
          <t>0,5</t>
        </is>
      </c>
      <c r="I303" s="1" t="inlineStr">
        <is>
          <t>95</t>
        </is>
      </c>
      <c r="J303" s="1" t="inlineStr">
        <is>
          <t>97</t>
        </is>
      </c>
      <c r="K303" s="1" t="inlineStr">
        <is>
          <t>98</t>
        </is>
      </c>
      <c r="L303" s="2">
        <f>_xlfn.CONCAT(IF(D303="數值",CONCATENATE(G303&amp;"("&amp;C303&amp;","&amp;
IF(ISERROR(SEARCH(",",H303,1)),(H303&amp;","&amp;H303),H303)&amp;
IF(ISBLANK(I303),"",IF(ISERROR(SEARCH(",",I303,1)),CONCATENATE(","&amp;I303&amp;","&amp;I303),CONCATENATE(","&amp;I303))&amp;
IF(ISBLANK(J303),"",IF(ISERROR(SEARCH(",",J303,1)),CONCATENATE(","&amp;J303&amp;","&amp;J303),CONCATENATE(","&amp;J303))&amp;
IF(ISBLANK(K303),"",IF(ISERROR(SEARCH(",",K303,1)),CONCATENATE(","&amp;K303&amp;","&amp;K303),CONCATENATE(","&amp;K303))))))&amp;
")","")&amp;" "&amp;F303)</f>
        <v/>
      </c>
    </row>
    <row r="304">
      <c r="A304" s="1" t="n">
        <v>403</v>
      </c>
      <c r="B304" s="1">
        <f>A304</f>
        <v/>
      </c>
      <c r="C304" s="1" t="inlineStr">
        <is>
          <t>vB2</t>
        </is>
      </c>
      <c r="D304" s="1" t="inlineStr">
        <is>
          <t>數值</t>
        </is>
      </c>
      <c r="E304" s="9" t="n">
        <v>5</v>
      </c>
      <c r="G304" s="1" t="inlineStr">
        <is>
          <t>range</t>
        </is>
      </c>
      <c r="H304" s="1" t="inlineStr">
        <is>
          <t>1,2359</t>
        </is>
      </c>
      <c r="I304" s="1" t="inlineStr">
        <is>
          <t>9797</t>
        </is>
      </c>
      <c r="J304" s="1" t="inlineStr">
        <is>
          <t>9898</t>
        </is>
      </c>
      <c r="L304" s="2">
        <f>_xlfn.CONCAT(IF(D304="數值",CONCATENATE(G304&amp;"("&amp;C304&amp;","&amp;
IF(ISERROR(SEARCH(",",H304,1)),(H304&amp;","&amp;H304),H304)&amp;
IF(ISBLANK(I304),"",IF(ISERROR(SEARCH(",",I304,1)),CONCATENATE(","&amp;I304&amp;","&amp;I304),CONCATENATE(","&amp;I304))&amp;
IF(ISBLANK(J304),"",IF(ISERROR(SEARCH(",",J304,1)),CONCATENATE(","&amp;J304&amp;","&amp;J304),CONCATENATE(","&amp;J304))&amp;
IF(ISBLANK(K304),"",IF(ISERROR(SEARCH(",",K304,1)),CONCATENATE(","&amp;K304&amp;","&amp;K304),CONCATENATE(","&amp;K304))))))&amp;
")","")&amp;" "&amp;F304)</f>
        <v/>
      </c>
    </row>
    <row r="305">
      <c r="A305" s="1" t="n">
        <v>404</v>
      </c>
      <c r="B305" s="1">
        <f>A305</f>
        <v/>
      </c>
      <c r="C305" s="1" t="inlineStr">
        <is>
          <t>vB3</t>
        </is>
      </c>
      <c r="D305" s="1" t="inlineStr">
        <is>
          <t>數值</t>
        </is>
      </c>
      <c r="E305" s="9" t="n">
        <v>4</v>
      </c>
      <c r="G305" s="1" t="inlineStr">
        <is>
          <t>range</t>
        </is>
      </c>
      <c r="H305" s="1" t="inlineStr">
        <is>
          <t>0,2</t>
        </is>
      </c>
      <c r="I305" s="1" t="inlineStr">
        <is>
          <t>95</t>
        </is>
      </c>
      <c r="J305" s="1" t="inlineStr">
        <is>
          <t>97</t>
        </is>
      </c>
      <c r="K305" s="1" t="inlineStr">
        <is>
          <t>98</t>
        </is>
      </c>
      <c r="L305" s="2">
        <f>_xlfn.CONCAT(IF(D305="數值",CONCATENATE(G305&amp;"("&amp;C305&amp;","&amp;
IF(ISERROR(SEARCH(",",H305,1)),(H305&amp;","&amp;H305),H305)&amp;
IF(ISBLANK(I305),"",IF(ISERROR(SEARCH(",",I305,1)),CONCATENATE(","&amp;I305&amp;","&amp;I305),CONCATENATE(","&amp;I305))&amp;
IF(ISBLANK(J305),"",IF(ISERROR(SEARCH(",",J305,1)),CONCATENATE(","&amp;J305&amp;","&amp;J305),CONCATENATE(","&amp;J305))&amp;
IF(ISBLANK(K305),"",IF(ISERROR(SEARCH(",",K305,1)),CONCATENATE(","&amp;K305&amp;","&amp;K305),CONCATENATE(","&amp;K305))))))&amp;
")","")&amp;" "&amp;F305)</f>
        <v/>
      </c>
    </row>
    <row r="306">
      <c r="A306" s="1" t="n">
        <v>405</v>
      </c>
      <c r="B306" s="1">
        <f>A306</f>
        <v/>
      </c>
      <c r="C306" s="1" t="inlineStr">
        <is>
          <t>vB4</t>
        </is>
      </c>
      <c r="D306" s="1" t="inlineStr">
        <is>
          <t>數值</t>
        </is>
      </c>
      <c r="E306" s="9" t="n">
        <v>5</v>
      </c>
      <c r="G306" s="1" t="inlineStr">
        <is>
          <t>range</t>
        </is>
      </c>
      <c r="H306" s="1" t="inlineStr">
        <is>
          <t>1,2359</t>
        </is>
      </c>
      <c r="I306" s="1" t="inlineStr">
        <is>
          <t>9797</t>
        </is>
      </c>
      <c r="J306" s="1" t="inlineStr">
        <is>
          <t>9898</t>
        </is>
      </c>
      <c r="L306" s="2">
        <f>_xlfn.CONCAT(IF(D306="數值",CONCATENATE(G306&amp;"("&amp;C306&amp;","&amp;
IF(ISERROR(SEARCH(",",H306,1)),(H306&amp;","&amp;H306),H306)&amp;
IF(ISBLANK(I306),"",IF(ISERROR(SEARCH(",",I306,1)),CONCATENATE(","&amp;I306&amp;","&amp;I306),CONCATENATE(","&amp;I306))&amp;
IF(ISBLANK(J306),"",IF(ISERROR(SEARCH(",",J306,1)),CONCATENATE(","&amp;J306&amp;","&amp;J306),CONCATENATE(","&amp;J306))&amp;
IF(ISBLANK(K306),"",IF(ISERROR(SEARCH(",",K306,1)),CONCATENATE(","&amp;K306&amp;","&amp;K306),CONCATENATE(","&amp;K306))))))&amp;
")","")&amp;" "&amp;F306)</f>
        <v/>
      </c>
    </row>
    <row r="307">
      <c r="A307" s="1" t="n">
        <v>406</v>
      </c>
      <c r="B307" s="1">
        <f>A307</f>
        <v/>
      </c>
      <c r="C307" s="1" t="inlineStr">
        <is>
          <t>vB5</t>
        </is>
      </c>
      <c r="D307" s="1" t="inlineStr">
        <is>
          <t>數值</t>
        </is>
      </c>
      <c r="E307" s="9" t="n">
        <v>4</v>
      </c>
      <c r="G307" s="1" t="inlineStr">
        <is>
          <t>range</t>
        </is>
      </c>
      <c r="H307" s="1" t="inlineStr">
        <is>
          <t>0,7</t>
        </is>
      </c>
      <c r="I307" s="1" t="inlineStr">
        <is>
          <t>95</t>
        </is>
      </c>
      <c r="J307" s="1" t="inlineStr">
        <is>
          <t>97</t>
        </is>
      </c>
      <c r="K307" s="1" t="inlineStr">
        <is>
          <t>98</t>
        </is>
      </c>
      <c r="L307" s="2">
        <f>_xlfn.CONCAT(IF(D307="數值",CONCATENATE(G307&amp;"("&amp;C307&amp;","&amp;
IF(ISERROR(SEARCH(",",H307,1)),(H307&amp;","&amp;H307),H307)&amp;
IF(ISBLANK(I307),"",IF(ISERROR(SEARCH(",",I307,1)),CONCATENATE(","&amp;I307&amp;","&amp;I307),CONCATENATE(","&amp;I307))&amp;
IF(ISBLANK(J307),"",IF(ISERROR(SEARCH(",",J307,1)),CONCATENATE(","&amp;J307&amp;","&amp;J307),CONCATENATE(","&amp;J307))&amp;
IF(ISBLANK(K307),"",IF(ISERROR(SEARCH(",",K307,1)),CONCATENATE(","&amp;K307&amp;","&amp;K307),CONCATENATE(","&amp;K307))))))&amp;
")","")&amp;" "&amp;F307)</f>
        <v/>
      </c>
    </row>
    <row r="308">
      <c r="A308" s="1" t="n">
        <v>407</v>
      </c>
      <c r="B308" s="1">
        <f>A308</f>
        <v/>
      </c>
      <c r="C308" s="1" t="inlineStr">
        <is>
          <t>vCKB5</t>
        </is>
      </c>
      <c r="D308" s="1" t="inlineStr">
        <is>
          <t>數值</t>
        </is>
      </c>
      <c r="E308" s="9" t="n">
        <v>2</v>
      </c>
      <c r="G308" s="1" t="inlineStr">
        <is>
          <t>range</t>
        </is>
      </c>
      <c r="L308" s="2">
        <f>_xlfn.CONCAT(IF(D308="數值",CONCATENATE(G308&amp;"("&amp;C308&amp;","&amp;
IF(ISERROR(SEARCH(",",H308,1)),(H308&amp;","&amp;H308),H308)&amp;
IF(ISBLANK(I308),"",IF(ISERROR(SEARCH(",",I308,1)),CONCATENATE(","&amp;I308&amp;","&amp;I308),CONCATENATE(","&amp;I308))&amp;
IF(ISBLANK(J308),"",IF(ISERROR(SEARCH(",",J308,1)),CONCATENATE(","&amp;J308&amp;","&amp;J308),CONCATENATE(","&amp;J308))&amp;
IF(ISBLANK(K308),"",IF(ISERROR(SEARCH(",",K308,1)),CONCATENATE(","&amp;K308&amp;","&amp;K308),CONCATENATE(","&amp;K308))))))&amp;
")","")&amp;" "&amp;F308)</f>
        <v/>
      </c>
    </row>
    <row r="309">
      <c r="A309" s="1" t="n">
        <v>408</v>
      </c>
      <c r="B309" s="1">
        <f>A309</f>
        <v/>
      </c>
      <c r="C309" s="1" t="inlineStr">
        <is>
          <t>vB6</t>
        </is>
      </c>
      <c r="D309" s="1" t="inlineStr">
        <is>
          <t>數值</t>
        </is>
      </c>
      <c r="E309" s="9" t="n">
        <v>5</v>
      </c>
      <c r="G309" s="1" t="inlineStr">
        <is>
          <t>range</t>
        </is>
      </c>
      <c r="H309" s="1" t="inlineStr">
        <is>
          <t>1,2359</t>
        </is>
      </c>
      <c r="I309" s="1" t="inlineStr">
        <is>
          <t>9797</t>
        </is>
      </c>
      <c r="J309" s="1" t="inlineStr">
        <is>
          <t>9898</t>
        </is>
      </c>
      <c r="L309" s="2">
        <f>_xlfn.CONCAT(IF(D309="數值",CONCATENATE(G309&amp;"("&amp;C309&amp;","&amp;
IF(ISERROR(SEARCH(",",H309,1)),(H309&amp;","&amp;H309),H309)&amp;
IF(ISBLANK(I309),"",IF(ISERROR(SEARCH(",",I309,1)),CONCATENATE(","&amp;I309&amp;","&amp;I309),CONCATENATE(","&amp;I309))&amp;
IF(ISBLANK(J309),"",IF(ISERROR(SEARCH(",",J309,1)),CONCATENATE(","&amp;J309&amp;","&amp;J309),CONCATENATE(","&amp;J309))&amp;
IF(ISBLANK(K309),"",IF(ISERROR(SEARCH(",",K309,1)),CONCATENATE(","&amp;K309&amp;","&amp;K309),CONCATENATE(","&amp;K309))))))&amp;
")","")&amp;" "&amp;F309)</f>
        <v/>
      </c>
    </row>
    <row r="310">
      <c r="A310" s="1" t="n">
        <v>409</v>
      </c>
      <c r="B310" s="1">
        <f>A310</f>
        <v/>
      </c>
      <c r="C310" s="1" t="inlineStr">
        <is>
          <t>vB7am01</t>
        </is>
      </c>
      <c r="D310" s="1" t="inlineStr">
        <is>
          <t>數值</t>
        </is>
      </c>
      <c r="E310" s="9" t="n">
        <v>2</v>
      </c>
      <c r="G310" s="1" t="inlineStr">
        <is>
          <t>range</t>
        </is>
      </c>
      <c r="H310" s="1" t="inlineStr">
        <is>
          <t>0,1</t>
        </is>
      </c>
      <c r="L310" s="2">
        <f>_xlfn.CONCAT(IF(D310="數值",CONCATENATE(G310&amp;"("&amp;C310&amp;","&amp;
IF(ISERROR(SEARCH(",",H310,1)),(H310&amp;","&amp;H310),H310)&amp;
IF(ISBLANK(I310),"",IF(ISERROR(SEARCH(",",I310,1)),CONCATENATE(","&amp;I310&amp;","&amp;I310),CONCATENATE(","&amp;I310))&amp;
IF(ISBLANK(J310),"",IF(ISERROR(SEARCH(",",J310,1)),CONCATENATE(","&amp;J310&amp;","&amp;J310),CONCATENATE(","&amp;J310))&amp;
IF(ISBLANK(K310),"",IF(ISERROR(SEARCH(",",K310,1)),CONCATENATE(","&amp;K310&amp;","&amp;K310),CONCATENATE(","&amp;K310))))))&amp;
")","")&amp;" "&amp;F310)</f>
        <v/>
      </c>
    </row>
    <row r="311">
      <c r="A311" s="1" t="n">
        <v>410</v>
      </c>
      <c r="B311" s="1">
        <f>A311</f>
        <v/>
      </c>
      <c r="C311" s="1" t="inlineStr">
        <is>
          <t>vB7am02</t>
        </is>
      </c>
      <c r="D311" s="1" t="inlineStr">
        <is>
          <t>數值</t>
        </is>
      </c>
      <c r="E311" s="9" t="n">
        <v>2</v>
      </c>
      <c r="G311" s="1" t="inlineStr">
        <is>
          <t>range</t>
        </is>
      </c>
      <c r="H311" s="1" t="inlineStr">
        <is>
          <t>0,1</t>
        </is>
      </c>
      <c r="L311" s="2">
        <f>_xlfn.CONCAT(IF(D311="數值",CONCATENATE(G311&amp;"("&amp;C311&amp;","&amp;
IF(ISERROR(SEARCH(",",H311,1)),(H311&amp;","&amp;H311),H311)&amp;
IF(ISBLANK(I311),"",IF(ISERROR(SEARCH(",",I311,1)),CONCATENATE(","&amp;I311&amp;","&amp;I311),CONCATENATE(","&amp;I311))&amp;
IF(ISBLANK(J311),"",IF(ISERROR(SEARCH(",",J311,1)),CONCATENATE(","&amp;J311&amp;","&amp;J311),CONCATENATE(","&amp;J311))&amp;
IF(ISBLANK(K311),"",IF(ISERROR(SEARCH(",",K311,1)),CONCATENATE(","&amp;K311&amp;","&amp;K311),CONCATENATE(","&amp;K311))))))&amp;
")","")&amp;" "&amp;F311)</f>
        <v/>
      </c>
    </row>
    <row r="312">
      <c r="A312" s="1" t="n">
        <v>411</v>
      </c>
      <c r="B312" s="1">
        <f>A312</f>
        <v/>
      </c>
      <c r="C312" s="1" t="inlineStr">
        <is>
          <t>vB7am03</t>
        </is>
      </c>
      <c r="D312" s="1" t="inlineStr">
        <is>
          <t>數值</t>
        </is>
      </c>
      <c r="E312" s="9" t="n">
        <v>2</v>
      </c>
      <c r="G312" s="1" t="inlineStr">
        <is>
          <t>range</t>
        </is>
      </c>
      <c r="H312" s="1" t="inlineStr">
        <is>
          <t>0,1</t>
        </is>
      </c>
      <c r="L312" s="2">
        <f>_xlfn.CONCAT(IF(D312="數值",CONCATENATE(G312&amp;"("&amp;C312&amp;","&amp;
IF(ISERROR(SEARCH(",",H312,1)),(H312&amp;","&amp;H312),H312)&amp;
IF(ISBLANK(I312),"",IF(ISERROR(SEARCH(",",I312,1)),CONCATENATE(","&amp;I312&amp;","&amp;I312),CONCATENATE(","&amp;I312))&amp;
IF(ISBLANK(J312),"",IF(ISERROR(SEARCH(",",J312,1)),CONCATENATE(","&amp;J312&amp;","&amp;J312),CONCATENATE(","&amp;J312))&amp;
IF(ISBLANK(K312),"",IF(ISERROR(SEARCH(",",K312,1)),CONCATENATE(","&amp;K312&amp;","&amp;K312),CONCATENATE(","&amp;K312))))))&amp;
")","")&amp;" "&amp;F312)</f>
        <v/>
      </c>
    </row>
    <row r="313">
      <c r="A313" s="1" t="n">
        <v>412</v>
      </c>
      <c r="B313" s="1">
        <f>A313</f>
        <v/>
      </c>
      <c r="C313" s="1" t="inlineStr">
        <is>
          <t>vB7am04</t>
        </is>
      </c>
      <c r="D313" s="1" t="inlineStr">
        <is>
          <t>數值</t>
        </is>
      </c>
      <c r="E313" s="9" t="n">
        <v>2</v>
      </c>
      <c r="G313" s="1" t="inlineStr">
        <is>
          <t>range</t>
        </is>
      </c>
      <c r="H313" s="1" t="inlineStr">
        <is>
          <t>0,1</t>
        </is>
      </c>
      <c r="L313" s="2">
        <f>_xlfn.CONCAT(IF(D313="數值",CONCATENATE(G313&amp;"("&amp;C313&amp;","&amp;
IF(ISERROR(SEARCH(",",H313,1)),(H313&amp;","&amp;H313),H313)&amp;
IF(ISBLANK(I313),"",IF(ISERROR(SEARCH(",",I313,1)),CONCATENATE(","&amp;I313&amp;","&amp;I313),CONCATENATE(","&amp;I313))&amp;
IF(ISBLANK(J313),"",IF(ISERROR(SEARCH(",",J313,1)),CONCATENATE(","&amp;J313&amp;","&amp;J313),CONCATENATE(","&amp;J313))&amp;
IF(ISBLANK(K313),"",IF(ISERROR(SEARCH(",",K313,1)),CONCATENATE(","&amp;K313&amp;","&amp;K313),CONCATENATE(","&amp;K313))))))&amp;
")","")&amp;" "&amp;F313)</f>
        <v/>
      </c>
    </row>
    <row r="314">
      <c r="A314" s="1" t="n">
        <v>413</v>
      </c>
      <c r="B314" s="1">
        <f>A314</f>
        <v/>
      </c>
      <c r="C314" s="1" t="inlineStr">
        <is>
          <t>vB7am05</t>
        </is>
      </c>
      <c r="D314" s="1" t="inlineStr">
        <is>
          <t>數值</t>
        </is>
      </c>
      <c r="E314" s="9" t="n">
        <v>2</v>
      </c>
      <c r="G314" s="1" t="inlineStr">
        <is>
          <t>range</t>
        </is>
      </c>
      <c r="H314" s="1" t="inlineStr">
        <is>
          <t>0,1</t>
        </is>
      </c>
      <c r="L314" s="2">
        <f>_xlfn.CONCAT(IF(D314="數值",CONCATENATE(G314&amp;"("&amp;C314&amp;","&amp;
IF(ISERROR(SEARCH(",",H314,1)),(H314&amp;","&amp;H314),H314)&amp;
IF(ISBLANK(I314),"",IF(ISERROR(SEARCH(",",I314,1)),CONCATENATE(","&amp;I314&amp;","&amp;I314),CONCATENATE(","&amp;I314))&amp;
IF(ISBLANK(J314),"",IF(ISERROR(SEARCH(",",J314,1)),CONCATENATE(","&amp;J314&amp;","&amp;J314),CONCATENATE(","&amp;J314))&amp;
IF(ISBLANK(K314),"",IF(ISERROR(SEARCH(",",K314,1)),CONCATENATE(","&amp;K314&amp;","&amp;K314),CONCATENATE(","&amp;K314))))))&amp;
")","")&amp;" "&amp;F314)</f>
        <v/>
      </c>
    </row>
    <row r="315">
      <c r="A315" s="1" t="n">
        <v>414</v>
      </c>
      <c r="B315" s="1">
        <f>A315</f>
        <v/>
      </c>
      <c r="C315" s="1" t="inlineStr">
        <is>
          <t>vB7am06</t>
        </is>
      </c>
      <c r="D315" s="1" t="inlineStr">
        <is>
          <t>數值</t>
        </is>
      </c>
      <c r="E315" s="9" t="n">
        <v>2</v>
      </c>
      <c r="G315" s="1" t="inlineStr">
        <is>
          <t>range</t>
        </is>
      </c>
      <c r="H315" s="1" t="inlineStr">
        <is>
          <t>0,1</t>
        </is>
      </c>
      <c r="L315" s="2">
        <f>_xlfn.CONCAT(IF(D315="數值",CONCATENATE(G315&amp;"("&amp;C315&amp;","&amp;
IF(ISERROR(SEARCH(",",H315,1)),(H315&amp;","&amp;H315),H315)&amp;
IF(ISBLANK(I315),"",IF(ISERROR(SEARCH(",",I315,1)),CONCATENATE(","&amp;I315&amp;","&amp;I315),CONCATENATE(","&amp;I315))&amp;
IF(ISBLANK(J315),"",IF(ISERROR(SEARCH(",",J315,1)),CONCATENATE(","&amp;J315&amp;","&amp;J315),CONCATENATE(","&amp;J315))&amp;
IF(ISBLANK(K315),"",IF(ISERROR(SEARCH(",",K315,1)),CONCATENATE(","&amp;K315&amp;","&amp;K315),CONCATENATE(","&amp;K315))))))&amp;
")","")&amp;" "&amp;F315)</f>
        <v/>
      </c>
    </row>
    <row r="316">
      <c r="A316" s="1" t="n">
        <v>415</v>
      </c>
      <c r="B316" s="1">
        <f>A316</f>
        <v/>
      </c>
      <c r="C316" s="1" t="inlineStr">
        <is>
          <t>vB7am07</t>
        </is>
      </c>
      <c r="D316" s="1" t="inlineStr">
        <is>
          <t>數值</t>
        </is>
      </c>
      <c r="E316" s="9" t="n">
        <v>2</v>
      </c>
      <c r="G316" s="1" t="inlineStr">
        <is>
          <t>range</t>
        </is>
      </c>
      <c r="H316" s="1" t="inlineStr">
        <is>
          <t>0,1</t>
        </is>
      </c>
      <c r="L316" s="2">
        <f>_xlfn.CONCAT(IF(D316="數值",CONCATENATE(G316&amp;"("&amp;C316&amp;","&amp;
IF(ISERROR(SEARCH(",",H316,1)),(H316&amp;","&amp;H316),H316)&amp;
IF(ISBLANK(I316),"",IF(ISERROR(SEARCH(",",I316,1)),CONCATENATE(","&amp;I316&amp;","&amp;I316),CONCATENATE(","&amp;I316))&amp;
IF(ISBLANK(J316),"",IF(ISERROR(SEARCH(",",J316,1)),CONCATENATE(","&amp;J316&amp;","&amp;J316),CONCATENATE(","&amp;J316))&amp;
IF(ISBLANK(K316),"",IF(ISERROR(SEARCH(",",K316,1)),CONCATENATE(","&amp;K316&amp;","&amp;K316),CONCATENATE(","&amp;K316))))))&amp;
")","")&amp;" "&amp;F316)</f>
        <v/>
      </c>
    </row>
    <row r="317">
      <c r="A317" s="1" t="n">
        <v>416</v>
      </c>
      <c r="B317" s="1">
        <f>A317</f>
        <v/>
      </c>
      <c r="C317" s="1" t="inlineStr">
        <is>
          <t>vB7am08</t>
        </is>
      </c>
      <c r="D317" s="1" t="inlineStr">
        <is>
          <t>數值</t>
        </is>
      </c>
      <c r="E317" s="9" t="n">
        <v>2</v>
      </c>
      <c r="G317" s="1" t="inlineStr">
        <is>
          <t>range</t>
        </is>
      </c>
      <c r="H317" s="1" t="inlineStr">
        <is>
          <t>0,1</t>
        </is>
      </c>
      <c r="L317" s="2">
        <f>_xlfn.CONCAT(IF(D317="數值",CONCATENATE(G317&amp;"("&amp;C317&amp;","&amp;
IF(ISERROR(SEARCH(",",H317,1)),(H317&amp;","&amp;H317),H317)&amp;
IF(ISBLANK(I317),"",IF(ISERROR(SEARCH(",",I317,1)),CONCATENATE(","&amp;I317&amp;","&amp;I317),CONCATENATE(","&amp;I317))&amp;
IF(ISBLANK(J317),"",IF(ISERROR(SEARCH(",",J317,1)),CONCATENATE(","&amp;J317&amp;","&amp;J317),CONCATENATE(","&amp;J317))&amp;
IF(ISBLANK(K317),"",IF(ISERROR(SEARCH(",",K317,1)),CONCATENATE(","&amp;K317&amp;","&amp;K317),CONCATENATE(","&amp;K317))))))&amp;
")","")&amp;" "&amp;F317)</f>
        <v/>
      </c>
    </row>
    <row r="318">
      <c r="A318" s="1" t="n">
        <v>417</v>
      </c>
      <c r="B318" s="1">
        <f>A318</f>
        <v/>
      </c>
      <c r="C318" s="1" t="inlineStr">
        <is>
          <t>vB7am09</t>
        </is>
      </c>
      <c r="D318" s="1" t="inlineStr">
        <is>
          <t>數值</t>
        </is>
      </c>
      <c r="E318" s="9" t="n">
        <v>2</v>
      </c>
      <c r="G318" s="1" t="inlineStr">
        <is>
          <t>range</t>
        </is>
      </c>
      <c r="H318" s="1" t="inlineStr">
        <is>
          <t>0,1</t>
        </is>
      </c>
      <c r="L318" s="2">
        <f>_xlfn.CONCAT(IF(D318="數值",CONCATENATE(G318&amp;"("&amp;C318&amp;","&amp;
IF(ISERROR(SEARCH(",",H318,1)),(H318&amp;","&amp;H318),H318)&amp;
IF(ISBLANK(I318),"",IF(ISERROR(SEARCH(",",I318,1)),CONCATENATE(","&amp;I318&amp;","&amp;I318),CONCATENATE(","&amp;I318))&amp;
IF(ISBLANK(J318),"",IF(ISERROR(SEARCH(",",J318,1)),CONCATENATE(","&amp;J318&amp;","&amp;J318),CONCATENATE(","&amp;J318))&amp;
IF(ISBLANK(K318),"",IF(ISERROR(SEARCH(",",K318,1)),CONCATENATE(","&amp;K318&amp;","&amp;K318),CONCATENATE(","&amp;K318))))))&amp;
")","")&amp;" "&amp;F318)</f>
        <v/>
      </c>
    </row>
    <row r="319">
      <c r="A319" s="1" t="n">
        <v>418</v>
      </c>
      <c r="B319" s="1">
        <f>A319</f>
        <v/>
      </c>
      <c r="C319" s="1" t="inlineStr">
        <is>
          <t>vB7am10</t>
        </is>
      </c>
      <c r="D319" s="1" t="inlineStr">
        <is>
          <t>數值</t>
        </is>
      </c>
      <c r="E319" s="9" t="n">
        <v>2</v>
      </c>
      <c r="G319" s="1" t="inlineStr">
        <is>
          <t>range</t>
        </is>
      </c>
      <c r="H319" s="1" t="inlineStr">
        <is>
          <t>0,1</t>
        </is>
      </c>
      <c r="I319" s="1" t="inlineStr">
        <is>
          <t>96</t>
        </is>
      </c>
      <c r="L319" s="2">
        <f>_xlfn.CONCAT(IF(D319="數值",CONCATENATE(G319&amp;"("&amp;C319&amp;","&amp;
IF(ISERROR(SEARCH(",",H319,1)),(H319&amp;","&amp;H319),H319)&amp;
IF(ISBLANK(I319),"",IF(ISERROR(SEARCH(",",I319,1)),CONCATENATE(","&amp;I319&amp;","&amp;I319),CONCATENATE(","&amp;I319))&amp;
IF(ISBLANK(J319),"",IF(ISERROR(SEARCH(",",J319,1)),CONCATENATE(","&amp;J319&amp;","&amp;J319),CONCATENATE(","&amp;J319))&amp;
IF(ISBLANK(K319),"",IF(ISERROR(SEARCH(",",K319,1)),CONCATENATE(","&amp;K319&amp;","&amp;K319),CONCATENATE(","&amp;K319))))))&amp;
")","")&amp;" "&amp;F319)</f>
        <v/>
      </c>
    </row>
    <row r="320">
      <c r="A320" s="1" t="n">
        <v>419</v>
      </c>
      <c r="B320" s="1">
        <f>A320</f>
        <v/>
      </c>
      <c r="C320" s="1" t="inlineStr">
        <is>
          <t>vB7am11</t>
        </is>
      </c>
      <c r="D320" s="1" t="inlineStr">
        <is>
          <t>數值</t>
        </is>
      </c>
      <c r="E320" s="9" t="n">
        <v>2</v>
      </c>
      <c r="G320" s="1" t="inlineStr">
        <is>
          <t>range</t>
        </is>
      </c>
      <c r="H320" s="1" t="inlineStr">
        <is>
          <t>0,1</t>
        </is>
      </c>
      <c r="I320" s="1" t="inlineStr">
        <is>
          <t>96</t>
        </is>
      </c>
      <c r="L320" s="2">
        <f>_xlfn.CONCAT(IF(D320="數值",CONCATENATE(G320&amp;"("&amp;C320&amp;","&amp;
IF(ISERROR(SEARCH(",",H320,1)),(H320&amp;","&amp;H320),H320)&amp;
IF(ISBLANK(I320),"",IF(ISERROR(SEARCH(",",I320,1)),CONCATENATE(","&amp;I320&amp;","&amp;I320),CONCATENATE(","&amp;I320))&amp;
IF(ISBLANK(J320),"",IF(ISERROR(SEARCH(",",J320,1)),CONCATENATE(","&amp;J320&amp;","&amp;J320),CONCATENATE(","&amp;J320))&amp;
IF(ISBLANK(K320),"",IF(ISERROR(SEARCH(",",K320,1)),CONCATENATE(","&amp;K320&amp;","&amp;K320),CONCATENATE(","&amp;K320))))))&amp;
")","")&amp;" "&amp;F320)</f>
        <v/>
      </c>
    </row>
    <row r="321">
      <c r="A321" s="1" t="n">
        <v>420</v>
      </c>
      <c r="B321" s="1">
        <f>A321</f>
        <v/>
      </c>
      <c r="C321" s="1" t="inlineStr">
        <is>
          <t>vB7am12</t>
        </is>
      </c>
      <c r="D321" s="1" t="inlineStr">
        <is>
          <t>數值</t>
        </is>
      </c>
      <c r="E321" s="9" t="n">
        <v>2</v>
      </c>
      <c r="G321" s="1" t="inlineStr">
        <is>
          <t>range</t>
        </is>
      </c>
      <c r="H321" s="1" t="inlineStr">
        <is>
          <t>0,1</t>
        </is>
      </c>
      <c r="I321" s="1" t="inlineStr">
        <is>
          <t>96</t>
        </is>
      </c>
      <c r="L321" s="2">
        <f>_xlfn.CONCAT(IF(D321="數值",CONCATENATE(G321&amp;"("&amp;C321&amp;","&amp;
IF(ISERROR(SEARCH(",",H321,1)),(H321&amp;","&amp;H321),H321)&amp;
IF(ISBLANK(I321),"",IF(ISERROR(SEARCH(",",I321,1)),CONCATENATE(","&amp;I321&amp;","&amp;I321),CONCATENATE(","&amp;I321))&amp;
IF(ISBLANK(J321),"",IF(ISERROR(SEARCH(",",J321,1)),CONCATENATE(","&amp;J321&amp;","&amp;J321),CONCATENATE(","&amp;J321))&amp;
IF(ISBLANK(K321),"",IF(ISERROR(SEARCH(",",K321,1)),CONCATENATE(","&amp;K321&amp;","&amp;K321),CONCATENATE(","&amp;K321))))))&amp;
")","")&amp;" "&amp;F321)</f>
        <v/>
      </c>
    </row>
    <row r="322">
      <c r="A322" s="1" t="n">
        <v>421</v>
      </c>
      <c r="B322" s="1">
        <f>A322</f>
        <v/>
      </c>
      <c r="C322" s="1" t="inlineStr">
        <is>
          <t>vB7am13</t>
        </is>
      </c>
      <c r="D322" s="1" t="inlineStr">
        <is>
          <t>數值</t>
        </is>
      </c>
      <c r="E322" s="9" t="n">
        <v>2</v>
      </c>
      <c r="G322" s="1" t="inlineStr">
        <is>
          <t>range</t>
        </is>
      </c>
      <c r="H322" s="1" t="inlineStr">
        <is>
          <t>0,1</t>
        </is>
      </c>
      <c r="I322" s="1" t="inlineStr">
        <is>
          <t>96</t>
        </is>
      </c>
      <c r="L322" s="2">
        <f>_xlfn.CONCAT(IF(D322="數值",CONCATENATE(G322&amp;"("&amp;C322&amp;","&amp;
IF(ISERROR(SEARCH(",",H322,1)),(H322&amp;","&amp;H322),H322)&amp;
IF(ISBLANK(I322),"",IF(ISERROR(SEARCH(",",I322,1)),CONCATENATE(","&amp;I322&amp;","&amp;I322),CONCATENATE(","&amp;I322))&amp;
IF(ISBLANK(J322),"",IF(ISERROR(SEARCH(",",J322,1)),CONCATENATE(","&amp;J322&amp;","&amp;J322),CONCATENATE(","&amp;J322))&amp;
IF(ISBLANK(K322),"",IF(ISERROR(SEARCH(",",K322,1)),CONCATENATE(","&amp;K322&amp;","&amp;K322),CONCATENATE(","&amp;K322))))))&amp;
")","")&amp;" "&amp;F322)</f>
        <v/>
      </c>
    </row>
    <row r="323">
      <c r="A323" s="1" t="n">
        <v>422</v>
      </c>
      <c r="B323" s="1">
        <f>A323</f>
        <v/>
      </c>
      <c r="C323" s="1" t="inlineStr">
        <is>
          <t>vB7am14</t>
        </is>
      </c>
      <c r="D323" s="1" t="inlineStr">
        <is>
          <t>數值</t>
        </is>
      </c>
      <c r="E323" s="9" t="n">
        <v>2</v>
      </c>
      <c r="G323" s="1" t="inlineStr">
        <is>
          <t>range</t>
        </is>
      </c>
      <c r="H323" s="1" t="inlineStr">
        <is>
          <t>0,1</t>
        </is>
      </c>
      <c r="I323" s="1" t="inlineStr">
        <is>
          <t>96</t>
        </is>
      </c>
      <c r="L323" s="2">
        <f>_xlfn.CONCAT(IF(D323="數值",CONCATENATE(G323&amp;"("&amp;C323&amp;","&amp;
IF(ISERROR(SEARCH(",",H323,1)),(H323&amp;","&amp;H323),H323)&amp;
IF(ISBLANK(I323),"",IF(ISERROR(SEARCH(",",I323,1)),CONCATENATE(","&amp;I323&amp;","&amp;I323),CONCATENATE(","&amp;I323))&amp;
IF(ISBLANK(J323),"",IF(ISERROR(SEARCH(",",J323,1)),CONCATENATE(","&amp;J323&amp;","&amp;J323),CONCATENATE(","&amp;J323))&amp;
IF(ISBLANK(K323),"",IF(ISERROR(SEARCH(",",K323,1)),CONCATENATE(","&amp;K323&amp;","&amp;K323),CONCATENATE(","&amp;K323))))))&amp;
")","")&amp;" "&amp;F323)</f>
        <v/>
      </c>
    </row>
    <row r="324">
      <c r="A324" s="1" t="n">
        <v>423</v>
      </c>
      <c r="B324" s="1">
        <f>A324</f>
        <v/>
      </c>
      <c r="C324" s="1" t="inlineStr">
        <is>
          <t>vB7am15</t>
        </is>
      </c>
      <c r="D324" s="1" t="inlineStr">
        <is>
          <t>數值</t>
        </is>
      </c>
      <c r="E324" s="9" t="n">
        <v>2</v>
      </c>
      <c r="G324" s="1" t="inlineStr">
        <is>
          <t>range</t>
        </is>
      </c>
      <c r="H324" s="1" t="inlineStr">
        <is>
          <t>0,1</t>
        </is>
      </c>
      <c r="I324" s="1" t="inlineStr">
        <is>
          <t>96</t>
        </is>
      </c>
      <c r="L324" s="2">
        <f>_xlfn.CONCAT(IF(D324="數值",CONCATENATE(G324&amp;"("&amp;C324&amp;","&amp;
IF(ISERROR(SEARCH(",",H324,1)),(H324&amp;","&amp;H324),H324)&amp;
IF(ISBLANK(I324),"",IF(ISERROR(SEARCH(",",I324,1)),CONCATENATE(","&amp;I324&amp;","&amp;I324),CONCATENATE(","&amp;I324))&amp;
IF(ISBLANK(J324),"",IF(ISERROR(SEARCH(",",J324,1)),CONCATENATE(","&amp;J324&amp;","&amp;J324),CONCATENATE(","&amp;J324))&amp;
IF(ISBLANK(K324),"",IF(ISERROR(SEARCH(",",K324,1)),CONCATENATE(","&amp;K324&amp;","&amp;K324),CONCATENATE(","&amp;K324))))))&amp;
")","")&amp;" "&amp;F324)</f>
        <v/>
      </c>
    </row>
    <row r="325">
      <c r="A325" s="1" t="n">
        <v>424</v>
      </c>
      <c r="B325" s="1">
        <f>A325</f>
        <v/>
      </c>
      <c r="C325" s="1" t="inlineStr">
        <is>
          <t>vB7am16</t>
        </is>
      </c>
      <c r="D325" s="1" t="inlineStr">
        <is>
          <t>數值</t>
        </is>
      </c>
      <c r="E325" s="9" t="n">
        <v>2</v>
      </c>
      <c r="G325" s="1" t="inlineStr">
        <is>
          <t>range</t>
        </is>
      </c>
      <c r="H325" s="1" t="inlineStr">
        <is>
          <t>0,1</t>
        </is>
      </c>
      <c r="I325" s="1" t="inlineStr">
        <is>
          <t>96</t>
        </is>
      </c>
      <c r="L325" s="2">
        <f>_xlfn.CONCAT(IF(D325="數值",CONCATENATE(G325&amp;"("&amp;C325&amp;","&amp;
IF(ISERROR(SEARCH(",",H325,1)),(H325&amp;","&amp;H325),H325)&amp;
IF(ISBLANK(I325),"",IF(ISERROR(SEARCH(",",I325,1)),CONCATENATE(","&amp;I325&amp;","&amp;I325),CONCATENATE(","&amp;I325))&amp;
IF(ISBLANK(J325),"",IF(ISERROR(SEARCH(",",J325,1)),CONCATENATE(","&amp;J325&amp;","&amp;J325),CONCATENATE(","&amp;J325))&amp;
IF(ISBLANK(K325),"",IF(ISERROR(SEARCH(",",K325,1)),CONCATENATE(","&amp;K325&amp;","&amp;K325),CONCATENATE(","&amp;K325))))))&amp;
")","")&amp;" "&amp;F325)</f>
        <v/>
      </c>
    </row>
    <row r="326">
      <c r="A326" s="1" t="n">
        <v>425</v>
      </c>
      <c r="B326" s="1">
        <f>A326</f>
        <v/>
      </c>
      <c r="C326" s="1" t="inlineStr">
        <is>
          <t>vB7am17</t>
        </is>
      </c>
      <c r="D326" s="1" t="inlineStr">
        <is>
          <t>數值</t>
        </is>
      </c>
      <c r="E326" s="9" t="n">
        <v>2</v>
      </c>
      <c r="G326" s="1" t="inlineStr">
        <is>
          <t>range</t>
        </is>
      </c>
      <c r="H326" s="1" t="inlineStr">
        <is>
          <t>0,1</t>
        </is>
      </c>
      <c r="I326" s="1" t="inlineStr">
        <is>
          <t>96</t>
        </is>
      </c>
      <c r="L326" s="2">
        <f>_xlfn.CONCAT(IF(D326="數值",CONCATENATE(G326&amp;"("&amp;C326&amp;","&amp;
IF(ISERROR(SEARCH(",",H326,1)),(H326&amp;","&amp;H326),H326)&amp;
IF(ISBLANK(I326),"",IF(ISERROR(SEARCH(",",I326,1)),CONCATENATE(","&amp;I326&amp;","&amp;I326),CONCATENATE(","&amp;I326))&amp;
IF(ISBLANK(J326),"",IF(ISERROR(SEARCH(",",J326,1)),CONCATENATE(","&amp;J326&amp;","&amp;J326),CONCATENATE(","&amp;J326))&amp;
IF(ISBLANK(K326),"",IF(ISERROR(SEARCH(",",K326,1)),CONCATENATE(","&amp;K326&amp;","&amp;K326),CONCATENATE(","&amp;K326))))))&amp;
")","")&amp;" "&amp;F326)</f>
        <v/>
      </c>
    </row>
    <row r="327">
      <c r="A327" s="1" t="n">
        <v>426</v>
      </c>
      <c r="B327" s="1">
        <f>A327</f>
        <v/>
      </c>
      <c r="C327" s="1" t="inlineStr">
        <is>
          <t>vB7am18</t>
        </is>
      </c>
      <c r="D327" s="1" t="inlineStr">
        <is>
          <t>數值</t>
        </is>
      </c>
      <c r="E327" s="9" t="n">
        <v>2</v>
      </c>
      <c r="G327" s="1" t="inlineStr">
        <is>
          <t>range</t>
        </is>
      </c>
      <c r="H327" s="1" t="inlineStr">
        <is>
          <t>0,1</t>
        </is>
      </c>
      <c r="I327" s="1" t="inlineStr">
        <is>
          <t>96</t>
        </is>
      </c>
      <c r="L327" s="2">
        <f>_xlfn.CONCAT(IF(D327="數值",CONCATENATE(G327&amp;"("&amp;C327&amp;","&amp;
IF(ISERROR(SEARCH(",",H327,1)),(H327&amp;","&amp;H327),H327)&amp;
IF(ISBLANK(I327),"",IF(ISERROR(SEARCH(",",I327,1)),CONCATENATE(","&amp;I327&amp;","&amp;I327),CONCATENATE(","&amp;I327))&amp;
IF(ISBLANK(J327),"",IF(ISERROR(SEARCH(",",J327,1)),CONCATENATE(","&amp;J327&amp;","&amp;J327),CONCATENATE(","&amp;J327))&amp;
IF(ISBLANK(K327),"",IF(ISERROR(SEARCH(",",K327,1)),CONCATENATE(","&amp;K327&amp;","&amp;K327),CONCATENATE(","&amp;K327))))))&amp;
")","")&amp;" "&amp;F327)</f>
        <v/>
      </c>
    </row>
    <row r="328">
      <c r="A328" s="1" t="n">
        <v>427</v>
      </c>
      <c r="B328" s="1">
        <f>A328</f>
        <v/>
      </c>
      <c r="C328" s="1" t="inlineStr">
        <is>
          <t>vB7am19</t>
        </is>
      </c>
      <c r="D328" s="1" t="inlineStr">
        <is>
          <t>數值</t>
        </is>
      </c>
      <c r="E328" s="9" t="n">
        <v>2</v>
      </c>
      <c r="G328" s="1" t="inlineStr">
        <is>
          <t>range</t>
        </is>
      </c>
      <c r="H328" s="1" t="inlineStr">
        <is>
          <t>0,1</t>
        </is>
      </c>
      <c r="I328" s="1" t="inlineStr">
        <is>
          <t>96</t>
        </is>
      </c>
      <c r="L328" s="2">
        <f>_xlfn.CONCAT(IF(D328="數值",CONCATENATE(G328&amp;"("&amp;C328&amp;","&amp;
IF(ISERROR(SEARCH(",",H328,1)),(H328&amp;","&amp;H328),H328)&amp;
IF(ISBLANK(I328),"",IF(ISERROR(SEARCH(",",I328,1)),CONCATENATE(","&amp;I328&amp;","&amp;I328),CONCATENATE(","&amp;I328))&amp;
IF(ISBLANK(J328),"",IF(ISERROR(SEARCH(",",J328,1)),CONCATENATE(","&amp;J328&amp;","&amp;J328),CONCATENATE(","&amp;J328))&amp;
IF(ISBLANK(K328),"",IF(ISERROR(SEARCH(",",K328,1)),CONCATENATE(","&amp;K328&amp;","&amp;K328),CONCATENATE(","&amp;K328))))))&amp;
")","")&amp;" "&amp;F328)</f>
        <v/>
      </c>
    </row>
    <row r="329">
      <c r="A329" s="1" t="n">
        <v>428</v>
      </c>
      <c r="B329" s="1">
        <f>A329</f>
        <v/>
      </c>
      <c r="C329" s="1" t="inlineStr">
        <is>
          <t>vB7am20</t>
        </is>
      </c>
      <c r="D329" s="1" t="inlineStr">
        <is>
          <t>數值</t>
        </is>
      </c>
      <c r="E329" s="9" t="n">
        <v>2</v>
      </c>
      <c r="G329" s="1" t="inlineStr">
        <is>
          <t>range</t>
        </is>
      </c>
      <c r="H329" s="1" t="inlineStr">
        <is>
          <t>0,1</t>
        </is>
      </c>
      <c r="I329" s="1" t="inlineStr">
        <is>
          <t>96</t>
        </is>
      </c>
      <c r="L329" s="2">
        <f>_xlfn.CONCAT(IF(D329="數值",CONCATENATE(G329&amp;"("&amp;C329&amp;","&amp;
IF(ISERROR(SEARCH(",",H329,1)),(H329&amp;","&amp;H329),H329)&amp;
IF(ISBLANK(I329),"",IF(ISERROR(SEARCH(",",I329,1)),CONCATENATE(","&amp;I329&amp;","&amp;I329),CONCATENATE(","&amp;I329))&amp;
IF(ISBLANK(J329),"",IF(ISERROR(SEARCH(",",J329,1)),CONCATENATE(","&amp;J329&amp;","&amp;J329),CONCATENATE(","&amp;J329))&amp;
IF(ISBLANK(K329),"",IF(ISERROR(SEARCH(",",K329,1)),CONCATENATE(","&amp;K329&amp;","&amp;K329),CONCATENATE(","&amp;K329))))))&amp;
")","")&amp;" "&amp;F329)</f>
        <v/>
      </c>
    </row>
    <row r="330">
      <c r="A330" s="1" t="n">
        <v>429</v>
      </c>
      <c r="B330" s="1">
        <f>A330</f>
        <v/>
      </c>
      <c r="C330" s="1" t="inlineStr">
        <is>
          <t>vB7am21</t>
        </is>
      </c>
      <c r="D330" s="1" t="inlineStr">
        <is>
          <t>數值</t>
        </is>
      </c>
      <c r="E330" s="9" t="n">
        <v>2</v>
      </c>
      <c r="G330" s="1" t="inlineStr">
        <is>
          <t>range</t>
        </is>
      </c>
      <c r="H330" s="1" t="inlineStr">
        <is>
          <t>0,1</t>
        </is>
      </c>
      <c r="I330" s="1" t="inlineStr">
        <is>
          <t>96</t>
        </is>
      </c>
      <c r="L330" s="2">
        <f>_xlfn.CONCAT(IF(D330="數值",CONCATENATE(G330&amp;"("&amp;C330&amp;","&amp;
IF(ISERROR(SEARCH(",",H330,1)),(H330&amp;","&amp;H330),H330)&amp;
IF(ISBLANK(I330),"",IF(ISERROR(SEARCH(",",I330,1)),CONCATENATE(","&amp;I330&amp;","&amp;I330),CONCATENATE(","&amp;I330))&amp;
IF(ISBLANK(J330),"",IF(ISERROR(SEARCH(",",J330,1)),CONCATENATE(","&amp;J330&amp;","&amp;J330),CONCATENATE(","&amp;J330))&amp;
IF(ISBLANK(K330),"",IF(ISERROR(SEARCH(",",K330,1)),CONCATENATE(","&amp;K330&amp;","&amp;K330),CONCATENATE(","&amp;K330))))))&amp;
")","")&amp;" "&amp;F330)</f>
        <v/>
      </c>
    </row>
    <row r="331">
      <c r="A331" s="1" t="n">
        <v>430</v>
      </c>
      <c r="B331" s="1">
        <f>A331</f>
        <v/>
      </c>
      <c r="C331" s="1" t="inlineStr">
        <is>
          <t>vB7am22</t>
        </is>
      </c>
      <c r="D331" s="1" t="inlineStr">
        <is>
          <t>數值</t>
        </is>
      </c>
      <c r="E331" s="9" t="n">
        <v>2</v>
      </c>
      <c r="G331" s="1" t="inlineStr">
        <is>
          <t>range</t>
        </is>
      </c>
      <c r="H331" s="1" t="inlineStr">
        <is>
          <t>0,1</t>
        </is>
      </c>
      <c r="I331" s="1" t="inlineStr">
        <is>
          <t>96</t>
        </is>
      </c>
      <c r="L331" s="2">
        <f>_xlfn.CONCAT(IF(D331="數值",CONCATENATE(G331&amp;"("&amp;C331&amp;","&amp;
IF(ISERROR(SEARCH(",",H331,1)),(H331&amp;","&amp;H331),H331)&amp;
IF(ISBLANK(I331),"",IF(ISERROR(SEARCH(",",I331,1)),CONCATENATE(","&amp;I331&amp;","&amp;I331),CONCATENATE(","&amp;I331))&amp;
IF(ISBLANK(J331),"",IF(ISERROR(SEARCH(",",J331,1)),CONCATENATE(","&amp;J331&amp;","&amp;J331),CONCATENATE(","&amp;J331))&amp;
IF(ISBLANK(K331),"",IF(ISERROR(SEARCH(",",K331,1)),CONCATENATE(","&amp;K331&amp;","&amp;K331),CONCATENATE(","&amp;K331))))))&amp;
")","")&amp;" "&amp;F331)</f>
        <v/>
      </c>
    </row>
    <row r="332">
      <c r="A332" s="1" t="n">
        <v>431</v>
      </c>
      <c r="B332" s="1">
        <f>A332</f>
        <v/>
      </c>
      <c r="C332" s="1" t="inlineStr">
        <is>
          <t>vB7am23</t>
        </is>
      </c>
      <c r="D332" s="1" t="inlineStr">
        <is>
          <t>數值</t>
        </is>
      </c>
      <c r="E332" s="9" t="n">
        <v>2</v>
      </c>
      <c r="G332" s="1" t="inlineStr">
        <is>
          <t>range</t>
        </is>
      </c>
      <c r="H332" s="1" t="inlineStr">
        <is>
          <t>0,1</t>
        </is>
      </c>
      <c r="I332" s="1" t="inlineStr">
        <is>
          <t>96</t>
        </is>
      </c>
      <c r="L332" s="2">
        <f>_xlfn.CONCAT(IF(D332="數值",CONCATENATE(G332&amp;"("&amp;C332&amp;","&amp;
IF(ISERROR(SEARCH(",",H332,1)),(H332&amp;","&amp;H332),H332)&amp;
IF(ISBLANK(I332),"",IF(ISERROR(SEARCH(",",I332,1)),CONCATENATE(","&amp;I332&amp;","&amp;I332),CONCATENATE(","&amp;I332))&amp;
IF(ISBLANK(J332),"",IF(ISERROR(SEARCH(",",J332,1)),CONCATENATE(","&amp;J332&amp;","&amp;J332),CONCATENATE(","&amp;J332))&amp;
IF(ISBLANK(K332),"",IF(ISERROR(SEARCH(",",K332,1)),CONCATENATE(","&amp;K332&amp;","&amp;K332),CONCATENATE(","&amp;K332))))))&amp;
")","")&amp;" "&amp;F332)</f>
        <v/>
      </c>
    </row>
    <row r="333">
      <c r="A333" s="1" t="n">
        <v>432</v>
      </c>
      <c r="B333" s="1">
        <f>A333</f>
        <v/>
      </c>
      <c r="C333" s="1" t="inlineStr">
        <is>
          <t>vB7am24</t>
        </is>
      </c>
      <c r="D333" s="1" t="inlineStr">
        <is>
          <t>數值</t>
        </is>
      </c>
      <c r="E333" s="9" t="n">
        <v>2</v>
      </c>
      <c r="G333" s="1" t="inlineStr">
        <is>
          <t>range</t>
        </is>
      </c>
      <c r="H333" s="1" t="inlineStr">
        <is>
          <t>0,1</t>
        </is>
      </c>
      <c r="I333" s="1" t="inlineStr">
        <is>
          <t>96</t>
        </is>
      </c>
      <c r="L333" s="2">
        <f>_xlfn.CONCAT(IF(D333="數值",CONCATENATE(G333&amp;"("&amp;C333&amp;","&amp;
IF(ISERROR(SEARCH(",",H333,1)),(H333&amp;","&amp;H333),H333)&amp;
IF(ISBLANK(I333),"",IF(ISERROR(SEARCH(",",I333,1)),CONCATENATE(","&amp;I333&amp;","&amp;I333),CONCATENATE(","&amp;I333))&amp;
IF(ISBLANK(J333),"",IF(ISERROR(SEARCH(",",J333,1)),CONCATENATE(","&amp;J333&amp;","&amp;J333),CONCATENATE(","&amp;J333))&amp;
IF(ISBLANK(K333),"",IF(ISERROR(SEARCH(",",K333,1)),CONCATENATE(","&amp;K333&amp;","&amp;K333),CONCATENATE(","&amp;K333))))))&amp;
")","")&amp;" "&amp;F333)</f>
        <v/>
      </c>
    </row>
    <row r="334">
      <c r="A334" s="1" t="n">
        <v>433</v>
      </c>
      <c r="B334" s="1">
        <f>A334</f>
        <v/>
      </c>
      <c r="C334" s="1" t="inlineStr">
        <is>
          <t>vB7am25</t>
        </is>
      </c>
      <c r="D334" s="1" t="inlineStr">
        <is>
          <t>數值</t>
        </is>
      </c>
      <c r="E334" s="9" t="n">
        <v>2</v>
      </c>
      <c r="G334" s="1" t="inlineStr">
        <is>
          <t>range</t>
        </is>
      </c>
      <c r="H334" s="1" t="inlineStr">
        <is>
          <t>0,1</t>
        </is>
      </c>
      <c r="I334" s="1" t="inlineStr">
        <is>
          <t>96</t>
        </is>
      </c>
      <c r="L334" s="2">
        <f>_xlfn.CONCAT(IF(D334="數值",CONCATENATE(G334&amp;"("&amp;C334&amp;","&amp;
IF(ISERROR(SEARCH(",",H334,1)),(H334&amp;","&amp;H334),H334)&amp;
IF(ISBLANK(I334),"",IF(ISERROR(SEARCH(",",I334,1)),CONCATENATE(","&amp;I334&amp;","&amp;I334),CONCATENATE(","&amp;I334))&amp;
IF(ISBLANK(J334),"",IF(ISERROR(SEARCH(",",J334,1)),CONCATENATE(","&amp;J334&amp;","&amp;J334),CONCATENATE(","&amp;J334))&amp;
IF(ISBLANK(K334),"",IF(ISERROR(SEARCH(",",K334,1)),CONCATENATE(","&amp;K334&amp;","&amp;K334),CONCATENATE(","&amp;K334))))))&amp;
")","")&amp;" "&amp;F334)</f>
        <v/>
      </c>
    </row>
    <row r="335">
      <c r="A335" s="1" t="n">
        <v>434</v>
      </c>
      <c r="B335" s="1">
        <f>A335</f>
        <v/>
      </c>
      <c r="C335" s="1" t="inlineStr">
        <is>
          <t>vB7am26</t>
        </is>
      </c>
      <c r="D335" s="1" t="inlineStr">
        <is>
          <t>數值</t>
        </is>
      </c>
      <c r="E335" s="9" t="n">
        <v>2</v>
      </c>
      <c r="G335" s="1" t="inlineStr">
        <is>
          <t>range</t>
        </is>
      </c>
      <c r="H335" s="1" t="inlineStr">
        <is>
          <t>0,1</t>
        </is>
      </c>
      <c r="I335" s="1" t="inlineStr">
        <is>
          <t>96</t>
        </is>
      </c>
      <c r="L335" s="2">
        <f>_xlfn.CONCAT(IF(D335="數值",CONCATENATE(G335&amp;"("&amp;C335&amp;","&amp;
IF(ISERROR(SEARCH(",",H335,1)),(H335&amp;","&amp;H335),H335)&amp;
IF(ISBLANK(I335),"",IF(ISERROR(SEARCH(",",I335,1)),CONCATENATE(","&amp;I335&amp;","&amp;I335),CONCATENATE(","&amp;I335))&amp;
IF(ISBLANK(J335),"",IF(ISERROR(SEARCH(",",J335,1)),CONCATENATE(","&amp;J335&amp;","&amp;J335),CONCATENATE(","&amp;J335))&amp;
IF(ISBLANK(K335),"",IF(ISERROR(SEARCH(",",K335,1)),CONCATENATE(","&amp;K335&amp;","&amp;K335),CONCATENATE(","&amp;K335))))))&amp;
")","")&amp;" "&amp;F335)</f>
        <v/>
      </c>
    </row>
    <row r="336">
      <c r="A336" s="1" t="n">
        <v>435</v>
      </c>
      <c r="B336" s="1">
        <f>A336</f>
        <v/>
      </c>
      <c r="C336" s="1" t="inlineStr">
        <is>
          <t>vB7am27</t>
        </is>
      </c>
      <c r="D336" s="1" t="inlineStr">
        <is>
          <t>數值</t>
        </is>
      </c>
      <c r="E336" s="9" t="n">
        <v>2</v>
      </c>
      <c r="G336" s="1" t="inlineStr">
        <is>
          <t>range</t>
        </is>
      </c>
      <c r="H336" s="1" t="inlineStr">
        <is>
          <t>0,1</t>
        </is>
      </c>
      <c r="I336" s="1" t="inlineStr">
        <is>
          <t>96</t>
        </is>
      </c>
      <c r="L336" s="2">
        <f>_xlfn.CONCAT(IF(D336="數值",CONCATENATE(G336&amp;"("&amp;C336&amp;","&amp;
IF(ISERROR(SEARCH(",",H336,1)),(H336&amp;","&amp;H336),H336)&amp;
IF(ISBLANK(I336),"",IF(ISERROR(SEARCH(",",I336,1)),CONCATENATE(","&amp;I336&amp;","&amp;I336),CONCATENATE(","&amp;I336))&amp;
IF(ISBLANK(J336),"",IF(ISERROR(SEARCH(",",J336,1)),CONCATENATE(","&amp;J336&amp;","&amp;J336),CONCATENATE(","&amp;J336))&amp;
IF(ISBLANK(K336),"",IF(ISERROR(SEARCH(",",K336,1)),CONCATENATE(","&amp;K336&amp;","&amp;K336),CONCATENATE(","&amp;K336))))))&amp;
")","")&amp;" "&amp;F336)</f>
        <v/>
      </c>
    </row>
    <row r="337">
      <c r="A337" s="1" t="n">
        <v>436</v>
      </c>
      <c r="B337" s="1">
        <f>A337</f>
        <v/>
      </c>
      <c r="C337" s="1" t="inlineStr">
        <is>
          <t>vB7am28</t>
        </is>
      </c>
      <c r="D337" s="1" t="inlineStr">
        <is>
          <t>數值</t>
        </is>
      </c>
      <c r="E337" s="9" t="n">
        <v>2</v>
      </c>
      <c r="G337" s="1" t="inlineStr">
        <is>
          <t>range</t>
        </is>
      </c>
      <c r="H337" s="1" t="inlineStr">
        <is>
          <t>0,1</t>
        </is>
      </c>
      <c r="I337" s="1" t="inlineStr">
        <is>
          <t>96</t>
        </is>
      </c>
      <c r="L337" s="2">
        <f>_xlfn.CONCAT(IF(D337="數值",CONCATENATE(G337&amp;"("&amp;C337&amp;","&amp;
IF(ISERROR(SEARCH(",",H337,1)),(H337&amp;","&amp;H337),H337)&amp;
IF(ISBLANK(I337),"",IF(ISERROR(SEARCH(",",I337,1)),CONCATENATE(","&amp;I337&amp;","&amp;I337),CONCATENATE(","&amp;I337))&amp;
IF(ISBLANK(J337),"",IF(ISERROR(SEARCH(",",J337,1)),CONCATENATE(","&amp;J337&amp;","&amp;J337),CONCATENATE(","&amp;J337))&amp;
IF(ISBLANK(K337),"",IF(ISERROR(SEARCH(",",K337,1)),CONCATENATE(","&amp;K337&amp;","&amp;K337),CONCATENATE(","&amp;K337))))))&amp;
")","")&amp;" "&amp;F337)</f>
        <v/>
      </c>
    </row>
    <row r="338">
      <c r="A338" s="1" t="n">
        <v>437</v>
      </c>
      <c r="B338" s="1">
        <f>A338</f>
        <v/>
      </c>
      <c r="C338" s="1" t="inlineStr">
        <is>
          <t>vB7am29</t>
        </is>
      </c>
      <c r="D338" s="1" t="inlineStr">
        <is>
          <t>數值</t>
        </is>
      </c>
      <c r="E338" s="9" t="n">
        <v>2</v>
      </c>
      <c r="G338" s="1" t="inlineStr">
        <is>
          <t>range</t>
        </is>
      </c>
      <c r="H338" s="1" t="inlineStr">
        <is>
          <t>0,1</t>
        </is>
      </c>
      <c r="I338" s="1" t="inlineStr">
        <is>
          <t>96</t>
        </is>
      </c>
      <c r="L338" s="2">
        <f>_xlfn.CONCAT(IF(D338="數值",CONCATENATE(G338&amp;"("&amp;C338&amp;","&amp;
IF(ISERROR(SEARCH(",",H338,1)),(H338&amp;","&amp;H338),H338)&amp;
IF(ISBLANK(I338),"",IF(ISERROR(SEARCH(",",I338,1)),CONCATENATE(","&amp;I338&amp;","&amp;I338),CONCATENATE(","&amp;I338))&amp;
IF(ISBLANK(J338),"",IF(ISERROR(SEARCH(",",J338,1)),CONCATENATE(","&amp;J338&amp;","&amp;J338),CONCATENATE(","&amp;J338))&amp;
IF(ISBLANK(K338),"",IF(ISERROR(SEARCH(",",K338,1)),CONCATENATE(","&amp;K338&amp;","&amp;K338),CONCATENATE(","&amp;K338))))))&amp;
")","")&amp;" "&amp;F338)</f>
        <v/>
      </c>
    </row>
    <row r="339">
      <c r="A339" s="1" t="n">
        <v>438</v>
      </c>
      <c r="B339" s="1">
        <f>A339</f>
        <v/>
      </c>
      <c r="C339" s="1" t="inlineStr">
        <is>
          <t>vB7am30</t>
        </is>
      </c>
      <c r="D339" s="1" t="inlineStr">
        <is>
          <t>數值</t>
        </is>
      </c>
      <c r="E339" s="9" t="n">
        <v>2</v>
      </c>
      <c r="G339" s="1" t="inlineStr">
        <is>
          <t>range</t>
        </is>
      </c>
      <c r="H339" s="1" t="inlineStr">
        <is>
          <t>0,1</t>
        </is>
      </c>
      <c r="I339" s="1" t="inlineStr">
        <is>
          <t>96</t>
        </is>
      </c>
      <c r="L339" s="2">
        <f>_xlfn.CONCAT(IF(D339="數值",CONCATENATE(G339&amp;"("&amp;C339&amp;","&amp;
IF(ISERROR(SEARCH(",",H339,1)),(H339&amp;","&amp;H339),H339)&amp;
IF(ISBLANK(I339),"",IF(ISERROR(SEARCH(",",I339,1)),CONCATENATE(","&amp;I339&amp;","&amp;I339),CONCATENATE(","&amp;I339))&amp;
IF(ISBLANK(J339),"",IF(ISERROR(SEARCH(",",J339,1)),CONCATENATE(","&amp;J339&amp;","&amp;J339),CONCATENATE(","&amp;J339))&amp;
IF(ISBLANK(K339),"",IF(ISERROR(SEARCH(",",K339,1)),CONCATENATE(","&amp;K339&amp;","&amp;K339),CONCATENATE(","&amp;K339))))))&amp;
")","")&amp;" "&amp;F339)</f>
        <v/>
      </c>
    </row>
    <row r="340">
      <c r="A340" s="1" t="n">
        <v>439</v>
      </c>
      <c r="B340" s="1">
        <f>A340</f>
        <v/>
      </c>
      <c r="C340" s="1" t="inlineStr">
        <is>
          <t>vB7am31</t>
        </is>
      </c>
      <c r="D340" s="1" t="inlineStr">
        <is>
          <t>數值</t>
        </is>
      </c>
      <c r="E340" s="9" t="n">
        <v>2</v>
      </c>
      <c r="G340" s="1" t="inlineStr">
        <is>
          <t>range</t>
        </is>
      </c>
      <c r="H340" s="1" t="inlineStr">
        <is>
          <t>0,1</t>
        </is>
      </c>
      <c r="I340" s="1" t="inlineStr">
        <is>
          <t>96</t>
        </is>
      </c>
      <c r="L340" s="2">
        <f>_xlfn.CONCAT(IF(D340="數值",CONCATENATE(G340&amp;"("&amp;C340&amp;","&amp;
IF(ISERROR(SEARCH(",",H340,1)),(H340&amp;","&amp;H340),H340)&amp;
IF(ISBLANK(I340),"",IF(ISERROR(SEARCH(",",I340,1)),CONCATENATE(","&amp;I340&amp;","&amp;I340),CONCATENATE(","&amp;I340))&amp;
IF(ISBLANK(J340),"",IF(ISERROR(SEARCH(",",J340,1)),CONCATENATE(","&amp;J340&amp;","&amp;J340),CONCATENATE(","&amp;J340))&amp;
IF(ISBLANK(K340),"",IF(ISERROR(SEARCH(",",K340,1)),CONCATENATE(","&amp;K340&amp;","&amp;K340),CONCATENATE(","&amp;K340))))))&amp;
")","")&amp;" "&amp;F340)</f>
        <v/>
      </c>
    </row>
    <row r="341">
      <c r="A341" s="1" t="n">
        <v>440</v>
      </c>
      <c r="B341" s="1">
        <f>A341</f>
        <v/>
      </c>
      <c r="C341" s="1" t="inlineStr">
        <is>
          <t>vB7am32</t>
        </is>
      </c>
      <c r="D341" s="1" t="inlineStr">
        <is>
          <t>數值</t>
        </is>
      </c>
      <c r="E341" s="9" t="n">
        <v>2</v>
      </c>
      <c r="G341" s="1" t="inlineStr">
        <is>
          <t>range</t>
        </is>
      </c>
      <c r="H341" s="1" t="inlineStr">
        <is>
          <t>0,1</t>
        </is>
      </c>
      <c r="I341" s="1" t="inlineStr">
        <is>
          <t>96</t>
        </is>
      </c>
      <c r="L341" s="2">
        <f>_xlfn.CONCAT(IF(D341="數值",CONCATENATE(G341&amp;"("&amp;C341&amp;","&amp;
IF(ISERROR(SEARCH(",",H341,1)),(H341&amp;","&amp;H341),H341)&amp;
IF(ISBLANK(I341),"",IF(ISERROR(SEARCH(",",I341,1)),CONCATENATE(","&amp;I341&amp;","&amp;I341),CONCATENATE(","&amp;I341))&amp;
IF(ISBLANK(J341),"",IF(ISERROR(SEARCH(",",J341,1)),CONCATENATE(","&amp;J341&amp;","&amp;J341),CONCATENATE(","&amp;J341))&amp;
IF(ISBLANK(K341),"",IF(ISERROR(SEARCH(",",K341,1)),CONCATENATE(","&amp;K341&amp;","&amp;K341),CONCATENATE(","&amp;K341))))))&amp;
")","")&amp;" "&amp;F341)</f>
        <v/>
      </c>
    </row>
    <row r="342">
      <c r="A342" s="1" t="n">
        <v>441</v>
      </c>
      <c r="B342" s="1">
        <f>A342</f>
        <v/>
      </c>
      <c r="C342" s="1" t="inlineStr">
        <is>
          <t>vB7am33</t>
        </is>
      </c>
      <c r="D342" s="1" t="inlineStr">
        <is>
          <t>數值</t>
        </is>
      </c>
      <c r="E342" s="9" t="n">
        <v>2</v>
      </c>
      <c r="G342" s="1" t="inlineStr">
        <is>
          <t>range</t>
        </is>
      </c>
      <c r="H342" s="1" t="inlineStr">
        <is>
          <t>0,1</t>
        </is>
      </c>
      <c r="I342" s="1" t="inlineStr">
        <is>
          <t>96</t>
        </is>
      </c>
      <c r="L342" s="2">
        <f>_xlfn.CONCAT(IF(D342="數值",CONCATENATE(G342&amp;"("&amp;C342&amp;","&amp;
IF(ISERROR(SEARCH(",",H342,1)),(H342&amp;","&amp;H342),H342)&amp;
IF(ISBLANK(I342),"",IF(ISERROR(SEARCH(",",I342,1)),CONCATENATE(","&amp;I342&amp;","&amp;I342),CONCATENATE(","&amp;I342))&amp;
IF(ISBLANK(J342),"",IF(ISERROR(SEARCH(",",J342,1)),CONCATENATE(","&amp;J342&amp;","&amp;J342),CONCATENATE(","&amp;J342))&amp;
IF(ISBLANK(K342),"",IF(ISERROR(SEARCH(",",K342,1)),CONCATENATE(","&amp;K342&amp;","&amp;K342),CONCATENATE(","&amp;K342))))))&amp;
")","")&amp;" "&amp;F342)</f>
        <v/>
      </c>
    </row>
    <row r="343">
      <c r="A343" s="1" t="n">
        <v>442</v>
      </c>
      <c r="B343" s="1">
        <f>A343</f>
        <v/>
      </c>
      <c r="C343" s="1" t="inlineStr">
        <is>
          <t>vB7am34</t>
        </is>
      </c>
      <c r="D343" s="1" t="inlineStr">
        <is>
          <t>數值</t>
        </is>
      </c>
      <c r="E343" s="9" t="n">
        <v>2</v>
      </c>
      <c r="G343" s="1" t="inlineStr">
        <is>
          <t>range</t>
        </is>
      </c>
      <c r="H343" s="1" t="inlineStr">
        <is>
          <t>0,1</t>
        </is>
      </c>
      <c r="I343" s="1" t="inlineStr">
        <is>
          <t>96</t>
        </is>
      </c>
      <c r="L343" s="2">
        <f>_xlfn.CONCAT(IF(D343="數值",CONCATENATE(G343&amp;"("&amp;C343&amp;","&amp;
IF(ISERROR(SEARCH(",",H343,1)),(H343&amp;","&amp;H343),H343)&amp;
IF(ISBLANK(I343),"",IF(ISERROR(SEARCH(",",I343,1)),CONCATENATE(","&amp;I343&amp;","&amp;I343),CONCATENATE(","&amp;I343))&amp;
IF(ISBLANK(J343),"",IF(ISERROR(SEARCH(",",J343,1)),CONCATENATE(","&amp;J343&amp;","&amp;J343),CONCATENATE(","&amp;J343))&amp;
IF(ISBLANK(K343),"",IF(ISERROR(SEARCH(",",K343,1)),CONCATENATE(","&amp;K343&amp;","&amp;K343),CONCATENATE(","&amp;K343))))))&amp;
")","")&amp;" "&amp;F343)</f>
        <v/>
      </c>
    </row>
    <row r="344">
      <c r="A344" s="1" t="n">
        <v>443</v>
      </c>
      <c r="B344" s="1">
        <f>A344</f>
        <v/>
      </c>
      <c r="C344" s="1" t="inlineStr">
        <is>
          <t>vB7am35</t>
        </is>
      </c>
      <c r="D344" s="1" t="inlineStr">
        <is>
          <t>數值</t>
        </is>
      </c>
      <c r="E344" s="9" t="n">
        <v>2</v>
      </c>
      <c r="G344" s="1" t="inlineStr">
        <is>
          <t>range</t>
        </is>
      </c>
      <c r="H344" s="1" t="inlineStr">
        <is>
          <t>0,1</t>
        </is>
      </c>
      <c r="I344" s="1" t="inlineStr">
        <is>
          <t>96</t>
        </is>
      </c>
      <c r="L344" s="2">
        <f>_xlfn.CONCAT(IF(D344="數值",CONCATENATE(G344&amp;"("&amp;C344&amp;","&amp;
IF(ISERROR(SEARCH(",",H344,1)),(H344&amp;","&amp;H344),H344)&amp;
IF(ISBLANK(I344),"",IF(ISERROR(SEARCH(",",I344,1)),CONCATENATE(","&amp;I344&amp;","&amp;I344),CONCATENATE(","&amp;I344))&amp;
IF(ISBLANK(J344),"",IF(ISERROR(SEARCH(",",J344,1)),CONCATENATE(","&amp;J344&amp;","&amp;J344),CONCATENATE(","&amp;J344))&amp;
IF(ISBLANK(K344),"",IF(ISERROR(SEARCH(",",K344,1)),CONCATENATE(","&amp;K344&amp;","&amp;K344),CONCATENATE(","&amp;K344))))))&amp;
")","")&amp;" "&amp;F344)</f>
        <v/>
      </c>
    </row>
    <row r="345">
      <c r="A345" s="1" t="n">
        <v>444</v>
      </c>
      <c r="B345" s="1">
        <f>A345</f>
        <v/>
      </c>
      <c r="C345" s="1" t="inlineStr">
        <is>
          <t>vB7am36</t>
        </is>
      </c>
      <c r="D345" s="1" t="inlineStr">
        <is>
          <t>數值</t>
        </is>
      </c>
      <c r="E345" s="9" t="n">
        <v>2</v>
      </c>
      <c r="G345" s="1" t="inlineStr">
        <is>
          <t>range</t>
        </is>
      </c>
      <c r="H345" s="1" t="inlineStr">
        <is>
          <t>0,1</t>
        </is>
      </c>
      <c r="I345" s="1" t="inlineStr">
        <is>
          <t>96</t>
        </is>
      </c>
      <c r="L345" s="2">
        <f>_xlfn.CONCAT(IF(D345="數值",CONCATENATE(G345&amp;"("&amp;C345&amp;","&amp;
IF(ISERROR(SEARCH(",",H345,1)),(H345&amp;","&amp;H345),H345)&amp;
IF(ISBLANK(I345),"",IF(ISERROR(SEARCH(",",I345,1)),CONCATENATE(","&amp;I345&amp;","&amp;I345),CONCATENATE(","&amp;I345))&amp;
IF(ISBLANK(J345),"",IF(ISERROR(SEARCH(",",J345,1)),CONCATENATE(","&amp;J345&amp;","&amp;J345),CONCATENATE(","&amp;J345))&amp;
IF(ISBLANK(K345),"",IF(ISERROR(SEARCH(",",K345,1)),CONCATENATE(","&amp;K345&amp;","&amp;K345),CONCATENATE(","&amp;K345))))))&amp;
")","")&amp;" "&amp;F345)</f>
        <v/>
      </c>
    </row>
    <row r="346">
      <c r="A346" s="1" t="n">
        <v>445</v>
      </c>
      <c r="B346" s="1">
        <f>A346</f>
        <v/>
      </c>
      <c r="C346" s="1" t="inlineStr">
        <is>
          <t>vB7am37</t>
        </is>
      </c>
      <c r="D346" s="1" t="inlineStr">
        <is>
          <t>數值</t>
        </is>
      </c>
      <c r="E346" s="9" t="n">
        <v>2</v>
      </c>
      <c r="G346" s="1" t="inlineStr">
        <is>
          <t>range</t>
        </is>
      </c>
      <c r="H346" s="1" t="inlineStr">
        <is>
          <t>0,1</t>
        </is>
      </c>
      <c r="I346" s="1" t="inlineStr">
        <is>
          <t>96</t>
        </is>
      </c>
      <c r="L346" s="2">
        <f>_xlfn.CONCAT(IF(D346="數值",CONCATENATE(G346&amp;"("&amp;C346&amp;","&amp;
IF(ISERROR(SEARCH(",",H346,1)),(H346&amp;","&amp;H346),H346)&amp;
IF(ISBLANK(I346),"",IF(ISERROR(SEARCH(",",I346,1)),CONCATENATE(","&amp;I346&amp;","&amp;I346),CONCATENATE(","&amp;I346))&amp;
IF(ISBLANK(J346),"",IF(ISERROR(SEARCH(",",J346,1)),CONCATENATE(","&amp;J346&amp;","&amp;J346),CONCATENATE(","&amp;J346))&amp;
IF(ISBLANK(K346),"",IF(ISERROR(SEARCH(",",K346,1)),CONCATENATE(","&amp;K346&amp;","&amp;K346),CONCATENATE(","&amp;K346))))))&amp;
")","")&amp;" "&amp;F346)</f>
        <v/>
      </c>
    </row>
    <row r="347">
      <c r="A347" s="1" t="n">
        <v>446</v>
      </c>
      <c r="B347" s="1">
        <f>A347</f>
        <v/>
      </c>
      <c r="C347" s="1" t="inlineStr">
        <is>
          <t>vB7am38</t>
        </is>
      </c>
      <c r="D347" s="1" t="inlineStr">
        <is>
          <t>數值</t>
        </is>
      </c>
      <c r="E347" s="9" t="n">
        <v>2</v>
      </c>
      <c r="G347" s="1" t="inlineStr">
        <is>
          <t>range</t>
        </is>
      </c>
      <c r="H347" s="1" t="inlineStr">
        <is>
          <t>0,1</t>
        </is>
      </c>
      <c r="I347" s="1" t="inlineStr">
        <is>
          <t>96</t>
        </is>
      </c>
      <c r="L347" s="2">
        <f>_xlfn.CONCAT(IF(D347="數值",CONCATENATE(G347&amp;"("&amp;C347&amp;","&amp;
IF(ISERROR(SEARCH(",",H347,1)),(H347&amp;","&amp;H347),H347)&amp;
IF(ISBLANK(I347),"",IF(ISERROR(SEARCH(",",I347,1)),CONCATENATE(","&amp;I347&amp;","&amp;I347),CONCATENATE(","&amp;I347))&amp;
IF(ISBLANK(J347),"",IF(ISERROR(SEARCH(",",J347,1)),CONCATENATE(","&amp;J347&amp;","&amp;J347),CONCATENATE(","&amp;J347))&amp;
IF(ISBLANK(K347),"",IF(ISERROR(SEARCH(",",K347,1)),CONCATENATE(","&amp;K347&amp;","&amp;K347),CONCATENATE(","&amp;K347))))))&amp;
")","")&amp;" "&amp;F347)</f>
        <v/>
      </c>
    </row>
    <row r="348">
      <c r="A348" s="1" t="n">
        <v>447</v>
      </c>
      <c r="B348" s="1">
        <f>A348</f>
        <v/>
      </c>
      <c r="C348" s="1" t="inlineStr">
        <is>
          <t>vB7am39</t>
        </is>
      </c>
      <c r="D348" s="1" t="inlineStr">
        <is>
          <t>數值</t>
        </is>
      </c>
      <c r="E348" s="9" t="n">
        <v>2</v>
      </c>
      <c r="G348" s="1" t="inlineStr">
        <is>
          <t>range</t>
        </is>
      </c>
      <c r="H348" s="1" t="inlineStr">
        <is>
          <t>0,1</t>
        </is>
      </c>
      <c r="I348" s="1" t="inlineStr">
        <is>
          <t>96</t>
        </is>
      </c>
      <c r="L348" s="2">
        <f>_xlfn.CONCAT(IF(D348="數值",CONCATENATE(G348&amp;"("&amp;C348&amp;","&amp;
IF(ISERROR(SEARCH(",",H348,1)),(H348&amp;","&amp;H348),H348)&amp;
IF(ISBLANK(I348),"",IF(ISERROR(SEARCH(",",I348,1)),CONCATENATE(","&amp;I348&amp;","&amp;I348),CONCATENATE(","&amp;I348))&amp;
IF(ISBLANK(J348),"",IF(ISERROR(SEARCH(",",J348,1)),CONCATENATE(","&amp;J348&amp;","&amp;J348),CONCATENATE(","&amp;J348))&amp;
IF(ISBLANK(K348),"",IF(ISERROR(SEARCH(",",K348,1)),CONCATENATE(","&amp;K348&amp;","&amp;K348),CONCATENATE(","&amp;K348))))))&amp;
")","")&amp;" "&amp;F348)</f>
        <v/>
      </c>
    </row>
    <row r="349">
      <c r="A349" s="1" t="n">
        <v>448</v>
      </c>
      <c r="B349" s="1">
        <f>A349</f>
        <v/>
      </c>
      <c r="C349" s="1" t="inlineStr">
        <is>
          <t>vB7am40</t>
        </is>
      </c>
      <c r="D349" s="1" t="inlineStr">
        <is>
          <t>數值</t>
        </is>
      </c>
      <c r="E349" s="9" t="n">
        <v>2</v>
      </c>
      <c r="G349" s="1" t="inlineStr">
        <is>
          <t>range</t>
        </is>
      </c>
      <c r="H349" s="1" t="inlineStr">
        <is>
          <t>0,1</t>
        </is>
      </c>
      <c r="I349" s="1" t="inlineStr">
        <is>
          <t>96</t>
        </is>
      </c>
      <c r="L349" s="2">
        <f>_xlfn.CONCAT(IF(D349="數值",CONCATENATE(G349&amp;"("&amp;C349&amp;","&amp;
IF(ISERROR(SEARCH(",",H349,1)),(H349&amp;","&amp;H349),H349)&amp;
IF(ISBLANK(I349),"",IF(ISERROR(SEARCH(",",I349,1)),CONCATENATE(","&amp;I349&amp;","&amp;I349),CONCATENATE(","&amp;I349))&amp;
IF(ISBLANK(J349),"",IF(ISERROR(SEARCH(",",J349,1)),CONCATENATE(","&amp;J349&amp;","&amp;J349),CONCATENATE(","&amp;J349))&amp;
IF(ISBLANK(K349),"",IF(ISERROR(SEARCH(",",K349,1)),CONCATENATE(","&amp;K349&amp;","&amp;K349),CONCATENATE(","&amp;K349))))))&amp;
")","")&amp;" "&amp;F349)</f>
        <v/>
      </c>
    </row>
    <row r="350">
      <c r="A350" s="1" t="n">
        <v>449</v>
      </c>
      <c r="B350" s="1">
        <f>A350</f>
        <v/>
      </c>
      <c r="C350" s="1" t="inlineStr">
        <is>
          <t>vB7am41</t>
        </is>
      </c>
      <c r="D350" s="1" t="inlineStr">
        <is>
          <t>數值</t>
        </is>
      </c>
      <c r="E350" s="9" t="n">
        <v>2</v>
      </c>
      <c r="G350" s="1" t="inlineStr">
        <is>
          <t>range</t>
        </is>
      </c>
      <c r="H350" s="1" t="inlineStr">
        <is>
          <t>0,1</t>
        </is>
      </c>
      <c r="I350" s="1" t="inlineStr">
        <is>
          <t>96</t>
        </is>
      </c>
      <c r="L350" s="2">
        <f>_xlfn.CONCAT(IF(D350="數值",CONCATENATE(G350&amp;"("&amp;C350&amp;","&amp;
IF(ISERROR(SEARCH(",",H350,1)),(H350&amp;","&amp;H350),H350)&amp;
IF(ISBLANK(I350),"",IF(ISERROR(SEARCH(",",I350,1)),CONCATENATE(","&amp;I350&amp;","&amp;I350),CONCATENATE(","&amp;I350))&amp;
IF(ISBLANK(J350),"",IF(ISERROR(SEARCH(",",J350,1)),CONCATENATE(","&amp;J350&amp;","&amp;J350),CONCATENATE(","&amp;J350))&amp;
IF(ISBLANK(K350),"",IF(ISERROR(SEARCH(",",K350,1)),CONCATENATE(","&amp;K350&amp;","&amp;K350),CONCATENATE(","&amp;K350))))))&amp;
")","")&amp;" "&amp;F350)</f>
        <v/>
      </c>
    </row>
    <row r="351">
      <c r="A351" s="1" t="n">
        <v>450</v>
      </c>
      <c r="B351" s="1">
        <f>A351</f>
        <v/>
      </c>
      <c r="C351" s="1" t="inlineStr">
        <is>
          <t>vB7am42</t>
        </is>
      </c>
      <c r="D351" s="1" t="inlineStr">
        <is>
          <t>數值</t>
        </is>
      </c>
      <c r="E351" s="9" t="n">
        <v>2</v>
      </c>
      <c r="G351" s="1" t="inlineStr">
        <is>
          <t>range</t>
        </is>
      </c>
      <c r="H351" s="1" t="inlineStr">
        <is>
          <t>0,1</t>
        </is>
      </c>
      <c r="I351" s="1" t="inlineStr">
        <is>
          <t>96</t>
        </is>
      </c>
      <c r="L351" s="2">
        <f>_xlfn.CONCAT(IF(D351="數值",CONCATENATE(G351&amp;"("&amp;C351&amp;","&amp;
IF(ISERROR(SEARCH(",",H351,1)),(H351&amp;","&amp;H351),H351)&amp;
IF(ISBLANK(I351),"",IF(ISERROR(SEARCH(",",I351,1)),CONCATENATE(","&amp;I351&amp;","&amp;I351),CONCATENATE(","&amp;I351))&amp;
IF(ISBLANK(J351),"",IF(ISERROR(SEARCH(",",J351,1)),CONCATENATE(","&amp;J351&amp;","&amp;J351),CONCATENATE(","&amp;J351))&amp;
IF(ISBLANK(K351),"",IF(ISERROR(SEARCH(",",K351,1)),CONCATENATE(","&amp;K351&amp;","&amp;K351),CONCATENATE(","&amp;K351))))))&amp;
")","")&amp;" "&amp;F351)</f>
        <v/>
      </c>
    </row>
    <row r="352">
      <c r="A352" s="1" t="n">
        <v>451</v>
      </c>
      <c r="B352" s="1">
        <f>A352</f>
        <v/>
      </c>
      <c r="C352" s="1" t="inlineStr">
        <is>
          <t>vB7am43</t>
        </is>
      </c>
      <c r="D352" s="1" t="inlineStr">
        <is>
          <t>數值</t>
        </is>
      </c>
      <c r="E352" s="9" t="n">
        <v>2</v>
      </c>
      <c r="G352" s="1" t="inlineStr">
        <is>
          <t>range</t>
        </is>
      </c>
      <c r="H352" s="1" t="inlineStr">
        <is>
          <t>0,1</t>
        </is>
      </c>
      <c r="I352" s="1" t="inlineStr">
        <is>
          <t>96</t>
        </is>
      </c>
      <c r="L352" s="2">
        <f>_xlfn.CONCAT(IF(D352="數值",CONCATENATE(G352&amp;"("&amp;C352&amp;","&amp;
IF(ISERROR(SEARCH(",",H352,1)),(H352&amp;","&amp;H352),H352)&amp;
IF(ISBLANK(I352),"",IF(ISERROR(SEARCH(",",I352,1)),CONCATENATE(","&amp;I352&amp;","&amp;I352),CONCATENATE(","&amp;I352))&amp;
IF(ISBLANK(J352),"",IF(ISERROR(SEARCH(",",J352,1)),CONCATENATE(","&amp;J352&amp;","&amp;J352),CONCATENATE(","&amp;J352))&amp;
IF(ISBLANK(K352),"",IF(ISERROR(SEARCH(",",K352,1)),CONCATENATE(","&amp;K352&amp;","&amp;K352),CONCATENATE(","&amp;K352))))))&amp;
")","")&amp;" "&amp;F352)</f>
        <v/>
      </c>
    </row>
    <row r="353">
      <c r="A353" s="1" t="n">
        <v>452</v>
      </c>
      <c r="B353" s="1">
        <f>A353</f>
        <v/>
      </c>
      <c r="C353" s="1" t="inlineStr">
        <is>
          <t>vB7am44</t>
        </is>
      </c>
      <c r="D353" s="1" t="inlineStr">
        <is>
          <t>數值</t>
        </is>
      </c>
      <c r="E353" s="9" t="n">
        <v>2</v>
      </c>
      <c r="G353" s="1" t="inlineStr">
        <is>
          <t>range</t>
        </is>
      </c>
      <c r="H353" s="1" t="inlineStr">
        <is>
          <t>0,1</t>
        </is>
      </c>
      <c r="I353" s="1" t="inlineStr">
        <is>
          <t>96</t>
        </is>
      </c>
      <c r="L353" s="2">
        <f>_xlfn.CONCAT(IF(D353="數值",CONCATENATE(G353&amp;"("&amp;C353&amp;","&amp;
IF(ISERROR(SEARCH(",",H353,1)),(H353&amp;","&amp;H353),H353)&amp;
IF(ISBLANK(I353),"",IF(ISERROR(SEARCH(",",I353,1)),CONCATENATE(","&amp;I353&amp;","&amp;I353),CONCATENATE(","&amp;I353))&amp;
IF(ISBLANK(J353),"",IF(ISERROR(SEARCH(",",J353,1)),CONCATENATE(","&amp;J353&amp;","&amp;J353),CONCATENATE(","&amp;J353))&amp;
IF(ISBLANK(K353),"",IF(ISERROR(SEARCH(",",K353,1)),CONCATENATE(","&amp;K353&amp;","&amp;K353),CONCATENATE(","&amp;K353))))))&amp;
")","")&amp;" "&amp;F353)</f>
        <v/>
      </c>
    </row>
    <row r="354">
      <c r="A354" s="1" t="n">
        <v>453</v>
      </c>
      <c r="B354" s="1">
        <f>A354</f>
        <v/>
      </c>
      <c r="C354" s="1" t="inlineStr">
        <is>
          <t>vB7am45</t>
        </is>
      </c>
      <c r="D354" s="1" t="inlineStr">
        <is>
          <t>數值</t>
        </is>
      </c>
      <c r="E354" s="9" t="n">
        <v>2</v>
      </c>
      <c r="G354" s="1" t="inlineStr">
        <is>
          <t>range</t>
        </is>
      </c>
      <c r="H354" s="1" t="inlineStr">
        <is>
          <t>0,1</t>
        </is>
      </c>
      <c r="I354" s="1" t="inlineStr">
        <is>
          <t>96</t>
        </is>
      </c>
      <c r="L354" s="2">
        <f>_xlfn.CONCAT(IF(D354="數值",CONCATENATE(G354&amp;"("&amp;C354&amp;","&amp;
IF(ISERROR(SEARCH(",",H354,1)),(H354&amp;","&amp;H354),H354)&amp;
IF(ISBLANK(I354),"",IF(ISERROR(SEARCH(",",I354,1)),CONCATENATE(","&amp;I354&amp;","&amp;I354),CONCATENATE(","&amp;I354))&amp;
IF(ISBLANK(J354),"",IF(ISERROR(SEARCH(",",J354,1)),CONCATENATE(","&amp;J354&amp;","&amp;J354),CONCATENATE(","&amp;J354))&amp;
IF(ISBLANK(K354),"",IF(ISERROR(SEARCH(",",K354,1)),CONCATENATE(","&amp;K354&amp;","&amp;K354),CONCATENATE(","&amp;K354))))))&amp;
")","")&amp;" "&amp;F354)</f>
        <v/>
      </c>
    </row>
    <row r="355">
      <c r="A355" s="1" t="n">
        <v>454</v>
      </c>
      <c r="B355" s="1">
        <f>A355</f>
        <v/>
      </c>
      <c r="C355" s="1" t="inlineStr">
        <is>
          <t>vB7am46</t>
        </is>
      </c>
      <c r="D355" s="1" t="inlineStr">
        <is>
          <t>數值</t>
        </is>
      </c>
      <c r="E355" s="9" t="n">
        <v>2</v>
      </c>
      <c r="G355" s="1" t="inlineStr">
        <is>
          <t>range</t>
        </is>
      </c>
      <c r="H355" s="1" t="inlineStr">
        <is>
          <t>0,1</t>
        </is>
      </c>
      <c r="I355" s="1" t="inlineStr">
        <is>
          <t>96</t>
        </is>
      </c>
      <c r="L355" s="2">
        <f>_xlfn.CONCAT(IF(D355="數值",CONCATENATE(G355&amp;"("&amp;C355&amp;","&amp;
IF(ISERROR(SEARCH(",",H355,1)),(H355&amp;","&amp;H355),H355)&amp;
IF(ISBLANK(I355),"",IF(ISERROR(SEARCH(",",I355,1)),CONCATENATE(","&amp;I355&amp;","&amp;I355),CONCATENATE(","&amp;I355))&amp;
IF(ISBLANK(J355),"",IF(ISERROR(SEARCH(",",J355,1)),CONCATENATE(","&amp;J355&amp;","&amp;J355),CONCATENATE(","&amp;J355))&amp;
IF(ISBLANK(K355),"",IF(ISERROR(SEARCH(",",K355,1)),CONCATENATE(","&amp;K355&amp;","&amp;K355),CONCATENATE(","&amp;K355))))))&amp;
")","")&amp;" "&amp;F355)</f>
        <v/>
      </c>
    </row>
    <row r="356">
      <c r="A356" s="1" t="n">
        <v>455</v>
      </c>
      <c r="B356" s="1">
        <f>A356</f>
        <v/>
      </c>
      <c r="C356" s="1" t="inlineStr">
        <is>
          <t>vB7am47</t>
        </is>
      </c>
      <c r="D356" s="1" t="inlineStr">
        <is>
          <t>數值</t>
        </is>
      </c>
      <c r="E356" s="9" t="n">
        <v>2</v>
      </c>
      <c r="G356" s="1" t="inlineStr">
        <is>
          <t>range</t>
        </is>
      </c>
      <c r="H356" s="1" t="inlineStr">
        <is>
          <t>0,1</t>
        </is>
      </c>
      <c r="I356" s="1" t="inlineStr">
        <is>
          <t>96</t>
        </is>
      </c>
      <c r="L356" s="2">
        <f>_xlfn.CONCAT(IF(D356="數值",CONCATENATE(G356&amp;"("&amp;C356&amp;","&amp;
IF(ISERROR(SEARCH(",",H356,1)),(H356&amp;","&amp;H356),H356)&amp;
IF(ISBLANK(I356),"",IF(ISERROR(SEARCH(",",I356,1)),CONCATENATE(","&amp;I356&amp;","&amp;I356),CONCATENATE(","&amp;I356))&amp;
IF(ISBLANK(J356),"",IF(ISERROR(SEARCH(",",J356,1)),CONCATENATE(","&amp;J356&amp;","&amp;J356),CONCATENATE(","&amp;J356))&amp;
IF(ISBLANK(K356),"",IF(ISERROR(SEARCH(",",K356,1)),CONCATENATE(","&amp;K356&amp;","&amp;K356),CONCATENATE(","&amp;K356))))))&amp;
")","")&amp;" "&amp;F356)</f>
        <v/>
      </c>
    </row>
    <row r="357">
      <c r="A357" s="1" t="n">
        <v>456</v>
      </c>
      <c r="B357" s="1">
        <f>A357</f>
        <v/>
      </c>
      <c r="C357" s="1" t="inlineStr">
        <is>
          <t>vB7am48</t>
        </is>
      </c>
      <c r="D357" s="1" t="inlineStr">
        <is>
          <t>數值</t>
        </is>
      </c>
      <c r="E357" s="9" t="n">
        <v>2</v>
      </c>
      <c r="G357" s="1" t="inlineStr">
        <is>
          <t>range</t>
        </is>
      </c>
      <c r="H357" s="1" t="inlineStr">
        <is>
          <t>0,1</t>
        </is>
      </c>
      <c r="I357" s="1" t="inlineStr">
        <is>
          <t>96</t>
        </is>
      </c>
      <c r="L357" s="2">
        <f>_xlfn.CONCAT(IF(D357="數值",CONCATENATE(G357&amp;"("&amp;C357&amp;","&amp;
IF(ISERROR(SEARCH(",",H357,1)),(H357&amp;","&amp;H357),H357)&amp;
IF(ISBLANK(I357),"",IF(ISERROR(SEARCH(",",I357,1)),CONCATENATE(","&amp;I357&amp;","&amp;I357),CONCATENATE(","&amp;I357))&amp;
IF(ISBLANK(J357),"",IF(ISERROR(SEARCH(",",J357,1)),CONCATENATE(","&amp;J357&amp;","&amp;J357),CONCATENATE(","&amp;J357))&amp;
IF(ISBLANK(K357),"",IF(ISERROR(SEARCH(",",K357,1)),CONCATENATE(","&amp;K357&amp;","&amp;K357),CONCATENATE(","&amp;K357))))))&amp;
")","")&amp;" "&amp;F357)</f>
        <v/>
      </c>
    </row>
    <row r="358">
      <c r="A358" s="1" t="n">
        <v>457</v>
      </c>
      <c r="B358" s="1">
        <f>A358</f>
        <v/>
      </c>
      <c r="C358" s="1" t="inlineStr">
        <is>
          <t>vB7am49</t>
        </is>
      </c>
      <c r="D358" s="1" t="inlineStr">
        <is>
          <t>數值</t>
        </is>
      </c>
      <c r="E358" s="9" t="n">
        <v>2</v>
      </c>
      <c r="G358" s="1" t="inlineStr">
        <is>
          <t>range</t>
        </is>
      </c>
      <c r="H358" s="1" t="inlineStr">
        <is>
          <t>0,1</t>
        </is>
      </c>
      <c r="I358" s="1" t="inlineStr">
        <is>
          <t>96</t>
        </is>
      </c>
      <c r="L358" s="2">
        <f>_xlfn.CONCAT(IF(D358="數值",CONCATENATE(G358&amp;"("&amp;C358&amp;","&amp;
IF(ISERROR(SEARCH(",",H358,1)),(H358&amp;","&amp;H358),H358)&amp;
IF(ISBLANK(I358),"",IF(ISERROR(SEARCH(",",I358,1)),CONCATENATE(","&amp;I358&amp;","&amp;I358),CONCATENATE(","&amp;I358))&amp;
IF(ISBLANK(J358),"",IF(ISERROR(SEARCH(",",J358,1)),CONCATENATE(","&amp;J358&amp;","&amp;J358),CONCATENATE(","&amp;J358))&amp;
IF(ISBLANK(K358),"",IF(ISERROR(SEARCH(",",K358,1)),CONCATENATE(","&amp;K358&amp;","&amp;K358),CONCATENATE(","&amp;K358))))))&amp;
")","")&amp;" "&amp;F358)</f>
        <v/>
      </c>
    </row>
    <row r="359">
      <c r="A359" s="1" t="n">
        <v>458</v>
      </c>
      <c r="B359" s="1">
        <f>A359</f>
        <v/>
      </c>
      <c r="C359" s="1" t="inlineStr">
        <is>
          <t>vB7am50</t>
        </is>
      </c>
      <c r="D359" s="1" t="inlineStr">
        <is>
          <t>數值</t>
        </is>
      </c>
      <c r="E359" s="9" t="n">
        <v>2</v>
      </c>
      <c r="G359" s="1" t="inlineStr">
        <is>
          <t>range</t>
        </is>
      </c>
      <c r="H359" s="1" t="inlineStr">
        <is>
          <t>0,1</t>
        </is>
      </c>
      <c r="I359" s="1" t="inlineStr">
        <is>
          <t>96</t>
        </is>
      </c>
      <c r="L359" s="2">
        <f>_xlfn.CONCAT(IF(D359="數值",CONCATENATE(G359&amp;"("&amp;C359&amp;","&amp;
IF(ISERROR(SEARCH(",",H359,1)),(H359&amp;","&amp;H359),H359)&amp;
IF(ISBLANK(I359),"",IF(ISERROR(SEARCH(",",I359,1)),CONCATENATE(","&amp;I359&amp;","&amp;I359),CONCATENATE(","&amp;I359))&amp;
IF(ISBLANK(J359),"",IF(ISERROR(SEARCH(",",J359,1)),CONCATENATE(","&amp;J359&amp;","&amp;J359),CONCATENATE(","&amp;J359))&amp;
IF(ISBLANK(K359),"",IF(ISERROR(SEARCH(",",K359,1)),CONCATENATE(","&amp;K359&amp;","&amp;K359),CONCATENATE(","&amp;K359))))))&amp;
")","")&amp;" "&amp;F359)</f>
        <v/>
      </c>
    </row>
    <row r="360">
      <c r="A360" s="1" t="n">
        <v>459</v>
      </c>
      <c r="B360" s="1">
        <f>A360</f>
        <v/>
      </c>
      <c r="C360" s="1" t="inlineStr">
        <is>
          <t>vB7am51</t>
        </is>
      </c>
      <c r="D360" s="1" t="inlineStr">
        <is>
          <t>數值</t>
        </is>
      </c>
      <c r="E360" s="9" t="n">
        <v>2</v>
      </c>
      <c r="G360" s="1" t="inlineStr">
        <is>
          <t>range</t>
        </is>
      </c>
      <c r="H360" s="1" t="inlineStr">
        <is>
          <t>0,1</t>
        </is>
      </c>
      <c r="I360" s="1" t="inlineStr">
        <is>
          <t>96</t>
        </is>
      </c>
      <c r="L360" s="2">
        <f>_xlfn.CONCAT(IF(D360="數值",CONCATENATE(G360&amp;"("&amp;C360&amp;","&amp;
IF(ISERROR(SEARCH(",",H360,1)),(H360&amp;","&amp;H360),H360)&amp;
IF(ISBLANK(I360),"",IF(ISERROR(SEARCH(",",I360,1)),CONCATENATE(","&amp;I360&amp;","&amp;I360),CONCATENATE(","&amp;I360))&amp;
IF(ISBLANK(J360),"",IF(ISERROR(SEARCH(",",J360,1)),CONCATENATE(","&amp;J360&amp;","&amp;J360),CONCATENATE(","&amp;J360))&amp;
IF(ISBLANK(K360),"",IF(ISERROR(SEARCH(",",K360,1)),CONCATENATE(","&amp;K360&amp;","&amp;K360),CONCATENATE(","&amp;K360))))))&amp;
")","")&amp;" "&amp;F360)</f>
        <v/>
      </c>
    </row>
    <row r="361">
      <c r="A361" s="1" t="n">
        <v>460</v>
      </c>
      <c r="B361" s="1">
        <f>A361</f>
        <v/>
      </c>
      <c r="C361" s="1" t="inlineStr">
        <is>
          <t>vB7am52</t>
        </is>
      </c>
      <c r="D361" s="1" t="inlineStr">
        <is>
          <t>數值</t>
        </is>
      </c>
      <c r="E361" s="9" t="n">
        <v>2</v>
      </c>
      <c r="G361" s="1" t="inlineStr">
        <is>
          <t>range</t>
        </is>
      </c>
      <c r="H361" s="1" t="inlineStr">
        <is>
          <t>0,1</t>
        </is>
      </c>
      <c r="I361" s="1" t="inlineStr">
        <is>
          <t>96</t>
        </is>
      </c>
      <c r="L361" s="2">
        <f>_xlfn.CONCAT(IF(D361="數值",CONCATENATE(G361&amp;"("&amp;C361&amp;","&amp;
IF(ISERROR(SEARCH(",",H361,1)),(H361&amp;","&amp;H361),H361)&amp;
IF(ISBLANK(I361),"",IF(ISERROR(SEARCH(",",I361,1)),CONCATENATE(","&amp;I361&amp;","&amp;I361),CONCATENATE(","&amp;I361))&amp;
IF(ISBLANK(J361),"",IF(ISERROR(SEARCH(",",J361,1)),CONCATENATE(","&amp;J361&amp;","&amp;J361),CONCATENATE(","&amp;J361))&amp;
IF(ISBLANK(K361),"",IF(ISERROR(SEARCH(",",K361,1)),CONCATENATE(","&amp;K361&amp;","&amp;K361),CONCATENATE(","&amp;K361))))))&amp;
")","")&amp;" "&amp;F361)</f>
        <v/>
      </c>
    </row>
    <row r="362">
      <c r="A362" s="1" t="n">
        <v>461</v>
      </c>
      <c r="B362" s="1">
        <f>A362</f>
        <v/>
      </c>
      <c r="C362" s="1" t="inlineStr">
        <is>
          <t>vB7am53</t>
        </is>
      </c>
      <c r="D362" s="1" t="inlineStr">
        <is>
          <t>數值</t>
        </is>
      </c>
      <c r="E362" s="9" t="n">
        <v>2</v>
      </c>
      <c r="G362" s="1" t="inlineStr">
        <is>
          <t>range</t>
        </is>
      </c>
      <c r="H362" s="1" t="inlineStr">
        <is>
          <t>0,1</t>
        </is>
      </c>
      <c r="I362" s="1" t="inlineStr">
        <is>
          <t>96</t>
        </is>
      </c>
      <c r="L362" s="2">
        <f>_xlfn.CONCAT(IF(D362="數值",CONCATENATE(G362&amp;"("&amp;C362&amp;","&amp;
IF(ISERROR(SEARCH(",",H362,1)),(H362&amp;","&amp;H362),H362)&amp;
IF(ISBLANK(I362),"",IF(ISERROR(SEARCH(",",I362,1)),CONCATENATE(","&amp;I362&amp;","&amp;I362),CONCATENATE(","&amp;I362))&amp;
IF(ISBLANK(J362),"",IF(ISERROR(SEARCH(",",J362,1)),CONCATENATE(","&amp;J362&amp;","&amp;J362),CONCATENATE(","&amp;J362))&amp;
IF(ISBLANK(K362),"",IF(ISERROR(SEARCH(",",K362,1)),CONCATENATE(","&amp;K362&amp;","&amp;K362),CONCATENATE(","&amp;K362))))))&amp;
")","")&amp;" "&amp;F362)</f>
        <v/>
      </c>
    </row>
    <row r="363">
      <c r="A363" s="1" t="n">
        <v>462</v>
      </c>
      <c r="B363" s="1">
        <f>A363</f>
        <v/>
      </c>
      <c r="C363" s="1" t="inlineStr">
        <is>
          <t>vB7am54</t>
        </is>
      </c>
      <c r="D363" s="1" t="inlineStr">
        <is>
          <t>數值</t>
        </is>
      </c>
      <c r="E363" s="9" t="n">
        <v>2</v>
      </c>
      <c r="G363" s="1" t="inlineStr">
        <is>
          <t>range</t>
        </is>
      </c>
      <c r="H363" s="1" t="inlineStr">
        <is>
          <t>0,1</t>
        </is>
      </c>
      <c r="I363" s="1" t="inlineStr">
        <is>
          <t>96</t>
        </is>
      </c>
      <c r="L363" s="2">
        <f>_xlfn.CONCAT(IF(D363="數值",CONCATENATE(G363&amp;"("&amp;C363&amp;","&amp;
IF(ISERROR(SEARCH(",",H363,1)),(H363&amp;","&amp;H363),H363)&amp;
IF(ISBLANK(I363),"",IF(ISERROR(SEARCH(",",I363,1)),CONCATENATE(","&amp;I363&amp;","&amp;I363),CONCATENATE(","&amp;I363))&amp;
IF(ISBLANK(J363),"",IF(ISERROR(SEARCH(",",J363,1)),CONCATENATE(","&amp;J363&amp;","&amp;J363),CONCATENATE(","&amp;J363))&amp;
IF(ISBLANK(K363),"",IF(ISERROR(SEARCH(",",K363,1)),CONCATENATE(","&amp;K363&amp;","&amp;K363),CONCATENATE(","&amp;K363))))))&amp;
")","")&amp;" "&amp;F363)</f>
        <v/>
      </c>
    </row>
    <row r="364">
      <c r="A364" s="1" t="n">
        <v>463</v>
      </c>
      <c r="B364" s="1">
        <f>A364</f>
        <v/>
      </c>
      <c r="C364" s="1" t="inlineStr">
        <is>
          <t>vB7am88</t>
        </is>
      </c>
      <c r="D364" s="1" t="inlineStr">
        <is>
          <t>數值</t>
        </is>
      </c>
      <c r="E364" s="9" t="n">
        <v>2</v>
      </c>
      <c r="G364" s="1" t="inlineStr">
        <is>
          <t>range</t>
        </is>
      </c>
      <c r="H364" s="1" t="inlineStr">
        <is>
          <t>0,1</t>
        </is>
      </c>
      <c r="I364" s="1" t="inlineStr">
        <is>
          <t>96</t>
        </is>
      </c>
      <c r="L364" s="2">
        <f>_xlfn.CONCAT(IF(D364="數值",CONCATENATE(G364&amp;"("&amp;C364&amp;","&amp;
IF(ISERROR(SEARCH(",",H364,1)),(H364&amp;","&amp;H364),H364)&amp;
IF(ISBLANK(I364),"",IF(ISERROR(SEARCH(",",I364,1)),CONCATENATE(","&amp;I364&amp;","&amp;I364),CONCATENATE(","&amp;I364))&amp;
IF(ISBLANK(J364),"",IF(ISERROR(SEARCH(",",J364,1)),CONCATENATE(","&amp;J364&amp;","&amp;J364),CONCATENATE(","&amp;J364))&amp;
IF(ISBLANK(K364),"",IF(ISERROR(SEARCH(",",K364,1)),CONCATENATE(","&amp;K364&amp;","&amp;K364),CONCATENATE(","&amp;K364))))))&amp;
")","")&amp;" "&amp;F364)</f>
        <v/>
      </c>
    </row>
    <row r="365">
      <c r="A365" s="1" t="n">
        <v>464</v>
      </c>
      <c r="B365" s="1">
        <f>A365</f>
        <v/>
      </c>
      <c r="C365" s="1" t="inlineStr">
        <is>
          <t>vB7</t>
        </is>
      </c>
      <c r="D365" s="1" t="inlineStr">
        <is>
          <t>數值</t>
        </is>
      </c>
      <c r="E365" s="9" t="n">
        <v>2</v>
      </c>
      <c r="G365" s="1" t="inlineStr">
        <is>
          <t>range</t>
        </is>
      </c>
      <c r="H365" s="1" t="inlineStr">
        <is>
          <t>1,88</t>
        </is>
      </c>
      <c r="I365" s="1" t="inlineStr">
        <is>
          <t>97</t>
        </is>
      </c>
      <c r="J365" s="1" t="inlineStr">
        <is>
          <t>98</t>
        </is>
      </c>
      <c r="L365" s="2">
        <f>_xlfn.CONCAT(IF(D365="數值",CONCATENATE(G365&amp;"("&amp;C365&amp;","&amp;
IF(ISERROR(SEARCH(",",H365,1)),(H365&amp;","&amp;H365),H365)&amp;
IF(ISBLANK(I365),"",IF(ISERROR(SEARCH(",",I365,1)),CONCATENATE(","&amp;I365&amp;","&amp;I365),CONCATENATE(","&amp;I365))&amp;
IF(ISBLANK(J365),"",IF(ISERROR(SEARCH(",",J365,1)),CONCATENATE(","&amp;J365&amp;","&amp;J365),CONCATENATE(","&amp;J365))&amp;
IF(ISBLANK(K365),"",IF(ISERROR(SEARCH(",",K365,1)),CONCATENATE(","&amp;K365&amp;","&amp;K365),CONCATENATE(","&amp;K365))))))&amp;
")","")&amp;" "&amp;F365)</f>
        <v/>
      </c>
    </row>
    <row r="366">
      <c r="A366" s="1" t="n">
        <v>465</v>
      </c>
      <c r="B366" s="1">
        <f>A366</f>
        <v/>
      </c>
      <c r="C366" s="1" t="inlineStr">
        <is>
          <t>vB8m01</t>
        </is>
      </c>
      <c r="D366" s="1" t="inlineStr">
        <is>
          <t>數值</t>
        </is>
      </c>
      <c r="E366" s="9" t="n">
        <v>2</v>
      </c>
      <c r="G366" s="1" t="inlineStr">
        <is>
          <t>range</t>
        </is>
      </c>
      <c r="H366" s="1" t="inlineStr">
        <is>
          <t>0,1</t>
        </is>
      </c>
      <c r="L366" s="2">
        <f>_xlfn.CONCAT(IF(D366="數值",CONCATENATE(G366&amp;"("&amp;C366&amp;","&amp;
IF(ISERROR(SEARCH(",",H366,1)),(H366&amp;","&amp;H366),H366)&amp;
IF(ISBLANK(I366),"",IF(ISERROR(SEARCH(",",I366,1)),CONCATENATE(","&amp;I366&amp;","&amp;I366),CONCATENATE(","&amp;I366))&amp;
IF(ISBLANK(J366),"",IF(ISERROR(SEARCH(",",J366,1)),CONCATENATE(","&amp;J366&amp;","&amp;J366),CONCATENATE(","&amp;J366))&amp;
IF(ISBLANK(K366),"",IF(ISERROR(SEARCH(",",K366,1)),CONCATENATE(","&amp;K366&amp;","&amp;K366),CONCATENATE(","&amp;K366))))))&amp;
")","")&amp;" "&amp;F366)</f>
        <v/>
      </c>
    </row>
    <row r="367">
      <c r="A367" s="1" t="n">
        <v>466</v>
      </c>
      <c r="B367" s="1">
        <f>A367</f>
        <v/>
      </c>
      <c r="C367" s="1" t="inlineStr">
        <is>
          <t>vB8m02</t>
        </is>
      </c>
      <c r="D367" s="1" t="inlineStr">
        <is>
          <t>數值</t>
        </is>
      </c>
      <c r="E367" s="9" t="n">
        <v>2</v>
      </c>
      <c r="G367" s="1" t="inlineStr">
        <is>
          <t>range</t>
        </is>
      </c>
      <c r="H367" s="1" t="inlineStr">
        <is>
          <t>0,1</t>
        </is>
      </c>
      <c r="L367" s="2">
        <f>_xlfn.CONCAT(IF(D367="數值",CONCATENATE(G367&amp;"("&amp;C367&amp;","&amp;
IF(ISERROR(SEARCH(",",H367,1)),(H367&amp;","&amp;H367),H367)&amp;
IF(ISBLANK(I367),"",IF(ISERROR(SEARCH(",",I367,1)),CONCATENATE(","&amp;I367&amp;","&amp;I367),CONCATENATE(","&amp;I367))&amp;
IF(ISBLANK(J367),"",IF(ISERROR(SEARCH(",",J367,1)),CONCATENATE(","&amp;J367&amp;","&amp;J367),CONCATENATE(","&amp;J367))&amp;
IF(ISBLANK(K367),"",IF(ISERROR(SEARCH(",",K367,1)),CONCATENATE(","&amp;K367&amp;","&amp;K367),CONCATENATE(","&amp;K367))))))&amp;
")","")&amp;" "&amp;F367)</f>
        <v/>
      </c>
    </row>
    <row r="368">
      <c r="A368" s="1" t="n">
        <v>467</v>
      </c>
      <c r="B368" s="1">
        <f>A368</f>
        <v/>
      </c>
      <c r="C368" s="1" t="inlineStr">
        <is>
          <t>vB8m03</t>
        </is>
      </c>
      <c r="D368" s="1" t="inlineStr">
        <is>
          <t>數值</t>
        </is>
      </c>
      <c r="E368" s="9" t="n">
        <v>2</v>
      </c>
      <c r="G368" s="1" t="inlineStr">
        <is>
          <t>range</t>
        </is>
      </c>
      <c r="H368" s="1" t="inlineStr">
        <is>
          <t>0,1</t>
        </is>
      </c>
      <c r="L368" s="2">
        <f>_xlfn.CONCAT(IF(D368="數值",CONCATENATE(G368&amp;"("&amp;C368&amp;","&amp;
IF(ISERROR(SEARCH(",",H368,1)),(H368&amp;","&amp;H368),H368)&amp;
IF(ISBLANK(I368),"",IF(ISERROR(SEARCH(",",I368,1)),CONCATENATE(","&amp;I368&amp;","&amp;I368),CONCATENATE(","&amp;I368))&amp;
IF(ISBLANK(J368),"",IF(ISERROR(SEARCH(",",J368,1)),CONCATENATE(","&amp;J368&amp;","&amp;J368),CONCATENATE(","&amp;J368))&amp;
IF(ISBLANK(K368),"",IF(ISERROR(SEARCH(",",K368,1)),CONCATENATE(","&amp;K368&amp;","&amp;K368),CONCATENATE(","&amp;K368))))))&amp;
")","")&amp;" "&amp;F368)</f>
        <v/>
      </c>
    </row>
    <row r="369">
      <c r="A369" s="1" t="n">
        <v>468</v>
      </c>
      <c r="B369" s="1">
        <f>A369</f>
        <v/>
      </c>
      <c r="C369" s="1" t="inlineStr">
        <is>
          <t>vB8m04</t>
        </is>
      </c>
      <c r="D369" s="1" t="inlineStr">
        <is>
          <t>數值</t>
        </is>
      </c>
      <c r="E369" s="9" t="n">
        <v>2</v>
      </c>
      <c r="G369" s="1" t="inlineStr">
        <is>
          <t>range</t>
        </is>
      </c>
      <c r="H369" s="1" t="inlineStr">
        <is>
          <t>0,1</t>
        </is>
      </c>
      <c r="L369" s="2">
        <f>_xlfn.CONCAT(IF(D369="數值",CONCATENATE(G369&amp;"("&amp;C369&amp;","&amp;
IF(ISERROR(SEARCH(",",H369,1)),(H369&amp;","&amp;H369),H369)&amp;
IF(ISBLANK(I369),"",IF(ISERROR(SEARCH(",",I369,1)),CONCATENATE(","&amp;I369&amp;","&amp;I369),CONCATENATE(","&amp;I369))&amp;
IF(ISBLANK(J369),"",IF(ISERROR(SEARCH(",",J369,1)),CONCATENATE(","&amp;J369&amp;","&amp;J369),CONCATENATE(","&amp;J369))&amp;
IF(ISBLANK(K369),"",IF(ISERROR(SEARCH(",",K369,1)),CONCATENATE(","&amp;K369&amp;","&amp;K369),CONCATENATE(","&amp;K369))))))&amp;
")","")&amp;" "&amp;F369)</f>
        <v/>
      </c>
    </row>
    <row r="370">
      <c r="A370" s="1" t="n">
        <v>469</v>
      </c>
      <c r="B370" s="1">
        <f>A370</f>
        <v/>
      </c>
      <c r="C370" s="1" t="inlineStr">
        <is>
          <t>vB8m05</t>
        </is>
      </c>
      <c r="D370" s="1" t="inlineStr">
        <is>
          <t>數值</t>
        </is>
      </c>
      <c r="E370" s="9" t="n">
        <v>2</v>
      </c>
      <c r="G370" s="1" t="inlineStr">
        <is>
          <t>range</t>
        </is>
      </c>
      <c r="H370" s="1" t="inlineStr">
        <is>
          <t>0,1</t>
        </is>
      </c>
      <c r="L370" s="2">
        <f>_xlfn.CONCAT(IF(D370="數值",CONCATENATE(G370&amp;"("&amp;C370&amp;","&amp;
IF(ISERROR(SEARCH(",",H370,1)),(H370&amp;","&amp;H370),H370)&amp;
IF(ISBLANK(I370),"",IF(ISERROR(SEARCH(",",I370,1)),CONCATENATE(","&amp;I370&amp;","&amp;I370),CONCATENATE(","&amp;I370))&amp;
IF(ISBLANK(J370),"",IF(ISERROR(SEARCH(",",J370,1)),CONCATENATE(","&amp;J370&amp;","&amp;J370),CONCATENATE(","&amp;J370))&amp;
IF(ISBLANK(K370),"",IF(ISERROR(SEARCH(",",K370,1)),CONCATENATE(","&amp;K370&amp;","&amp;K370),CONCATENATE(","&amp;K370))))))&amp;
")","")&amp;" "&amp;F370)</f>
        <v/>
      </c>
    </row>
    <row r="371">
      <c r="A371" s="1" t="n">
        <v>470</v>
      </c>
      <c r="B371" s="1">
        <f>A371</f>
        <v/>
      </c>
      <c r="C371" s="1" t="inlineStr">
        <is>
          <t>vB8m06</t>
        </is>
      </c>
      <c r="D371" s="1" t="inlineStr">
        <is>
          <t>數值</t>
        </is>
      </c>
      <c r="E371" s="9" t="n">
        <v>2</v>
      </c>
      <c r="G371" s="1" t="inlineStr">
        <is>
          <t>range</t>
        </is>
      </c>
      <c r="H371" s="1" t="inlineStr">
        <is>
          <t>0,1</t>
        </is>
      </c>
      <c r="L371" s="2">
        <f>_xlfn.CONCAT(IF(D371="數值",CONCATENATE(G371&amp;"("&amp;C371&amp;","&amp;
IF(ISERROR(SEARCH(",",H371,1)),(H371&amp;","&amp;H371),H371)&amp;
IF(ISBLANK(I371),"",IF(ISERROR(SEARCH(",",I371,1)),CONCATENATE(","&amp;I371&amp;","&amp;I371),CONCATENATE(","&amp;I371))&amp;
IF(ISBLANK(J371),"",IF(ISERROR(SEARCH(",",J371,1)),CONCATENATE(","&amp;J371&amp;","&amp;J371),CONCATENATE(","&amp;J371))&amp;
IF(ISBLANK(K371),"",IF(ISERROR(SEARCH(",",K371,1)),CONCATENATE(","&amp;K371&amp;","&amp;K371),CONCATENATE(","&amp;K371))))))&amp;
")","")&amp;" "&amp;F371)</f>
        <v/>
      </c>
    </row>
    <row r="372">
      <c r="A372" s="1" t="n">
        <v>471</v>
      </c>
      <c r="B372" s="1">
        <f>A372</f>
        <v/>
      </c>
      <c r="C372" s="1" t="inlineStr">
        <is>
          <t>vB8m07</t>
        </is>
      </c>
      <c r="D372" s="1" t="inlineStr">
        <is>
          <t>數值</t>
        </is>
      </c>
      <c r="E372" s="9" t="n">
        <v>2</v>
      </c>
      <c r="G372" s="1" t="inlineStr">
        <is>
          <t>range</t>
        </is>
      </c>
      <c r="H372" s="1" t="inlineStr">
        <is>
          <t>0,1</t>
        </is>
      </c>
      <c r="L372" s="2">
        <f>_xlfn.CONCAT(IF(D372="數值",CONCATENATE(G372&amp;"("&amp;C372&amp;","&amp;
IF(ISERROR(SEARCH(",",H372,1)),(H372&amp;","&amp;H372),H372)&amp;
IF(ISBLANK(I372),"",IF(ISERROR(SEARCH(",",I372,1)),CONCATENATE(","&amp;I372&amp;","&amp;I372),CONCATENATE(","&amp;I372))&amp;
IF(ISBLANK(J372),"",IF(ISERROR(SEARCH(",",J372,1)),CONCATENATE(","&amp;J372&amp;","&amp;J372),CONCATENATE(","&amp;J372))&amp;
IF(ISBLANK(K372),"",IF(ISERROR(SEARCH(",",K372,1)),CONCATENATE(","&amp;K372&amp;","&amp;K372),CONCATENATE(","&amp;K372))))))&amp;
")","")&amp;" "&amp;F372)</f>
        <v/>
      </c>
    </row>
    <row r="373">
      <c r="A373" s="1" t="n">
        <v>472</v>
      </c>
      <c r="B373" s="1">
        <f>A373</f>
        <v/>
      </c>
      <c r="C373" s="1" t="inlineStr">
        <is>
          <t>vB8m08</t>
        </is>
      </c>
      <c r="D373" s="1" t="inlineStr">
        <is>
          <t>數值</t>
        </is>
      </c>
      <c r="E373" s="9" t="n">
        <v>2</v>
      </c>
      <c r="G373" s="1" t="inlineStr">
        <is>
          <t>range</t>
        </is>
      </c>
      <c r="H373" s="1" t="inlineStr">
        <is>
          <t>0,1</t>
        </is>
      </c>
      <c r="L373" s="2">
        <f>_xlfn.CONCAT(IF(D373="數值",CONCATENATE(G373&amp;"("&amp;C373&amp;","&amp;
IF(ISERROR(SEARCH(",",H373,1)),(H373&amp;","&amp;H373),H373)&amp;
IF(ISBLANK(I373),"",IF(ISERROR(SEARCH(",",I373,1)),CONCATENATE(","&amp;I373&amp;","&amp;I373),CONCATENATE(","&amp;I373))&amp;
IF(ISBLANK(J373),"",IF(ISERROR(SEARCH(",",J373,1)),CONCATENATE(","&amp;J373&amp;","&amp;J373),CONCATENATE(","&amp;J373))&amp;
IF(ISBLANK(K373),"",IF(ISERROR(SEARCH(",",K373,1)),CONCATENATE(","&amp;K373&amp;","&amp;K373),CONCATENATE(","&amp;K373))))))&amp;
")","")&amp;" "&amp;F373)</f>
        <v/>
      </c>
    </row>
    <row r="374">
      <c r="A374" s="1" t="n">
        <v>473</v>
      </c>
      <c r="B374" s="1">
        <f>A374</f>
        <v/>
      </c>
      <c r="C374" s="1" t="inlineStr">
        <is>
          <t>vB8m09</t>
        </is>
      </c>
      <c r="D374" s="1" t="inlineStr">
        <is>
          <t>數值</t>
        </is>
      </c>
      <c r="E374" s="9" t="n">
        <v>2</v>
      </c>
      <c r="G374" s="1" t="inlineStr">
        <is>
          <t>range</t>
        </is>
      </c>
      <c r="H374" s="1" t="inlineStr">
        <is>
          <t>0,1</t>
        </is>
      </c>
      <c r="L374" s="2">
        <f>_xlfn.CONCAT(IF(D374="數值",CONCATENATE(G374&amp;"("&amp;C374&amp;","&amp;
IF(ISERROR(SEARCH(",",H374,1)),(H374&amp;","&amp;H374),H374)&amp;
IF(ISBLANK(I374),"",IF(ISERROR(SEARCH(",",I374,1)),CONCATENATE(","&amp;I374&amp;","&amp;I374),CONCATENATE(","&amp;I374))&amp;
IF(ISBLANK(J374),"",IF(ISERROR(SEARCH(",",J374,1)),CONCATENATE(","&amp;J374&amp;","&amp;J374),CONCATENATE(","&amp;J374))&amp;
IF(ISBLANK(K374),"",IF(ISERROR(SEARCH(",",K374,1)),CONCATENATE(","&amp;K374&amp;","&amp;K374),CONCATENATE(","&amp;K374))))))&amp;
")","")&amp;" "&amp;F374)</f>
        <v/>
      </c>
    </row>
    <row r="375">
      <c r="A375" s="1" t="n">
        <v>474</v>
      </c>
      <c r="B375" s="1">
        <f>A375</f>
        <v/>
      </c>
      <c r="C375" s="1" t="inlineStr">
        <is>
          <t>vB8m10</t>
        </is>
      </c>
      <c r="D375" s="1" t="inlineStr">
        <is>
          <t>數值</t>
        </is>
      </c>
      <c r="E375" s="9" t="n">
        <v>2</v>
      </c>
      <c r="G375" s="1" t="inlineStr">
        <is>
          <t>range</t>
        </is>
      </c>
      <c r="H375" s="1" t="inlineStr">
        <is>
          <t>0,1</t>
        </is>
      </c>
      <c r="I375" s="1" t="inlineStr">
        <is>
          <t>96</t>
        </is>
      </c>
      <c r="L375" s="2">
        <f>_xlfn.CONCAT(IF(D375="數值",CONCATENATE(G375&amp;"("&amp;C375&amp;","&amp;
IF(ISERROR(SEARCH(",",H375,1)),(H375&amp;","&amp;H375),H375)&amp;
IF(ISBLANK(I375),"",IF(ISERROR(SEARCH(",",I375,1)),CONCATENATE(","&amp;I375&amp;","&amp;I375),CONCATENATE(","&amp;I375))&amp;
IF(ISBLANK(J375),"",IF(ISERROR(SEARCH(",",J375,1)),CONCATENATE(","&amp;J375&amp;","&amp;J375),CONCATENATE(","&amp;J375))&amp;
IF(ISBLANK(K375),"",IF(ISERROR(SEARCH(",",K375,1)),CONCATENATE(","&amp;K375&amp;","&amp;K375),CONCATENATE(","&amp;K375))))))&amp;
")","")&amp;" "&amp;F375)</f>
        <v/>
      </c>
    </row>
    <row r="376">
      <c r="A376" s="1" t="n">
        <v>475</v>
      </c>
      <c r="B376" s="1">
        <f>A376</f>
        <v/>
      </c>
      <c r="C376" s="1" t="inlineStr">
        <is>
          <t>vB8m88</t>
        </is>
      </c>
      <c r="D376" s="1" t="inlineStr">
        <is>
          <t>數值</t>
        </is>
      </c>
      <c r="E376" s="9" t="n">
        <v>2</v>
      </c>
      <c r="G376" s="1" t="inlineStr">
        <is>
          <t>range</t>
        </is>
      </c>
      <c r="H376" s="1" t="inlineStr">
        <is>
          <t>0,1</t>
        </is>
      </c>
      <c r="I376" s="1" t="inlineStr">
        <is>
          <t>96</t>
        </is>
      </c>
      <c r="L376" s="2">
        <f>_xlfn.CONCAT(IF(D376="數值",CONCATENATE(G376&amp;"("&amp;C376&amp;","&amp;
IF(ISERROR(SEARCH(",",H376,1)),(H376&amp;","&amp;H376),H376)&amp;
IF(ISBLANK(I376),"",IF(ISERROR(SEARCH(",",I376,1)),CONCATENATE(","&amp;I376&amp;","&amp;I376),CONCATENATE(","&amp;I376))&amp;
IF(ISBLANK(J376),"",IF(ISERROR(SEARCH(",",J376,1)),CONCATENATE(","&amp;J376&amp;","&amp;J376),CONCATENATE(","&amp;J376))&amp;
IF(ISBLANK(K376),"",IF(ISERROR(SEARCH(",",K376,1)),CONCATENATE(","&amp;K376&amp;","&amp;K376),CONCATENATE(","&amp;K376))))))&amp;
")","")&amp;" "&amp;F376)</f>
        <v/>
      </c>
    </row>
    <row r="377">
      <c r="A377" s="1" t="n">
        <v>476</v>
      </c>
      <c r="B377" s="1">
        <f>A377</f>
        <v/>
      </c>
      <c r="C377" s="1" t="inlineStr">
        <is>
          <t>vI1</t>
        </is>
      </c>
      <c r="D377" s="1" t="inlineStr">
        <is>
          <t>數值</t>
        </is>
      </c>
      <c r="E377" s="9" t="n">
        <v>4</v>
      </c>
      <c r="G377" s="1" t="inlineStr">
        <is>
          <t>range</t>
        </is>
      </c>
      <c r="H377" s="1" t="inlineStr">
        <is>
          <t>0,5</t>
        </is>
      </c>
      <c r="I377" s="1" t="inlineStr">
        <is>
          <t>95</t>
        </is>
      </c>
      <c r="J377" s="1" t="inlineStr">
        <is>
          <t>97</t>
        </is>
      </c>
      <c r="K377" s="1" t="inlineStr">
        <is>
          <t>98</t>
        </is>
      </c>
      <c r="L377" s="2">
        <f>_xlfn.CONCAT(IF(D377="數值",CONCATENATE(G377&amp;"("&amp;C377&amp;","&amp;
IF(ISERROR(SEARCH(",",H377,1)),(H377&amp;","&amp;H377),H377)&amp;
IF(ISBLANK(I377),"",IF(ISERROR(SEARCH(",",I377,1)),CONCATENATE(","&amp;I377&amp;","&amp;I377),CONCATENATE(","&amp;I377))&amp;
IF(ISBLANK(J377),"",IF(ISERROR(SEARCH(",",J377,1)),CONCATENATE(","&amp;J377&amp;","&amp;J377),CONCATENATE(","&amp;J377))&amp;
IF(ISBLANK(K377),"",IF(ISERROR(SEARCH(",",K377,1)),CONCATENATE(","&amp;K377&amp;","&amp;K377),CONCATENATE(","&amp;K377))))))&amp;
")","")&amp;" "&amp;F377)</f>
        <v/>
      </c>
    </row>
    <row r="378">
      <c r="A378" s="1" t="n">
        <v>477</v>
      </c>
      <c r="B378" s="1">
        <f>A378</f>
        <v/>
      </c>
      <c r="C378" s="1" t="inlineStr">
        <is>
          <t>vI2</t>
        </is>
      </c>
      <c r="D378" s="1" t="inlineStr">
        <is>
          <t>數值</t>
        </is>
      </c>
      <c r="E378" s="9" t="n">
        <v>5</v>
      </c>
      <c r="G378" s="1" t="inlineStr">
        <is>
          <t>range</t>
        </is>
      </c>
      <c r="H378" s="1" t="inlineStr">
        <is>
          <t>1,2359</t>
        </is>
      </c>
      <c r="I378" s="1" t="inlineStr">
        <is>
          <t>9797</t>
        </is>
      </c>
      <c r="J378" s="1" t="inlineStr">
        <is>
          <t>9898</t>
        </is>
      </c>
      <c r="L378" s="2">
        <f>_xlfn.CONCAT(IF(D378="數值",CONCATENATE(G378&amp;"("&amp;C378&amp;","&amp;
IF(ISERROR(SEARCH(",",H378,1)),(H378&amp;","&amp;H378),H378)&amp;
IF(ISBLANK(I378),"",IF(ISERROR(SEARCH(",",I378,1)),CONCATENATE(","&amp;I378&amp;","&amp;I378),CONCATENATE(","&amp;I378))&amp;
IF(ISBLANK(J378),"",IF(ISERROR(SEARCH(",",J378,1)),CONCATENATE(","&amp;J378&amp;","&amp;J378),CONCATENATE(","&amp;J378))&amp;
IF(ISBLANK(K378),"",IF(ISERROR(SEARCH(",",K378,1)),CONCATENATE(","&amp;K378&amp;","&amp;K378),CONCATENATE(","&amp;K378))))))&amp;
")","")&amp;" "&amp;F378)</f>
        <v/>
      </c>
    </row>
    <row r="379">
      <c r="A379" s="1" t="n">
        <v>478</v>
      </c>
      <c r="B379" s="1">
        <f>A379</f>
        <v/>
      </c>
      <c r="C379" s="1" t="inlineStr">
        <is>
          <t>vI3</t>
        </is>
      </c>
      <c r="D379" s="1" t="inlineStr">
        <is>
          <t>數值</t>
        </is>
      </c>
      <c r="E379" s="9" t="n">
        <v>4</v>
      </c>
      <c r="G379" s="1" t="inlineStr">
        <is>
          <t>range</t>
        </is>
      </c>
      <c r="H379" s="1" t="inlineStr">
        <is>
          <t>0,2</t>
        </is>
      </c>
      <c r="I379" s="1" t="inlineStr">
        <is>
          <t>95</t>
        </is>
      </c>
      <c r="J379" s="1" t="inlineStr">
        <is>
          <t>97</t>
        </is>
      </c>
      <c r="K379" s="1" t="inlineStr">
        <is>
          <t>98</t>
        </is>
      </c>
      <c r="L379" s="2">
        <f>_xlfn.CONCAT(IF(D379="數值",CONCATENATE(G379&amp;"("&amp;C379&amp;","&amp;
IF(ISERROR(SEARCH(",",H379,1)),(H379&amp;","&amp;H379),H379)&amp;
IF(ISBLANK(I379),"",IF(ISERROR(SEARCH(",",I379,1)),CONCATENATE(","&amp;I379&amp;","&amp;I379),CONCATENATE(","&amp;I379))&amp;
IF(ISBLANK(J379),"",IF(ISERROR(SEARCH(",",J379,1)),CONCATENATE(","&amp;J379&amp;","&amp;J379),CONCATENATE(","&amp;J379))&amp;
IF(ISBLANK(K379),"",IF(ISERROR(SEARCH(",",K379,1)),CONCATENATE(","&amp;K379&amp;","&amp;K379),CONCATENATE(","&amp;K379))))))&amp;
")","")&amp;" "&amp;F379)</f>
        <v/>
      </c>
    </row>
    <row r="380">
      <c r="A380" s="1" t="n">
        <v>479</v>
      </c>
      <c r="B380" s="1">
        <f>A380</f>
        <v/>
      </c>
      <c r="C380" s="1" t="inlineStr">
        <is>
          <t>vI4</t>
        </is>
      </c>
      <c r="D380" s="1" t="inlineStr">
        <is>
          <t>數值</t>
        </is>
      </c>
      <c r="E380" s="9" t="n">
        <v>5</v>
      </c>
      <c r="G380" s="1" t="inlineStr">
        <is>
          <t>range</t>
        </is>
      </c>
      <c r="H380" s="1" t="inlineStr">
        <is>
          <t>1,2359</t>
        </is>
      </c>
      <c r="I380" s="1" t="inlineStr">
        <is>
          <t>9797</t>
        </is>
      </c>
      <c r="J380" s="1" t="inlineStr">
        <is>
          <t>9898</t>
        </is>
      </c>
      <c r="L380" s="2">
        <f>_xlfn.CONCAT(IF(D380="數值",CONCATENATE(G380&amp;"("&amp;C380&amp;","&amp;
IF(ISERROR(SEARCH(",",H380,1)),(H380&amp;","&amp;H380),H380)&amp;
IF(ISBLANK(I380),"",IF(ISERROR(SEARCH(",",I380,1)),CONCATENATE(","&amp;I380&amp;","&amp;I380),CONCATENATE(","&amp;I380))&amp;
IF(ISBLANK(J380),"",IF(ISERROR(SEARCH(",",J380,1)),CONCATENATE(","&amp;J380&amp;","&amp;J380),CONCATENATE(","&amp;J380))&amp;
IF(ISBLANK(K380),"",IF(ISERROR(SEARCH(",",K380,1)),CONCATENATE(","&amp;K380&amp;","&amp;K380),CONCATENATE(","&amp;K380))))))&amp;
")","")&amp;" "&amp;F380)</f>
        <v/>
      </c>
    </row>
    <row r="381">
      <c r="A381" s="1" t="n">
        <v>480</v>
      </c>
      <c r="B381" s="1">
        <f>A381</f>
        <v/>
      </c>
      <c r="C381" s="1" t="inlineStr">
        <is>
          <t>vCKI4</t>
        </is>
      </c>
      <c r="D381" s="1" t="inlineStr">
        <is>
          <t>數值</t>
        </is>
      </c>
      <c r="E381" s="9" t="n">
        <v>2</v>
      </c>
      <c r="G381" s="1" t="inlineStr">
        <is>
          <t>range</t>
        </is>
      </c>
      <c r="H381" s="1" t="inlineStr">
        <is>
          <t>1,6</t>
        </is>
      </c>
      <c r="L381" s="2">
        <f>_xlfn.CONCAT(IF(D381="數值",CONCATENATE(G381&amp;"("&amp;C381&amp;","&amp;
IF(ISERROR(SEARCH(",",H381,1)),(H381&amp;","&amp;H381),H381)&amp;
IF(ISBLANK(I381),"",IF(ISERROR(SEARCH(",",I381,1)),CONCATENATE(","&amp;I381&amp;","&amp;I381),CONCATENATE(","&amp;I381))&amp;
IF(ISBLANK(J381),"",IF(ISERROR(SEARCH(",",J381,1)),CONCATENATE(","&amp;J381&amp;","&amp;J381),CONCATENATE(","&amp;J381))&amp;
IF(ISBLANK(K381),"",IF(ISERROR(SEARCH(",",K381,1)),CONCATENATE(","&amp;K381&amp;","&amp;K381),CONCATENATE(","&amp;K381))))))&amp;
")","")&amp;" "&amp;F381)</f>
        <v/>
      </c>
    </row>
    <row r="382">
      <c r="A382" s="1" t="n">
        <v>481</v>
      </c>
      <c r="B382" s="1">
        <f>A382</f>
        <v/>
      </c>
      <c r="C382" s="1" t="inlineStr">
        <is>
          <t>vG1</t>
        </is>
      </c>
      <c r="D382" s="1" t="inlineStr">
        <is>
          <t>數值</t>
        </is>
      </c>
      <c r="E382" s="9" t="n">
        <v>4</v>
      </c>
      <c r="G382" s="1" t="inlineStr">
        <is>
          <t>range</t>
        </is>
      </c>
      <c r="H382" s="1" t="inlineStr">
        <is>
          <t>0,7</t>
        </is>
      </c>
      <c r="I382" s="1" t="inlineStr">
        <is>
          <t>95</t>
        </is>
      </c>
      <c r="J382" s="1" t="inlineStr">
        <is>
          <t>97</t>
        </is>
      </c>
      <c r="K382" s="1" t="inlineStr">
        <is>
          <t>98</t>
        </is>
      </c>
      <c r="L382" s="2">
        <f>_xlfn.CONCAT(IF(D382="數值",CONCATENATE(G382&amp;"("&amp;C382&amp;","&amp;
IF(ISERROR(SEARCH(",",H382,1)),(H382&amp;","&amp;H382),H382)&amp;
IF(ISBLANK(I382),"",IF(ISERROR(SEARCH(",",I382,1)),CONCATENATE(","&amp;I382&amp;","&amp;I382),CONCATENATE(","&amp;I382))&amp;
IF(ISBLANK(J382),"",IF(ISERROR(SEARCH(",",J382,1)),CONCATENATE(","&amp;J382&amp;","&amp;J382),CONCATENATE(","&amp;J382))&amp;
IF(ISBLANK(K382),"",IF(ISERROR(SEARCH(",",K382,1)),CONCATENATE(","&amp;K382&amp;","&amp;K382),CONCATENATE(","&amp;K382))))))&amp;
")","")&amp;" "&amp;F382)</f>
        <v/>
      </c>
    </row>
    <row r="383">
      <c r="A383" s="1" t="n">
        <v>482</v>
      </c>
      <c r="B383" s="1">
        <f>A383</f>
        <v/>
      </c>
      <c r="C383" s="1" t="inlineStr">
        <is>
          <t>vG2</t>
        </is>
      </c>
      <c r="D383" s="1" t="inlineStr">
        <is>
          <t>數值</t>
        </is>
      </c>
      <c r="E383" s="9" t="n">
        <v>5</v>
      </c>
      <c r="G383" s="1" t="inlineStr">
        <is>
          <t>range</t>
        </is>
      </c>
      <c r="H383" s="1" t="inlineStr">
        <is>
          <t>1,2359</t>
        </is>
      </c>
      <c r="I383" s="1" t="inlineStr">
        <is>
          <t>9797</t>
        </is>
      </c>
      <c r="J383" s="1" t="inlineStr">
        <is>
          <t>9898</t>
        </is>
      </c>
      <c r="L383" s="2">
        <f>_xlfn.CONCAT(IF(D383="數值",CONCATENATE(G383&amp;"("&amp;C383&amp;","&amp;
IF(ISERROR(SEARCH(",",H383,1)),(H383&amp;","&amp;H383),H383)&amp;
IF(ISBLANK(I383),"",IF(ISERROR(SEARCH(",",I383,1)),CONCATENATE(","&amp;I383&amp;","&amp;I383),CONCATENATE(","&amp;I383))&amp;
IF(ISBLANK(J383),"",IF(ISERROR(SEARCH(",",J383,1)),CONCATENATE(","&amp;J383&amp;","&amp;J383),CONCATENATE(","&amp;J383))&amp;
IF(ISBLANK(K383),"",IF(ISERROR(SEARCH(",",K383,1)),CONCATENATE(","&amp;K383&amp;","&amp;K383),CONCATENATE(","&amp;K383))))))&amp;
")","")&amp;" "&amp;F383)</f>
        <v/>
      </c>
    </row>
    <row r="384">
      <c r="A384" s="1" t="n">
        <v>483</v>
      </c>
      <c r="B384" s="1">
        <f>A384</f>
        <v/>
      </c>
      <c r="C384" s="1" t="inlineStr">
        <is>
          <t>vG3m01</t>
        </is>
      </c>
      <c r="D384" s="1" t="inlineStr">
        <is>
          <t>數值</t>
        </is>
      </c>
      <c r="E384" s="9" t="n">
        <v>2</v>
      </c>
      <c r="G384" s="1" t="inlineStr">
        <is>
          <t>range</t>
        </is>
      </c>
      <c r="H384" s="1" t="inlineStr">
        <is>
          <t>0,1</t>
        </is>
      </c>
      <c r="L384" s="2">
        <f>_xlfn.CONCAT(IF(D384="數值",CONCATENATE(G384&amp;"("&amp;C384&amp;","&amp;
IF(ISERROR(SEARCH(",",H384,1)),(H384&amp;","&amp;H384),H384)&amp;
IF(ISBLANK(I384),"",IF(ISERROR(SEARCH(",",I384,1)),CONCATENATE(","&amp;I384&amp;","&amp;I384),CONCATENATE(","&amp;I384))&amp;
IF(ISBLANK(J384),"",IF(ISERROR(SEARCH(",",J384,1)),CONCATENATE(","&amp;J384&amp;","&amp;J384),CONCATENATE(","&amp;J384))&amp;
IF(ISBLANK(K384),"",IF(ISERROR(SEARCH(",",K384,1)),CONCATENATE(","&amp;K384&amp;","&amp;K384),CONCATENATE(","&amp;K384))))))&amp;
")","")&amp;" "&amp;F384)</f>
        <v/>
      </c>
    </row>
    <row r="385">
      <c r="A385" s="1" t="n">
        <v>484</v>
      </c>
      <c r="B385" s="1">
        <f>A385</f>
        <v/>
      </c>
      <c r="C385" s="1" t="inlineStr">
        <is>
          <t>vG3m02</t>
        </is>
      </c>
      <c r="D385" s="1" t="inlineStr">
        <is>
          <t>數值</t>
        </is>
      </c>
      <c r="E385" s="9" t="n">
        <v>2</v>
      </c>
      <c r="G385" s="1" t="inlineStr">
        <is>
          <t>range</t>
        </is>
      </c>
      <c r="H385" s="1" t="inlineStr">
        <is>
          <t>0,1</t>
        </is>
      </c>
      <c r="L385" s="2">
        <f>_xlfn.CONCAT(IF(D385="數值",CONCATENATE(G385&amp;"("&amp;C385&amp;","&amp;
IF(ISERROR(SEARCH(",",H385,1)),(H385&amp;","&amp;H385),H385)&amp;
IF(ISBLANK(I385),"",IF(ISERROR(SEARCH(",",I385,1)),CONCATENATE(","&amp;I385&amp;","&amp;I385),CONCATENATE(","&amp;I385))&amp;
IF(ISBLANK(J385),"",IF(ISERROR(SEARCH(",",J385,1)),CONCATENATE(","&amp;J385&amp;","&amp;J385),CONCATENATE(","&amp;J385))&amp;
IF(ISBLANK(K385),"",IF(ISERROR(SEARCH(",",K385,1)),CONCATENATE(","&amp;K385&amp;","&amp;K385),CONCATENATE(","&amp;K385))))))&amp;
")","")&amp;" "&amp;F385)</f>
        <v/>
      </c>
    </row>
    <row r="386">
      <c r="A386" s="1" t="n">
        <v>485</v>
      </c>
      <c r="B386" s="1">
        <f>A386</f>
        <v/>
      </c>
      <c r="C386" s="1" t="inlineStr">
        <is>
          <t>vG3m03</t>
        </is>
      </c>
      <c r="D386" s="1" t="inlineStr">
        <is>
          <t>數值</t>
        </is>
      </c>
      <c r="E386" s="9" t="n">
        <v>2</v>
      </c>
      <c r="G386" s="1" t="inlineStr">
        <is>
          <t>range</t>
        </is>
      </c>
      <c r="H386" s="1" t="inlineStr">
        <is>
          <t>0,1</t>
        </is>
      </c>
      <c r="L386" s="2">
        <f>_xlfn.CONCAT(IF(D386="數值",CONCATENATE(G386&amp;"("&amp;C386&amp;","&amp;
IF(ISERROR(SEARCH(",",H386,1)),(H386&amp;","&amp;H386),H386)&amp;
IF(ISBLANK(I386),"",IF(ISERROR(SEARCH(",",I386,1)),CONCATENATE(","&amp;I386&amp;","&amp;I386),CONCATENATE(","&amp;I386))&amp;
IF(ISBLANK(J386),"",IF(ISERROR(SEARCH(",",J386,1)),CONCATENATE(","&amp;J386&amp;","&amp;J386),CONCATENATE(","&amp;J386))&amp;
IF(ISBLANK(K386),"",IF(ISERROR(SEARCH(",",K386,1)),CONCATENATE(","&amp;K386&amp;","&amp;K386),CONCATENATE(","&amp;K386))))))&amp;
")","")&amp;" "&amp;F386)</f>
        <v/>
      </c>
    </row>
    <row r="387">
      <c r="A387" s="1" t="n">
        <v>486</v>
      </c>
      <c r="B387" s="1">
        <f>A387</f>
        <v/>
      </c>
      <c r="C387" s="1" t="inlineStr">
        <is>
          <t>vG3m04</t>
        </is>
      </c>
      <c r="D387" s="1" t="inlineStr">
        <is>
          <t>數值</t>
        </is>
      </c>
      <c r="E387" s="9" t="n">
        <v>2</v>
      </c>
      <c r="G387" s="1" t="inlineStr">
        <is>
          <t>range</t>
        </is>
      </c>
      <c r="H387" s="1" t="inlineStr">
        <is>
          <t>0,1</t>
        </is>
      </c>
      <c r="L387" s="2">
        <f>_xlfn.CONCAT(IF(D387="數值",CONCATENATE(G387&amp;"("&amp;C387&amp;","&amp;
IF(ISERROR(SEARCH(",",H387,1)),(H387&amp;","&amp;H387),H387)&amp;
IF(ISBLANK(I387),"",IF(ISERROR(SEARCH(",",I387,1)),CONCATENATE(","&amp;I387&amp;","&amp;I387),CONCATENATE(","&amp;I387))&amp;
IF(ISBLANK(J387),"",IF(ISERROR(SEARCH(",",J387,1)),CONCATENATE(","&amp;J387&amp;","&amp;J387),CONCATENATE(","&amp;J387))&amp;
IF(ISBLANK(K387),"",IF(ISERROR(SEARCH(",",K387,1)),CONCATENATE(","&amp;K387&amp;","&amp;K387),CONCATENATE(","&amp;K387))))))&amp;
")","")&amp;" "&amp;F387)</f>
        <v/>
      </c>
    </row>
    <row r="388">
      <c r="A388" s="1" t="n">
        <v>487</v>
      </c>
      <c r="B388" s="1">
        <f>A388</f>
        <v/>
      </c>
      <c r="C388" s="1" t="inlineStr">
        <is>
          <t>vG3m05</t>
        </is>
      </c>
      <c r="D388" s="1" t="inlineStr">
        <is>
          <t>數值</t>
        </is>
      </c>
      <c r="E388" s="9" t="n">
        <v>2</v>
      </c>
      <c r="G388" s="1" t="inlineStr">
        <is>
          <t>range</t>
        </is>
      </c>
      <c r="H388" s="1" t="inlineStr">
        <is>
          <t>0,1</t>
        </is>
      </c>
      <c r="L388" s="2">
        <f>_xlfn.CONCAT(IF(D388="數值",CONCATENATE(G388&amp;"("&amp;C388&amp;","&amp;
IF(ISERROR(SEARCH(",",H388,1)),(H388&amp;","&amp;H388),H388)&amp;
IF(ISBLANK(I388),"",IF(ISERROR(SEARCH(",",I388,1)),CONCATENATE(","&amp;I388&amp;","&amp;I388),CONCATENATE(","&amp;I388))&amp;
IF(ISBLANK(J388),"",IF(ISERROR(SEARCH(",",J388,1)),CONCATENATE(","&amp;J388&amp;","&amp;J388),CONCATENATE(","&amp;J388))&amp;
IF(ISBLANK(K388),"",IF(ISERROR(SEARCH(",",K388,1)),CONCATENATE(","&amp;K388&amp;","&amp;K388),CONCATENATE(","&amp;K388))))))&amp;
")","")&amp;" "&amp;F388)</f>
        <v/>
      </c>
    </row>
    <row r="389">
      <c r="A389" s="1" t="n">
        <v>488</v>
      </c>
      <c r="B389" s="1">
        <f>A389</f>
        <v/>
      </c>
      <c r="C389" s="1" t="inlineStr">
        <is>
          <t>vG3m06</t>
        </is>
      </c>
      <c r="D389" s="1" t="inlineStr">
        <is>
          <t>數值</t>
        </is>
      </c>
      <c r="E389" s="9" t="n">
        <v>2</v>
      </c>
      <c r="G389" s="1" t="inlineStr">
        <is>
          <t>range</t>
        </is>
      </c>
      <c r="H389" s="1" t="inlineStr">
        <is>
          <t>0,1</t>
        </is>
      </c>
      <c r="L389" s="2">
        <f>_xlfn.CONCAT(IF(D389="數值",CONCATENATE(G389&amp;"("&amp;C389&amp;","&amp;
IF(ISERROR(SEARCH(",",H389,1)),(H389&amp;","&amp;H389),H389)&amp;
IF(ISBLANK(I389),"",IF(ISERROR(SEARCH(",",I389,1)),CONCATENATE(","&amp;I389&amp;","&amp;I389),CONCATENATE(","&amp;I389))&amp;
IF(ISBLANK(J389),"",IF(ISERROR(SEARCH(",",J389,1)),CONCATENATE(","&amp;J389&amp;","&amp;J389),CONCATENATE(","&amp;J389))&amp;
IF(ISBLANK(K389),"",IF(ISERROR(SEARCH(",",K389,1)),CONCATENATE(","&amp;K389&amp;","&amp;K389),CONCATENATE(","&amp;K389))))))&amp;
")","")&amp;" "&amp;F389)</f>
        <v/>
      </c>
    </row>
    <row r="390">
      <c r="A390" s="1" t="n">
        <v>489</v>
      </c>
      <c r="B390" s="1">
        <f>A390</f>
        <v/>
      </c>
      <c r="C390" s="1" t="inlineStr">
        <is>
          <t>vG3m07</t>
        </is>
      </c>
      <c r="D390" s="1" t="inlineStr">
        <is>
          <t>數值</t>
        </is>
      </c>
      <c r="E390" s="9" t="n">
        <v>2</v>
      </c>
      <c r="G390" s="1" t="inlineStr">
        <is>
          <t>range</t>
        </is>
      </c>
      <c r="H390" s="1" t="inlineStr">
        <is>
          <t>0,1</t>
        </is>
      </c>
      <c r="L390" s="2">
        <f>_xlfn.CONCAT(IF(D390="數值",CONCATENATE(G390&amp;"("&amp;C390&amp;","&amp;
IF(ISERROR(SEARCH(",",H390,1)),(H390&amp;","&amp;H390),H390)&amp;
IF(ISBLANK(I390),"",IF(ISERROR(SEARCH(",",I390,1)),CONCATENATE(","&amp;I390&amp;","&amp;I390),CONCATENATE(","&amp;I390))&amp;
IF(ISBLANK(J390),"",IF(ISERROR(SEARCH(",",J390,1)),CONCATENATE(","&amp;J390&amp;","&amp;J390),CONCATENATE(","&amp;J390))&amp;
IF(ISBLANK(K390),"",IF(ISERROR(SEARCH(",",K390,1)),CONCATENATE(","&amp;K390&amp;","&amp;K390),CONCATENATE(","&amp;K390))))))&amp;
")","")&amp;" "&amp;F390)</f>
        <v/>
      </c>
    </row>
    <row r="391">
      <c r="A391" s="1" t="n">
        <v>490</v>
      </c>
      <c r="B391" s="1">
        <f>A391</f>
        <v/>
      </c>
      <c r="C391" s="1" t="inlineStr">
        <is>
          <t>vG3m08</t>
        </is>
      </c>
      <c r="D391" s="1" t="inlineStr">
        <is>
          <t>數值</t>
        </is>
      </c>
      <c r="E391" s="9" t="n">
        <v>2</v>
      </c>
      <c r="G391" s="1" t="inlineStr">
        <is>
          <t>range</t>
        </is>
      </c>
      <c r="H391" s="1" t="inlineStr">
        <is>
          <t>0,1</t>
        </is>
      </c>
      <c r="L391" s="2">
        <f>_xlfn.CONCAT(IF(D391="數值",CONCATENATE(G391&amp;"("&amp;C391&amp;","&amp;
IF(ISERROR(SEARCH(",",H391,1)),(H391&amp;","&amp;H391),H391)&amp;
IF(ISBLANK(I391),"",IF(ISERROR(SEARCH(",",I391,1)),CONCATENATE(","&amp;I391&amp;","&amp;I391),CONCATENATE(","&amp;I391))&amp;
IF(ISBLANK(J391),"",IF(ISERROR(SEARCH(",",J391,1)),CONCATENATE(","&amp;J391&amp;","&amp;J391),CONCATENATE(","&amp;J391))&amp;
IF(ISBLANK(K391),"",IF(ISERROR(SEARCH(",",K391,1)),CONCATENATE(","&amp;K391&amp;","&amp;K391),CONCATENATE(","&amp;K391))))))&amp;
")","")&amp;" "&amp;F391)</f>
        <v/>
      </c>
    </row>
    <row r="392">
      <c r="A392" s="1" t="n">
        <v>491</v>
      </c>
      <c r="B392" s="1">
        <f>A392</f>
        <v/>
      </c>
      <c r="C392" s="1" t="inlineStr">
        <is>
          <t>vG3m09</t>
        </is>
      </c>
      <c r="D392" s="1" t="inlineStr">
        <is>
          <t>數值</t>
        </is>
      </c>
      <c r="E392" s="9" t="n">
        <v>2</v>
      </c>
      <c r="G392" s="1" t="inlineStr">
        <is>
          <t>range</t>
        </is>
      </c>
      <c r="H392" s="1" t="inlineStr">
        <is>
          <t>0,1</t>
        </is>
      </c>
      <c r="L392" s="2">
        <f>_xlfn.CONCAT(IF(D392="數值",CONCATENATE(G392&amp;"("&amp;C392&amp;","&amp;
IF(ISERROR(SEARCH(",",H392,1)),(H392&amp;","&amp;H392),H392)&amp;
IF(ISBLANK(I392),"",IF(ISERROR(SEARCH(",",I392,1)),CONCATENATE(","&amp;I392&amp;","&amp;I392),CONCATENATE(","&amp;I392))&amp;
IF(ISBLANK(J392),"",IF(ISERROR(SEARCH(",",J392,1)),CONCATENATE(","&amp;J392&amp;","&amp;J392),CONCATENATE(","&amp;J392))&amp;
IF(ISBLANK(K392),"",IF(ISERROR(SEARCH(",",K392,1)),CONCATENATE(","&amp;K392&amp;","&amp;K392),CONCATENATE(","&amp;K392))))))&amp;
")","")&amp;" "&amp;F392)</f>
        <v/>
      </c>
    </row>
    <row r="393">
      <c r="A393" s="1" t="n">
        <v>492</v>
      </c>
      <c r="B393" s="1">
        <f>A393</f>
        <v/>
      </c>
      <c r="C393" s="1" t="inlineStr">
        <is>
          <t>vG3m10</t>
        </is>
      </c>
      <c r="D393" s="1" t="inlineStr">
        <is>
          <t>數值</t>
        </is>
      </c>
      <c r="E393" s="9" t="n">
        <v>2</v>
      </c>
      <c r="G393" s="1" t="inlineStr">
        <is>
          <t>range</t>
        </is>
      </c>
      <c r="H393" s="1" t="inlineStr">
        <is>
          <t>0,1</t>
        </is>
      </c>
      <c r="I393" s="1" t="inlineStr">
        <is>
          <t>96</t>
        </is>
      </c>
      <c r="L393" s="2">
        <f>_xlfn.CONCAT(IF(D393="數值",CONCATENATE(G393&amp;"("&amp;C393&amp;","&amp;
IF(ISERROR(SEARCH(",",H393,1)),(H393&amp;","&amp;H393),H393)&amp;
IF(ISBLANK(I393),"",IF(ISERROR(SEARCH(",",I393,1)),CONCATENATE(","&amp;I393&amp;","&amp;I393),CONCATENATE(","&amp;I393))&amp;
IF(ISBLANK(J393),"",IF(ISERROR(SEARCH(",",J393,1)),CONCATENATE(","&amp;J393&amp;","&amp;J393),CONCATENATE(","&amp;J393))&amp;
IF(ISBLANK(K393),"",IF(ISERROR(SEARCH(",",K393,1)),CONCATENATE(","&amp;K393&amp;","&amp;K393),CONCATENATE(","&amp;K393))))))&amp;
")","")&amp;" "&amp;F393)</f>
        <v/>
      </c>
    </row>
    <row r="394">
      <c r="A394" s="1" t="n">
        <v>493</v>
      </c>
      <c r="B394" s="1">
        <f>A394</f>
        <v/>
      </c>
      <c r="C394" s="1" t="inlineStr">
        <is>
          <t>vG3m11</t>
        </is>
      </c>
      <c r="D394" s="1" t="inlineStr">
        <is>
          <t>數值</t>
        </is>
      </c>
      <c r="E394" s="9" t="n">
        <v>2</v>
      </c>
      <c r="G394" s="1" t="inlineStr">
        <is>
          <t>range</t>
        </is>
      </c>
      <c r="H394" s="1" t="inlineStr">
        <is>
          <t>0,1</t>
        </is>
      </c>
      <c r="I394" s="1" t="inlineStr">
        <is>
          <t>96</t>
        </is>
      </c>
      <c r="L394" s="2">
        <f>_xlfn.CONCAT(IF(D394="數值",CONCATENATE(G394&amp;"("&amp;C394&amp;","&amp;
IF(ISERROR(SEARCH(",",H394,1)),(H394&amp;","&amp;H394),H394)&amp;
IF(ISBLANK(I394),"",IF(ISERROR(SEARCH(",",I394,1)),CONCATENATE(","&amp;I394&amp;","&amp;I394),CONCATENATE(","&amp;I394))&amp;
IF(ISBLANK(J394),"",IF(ISERROR(SEARCH(",",J394,1)),CONCATENATE(","&amp;J394&amp;","&amp;J394),CONCATENATE(","&amp;J394))&amp;
IF(ISBLANK(K394),"",IF(ISERROR(SEARCH(",",K394,1)),CONCATENATE(","&amp;K394&amp;","&amp;K394),CONCATENATE(","&amp;K394))))))&amp;
")","")&amp;" "&amp;F394)</f>
        <v/>
      </c>
    </row>
    <row r="395">
      <c r="A395" s="1" t="n">
        <v>494</v>
      </c>
      <c r="B395" s="1">
        <f>A395</f>
        <v/>
      </c>
      <c r="C395" s="1" t="inlineStr">
        <is>
          <t>vG3m12</t>
        </is>
      </c>
      <c r="D395" s="1" t="inlineStr">
        <is>
          <t>數值</t>
        </is>
      </c>
      <c r="E395" s="9" t="n">
        <v>2</v>
      </c>
      <c r="G395" s="1" t="inlineStr">
        <is>
          <t>range</t>
        </is>
      </c>
      <c r="H395" s="1" t="inlineStr">
        <is>
          <t>0,1</t>
        </is>
      </c>
      <c r="I395" s="1" t="inlineStr">
        <is>
          <t>96</t>
        </is>
      </c>
      <c r="L395" s="2">
        <f>_xlfn.CONCAT(IF(D395="數值",CONCATENATE(G395&amp;"("&amp;C395&amp;","&amp;
IF(ISERROR(SEARCH(",",H395,1)),(H395&amp;","&amp;H395),H395)&amp;
IF(ISBLANK(I395),"",IF(ISERROR(SEARCH(",",I395,1)),CONCATENATE(","&amp;I395&amp;","&amp;I395),CONCATENATE(","&amp;I395))&amp;
IF(ISBLANK(J395),"",IF(ISERROR(SEARCH(",",J395,1)),CONCATENATE(","&amp;J395&amp;","&amp;J395),CONCATENATE(","&amp;J395))&amp;
IF(ISBLANK(K395),"",IF(ISERROR(SEARCH(",",K395,1)),CONCATENATE(","&amp;K395&amp;","&amp;K395),CONCATENATE(","&amp;K395))))))&amp;
")","")&amp;" "&amp;F395)</f>
        <v/>
      </c>
    </row>
    <row r="396">
      <c r="A396" s="1" t="n">
        <v>495</v>
      </c>
      <c r="B396" s="1">
        <f>A396</f>
        <v/>
      </c>
      <c r="C396" s="1" t="inlineStr">
        <is>
          <t>vG3m13</t>
        </is>
      </c>
      <c r="D396" s="1" t="inlineStr">
        <is>
          <t>數值</t>
        </is>
      </c>
      <c r="E396" s="9" t="n">
        <v>2</v>
      </c>
      <c r="G396" s="1" t="inlineStr">
        <is>
          <t>range</t>
        </is>
      </c>
      <c r="H396" s="1" t="inlineStr">
        <is>
          <t>0,1</t>
        </is>
      </c>
      <c r="I396" s="1" t="inlineStr">
        <is>
          <t>96</t>
        </is>
      </c>
      <c r="L396" s="2">
        <f>_xlfn.CONCAT(IF(D396="數值",CONCATENATE(G396&amp;"("&amp;C396&amp;","&amp;
IF(ISERROR(SEARCH(",",H396,1)),(H396&amp;","&amp;H396),H396)&amp;
IF(ISBLANK(I396),"",IF(ISERROR(SEARCH(",",I396,1)),CONCATENATE(","&amp;I396&amp;","&amp;I396),CONCATENATE(","&amp;I396))&amp;
IF(ISBLANK(J396),"",IF(ISERROR(SEARCH(",",J396,1)),CONCATENATE(","&amp;J396&amp;","&amp;J396),CONCATENATE(","&amp;J396))&amp;
IF(ISBLANK(K396),"",IF(ISERROR(SEARCH(",",K396,1)),CONCATENATE(","&amp;K396&amp;","&amp;K396),CONCATENATE(","&amp;K396))))))&amp;
")","")&amp;" "&amp;F396)</f>
        <v/>
      </c>
    </row>
    <row r="397">
      <c r="A397" s="1" t="n">
        <v>496</v>
      </c>
      <c r="B397" s="1">
        <f>A397</f>
        <v/>
      </c>
      <c r="C397" s="1" t="inlineStr">
        <is>
          <t>vG3m14</t>
        </is>
      </c>
      <c r="D397" s="1" t="inlineStr">
        <is>
          <t>數值</t>
        </is>
      </c>
      <c r="E397" s="9" t="n">
        <v>2</v>
      </c>
      <c r="G397" s="1" t="inlineStr">
        <is>
          <t>range</t>
        </is>
      </c>
      <c r="H397" s="1" t="inlineStr">
        <is>
          <t>0,1</t>
        </is>
      </c>
      <c r="I397" s="1" t="inlineStr">
        <is>
          <t>96</t>
        </is>
      </c>
      <c r="L397" s="2">
        <f>_xlfn.CONCAT(IF(D397="數值",CONCATENATE(G397&amp;"("&amp;C397&amp;","&amp;
IF(ISERROR(SEARCH(",",H397,1)),(H397&amp;","&amp;H397),H397)&amp;
IF(ISBLANK(I397),"",IF(ISERROR(SEARCH(",",I397,1)),CONCATENATE(","&amp;I397&amp;","&amp;I397),CONCATENATE(","&amp;I397))&amp;
IF(ISBLANK(J397),"",IF(ISERROR(SEARCH(",",J397,1)),CONCATENATE(","&amp;J397&amp;","&amp;J397),CONCATENATE(","&amp;J397))&amp;
IF(ISBLANK(K397),"",IF(ISERROR(SEARCH(",",K397,1)),CONCATENATE(","&amp;K397&amp;","&amp;K397),CONCATENATE(","&amp;K397))))))&amp;
")","")&amp;" "&amp;F397)</f>
        <v/>
      </c>
    </row>
    <row r="398">
      <c r="A398" s="1" t="n">
        <v>497</v>
      </c>
      <c r="B398" s="1">
        <f>A398</f>
        <v/>
      </c>
      <c r="C398" s="1" t="inlineStr">
        <is>
          <t>vG3m15</t>
        </is>
      </c>
      <c r="D398" s="1" t="inlineStr">
        <is>
          <t>數值</t>
        </is>
      </c>
      <c r="E398" s="9" t="n">
        <v>2</v>
      </c>
      <c r="G398" s="1" t="inlineStr">
        <is>
          <t>range</t>
        </is>
      </c>
      <c r="H398" s="1" t="inlineStr">
        <is>
          <t>0,1</t>
        </is>
      </c>
      <c r="I398" s="1" t="inlineStr">
        <is>
          <t>96</t>
        </is>
      </c>
      <c r="L398" s="2">
        <f>_xlfn.CONCAT(IF(D398="數值",CONCATENATE(G398&amp;"("&amp;C398&amp;","&amp;
IF(ISERROR(SEARCH(",",H398,1)),(H398&amp;","&amp;H398),H398)&amp;
IF(ISBLANK(I398),"",IF(ISERROR(SEARCH(",",I398,1)),CONCATENATE(","&amp;I398&amp;","&amp;I398),CONCATENATE(","&amp;I398))&amp;
IF(ISBLANK(J398),"",IF(ISERROR(SEARCH(",",J398,1)),CONCATENATE(","&amp;J398&amp;","&amp;J398),CONCATENATE(","&amp;J398))&amp;
IF(ISBLANK(K398),"",IF(ISERROR(SEARCH(",",K398,1)),CONCATENATE(","&amp;K398&amp;","&amp;K398),CONCATENATE(","&amp;K398))))))&amp;
")","")&amp;" "&amp;F398)</f>
        <v/>
      </c>
    </row>
    <row r="399">
      <c r="A399" s="1" t="n">
        <v>498</v>
      </c>
      <c r="B399" s="1">
        <f>A399</f>
        <v/>
      </c>
      <c r="C399" s="1" t="inlineStr">
        <is>
          <t>vG3m16</t>
        </is>
      </c>
      <c r="D399" s="1" t="inlineStr">
        <is>
          <t>數值</t>
        </is>
      </c>
      <c r="E399" s="9" t="n">
        <v>2</v>
      </c>
      <c r="G399" s="1" t="inlineStr">
        <is>
          <t>range</t>
        </is>
      </c>
      <c r="H399" s="1" t="inlineStr">
        <is>
          <t>0,1</t>
        </is>
      </c>
      <c r="I399" s="1" t="inlineStr">
        <is>
          <t>96</t>
        </is>
      </c>
      <c r="L399" s="2">
        <f>_xlfn.CONCAT(IF(D399="數值",CONCATENATE(G399&amp;"("&amp;C399&amp;","&amp;
IF(ISERROR(SEARCH(",",H399,1)),(H399&amp;","&amp;H399),H399)&amp;
IF(ISBLANK(I399),"",IF(ISERROR(SEARCH(",",I399,1)),CONCATENATE(","&amp;I399&amp;","&amp;I399),CONCATENATE(","&amp;I399))&amp;
IF(ISBLANK(J399),"",IF(ISERROR(SEARCH(",",J399,1)),CONCATENATE(","&amp;J399&amp;","&amp;J399),CONCATENATE(","&amp;J399))&amp;
IF(ISBLANK(K399),"",IF(ISERROR(SEARCH(",",K399,1)),CONCATENATE(","&amp;K399&amp;","&amp;K399),CONCATENATE(","&amp;K399))))))&amp;
")","")&amp;" "&amp;F399)</f>
        <v/>
      </c>
    </row>
    <row r="400">
      <c r="A400" s="1" t="n">
        <v>499</v>
      </c>
      <c r="B400" s="1">
        <f>A400</f>
        <v/>
      </c>
      <c r="C400" s="1" t="inlineStr">
        <is>
          <t>vG3m18</t>
        </is>
      </c>
      <c r="D400" s="1" t="inlineStr">
        <is>
          <t>數值</t>
        </is>
      </c>
      <c r="E400" s="9" t="n">
        <v>2</v>
      </c>
      <c r="G400" s="1" t="inlineStr">
        <is>
          <t>range</t>
        </is>
      </c>
      <c r="H400" s="1" t="inlineStr">
        <is>
          <t>0,1</t>
        </is>
      </c>
      <c r="I400" s="1" t="inlineStr">
        <is>
          <t>96</t>
        </is>
      </c>
      <c r="L400" s="2">
        <f>_xlfn.CONCAT(IF(D400="數值",CONCATENATE(G400&amp;"("&amp;C400&amp;","&amp;
IF(ISERROR(SEARCH(",",H400,1)),(H400&amp;","&amp;H400),H400)&amp;
IF(ISBLANK(I400),"",IF(ISERROR(SEARCH(",",I400,1)),CONCATENATE(","&amp;I400&amp;","&amp;I400),CONCATENATE(","&amp;I400))&amp;
IF(ISBLANK(J400),"",IF(ISERROR(SEARCH(",",J400,1)),CONCATENATE(","&amp;J400&amp;","&amp;J400),CONCATENATE(","&amp;J400))&amp;
IF(ISBLANK(K400),"",IF(ISERROR(SEARCH(",",K400,1)),CONCATENATE(","&amp;K400&amp;","&amp;K400),CONCATENATE(","&amp;K400))))))&amp;
")","")&amp;" "&amp;F400)</f>
        <v/>
      </c>
    </row>
    <row r="401">
      <c r="A401" s="1" t="n">
        <v>500</v>
      </c>
      <c r="B401" s="1">
        <f>A401</f>
        <v/>
      </c>
      <c r="C401" s="1" t="inlineStr">
        <is>
          <t>vG3m19</t>
        </is>
      </c>
      <c r="D401" s="1" t="inlineStr">
        <is>
          <t>數值</t>
        </is>
      </c>
      <c r="E401" s="9" t="n">
        <v>2</v>
      </c>
      <c r="G401" s="1" t="inlineStr">
        <is>
          <t>range</t>
        </is>
      </c>
      <c r="H401" s="1" t="inlineStr">
        <is>
          <t>0,1</t>
        </is>
      </c>
      <c r="I401" s="1" t="inlineStr">
        <is>
          <t>96</t>
        </is>
      </c>
      <c r="L401" s="2">
        <f>_xlfn.CONCAT(IF(D401="數值",CONCATENATE(G401&amp;"("&amp;C401&amp;","&amp;
IF(ISERROR(SEARCH(",",H401,1)),(H401&amp;","&amp;H401),H401)&amp;
IF(ISBLANK(I401),"",IF(ISERROR(SEARCH(",",I401,1)),CONCATENATE(","&amp;I401&amp;","&amp;I401),CONCATENATE(","&amp;I401))&amp;
IF(ISBLANK(J401),"",IF(ISERROR(SEARCH(",",J401,1)),CONCATENATE(","&amp;J401&amp;","&amp;J401),CONCATENATE(","&amp;J401))&amp;
IF(ISBLANK(K401),"",IF(ISERROR(SEARCH(",",K401,1)),CONCATENATE(","&amp;K401&amp;","&amp;K401),CONCATENATE(","&amp;K401))))))&amp;
")","")&amp;" "&amp;F401)</f>
        <v/>
      </c>
    </row>
    <row r="402">
      <c r="A402" s="1" t="n">
        <v>501</v>
      </c>
      <c r="B402" s="1">
        <f>A402</f>
        <v/>
      </c>
      <c r="C402" s="1" t="inlineStr">
        <is>
          <t>vG3m20</t>
        </is>
      </c>
      <c r="D402" s="1" t="inlineStr">
        <is>
          <t>數值</t>
        </is>
      </c>
      <c r="E402" s="9" t="n">
        <v>2</v>
      </c>
      <c r="G402" s="1" t="inlineStr">
        <is>
          <t>range</t>
        </is>
      </c>
      <c r="H402" s="1" t="inlineStr">
        <is>
          <t>0,1</t>
        </is>
      </c>
      <c r="I402" s="1" t="inlineStr">
        <is>
          <t>96</t>
        </is>
      </c>
      <c r="L402" s="2">
        <f>_xlfn.CONCAT(IF(D402="數值",CONCATENATE(G402&amp;"("&amp;C402&amp;","&amp;
IF(ISERROR(SEARCH(",",H402,1)),(H402&amp;","&amp;H402),H402)&amp;
IF(ISBLANK(I402),"",IF(ISERROR(SEARCH(",",I402,1)),CONCATENATE(","&amp;I402&amp;","&amp;I402),CONCATENATE(","&amp;I402))&amp;
IF(ISBLANK(J402),"",IF(ISERROR(SEARCH(",",J402,1)),CONCATENATE(","&amp;J402&amp;","&amp;J402),CONCATENATE(","&amp;J402))&amp;
IF(ISBLANK(K402),"",IF(ISERROR(SEARCH(",",K402,1)),CONCATENATE(","&amp;K402&amp;","&amp;K402),CONCATENATE(","&amp;K402))))))&amp;
")","")&amp;" "&amp;F402)</f>
        <v/>
      </c>
    </row>
    <row r="403">
      <c r="A403" s="1" t="n">
        <v>502</v>
      </c>
      <c r="B403" s="1">
        <f>A403</f>
        <v/>
      </c>
      <c r="C403" s="1" t="inlineStr">
        <is>
          <t>vG3m21</t>
        </is>
      </c>
      <c r="D403" s="1" t="inlineStr">
        <is>
          <t>數值</t>
        </is>
      </c>
      <c r="E403" s="9" t="n">
        <v>2</v>
      </c>
      <c r="G403" s="1" t="inlineStr">
        <is>
          <t>range</t>
        </is>
      </c>
      <c r="H403" s="1" t="inlineStr">
        <is>
          <t>0,1</t>
        </is>
      </c>
      <c r="I403" s="1" t="inlineStr">
        <is>
          <t>96</t>
        </is>
      </c>
      <c r="L403" s="2">
        <f>_xlfn.CONCAT(IF(D403="數值",CONCATENATE(G403&amp;"("&amp;C403&amp;","&amp;
IF(ISERROR(SEARCH(",",H403,1)),(H403&amp;","&amp;H403),H403)&amp;
IF(ISBLANK(I403),"",IF(ISERROR(SEARCH(",",I403,1)),CONCATENATE(","&amp;I403&amp;","&amp;I403),CONCATENATE(","&amp;I403))&amp;
IF(ISBLANK(J403),"",IF(ISERROR(SEARCH(",",J403,1)),CONCATENATE(","&amp;J403&amp;","&amp;J403),CONCATENATE(","&amp;J403))&amp;
IF(ISBLANK(K403),"",IF(ISERROR(SEARCH(",",K403,1)),CONCATENATE(","&amp;K403&amp;","&amp;K403),CONCATENATE(","&amp;K403))))))&amp;
")","")&amp;" "&amp;F403)</f>
        <v/>
      </c>
    </row>
    <row r="404">
      <c r="A404" s="1" t="n">
        <v>503</v>
      </c>
      <c r="B404" s="1">
        <f>A404</f>
        <v/>
      </c>
      <c r="C404" s="1" t="inlineStr">
        <is>
          <t>vG3m22</t>
        </is>
      </c>
      <c r="D404" s="1" t="inlineStr">
        <is>
          <t>數值</t>
        </is>
      </c>
      <c r="E404" s="9" t="n">
        <v>2</v>
      </c>
      <c r="G404" s="1" t="inlineStr">
        <is>
          <t>range</t>
        </is>
      </c>
      <c r="H404" s="1" t="inlineStr">
        <is>
          <t>0,1</t>
        </is>
      </c>
      <c r="I404" s="1" t="inlineStr">
        <is>
          <t>96</t>
        </is>
      </c>
      <c r="L404" s="2">
        <f>_xlfn.CONCAT(IF(D404="數值",CONCATENATE(G404&amp;"("&amp;C404&amp;","&amp;
IF(ISERROR(SEARCH(",",H404,1)),(H404&amp;","&amp;H404),H404)&amp;
IF(ISBLANK(I404),"",IF(ISERROR(SEARCH(",",I404,1)),CONCATENATE(","&amp;I404&amp;","&amp;I404),CONCATENATE(","&amp;I404))&amp;
IF(ISBLANK(J404),"",IF(ISERROR(SEARCH(",",J404,1)),CONCATENATE(","&amp;J404&amp;","&amp;J404),CONCATENATE(","&amp;J404))&amp;
IF(ISBLANK(K404),"",IF(ISERROR(SEARCH(",",K404,1)),CONCATENATE(","&amp;K404&amp;","&amp;K404),CONCATENATE(","&amp;K404))))))&amp;
")","")&amp;" "&amp;F404)</f>
        <v/>
      </c>
    </row>
    <row r="405">
      <c r="A405" s="1" t="n">
        <v>504</v>
      </c>
      <c r="B405" s="1">
        <f>A405</f>
        <v/>
      </c>
      <c r="C405" s="1" t="inlineStr">
        <is>
          <t>vG3m23</t>
        </is>
      </c>
      <c r="D405" s="1" t="inlineStr">
        <is>
          <t>數值</t>
        </is>
      </c>
      <c r="E405" s="9" t="n">
        <v>2</v>
      </c>
      <c r="G405" s="1" t="inlineStr">
        <is>
          <t>range</t>
        </is>
      </c>
      <c r="H405" s="1" t="inlineStr">
        <is>
          <t>0,1</t>
        </is>
      </c>
      <c r="I405" s="1" t="inlineStr">
        <is>
          <t>96</t>
        </is>
      </c>
      <c r="L405" s="2">
        <f>_xlfn.CONCAT(IF(D405="數值",CONCATENATE(G405&amp;"("&amp;C405&amp;","&amp;
IF(ISERROR(SEARCH(",",H405,1)),(H405&amp;","&amp;H405),H405)&amp;
IF(ISBLANK(I405),"",IF(ISERROR(SEARCH(",",I405,1)),CONCATENATE(","&amp;I405&amp;","&amp;I405),CONCATENATE(","&amp;I405))&amp;
IF(ISBLANK(J405),"",IF(ISERROR(SEARCH(",",J405,1)),CONCATENATE(","&amp;J405&amp;","&amp;J405),CONCATENATE(","&amp;J405))&amp;
IF(ISBLANK(K405),"",IF(ISERROR(SEARCH(",",K405,1)),CONCATENATE(","&amp;K405&amp;","&amp;K405),CONCATENATE(","&amp;K405))))))&amp;
")","")&amp;" "&amp;F405)</f>
        <v/>
      </c>
    </row>
    <row r="406">
      <c r="A406" s="1" t="n">
        <v>505</v>
      </c>
      <c r="B406" s="1">
        <f>A406</f>
        <v/>
      </c>
      <c r="C406" s="1" t="inlineStr">
        <is>
          <t>vG3m24</t>
        </is>
      </c>
      <c r="D406" s="1" t="inlineStr">
        <is>
          <t>數值</t>
        </is>
      </c>
      <c r="E406" s="9" t="n">
        <v>2</v>
      </c>
      <c r="G406" s="1" t="inlineStr">
        <is>
          <t>range</t>
        </is>
      </c>
      <c r="H406" s="1" t="inlineStr">
        <is>
          <t>0,1</t>
        </is>
      </c>
      <c r="I406" s="1" t="inlineStr">
        <is>
          <t>96</t>
        </is>
      </c>
      <c r="L406" s="2">
        <f>_xlfn.CONCAT(IF(D406="數值",CONCATENATE(G406&amp;"("&amp;C406&amp;","&amp;
IF(ISERROR(SEARCH(",",H406,1)),(H406&amp;","&amp;H406),H406)&amp;
IF(ISBLANK(I406),"",IF(ISERROR(SEARCH(",",I406,1)),CONCATENATE(","&amp;I406&amp;","&amp;I406),CONCATENATE(","&amp;I406))&amp;
IF(ISBLANK(J406),"",IF(ISERROR(SEARCH(",",J406,1)),CONCATENATE(","&amp;J406&amp;","&amp;J406),CONCATENATE(","&amp;J406))&amp;
IF(ISBLANK(K406),"",IF(ISERROR(SEARCH(",",K406,1)),CONCATENATE(","&amp;K406&amp;","&amp;K406),CONCATENATE(","&amp;K406))))))&amp;
")","")&amp;" "&amp;F406)</f>
        <v/>
      </c>
    </row>
    <row r="407">
      <c r="A407" s="1" t="n">
        <v>506</v>
      </c>
      <c r="B407" s="1">
        <f>A407</f>
        <v/>
      </c>
      <c r="C407" s="1" t="inlineStr">
        <is>
          <t>vG3m25</t>
        </is>
      </c>
      <c r="D407" s="1" t="inlineStr">
        <is>
          <t>數值</t>
        </is>
      </c>
      <c r="E407" s="9" t="n">
        <v>2</v>
      </c>
      <c r="G407" s="1" t="inlineStr">
        <is>
          <t>range</t>
        </is>
      </c>
      <c r="H407" s="1" t="inlineStr">
        <is>
          <t>0,1</t>
        </is>
      </c>
      <c r="I407" s="1" t="inlineStr">
        <is>
          <t>96</t>
        </is>
      </c>
      <c r="L407" s="2">
        <f>_xlfn.CONCAT(IF(D407="數值",CONCATENATE(G407&amp;"("&amp;C407&amp;","&amp;
IF(ISERROR(SEARCH(",",H407,1)),(H407&amp;","&amp;H407),H407)&amp;
IF(ISBLANK(I407),"",IF(ISERROR(SEARCH(",",I407,1)),CONCATENATE(","&amp;I407&amp;","&amp;I407),CONCATENATE(","&amp;I407))&amp;
IF(ISBLANK(J407),"",IF(ISERROR(SEARCH(",",J407,1)),CONCATENATE(","&amp;J407&amp;","&amp;J407),CONCATENATE(","&amp;J407))&amp;
IF(ISBLANK(K407),"",IF(ISERROR(SEARCH(",",K407,1)),CONCATENATE(","&amp;K407&amp;","&amp;K407),CONCATENATE(","&amp;K407))))))&amp;
")","")&amp;" "&amp;F407)</f>
        <v/>
      </c>
    </row>
    <row r="408">
      <c r="A408" s="1" t="n">
        <v>507</v>
      </c>
      <c r="B408" s="1">
        <f>A408</f>
        <v/>
      </c>
      <c r="C408" s="1" t="inlineStr">
        <is>
          <t>vG3m26</t>
        </is>
      </c>
      <c r="D408" s="1" t="inlineStr">
        <is>
          <t>數值</t>
        </is>
      </c>
      <c r="E408" s="9" t="n">
        <v>2</v>
      </c>
      <c r="G408" s="1" t="inlineStr">
        <is>
          <t>range</t>
        </is>
      </c>
      <c r="H408" s="1" t="inlineStr">
        <is>
          <t>0,1</t>
        </is>
      </c>
      <c r="I408" s="1" t="inlineStr">
        <is>
          <t>96</t>
        </is>
      </c>
      <c r="L408" s="2">
        <f>_xlfn.CONCAT(IF(D408="數值",CONCATENATE(G408&amp;"("&amp;C408&amp;","&amp;
IF(ISERROR(SEARCH(",",H408,1)),(H408&amp;","&amp;H408),H408)&amp;
IF(ISBLANK(I408),"",IF(ISERROR(SEARCH(",",I408,1)),CONCATENATE(","&amp;I408&amp;","&amp;I408),CONCATENATE(","&amp;I408))&amp;
IF(ISBLANK(J408),"",IF(ISERROR(SEARCH(",",J408,1)),CONCATENATE(","&amp;J408&amp;","&amp;J408),CONCATENATE(","&amp;J408))&amp;
IF(ISBLANK(K408),"",IF(ISERROR(SEARCH(",",K408,1)),CONCATENATE(","&amp;K408&amp;","&amp;K408),CONCATENATE(","&amp;K408))))))&amp;
")","")&amp;" "&amp;F408)</f>
        <v/>
      </c>
    </row>
    <row r="409">
      <c r="A409" s="1" t="n">
        <v>508</v>
      </c>
      <c r="B409" s="1">
        <f>A409</f>
        <v/>
      </c>
      <c r="C409" s="1" t="inlineStr">
        <is>
          <t>vG3m27</t>
        </is>
      </c>
      <c r="D409" s="1" t="inlineStr">
        <is>
          <t>數值</t>
        </is>
      </c>
      <c r="E409" s="9" t="n">
        <v>2</v>
      </c>
      <c r="G409" s="1" t="inlineStr">
        <is>
          <t>range</t>
        </is>
      </c>
      <c r="H409" s="1" t="inlineStr">
        <is>
          <t>0,1</t>
        </is>
      </c>
      <c r="I409" s="1" t="inlineStr">
        <is>
          <t>96</t>
        </is>
      </c>
      <c r="L409" s="2">
        <f>_xlfn.CONCAT(IF(D409="數值",CONCATENATE(G409&amp;"("&amp;C409&amp;","&amp;
IF(ISERROR(SEARCH(",",H409,1)),(H409&amp;","&amp;H409),H409)&amp;
IF(ISBLANK(I409),"",IF(ISERROR(SEARCH(",",I409,1)),CONCATENATE(","&amp;I409&amp;","&amp;I409),CONCATENATE(","&amp;I409))&amp;
IF(ISBLANK(J409),"",IF(ISERROR(SEARCH(",",J409,1)),CONCATENATE(","&amp;J409&amp;","&amp;J409),CONCATENATE(","&amp;J409))&amp;
IF(ISBLANK(K409),"",IF(ISERROR(SEARCH(",",K409,1)),CONCATENATE(","&amp;K409&amp;","&amp;K409),CONCATENATE(","&amp;K409))))))&amp;
")","")&amp;" "&amp;F409)</f>
        <v/>
      </c>
    </row>
    <row r="410">
      <c r="A410" s="1" t="n">
        <v>509</v>
      </c>
      <c r="B410" s="1">
        <f>A410</f>
        <v/>
      </c>
      <c r="C410" s="1" t="inlineStr">
        <is>
          <t>vG3m28</t>
        </is>
      </c>
      <c r="D410" s="1" t="inlineStr">
        <is>
          <t>數值</t>
        </is>
      </c>
      <c r="E410" s="9" t="n">
        <v>2</v>
      </c>
      <c r="G410" s="1" t="inlineStr">
        <is>
          <t>range</t>
        </is>
      </c>
      <c r="H410" s="1" t="inlineStr">
        <is>
          <t>0,1</t>
        </is>
      </c>
      <c r="I410" s="1" t="inlineStr">
        <is>
          <t>96</t>
        </is>
      </c>
      <c r="L410" s="2">
        <f>_xlfn.CONCAT(IF(D410="數值",CONCATENATE(G410&amp;"("&amp;C410&amp;","&amp;
IF(ISERROR(SEARCH(",",H410,1)),(H410&amp;","&amp;H410),H410)&amp;
IF(ISBLANK(I410),"",IF(ISERROR(SEARCH(",",I410,1)),CONCATENATE(","&amp;I410&amp;","&amp;I410),CONCATENATE(","&amp;I410))&amp;
IF(ISBLANK(J410),"",IF(ISERROR(SEARCH(",",J410,1)),CONCATENATE(","&amp;J410&amp;","&amp;J410),CONCATENATE(","&amp;J410))&amp;
IF(ISBLANK(K410),"",IF(ISERROR(SEARCH(",",K410,1)),CONCATENATE(","&amp;K410&amp;","&amp;K410),CONCATENATE(","&amp;K410))))))&amp;
")","")&amp;" "&amp;F410)</f>
        <v/>
      </c>
    </row>
    <row r="411">
      <c r="A411" s="1" t="n">
        <v>510</v>
      </c>
      <c r="B411" s="1">
        <f>A411</f>
        <v/>
      </c>
      <c r="C411" s="1" t="inlineStr">
        <is>
          <t>vG3m29</t>
        </is>
      </c>
      <c r="D411" s="1" t="inlineStr">
        <is>
          <t>數值</t>
        </is>
      </c>
      <c r="E411" s="9" t="n">
        <v>2</v>
      </c>
      <c r="G411" s="1" t="inlineStr">
        <is>
          <t>range</t>
        </is>
      </c>
      <c r="H411" s="1" t="inlineStr">
        <is>
          <t>0,1</t>
        </is>
      </c>
      <c r="I411" s="1" t="inlineStr">
        <is>
          <t>96</t>
        </is>
      </c>
      <c r="L411" s="2">
        <f>_xlfn.CONCAT(IF(D411="數值",CONCATENATE(G411&amp;"("&amp;C411&amp;","&amp;
IF(ISERROR(SEARCH(",",H411,1)),(H411&amp;","&amp;H411),H411)&amp;
IF(ISBLANK(I411),"",IF(ISERROR(SEARCH(",",I411,1)),CONCATENATE(","&amp;I411&amp;","&amp;I411),CONCATENATE(","&amp;I411))&amp;
IF(ISBLANK(J411),"",IF(ISERROR(SEARCH(",",J411,1)),CONCATENATE(","&amp;J411&amp;","&amp;J411),CONCATENATE(","&amp;J411))&amp;
IF(ISBLANK(K411),"",IF(ISERROR(SEARCH(",",K411,1)),CONCATENATE(","&amp;K411&amp;","&amp;K411),CONCATENATE(","&amp;K411))))))&amp;
")","")&amp;" "&amp;F411)</f>
        <v/>
      </c>
    </row>
    <row r="412">
      <c r="A412" s="1" t="n">
        <v>511</v>
      </c>
      <c r="B412" s="1">
        <f>A412</f>
        <v/>
      </c>
      <c r="C412" s="1" t="inlineStr">
        <is>
          <t>vG3m30</t>
        </is>
      </c>
      <c r="D412" s="1" t="inlineStr">
        <is>
          <t>數值</t>
        </is>
      </c>
      <c r="E412" s="9" t="n">
        <v>2</v>
      </c>
      <c r="G412" s="1" t="inlineStr">
        <is>
          <t>range</t>
        </is>
      </c>
      <c r="H412" s="1" t="inlineStr">
        <is>
          <t>0,1</t>
        </is>
      </c>
      <c r="I412" s="1" t="inlineStr">
        <is>
          <t>96</t>
        </is>
      </c>
      <c r="L412" s="2">
        <f>_xlfn.CONCAT(IF(D412="數值",CONCATENATE(G412&amp;"("&amp;C412&amp;","&amp;
IF(ISERROR(SEARCH(",",H412,1)),(H412&amp;","&amp;H412),H412)&amp;
IF(ISBLANK(I412),"",IF(ISERROR(SEARCH(",",I412,1)),CONCATENATE(","&amp;I412&amp;","&amp;I412),CONCATENATE(","&amp;I412))&amp;
IF(ISBLANK(J412),"",IF(ISERROR(SEARCH(",",J412,1)),CONCATENATE(","&amp;J412&amp;","&amp;J412),CONCATENATE(","&amp;J412))&amp;
IF(ISBLANK(K412),"",IF(ISERROR(SEARCH(",",K412,1)),CONCATENATE(","&amp;K412&amp;","&amp;K412),CONCATENATE(","&amp;K412))))))&amp;
")","")&amp;" "&amp;F412)</f>
        <v/>
      </c>
    </row>
    <row r="413">
      <c r="A413" s="1" t="n">
        <v>512</v>
      </c>
      <c r="B413" s="1">
        <f>A413</f>
        <v/>
      </c>
      <c r="C413" s="1" t="inlineStr">
        <is>
          <t>vG3m31</t>
        </is>
      </c>
      <c r="D413" s="1" t="inlineStr">
        <is>
          <t>數值</t>
        </is>
      </c>
      <c r="E413" s="9" t="n">
        <v>2</v>
      </c>
      <c r="G413" s="1" t="inlineStr">
        <is>
          <t>range</t>
        </is>
      </c>
      <c r="H413" s="1" t="inlineStr">
        <is>
          <t>0,1</t>
        </is>
      </c>
      <c r="I413" s="1" t="inlineStr">
        <is>
          <t>96</t>
        </is>
      </c>
      <c r="L413" s="2">
        <f>_xlfn.CONCAT(IF(D413="數值",CONCATENATE(G413&amp;"("&amp;C413&amp;","&amp;
IF(ISERROR(SEARCH(",",H413,1)),(H413&amp;","&amp;H413),H413)&amp;
IF(ISBLANK(I413),"",IF(ISERROR(SEARCH(",",I413,1)),CONCATENATE(","&amp;I413&amp;","&amp;I413),CONCATENATE(","&amp;I413))&amp;
IF(ISBLANK(J413),"",IF(ISERROR(SEARCH(",",J413,1)),CONCATENATE(","&amp;J413&amp;","&amp;J413),CONCATENATE(","&amp;J413))&amp;
IF(ISBLANK(K413),"",IF(ISERROR(SEARCH(",",K413,1)),CONCATENATE(","&amp;K413&amp;","&amp;K413),CONCATENATE(","&amp;K413))))))&amp;
")","")&amp;" "&amp;F413)</f>
        <v/>
      </c>
    </row>
    <row r="414">
      <c r="A414" s="1" t="n">
        <v>513</v>
      </c>
      <c r="B414" s="1">
        <f>A414</f>
        <v/>
      </c>
      <c r="C414" s="1" t="inlineStr">
        <is>
          <t>vG3m32</t>
        </is>
      </c>
      <c r="D414" s="1" t="inlineStr">
        <is>
          <t>數值</t>
        </is>
      </c>
      <c r="E414" s="9" t="n">
        <v>2</v>
      </c>
      <c r="G414" s="1" t="inlineStr">
        <is>
          <t>range</t>
        </is>
      </c>
      <c r="H414" s="1" t="inlineStr">
        <is>
          <t>0,1</t>
        </is>
      </c>
      <c r="I414" s="1" t="inlineStr">
        <is>
          <t>96</t>
        </is>
      </c>
      <c r="L414" s="2">
        <f>_xlfn.CONCAT(IF(D414="數值",CONCATENATE(G414&amp;"("&amp;C414&amp;","&amp;
IF(ISERROR(SEARCH(",",H414,1)),(H414&amp;","&amp;H414),H414)&amp;
IF(ISBLANK(I414),"",IF(ISERROR(SEARCH(",",I414,1)),CONCATENATE(","&amp;I414&amp;","&amp;I414),CONCATENATE(","&amp;I414))&amp;
IF(ISBLANK(J414),"",IF(ISERROR(SEARCH(",",J414,1)),CONCATENATE(","&amp;J414&amp;","&amp;J414),CONCATENATE(","&amp;J414))&amp;
IF(ISBLANK(K414),"",IF(ISERROR(SEARCH(",",K414,1)),CONCATENATE(","&amp;K414&amp;","&amp;K414),CONCATENATE(","&amp;K414))))))&amp;
")","")&amp;" "&amp;F414)</f>
        <v/>
      </c>
    </row>
    <row r="415">
      <c r="A415" s="1" t="n">
        <v>514</v>
      </c>
      <c r="B415" s="1">
        <f>A415</f>
        <v/>
      </c>
      <c r="C415" s="1" t="inlineStr">
        <is>
          <t>vG3m33</t>
        </is>
      </c>
      <c r="D415" s="1" t="inlineStr">
        <is>
          <t>數值</t>
        </is>
      </c>
      <c r="E415" s="9" t="n">
        <v>2</v>
      </c>
      <c r="G415" s="1" t="inlineStr">
        <is>
          <t>range</t>
        </is>
      </c>
      <c r="H415" s="1" t="inlineStr">
        <is>
          <t>0,1</t>
        </is>
      </c>
      <c r="I415" s="1" t="inlineStr">
        <is>
          <t>96</t>
        </is>
      </c>
      <c r="L415" s="2">
        <f>_xlfn.CONCAT(IF(D415="數值",CONCATENATE(G415&amp;"("&amp;C415&amp;","&amp;
IF(ISERROR(SEARCH(",",H415,1)),(H415&amp;","&amp;H415),H415)&amp;
IF(ISBLANK(I415),"",IF(ISERROR(SEARCH(",",I415,1)),CONCATENATE(","&amp;I415&amp;","&amp;I415),CONCATENATE(","&amp;I415))&amp;
IF(ISBLANK(J415),"",IF(ISERROR(SEARCH(",",J415,1)),CONCATENATE(","&amp;J415&amp;","&amp;J415),CONCATENATE(","&amp;J415))&amp;
IF(ISBLANK(K415),"",IF(ISERROR(SEARCH(",",K415,1)),CONCATENATE(","&amp;K415&amp;","&amp;K415),CONCATENATE(","&amp;K415))))))&amp;
")","")&amp;" "&amp;F415)</f>
        <v/>
      </c>
    </row>
    <row r="416">
      <c r="A416" s="1" t="n">
        <v>515</v>
      </c>
      <c r="B416" s="1">
        <f>A416</f>
        <v/>
      </c>
      <c r="C416" s="1" t="inlineStr">
        <is>
          <t>vG3m88</t>
        </is>
      </c>
      <c r="D416" s="1" t="inlineStr">
        <is>
          <t>數值</t>
        </is>
      </c>
      <c r="E416" s="9" t="n">
        <v>2</v>
      </c>
      <c r="G416" s="1" t="inlineStr">
        <is>
          <t>range</t>
        </is>
      </c>
      <c r="H416" s="1" t="inlineStr">
        <is>
          <t>0,1</t>
        </is>
      </c>
      <c r="I416" s="1" t="inlineStr">
        <is>
          <t>96</t>
        </is>
      </c>
      <c r="L416" s="2">
        <f>_xlfn.CONCAT(IF(D416="數值",CONCATENATE(G416&amp;"("&amp;C416&amp;","&amp;
IF(ISERROR(SEARCH(",",H416,1)),(H416&amp;","&amp;H416),H416)&amp;
IF(ISBLANK(I416),"",IF(ISERROR(SEARCH(",",I416,1)),CONCATENATE(","&amp;I416&amp;","&amp;I416),CONCATENATE(","&amp;I416))&amp;
IF(ISBLANK(J416),"",IF(ISERROR(SEARCH(",",J416,1)),CONCATENATE(","&amp;J416&amp;","&amp;J416),CONCATENATE(","&amp;J416))&amp;
IF(ISBLANK(K416),"",IF(ISERROR(SEARCH(",",K416,1)),CONCATENATE(","&amp;K416&amp;","&amp;K416),CONCATENATE(","&amp;K416))))))&amp;
")","")&amp;" "&amp;F416)</f>
        <v/>
      </c>
    </row>
    <row r="417">
      <c r="A417" s="1" t="n">
        <v>516</v>
      </c>
      <c r="B417" s="1">
        <f>A417</f>
        <v/>
      </c>
      <c r="C417" s="1" t="inlineStr">
        <is>
          <t>vF0</t>
        </is>
      </c>
      <c r="D417" s="1" t="inlineStr">
        <is>
          <t>數值</t>
        </is>
      </c>
      <c r="E417" s="9" t="n">
        <v>2</v>
      </c>
      <c r="G417" s="1" t="inlineStr">
        <is>
          <t>range</t>
        </is>
      </c>
      <c r="H417" s="1" t="inlineStr">
        <is>
          <t>1,89</t>
        </is>
      </c>
      <c r="I417" s="1" t="inlineStr">
        <is>
          <t>90</t>
        </is>
      </c>
      <c r="J417" s="1" t="inlineStr">
        <is>
          <t>97</t>
        </is>
      </c>
      <c r="K417" s="1" t="inlineStr">
        <is>
          <t>98</t>
        </is>
      </c>
      <c r="L417" s="2">
        <f>_xlfn.CONCAT(IF(D417="數值",CONCATENATE(G417&amp;"("&amp;C417&amp;","&amp;
IF(ISERROR(SEARCH(",",H417,1)),(H417&amp;","&amp;H417),H417)&amp;
IF(ISBLANK(I417),"",IF(ISERROR(SEARCH(",",I417,1)),CONCATENATE(","&amp;I417&amp;","&amp;I417),CONCATENATE(","&amp;I417))&amp;
IF(ISBLANK(J417),"",IF(ISERROR(SEARCH(",",J417,1)),CONCATENATE(","&amp;J417&amp;","&amp;J417),CONCATENATE(","&amp;J417))&amp;
IF(ISBLANK(K417),"",IF(ISERROR(SEARCH(",",K417,1)),CONCATENATE(","&amp;K417&amp;","&amp;K417),CONCATENATE(","&amp;K417))))))&amp;
")","")&amp;" "&amp;F417)</f>
        <v/>
      </c>
    </row>
    <row r="418">
      <c r="A418" s="1" t="n">
        <v>517</v>
      </c>
      <c r="B418" s="1">
        <f>A418</f>
        <v/>
      </c>
      <c r="C418" s="1" t="inlineStr">
        <is>
          <t>vF1</t>
        </is>
      </c>
      <c r="D418" s="1" t="inlineStr">
        <is>
          <t>數值</t>
        </is>
      </c>
      <c r="E418" s="9" t="n">
        <v>5</v>
      </c>
      <c r="G418" s="1" t="inlineStr">
        <is>
          <t>range</t>
        </is>
      </c>
      <c r="H418" s="1" t="inlineStr">
        <is>
          <t>0.5,31</t>
        </is>
      </c>
      <c r="I418" s="1" t="inlineStr">
        <is>
          <t>95</t>
        </is>
      </c>
      <c r="J418" s="1" t="inlineStr">
        <is>
          <t>97</t>
        </is>
      </c>
      <c r="K418" s="1" t="inlineStr">
        <is>
          <t>98</t>
        </is>
      </c>
      <c r="L418" s="2">
        <f>_xlfn.CONCAT(IF(D418="數值",CONCATENATE(G418&amp;"("&amp;C418&amp;","&amp;
IF(ISERROR(SEARCH(",",H418,1)),(H418&amp;","&amp;H418),H418)&amp;
IF(ISBLANK(I418),"",IF(ISERROR(SEARCH(",",I418,1)),CONCATENATE(","&amp;I418&amp;","&amp;I418),CONCATENATE(","&amp;I418))&amp;
IF(ISBLANK(J418),"",IF(ISERROR(SEARCH(",",J418,1)),CONCATENATE(","&amp;J418&amp;","&amp;J418),CONCATENATE(","&amp;J418))&amp;
IF(ISBLANK(K418),"",IF(ISERROR(SEARCH(",",K418,1)),CONCATENATE(","&amp;K418&amp;","&amp;K418),CONCATENATE(","&amp;K418))))))&amp;
")","")&amp;" "&amp;F418)</f>
        <v/>
      </c>
    </row>
    <row r="419">
      <c r="A419" s="1" t="n">
        <v>518</v>
      </c>
      <c r="B419" s="1">
        <f>A419</f>
        <v/>
      </c>
      <c r="C419" s="1" t="inlineStr">
        <is>
          <t>vF2</t>
        </is>
      </c>
      <c r="D419" s="1" t="inlineStr">
        <is>
          <t>數值</t>
        </is>
      </c>
      <c r="E419" s="9" t="n">
        <v>5</v>
      </c>
      <c r="G419" s="1" t="inlineStr">
        <is>
          <t>range</t>
        </is>
      </c>
      <c r="H419" s="1" t="inlineStr">
        <is>
          <t>1,2359</t>
        </is>
      </c>
      <c r="I419" s="1" t="inlineStr">
        <is>
          <t>9797</t>
        </is>
      </c>
      <c r="J419" s="1" t="inlineStr">
        <is>
          <t>9898</t>
        </is>
      </c>
      <c r="L419" s="2">
        <f>_xlfn.CONCAT(IF(D419="數值",CONCATENATE(G419&amp;"("&amp;C419&amp;","&amp;
IF(ISERROR(SEARCH(",",H419,1)),(H419&amp;","&amp;H419),H419)&amp;
IF(ISBLANK(I419),"",IF(ISERROR(SEARCH(",",I419,1)),CONCATENATE(","&amp;I419&amp;","&amp;I419),CONCATENATE(","&amp;I419))&amp;
IF(ISBLANK(J419),"",IF(ISERROR(SEARCH(",",J419,1)),CONCATENATE(","&amp;J419&amp;","&amp;J419),CONCATENATE(","&amp;J419))&amp;
IF(ISBLANK(K419),"",IF(ISERROR(SEARCH(",",K419,1)),CONCATENATE(","&amp;K419&amp;","&amp;K419),CONCATENATE(","&amp;K419))))))&amp;
")","")&amp;" "&amp;F419)</f>
        <v/>
      </c>
    </row>
    <row r="420">
      <c r="A420" s="1" t="n">
        <v>519</v>
      </c>
      <c r="B420" s="1">
        <f>A420</f>
        <v/>
      </c>
      <c r="C420" s="1" t="inlineStr">
        <is>
          <t>vF3</t>
        </is>
      </c>
      <c r="D420" s="1" t="inlineStr">
        <is>
          <t>數值</t>
        </is>
      </c>
      <c r="E420" s="9" t="n">
        <v>5</v>
      </c>
      <c r="G420" s="1" t="inlineStr">
        <is>
          <t>range</t>
        </is>
      </c>
      <c r="H420" s="1" t="inlineStr">
        <is>
          <t>0.5,31</t>
        </is>
      </c>
      <c r="I420" s="1" t="inlineStr">
        <is>
          <t>95</t>
        </is>
      </c>
      <c r="J420" s="1" t="inlineStr">
        <is>
          <t>97</t>
        </is>
      </c>
      <c r="K420" s="1" t="inlineStr">
        <is>
          <t>98</t>
        </is>
      </c>
      <c r="L420" s="2">
        <f>_xlfn.CONCAT(IF(D420="數值",CONCATENATE(G420&amp;"("&amp;C420&amp;","&amp;
IF(ISERROR(SEARCH(",",H420,1)),(H420&amp;","&amp;H420),H420)&amp;
IF(ISBLANK(I420),"",IF(ISERROR(SEARCH(",",I420,1)),CONCATENATE(","&amp;I420&amp;","&amp;I420),CONCATENATE(","&amp;I420))&amp;
IF(ISBLANK(J420),"",IF(ISERROR(SEARCH(",",J420,1)),CONCATENATE(","&amp;J420&amp;","&amp;J420),CONCATENATE(","&amp;J420))&amp;
IF(ISBLANK(K420),"",IF(ISERROR(SEARCH(",",K420,1)),CONCATENATE(","&amp;K420&amp;","&amp;K420),CONCATENATE(","&amp;K420))))))&amp;
")","")&amp;" "&amp;F420)</f>
        <v/>
      </c>
    </row>
    <row r="421">
      <c r="A421" s="1" t="n">
        <v>520</v>
      </c>
      <c r="B421" s="1">
        <f>A421</f>
        <v/>
      </c>
      <c r="C421" s="1" t="inlineStr">
        <is>
          <t>vF4</t>
        </is>
      </c>
      <c r="D421" s="1" t="inlineStr">
        <is>
          <t>數值</t>
        </is>
      </c>
      <c r="E421" s="9" t="n">
        <v>5</v>
      </c>
      <c r="G421" s="1" t="inlineStr">
        <is>
          <t>range</t>
        </is>
      </c>
      <c r="H421" s="1" t="inlineStr">
        <is>
          <t>1,2359</t>
        </is>
      </c>
      <c r="I421" s="1" t="inlineStr">
        <is>
          <t>9797</t>
        </is>
      </c>
      <c r="J421" s="1" t="inlineStr">
        <is>
          <t>9898</t>
        </is>
      </c>
      <c r="L421" s="2">
        <f>_xlfn.CONCAT(IF(D421="數值",CONCATENATE(G421&amp;"("&amp;C421&amp;","&amp;
IF(ISERROR(SEARCH(",",H421,1)),(H421&amp;","&amp;H421),H421)&amp;
IF(ISBLANK(I421),"",IF(ISERROR(SEARCH(",",I421,1)),CONCATENATE(","&amp;I421&amp;","&amp;I421),CONCATENATE(","&amp;I421))&amp;
IF(ISBLANK(J421),"",IF(ISERROR(SEARCH(",",J421,1)),CONCATENATE(","&amp;J421&amp;","&amp;J421),CONCATENATE(","&amp;J421))&amp;
IF(ISBLANK(K421),"",IF(ISERROR(SEARCH(",",K421,1)),CONCATENATE(","&amp;K421&amp;","&amp;K421),CONCATENATE(","&amp;K421))))))&amp;
")","")&amp;" "&amp;F421)</f>
        <v/>
      </c>
    </row>
    <row r="422">
      <c r="A422" s="1" t="n">
        <v>521</v>
      </c>
      <c r="B422" s="1">
        <f>A422</f>
        <v/>
      </c>
      <c r="C422" s="1" t="inlineStr">
        <is>
          <t>vF5m01</t>
        </is>
      </c>
      <c r="D422" s="1" t="inlineStr">
        <is>
          <t>數值</t>
        </is>
      </c>
      <c r="E422" s="9" t="n">
        <v>2</v>
      </c>
      <c r="G422" s="1" t="inlineStr">
        <is>
          <t>range</t>
        </is>
      </c>
      <c r="H422" s="1" t="inlineStr">
        <is>
          <t>0,1</t>
        </is>
      </c>
      <c r="L422" s="2">
        <f>_xlfn.CONCAT(IF(D422="數值",CONCATENATE(G422&amp;"("&amp;C422&amp;","&amp;
IF(ISERROR(SEARCH(",",H422,1)),(H422&amp;","&amp;H422),H422)&amp;
IF(ISBLANK(I422),"",IF(ISERROR(SEARCH(",",I422,1)),CONCATENATE(","&amp;I422&amp;","&amp;I422),CONCATENATE(","&amp;I422))&amp;
IF(ISBLANK(J422),"",IF(ISERROR(SEARCH(",",J422,1)),CONCATENATE(","&amp;J422&amp;","&amp;J422),CONCATENATE(","&amp;J422))&amp;
IF(ISBLANK(K422),"",IF(ISERROR(SEARCH(",",K422,1)),CONCATENATE(","&amp;K422&amp;","&amp;K422),CONCATENATE(","&amp;K422))))))&amp;
")","")&amp;" "&amp;F422)</f>
        <v/>
      </c>
    </row>
    <row r="423">
      <c r="A423" s="1" t="n">
        <v>522</v>
      </c>
      <c r="B423" s="1">
        <f>A423</f>
        <v/>
      </c>
      <c r="C423" s="1" t="inlineStr">
        <is>
          <t>vF5m02</t>
        </is>
      </c>
      <c r="D423" s="1" t="inlineStr">
        <is>
          <t>數值</t>
        </is>
      </c>
      <c r="E423" s="9" t="n">
        <v>2</v>
      </c>
      <c r="G423" s="1" t="inlineStr">
        <is>
          <t>range</t>
        </is>
      </c>
      <c r="H423" s="1" t="inlineStr">
        <is>
          <t>0,1</t>
        </is>
      </c>
      <c r="L423" s="2">
        <f>_xlfn.CONCAT(IF(D423="數值",CONCATENATE(G423&amp;"("&amp;C423&amp;","&amp;
IF(ISERROR(SEARCH(",",H423,1)),(H423&amp;","&amp;H423),H423)&amp;
IF(ISBLANK(I423),"",IF(ISERROR(SEARCH(",",I423,1)),CONCATENATE(","&amp;I423&amp;","&amp;I423),CONCATENATE(","&amp;I423))&amp;
IF(ISBLANK(J423),"",IF(ISERROR(SEARCH(",",J423,1)),CONCATENATE(","&amp;J423&amp;","&amp;J423),CONCATENATE(","&amp;J423))&amp;
IF(ISBLANK(K423),"",IF(ISERROR(SEARCH(",",K423,1)),CONCATENATE(","&amp;K423&amp;","&amp;K423),CONCATENATE(","&amp;K423))))))&amp;
")","")&amp;" "&amp;F423)</f>
        <v/>
      </c>
    </row>
    <row r="424">
      <c r="A424" s="1" t="n">
        <v>523</v>
      </c>
      <c r="B424" s="1">
        <f>A424</f>
        <v/>
      </c>
      <c r="C424" s="1" t="inlineStr">
        <is>
          <t>vF5m03</t>
        </is>
      </c>
      <c r="D424" s="1" t="inlineStr">
        <is>
          <t>數值</t>
        </is>
      </c>
      <c r="E424" s="9" t="n">
        <v>2</v>
      </c>
      <c r="G424" s="1" t="inlineStr">
        <is>
          <t>range</t>
        </is>
      </c>
      <c r="H424" s="1" t="inlineStr">
        <is>
          <t>0,1</t>
        </is>
      </c>
      <c r="L424" s="2">
        <f>_xlfn.CONCAT(IF(D424="數值",CONCATENATE(G424&amp;"("&amp;C424&amp;","&amp;
IF(ISERROR(SEARCH(",",H424,1)),(H424&amp;","&amp;H424),H424)&amp;
IF(ISBLANK(I424),"",IF(ISERROR(SEARCH(",",I424,1)),CONCATENATE(","&amp;I424&amp;","&amp;I424),CONCATENATE(","&amp;I424))&amp;
IF(ISBLANK(J424),"",IF(ISERROR(SEARCH(",",J424,1)),CONCATENATE(","&amp;J424&amp;","&amp;J424),CONCATENATE(","&amp;J424))&amp;
IF(ISBLANK(K424),"",IF(ISERROR(SEARCH(",",K424,1)),CONCATENATE(","&amp;K424&amp;","&amp;K424),CONCATENATE(","&amp;K424))))))&amp;
")","")&amp;" "&amp;F424)</f>
        <v/>
      </c>
    </row>
    <row r="425">
      <c r="A425" s="1" t="n">
        <v>524</v>
      </c>
      <c r="B425" s="1">
        <f>A425</f>
        <v/>
      </c>
      <c r="C425" s="1" t="inlineStr">
        <is>
          <t>vF5m04</t>
        </is>
      </c>
      <c r="D425" s="1" t="inlineStr">
        <is>
          <t>數值</t>
        </is>
      </c>
      <c r="E425" s="9" t="n">
        <v>2</v>
      </c>
      <c r="G425" s="1" t="inlineStr">
        <is>
          <t>range</t>
        </is>
      </c>
      <c r="H425" s="1" t="inlineStr">
        <is>
          <t>0,1</t>
        </is>
      </c>
      <c r="L425" s="2">
        <f>_xlfn.CONCAT(IF(D425="數值",CONCATENATE(G425&amp;"("&amp;C425&amp;","&amp;
IF(ISERROR(SEARCH(",",H425,1)),(H425&amp;","&amp;H425),H425)&amp;
IF(ISBLANK(I425),"",IF(ISERROR(SEARCH(",",I425,1)),CONCATENATE(","&amp;I425&amp;","&amp;I425),CONCATENATE(","&amp;I425))&amp;
IF(ISBLANK(J425),"",IF(ISERROR(SEARCH(",",J425,1)),CONCATENATE(","&amp;J425&amp;","&amp;J425),CONCATENATE(","&amp;J425))&amp;
IF(ISBLANK(K425),"",IF(ISERROR(SEARCH(",",K425,1)),CONCATENATE(","&amp;K425&amp;","&amp;K425),CONCATENATE(","&amp;K425))))))&amp;
")","")&amp;" "&amp;F425)</f>
        <v/>
      </c>
    </row>
    <row r="426">
      <c r="A426" s="1" t="n">
        <v>525</v>
      </c>
      <c r="B426" s="1">
        <f>A426</f>
        <v/>
      </c>
      <c r="C426" s="1" t="inlineStr">
        <is>
          <t>vF5m05</t>
        </is>
      </c>
      <c r="D426" s="1" t="inlineStr">
        <is>
          <t>數值</t>
        </is>
      </c>
      <c r="E426" s="9" t="n">
        <v>2</v>
      </c>
      <c r="G426" s="1" t="inlineStr">
        <is>
          <t>range</t>
        </is>
      </c>
      <c r="H426" s="1" t="inlineStr">
        <is>
          <t>0,1</t>
        </is>
      </c>
      <c r="L426" s="2">
        <f>_xlfn.CONCAT(IF(D426="數值",CONCATENATE(G426&amp;"("&amp;C426&amp;","&amp;
IF(ISERROR(SEARCH(",",H426,1)),(H426&amp;","&amp;H426),H426)&amp;
IF(ISBLANK(I426),"",IF(ISERROR(SEARCH(",",I426,1)),CONCATENATE(","&amp;I426&amp;","&amp;I426),CONCATENATE(","&amp;I426))&amp;
IF(ISBLANK(J426),"",IF(ISERROR(SEARCH(",",J426,1)),CONCATENATE(","&amp;J426&amp;","&amp;J426),CONCATENATE(","&amp;J426))&amp;
IF(ISBLANK(K426),"",IF(ISERROR(SEARCH(",",K426,1)),CONCATENATE(","&amp;K426&amp;","&amp;K426),CONCATENATE(","&amp;K426))))))&amp;
")","")&amp;" "&amp;F426)</f>
        <v/>
      </c>
    </row>
    <row r="427">
      <c r="A427" s="1" t="n">
        <v>526</v>
      </c>
      <c r="B427" s="1">
        <f>A427</f>
        <v/>
      </c>
      <c r="C427" s="1" t="inlineStr">
        <is>
          <t>vF5m06</t>
        </is>
      </c>
      <c r="D427" s="1" t="inlineStr">
        <is>
          <t>數值</t>
        </is>
      </c>
      <c r="E427" s="9" t="n">
        <v>2</v>
      </c>
      <c r="G427" s="1" t="inlineStr">
        <is>
          <t>range</t>
        </is>
      </c>
      <c r="H427" s="1" t="inlineStr">
        <is>
          <t>0,1</t>
        </is>
      </c>
      <c r="L427" s="2">
        <f>_xlfn.CONCAT(IF(D427="數值",CONCATENATE(G427&amp;"("&amp;C427&amp;","&amp;
IF(ISERROR(SEARCH(",",H427,1)),(H427&amp;","&amp;H427),H427)&amp;
IF(ISBLANK(I427),"",IF(ISERROR(SEARCH(",",I427,1)),CONCATENATE(","&amp;I427&amp;","&amp;I427),CONCATENATE(","&amp;I427))&amp;
IF(ISBLANK(J427),"",IF(ISERROR(SEARCH(",",J427,1)),CONCATENATE(","&amp;J427&amp;","&amp;J427),CONCATENATE(","&amp;J427))&amp;
IF(ISBLANK(K427),"",IF(ISERROR(SEARCH(",",K427,1)),CONCATENATE(","&amp;K427&amp;","&amp;K427),CONCATENATE(","&amp;K427))))))&amp;
")","")&amp;" "&amp;F427)</f>
        <v/>
      </c>
    </row>
    <row r="428">
      <c r="A428" s="1" t="n">
        <v>527</v>
      </c>
      <c r="B428" s="1">
        <f>A428</f>
        <v/>
      </c>
      <c r="C428" s="1" t="inlineStr">
        <is>
          <t>vF5m07</t>
        </is>
      </c>
      <c r="D428" s="1" t="inlineStr">
        <is>
          <t>數值</t>
        </is>
      </c>
      <c r="E428" s="9" t="n">
        <v>2</v>
      </c>
      <c r="G428" s="1" t="inlineStr">
        <is>
          <t>range</t>
        </is>
      </c>
      <c r="H428" s="1" t="inlineStr">
        <is>
          <t>0,1</t>
        </is>
      </c>
      <c r="L428" s="2">
        <f>_xlfn.CONCAT(IF(D428="數值",CONCATENATE(G428&amp;"("&amp;C428&amp;","&amp;
IF(ISERROR(SEARCH(",",H428,1)),(H428&amp;","&amp;H428),H428)&amp;
IF(ISBLANK(I428),"",IF(ISERROR(SEARCH(",",I428,1)),CONCATENATE(","&amp;I428&amp;","&amp;I428),CONCATENATE(","&amp;I428))&amp;
IF(ISBLANK(J428),"",IF(ISERROR(SEARCH(",",J428,1)),CONCATENATE(","&amp;J428&amp;","&amp;J428),CONCATENATE(","&amp;J428))&amp;
IF(ISBLANK(K428),"",IF(ISERROR(SEARCH(",",K428,1)),CONCATENATE(","&amp;K428&amp;","&amp;K428),CONCATENATE(","&amp;K428))))))&amp;
")","")&amp;" "&amp;F428)</f>
        <v/>
      </c>
    </row>
    <row r="429">
      <c r="A429" s="1" t="n">
        <v>528</v>
      </c>
      <c r="B429" s="1">
        <f>A429</f>
        <v/>
      </c>
      <c r="C429" s="1" t="inlineStr">
        <is>
          <t>vF5m08</t>
        </is>
      </c>
      <c r="D429" s="1" t="inlineStr">
        <is>
          <t>數值</t>
        </is>
      </c>
      <c r="E429" s="9" t="n">
        <v>2</v>
      </c>
      <c r="G429" s="1" t="inlineStr">
        <is>
          <t>range</t>
        </is>
      </c>
      <c r="H429" s="1" t="inlineStr">
        <is>
          <t>0,1</t>
        </is>
      </c>
      <c r="L429" s="2">
        <f>_xlfn.CONCAT(IF(D429="數值",CONCATENATE(G429&amp;"("&amp;C429&amp;","&amp;
IF(ISERROR(SEARCH(",",H429,1)),(H429&amp;","&amp;H429),H429)&amp;
IF(ISBLANK(I429),"",IF(ISERROR(SEARCH(",",I429,1)),CONCATENATE(","&amp;I429&amp;","&amp;I429),CONCATENATE(","&amp;I429))&amp;
IF(ISBLANK(J429),"",IF(ISERROR(SEARCH(",",J429,1)),CONCATENATE(","&amp;J429&amp;","&amp;J429),CONCATENATE(","&amp;J429))&amp;
IF(ISBLANK(K429),"",IF(ISERROR(SEARCH(",",K429,1)),CONCATENATE(","&amp;K429&amp;","&amp;K429),CONCATENATE(","&amp;K429))))))&amp;
")","")&amp;" "&amp;F429)</f>
        <v/>
      </c>
    </row>
    <row r="430">
      <c r="A430" s="1" t="n">
        <v>529</v>
      </c>
      <c r="B430" s="1">
        <f>A430</f>
        <v/>
      </c>
      <c r="C430" s="1" t="inlineStr">
        <is>
          <t>vF5m88</t>
        </is>
      </c>
      <c r="D430" s="1" t="inlineStr">
        <is>
          <t>數值</t>
        </is>
      </c>
      <c r="E430" s="9" t="n">
        <v>2</v>
      </c>
      <c r="G430" s="1" t="inlineStr">
        <is>
          <t>range</t>
        </is>
      </c>
      <c r="H430" s="1" t="inlineStr">
        <is>
          <t>0,1</t>
        </is>
      </c>
      <c r="I430" s="1" t="inlineStr">
        <is>
          <t>96</t>
        </is>
      </c>
      <c r="L430" s="2">
        <f>_xlfn.CONCAT(IF(D430="數值",CONCATENATE(G430&amp;"("&amp;C430&amp;","&amp;
IF(ISERROR(SEARCH(",",H430,1)),(H430&amp;","&amp;H430),H430)&amp;
IF(ISBLANK(I430),"",IF(ISERROR(SEARCH(",",I430,1)),CONCATENATE(","&amp;I430&amp;","&amp;I430),CONCATENATE(","&amp;I430))&amp;
IF(ISBLANK(J430),"",IF(ISERROR(SEARCH(",",J430,1)),CONCATENATE(","&amp;J430&amp;","&amp;J430),CONCATENATE(","&amp;J430))&amp;
IF(ISBLANK(K430),"",IF(ISERROR(SEARCH(",",K430,1)),CONCATENATE(","&amp;K430&amp;","&amp;K430),CONCATENATE(","&amp;K430))))))&amp;
")","")&amp;" "&amp;F430)</f>
        <v/>
      </c>
    </row>
    <row r="431">
      <c r="A431" s="1" t="n">
        <v>530</v>
      </c>
      <c r="B431" s="1">
        <f>A431</f>
        <v/>
      </c>
      <c r="C431" s="1" t="inlineStr">
        <is>
          <t>vC1</t>
        </is>
      </c>
      <c r="D431" s="1" t="inlineStr">
        <is>
          <t>數值</t>
        </is>
      </c>
      <c r="E431" s="9" t="n">
        <v>4</v>
      </c>
      <c r="G431" s="1" t="inlineStr">
        <is>
          <t>range</t>
        </is>
      </c>
      <c r="H431" s="1" t="inlineStr">
        <is>
          <t>0,7</t>
        </is>
      </c>
      <c r="I431" s="1" t="inlineStr">
        <is>
          <t>95</t>
        </is>
      </c>
      <c r="J431" s="1" t="inlineStr">
        <is>
          <t>97</t>
        </is>
      </c>
      <c r="K431" s="1" t="inlineStr">
        <is>
          <t>98</t>
        </is>
      </c>
      <c r="L431" s="2">
        <f>_xlfn.CONCAT(IF(D431="數值",CONCATENATE(G431&amp;"("&amp;C431&amp;","&amp;
IF(ISERROR(SEARCH(",",H431,1)),(H431&amp;","&amp;H431),H431)&amp;
IF(ISBLANK(I431),"",IF(ISERROR(SEARCH(",",I431,1)),CONCATENATE(","&amp;I431&amp;","&amp;I431),CONCATENATE(","&amp;I431))&amp;
IF(ISBLANK(J431),"",IF(ISERROR(SEARCH(",",J431,1)),CONCATENATE(","&amp;J431&amp;","&amp;J431),CONCATENATE(","&amp;J431))&amp;
IF(ISBLANK(K431),"",IF(ISERROR(SEARCH(",",K431,1)),CONCATENATE(","&amp;K431&amp;","&amp;K431),CONCATENATE(","&amp;K431))))))&amp;
")","")&amp;" "&amp;F431)</f>
        <v/>
      </c>
    </row>
    <row r="432">
      <c r="A432" s="1" t="n">
        <v>531</v>
      </c>
      <c r="B432" s="1">
        <f>A432</f>
        <v/>
      </c>
      <c r="C432" s="1" t="inlineStr">
        <is>
          <t>vC2</t>
        </is>
      </c>
      <c r="D432" s="1" t="inlineStr">
        <is>
          <t>數值</t>
        </is>
      </c>
      <c r="E432" s="9" t="n">
        <v>5</v>
      </c>
      <c r="G432" s="1" t="inlineStr">
        <is>
          <t>range</t>
        </is>
      </c>
      <c r="H432" s="1" t="inlineStr">
        <is>
          <t>1,2359</t>
        </is>
      </c>
      <c r="I432" s="1" t="inlineStr">
        <is>
          <t>9797</t>
        </is>
      </c>
      <c r="J432" s="1" t="inlineStr">
        <is>
          <t>9898</t>
        </is>
      </c>
      <c r="L432" s="2">
        <f>_xlfn.CONCAT(IF(D432="數值",CONCATENATE(G432&amp;"("&amp;C432&amp;","&amp;
IF(ISERROR(SEARCH(",",H432,1)),(H432&amp;","&amp;H432),H432)&amp;
IF(ISBLANK(I432),"",IF(ISERROR(SEARCH(",",I432,1)),CONCATENATE(","&amp;I432&amp;","&amp;I432),CONCATENATE(","&amp;I432))&amp;
IF(ISBLANK(J432),"",IF(ISERROR(SEARCH(",",J432,1)),CONCATENATE(","&amp;J432&amp;","&amp;J432),CONCATENATE(","&amp;J432))&amp;
IF(ISBLANK(K432),"",IF(ISERROR(SEARCH(",",K432,1)),CONCATENATE(","&amp;K432&amp;","&amp;K432),CONCATENATE(","&amp;K432))))))&amp;
")","")&amp;" "&amp;F432)</f>
        <v/>
      </c>
    </row>
    <row r="433">
      <c r="A433" s="1" t="n">
        <v>532</v>
      </c>
      <c r="B433" s="1">
        <f>A433</f>
        <v/>
      </c>
      <c r="C433" s="1" t="inlineStr">
        <is>
          <t>vC3m01</t>
        </is>
      </c>
      <c r="D433" s="1" t="inlineStr">
        <is>
          <t>數值</t>
        </is>
      </c>
      <c r="E433" s="9" t="n">
        <v>2</v>
      </c>
      <c r="G433" s="1" t="inlineStr">
        <is>
          <t>range</t>
        </is>
      </c>
      <c r="H433" s="1" t="inlineStr">
        <is>
          <t>0,1</t>
        </is>
      </c>
      <c r="L433" s="2">
        <f>_xlfn.CONCAT(IF(D433="數值",CONCATENATE(G433&amp;"("&amp;C433&amp;","&amp;
IF(ISERROR(SEARCH(",",H433,1)),(H433&amp;","&amp;H433),H433)&amp;
IF(ISBLANK(I433),"",IF(ISERROR(SEARCH(",",I433,1)),CONCATENATE(","&amp;I433&amp;","&amp;I433),CONCATENATE(","&amp;I433))&amp;
IF(ISBLANK(J433),"",IF(ISERROR(SEARCH(",",J433,1)),CONCATENATE(","&amp;J433&amp;","&amp;J433),CONCATENATE(","&amp;J433))&amp;
IF(ISBLANK(K433),"",IF(ISERROR(SEARCH(",",K433,1)),CONCATENATE(","&amp;K433&amp;","&amp;K433),CONCATENATE(","&amp;K433))))))&amp;
")","")&amp;" "&amp;F433)</f>
        <v/>
      </c>
    </row>
    <row r="434">
      <c r="A434" s="1" t="n">
        <v>533</v>
      </c>
      <c r="B434" s="1">
        <f>A434</f>
        <v/>
      </c>
      <c r="C434" s="1" t="inlineStr">
        <is>
          <t>vC3m02</t>
        </is>
      </c>
      <c r="D434" s="1" t="inlineStr">
        <is>
          <t>數值</t>
        </is>
      </c>
      <c r="E434" s="9" t="n">
        <v>2</v>
      </c>
      <c r="G434" s="1" t="inlineStr">
        <is>
          <t>range</t>
        </is>
      </c>
      <c r="H434" s="1" t="inlineStr">
        <is>
          <t>0,1</t>
        </is>
      </c>
      <c r="L434" s="2">
        <f>_xlfn.CONCAT(IF(D434="數值",CONCATENATE(G434&amp;"("&amp;C434&amp;","&amp;
IF(ISERROR(SEARCH(",",H434,1)),(H434&amp;","&amp;H434),H434)&amp;
IF(ISBLANK(I434),"",IF(ISERROR(SEARCH(",",I434,1)),CONCATENATE(","&amp;I434&amp;","&amp;I434),CONCATENATE(","&amp;I434))&amp;
IF(ISBLANK(J434),"",IF(ISERROR(SEARCH(",",J434,1)),CONCATENATE(","&amp;J434&amp;","&amp;J434),CONCATENATE(","&amp;J434))&amp;
IF(ISBLANK(K434),"",IF(ISERROR(SEARCH(",",K434,1)),CONCATENATE(","&amp;K434&amp;","&amp;K434),CONCATENATE(","&amp;K434))))))&amp;
")","")&amp;" "&amp;F434)</f>
        <v/>
      </c>
    </row>
    <row r="435">
      <c r="A435" s="1" t="n">
        <v>534</v>
      </c>
      <c r="B435" s="1">
        <f>A435</f>
        <v/>
      </c>
      <c r="C435" s="1" t="inlineStr">
        <is>
          <t>vC3m03</t>
        </is>
      </c>
      <c r="D435" s="1" t="inlineStr">
        <is>
          <t>數值</t>
        </is>
      </c>
      <c r="E435" s="9" t="n">
        <v>2</v>
      </c>
      <c r="G435" s="1" t="inlineStr">
        <is>
          <t>range</t>
        </is>
      </c>
      <c r="H435" s="1" t="inlineStr">
        <is>
          <t>0,1</t>
        </is>
      </c>
      <c r="L435" s="2">
        <f>_xlfn.CONCAT(IF(D435="數值",CONCATENATE(G435&amp;"("&amp;C435&amp;","&amp;
IF(ISERROR(SEARCH(",",H435,1)),(H435&amp;","&amp;H435),H435)&amp;
IF(ISBLANK(I435),"",IF(ISERROR(SEARCH(",",I435,1)),CONCATENATE(","&amp;I435&amp;","&amp;I435),CONCATENATE(","&amp;I435))&amp;
IF(ISBLANK(J435),"",IF(ISERROR(SEARCH(",",J435,1)),CONCATENATE(","&amp;J435&amp;","&amp;J435),CONCATENATE(","&amp;J435))&amp;
IF(ISBLANK(K435),"",IF(ISERROR(SEARCH(",",K435,1)),CONCATENATE(","&amp;K435&amp;","&amp;K435),CONCATENATE(","&amp;K435))))))&amp;
")","")&amp;" "&amp;F435)</f>
        <v/>
      </c>
    </row>
    <row r="436">
      <c r="A436" s="1" t="n">
        <v>535</v>
      </c>
      <c r="B436" s="1">
        <f>A436</f>
        <v/>
      </c>
      <c r="C436" s="1" t="inlineStr">
        <is>
          <t>vC3m04</t>
        </is>
      </c>
      <c r="D436" s="1" t="inlineStr">
        <is>
          <t>數值</t>
        </is>
      </c>
      <c r="E436" s="9" t="n">
        <v>2</v>
      </c>
      <c r="G436" s="1" t="inlineStr">
        <is>
          <t>range</t>
        </is>
      </c>
      <c r="H436" s="1" t="inlineStr">
        <is>
          <t>0,1</t>
        </is>
      </c>
      <c r="L436" s="2">
        <f>_xlfn.CONCAT(IF(D436="數值",CONCATENATE(G436&amp;"("&amp;C436&amp;","&amp;
IF(ISERROR(SEARCH(",",H436,1)),(H436&amp;","&amp;H436),H436)&amp;
IF(ISBLANK(I436),"",IF(ISERROR(SEARCH(",",I436,1)),CONCATENATE(","&amp;I436&amp;","&amp;I436),CONCATENATE(","&amp;I436))&amp;
IF(ISBLANK(J436),"",IF(ISERROR(SEARCH(",",J436,1)),CONCATENATE(","&amp;J436&amp;","&amp;J436),CONCATENATE(","&amp;J436))&amp;
IF(ISBLANK(K436),"",IF(ISERROR(SEARCH(",",K436,1)),CONCATENATE(","&amp;K436&amp;","&amp;K436),CONCATENATE(","&amp;K436))))))&amp;
")","")&amp;" "&amp;F436)</f>
        <v/>
      </c>
    </row>
    <row r="437">
      <c r="A437" s="1" t="n">
        <v>536</v>
      </c>
      <c r="B437" s="1">
        <f>A437</f>
        <v/>
      </c>
      <c r="C437" s="1" t="inlineStr">
        <is>
          <t>vC3m05</t>
        </is>
      </c>
      <c r="D437" s="1" t="inlineStr">
        <is>
          <t>數值</t>
        </is>
      </c>
      <c r="E437" s="9" t="n">
        <v>2</v>
      </c>
      <c r="G437" s="1" t="inlineStr">
        <is>
          <t>range</t>
        </is>
      </c>
      <c r="H437" s="1" t="inlineStr">
        <is>
          <t>0,1</t>
        </is>
      </c>
      <c r="L437" s="2">
        <f>_xlfn.CONCAT(IF(D437="數值",CONCATENATE(G437&amp;"("&amp;C437&amp;","&amp;
IF(ISERROR(SEARCH(",",H437,1)),(H437&amp;","&amp;H437),H437)&amp;
IF(ISBLANK(I437),"",IF(ISERROR(SEARCH(",",I437,1)),CONCATENATE(","&amp;I437&amp;","&amp;I437),CONCATENATE(","&amp;I437))&amp;
IF(ISBLANK(J437),"",IF(ISERROR(SEARCH(",",J437,1)),CONCATENATE(","&amp;J437&amp;","&amp;J437),CONCATENATE(","&amp;J437))&amp;
IF(ISBLANK(K437),"",IF(ISERROR(SEARCH(",",K437,1)),CONCATENATE(","&amp;K437&amp;","&amp;K437),CONCATENATE(","&amp;K437))))))&amp;
")","")&amp;" "&amp;F437)</f>
        <v/>
      </c>
    </row>
    <row r="438">
      <c r="A438" s="1" t="n">
        <v>537</v>
      </c>
      <c r="B438" s="1">
        <f>A438</f>
        <v/>
      </c>
      <c r="C438" s="1" t="inlineStr">
        <is>
          <t>vC3m06</t>
        </is>
      </c>
      <c r="D438" s="1" t="inlineStr">
        <is>
          <t>數值</t>
        </is>
      </c>
      <c r="E438" s="9" t="n">
        <v>2</v>
      </c>
      <c r="G438" s="1" t="inlineStr">
        <is>
          <t>range</t>
        </is>
      </c>
      <c r="H438" s="1" t="inlineStr">
        <is>
          <t>0,1</t>
        </is>
      </c>
      <c r="L438" s="2">
        <f>_xlfn.CONCAT(IF(D438="數值",CONCATENATE(G438&amp;"("&amp;C438&amp;","&amp;
IF(ISERROR(SEARCH(",",H438,1)),(H438&amp;","&amp;H438),H438)&amp;
IF(ISBLANK(I438),"",IF(ISERROR(SEARCH(",",I438,1)),CONCATENATE(","&amp;I438&amp;","&amp;I438),CONCATENATE(","&amp;I438))&amp;
IF(ISBLANK(J438),"",IF(ISERROR(SEARCH(",",J438,1)),CONCATENATE(","&amp;J438&amp;","&amp;J438),CONCATENATE(","&amp;J438))&amp;
IF(ISBLANK(K438),"",IF(ISERROR(SEARCH(",",K438,1)),CONCATENATE(","&amp;K438&amp;","&amp;K438),CONCATENATE(","&amp;K438))))))&amp;
")","")&amp;" "&amp;F438)</f>
        <v/>
      </c>
    </row>
    <row r="439">
      <c r="A439" s="1" t="n">
        <v>538</v>
      </c>
      <c r="B439" s="1">
        <f>A439</f>
        <v/>
      </c>
      <c r="C439" s="1" t="inlineStr">
        <is>
          <t>vC3m07</t>
        </is>
      </c>
      <c r="D439" s="1" t="inlineStr">
        <is>
          <t>數值</t>
        </is>
      </c>
      <c r="E439" s="9" t="n">
        <v>2</v>
      </c>
      <c r="G439" s="1" t="inlineStr">
        <is>
          <t>range</t>
        </is>
      </c>
      <c r="H439" s="1" t="inlineStr">
        <is>
          <t>0,1</t>
        </is>
      </c>
      <c r="L439" s="2">
        <f>_xlfn.CONCAT(IF(D439="數值",CONCATENATE(G439&amp;"("&amp;C439&amp;","&amp;
IF(ISERROR(SEARCH(",",H439,1)),(H439&amp;","&amp;H439),H439)&amp;
IF(ISBLANK(I439),"",IF(ISERROR(SEARCH(",",I439,1)),CONCATENATE(","&amp;I439&amp;","&amp;I439),CONCATENATE(","&amp;I439))&amp;
IF(ISBLANK(J439),"",IF(ISERROR(SEARCH(",",J439,1)),CONCATENATE(","&amp;J439&amp;","&amp;J439),CONCATENATE(","&amp;J439))&amp;
IF(ISBLANK(K439),"",IF(ISERROR(SEARCH(",",K439,1)),CONCATENATE(","&amp;K439&amp;","&amp;K439),CONCATENATE(","&amp;K439))))))&amp;
")","")&amp;" "&amp;F439)</f>
        <v/>
      </c>
    </row>
    <row r="440">
      <c r="A440" s="1" t="n">
        <v>539</v>
      </c>
      <c r="B440" s="1">
        <f>A440</f>
        <v/>
      </c>
      <c r="C440" s="1" t="inlineStr">
        <is>
          <t>vC3m08</t>
        </is>
      </c>
      <c r="D440" s="1" t="inlineStr">
        <is>
          <t>數值</t>
        </is>
      </c>
      <c r="E440" s="9" t="n">
        <v>2</v>
      </c>
      <c r="G440" s="1" t="inlineStr">
        <is>
          <t>range</t>
        </is>
      </c>
      <c r="H440" s="1" t="inlineStr">
        <is>
          <t>0,1</t>
        </is>
      </c>
      <c r="L440" s="2">
        <f>_xlfn.CONCAT(IF(D440="數值",CONCATENATE(G440&amp;"("&amp;C440&amp;","&amp;
IF(ISERROR(SEARCH(",",H440,1)),(H440&amp;","&amp;H440),H440)&amp;
IF(ISBLANK(I440),"",IF(ISERROR(SEARCH(",",I440,1)),CONCATENATE(","&amp;I440&amp;","&amp;I440),CONCATENATE(","&amp;I440))&amp;
IF(ISBLANK(J440),"",IF(ISERROR(SEARCH(",",J440,1)),CONCATENATE(","&amp;J440&amp;","&amp;J440),CONCATENATE(","&amp;J440))&amp;
IF(ISBLANK(K440),"",IF(ISERROR(SEARCH(",",K440,1)),CONCATENATE(","&amp;K440&amp;","&amp;K440),CONCATENATE(","&amp;K440))))))&amp;
")","")&amp;" "&amp;F440)</f>
        <v/>
      </c>
    </row>
    <row r="441">
      <c r="A441" s="1" t="n">
        <v>540</v>
      </c>
      <c r="B441" s="1">
        <f>A441</f>
        <v/>
      </c>
      <c r="C441" s="1" t="inlineStr">
        <is>
          <t>vC3m09</t>
        </is>
      </c>
      <c r="D441" s="1" t="inlineStr">
        <is>
          <t>數值</t>
        </is>
      </c>
      <c r="E441" s="9" t="n">
        <v>2</v>
      </c>
      <c r="G441" s="1" t="inlineStr">
        <is>
          <t>range</t>
        </is>
      </c>
      <c r="H441" s="1" t="inlineStr">
        <is>
          <t>0,1</t>
        </is>
      </c>
      <c r="L441" s="2">
        <f>_xlfn.CONCAT(IF(D441="數值",CONCATENATE(G441&amp;"("&amp;C441&amp;","&amp;
IF(ISERROR(SEARCH(",",H441,1)),(H441&amp;","&amp;H441),H441)&amp;
IF(ISBLANK(I441),"",IF(ISERROR(SEARCH(",",I441,1)),CONCATENATE(","&amp;I441&amp;","&amp;I441),CONCATENATE(","&amp;I441))&amp;
IF(ISBLANK(J441),"",IF(ISERROR(SEARCH(",",J441,1)),CONCATENATE(","&amp;J441&amp;","&amp;J441),CONCATENATE(","&amp;J441))&amp;
IF(ISBLANK(K441),"",IF(ISERROR(SEARCH(",",K441,1)),CONCATENATE(","&amp;K441&amp;","&amp;K441),CONCATENATE(","&amp;K441))))))&amp;
")","")&amp;" "&amp;F441)</f>
        <v/>
      </c>
    </row>
    <row r="442">
      <c r="A442" s="1" t="n">
        <v>541</v>
      </c>
      <c r="B442" s="1">
        <f>A442</f>
        <v/>
      </c>
      <c r="C442" s="1" t="inlineStr">
        <is>
          <t>vC3m10</t>
        </is>
      </c>
      <c r="D442" s="1" t="inlineStr">
        <is>
          <t>數值</t>
        </is>
      </c>
      <c r="E442" s="9" t="n">
        <v>2</v>
      </c>
      <c r="G442" s="1" t="inlineStr">
        <is>
          <t>range</t>
        </is>
      </c>
      <c r="H442" s="1" t="inlineStr">
        <is>
          <t>0,1</t>
        </is>
      </c>
      <c r="I442" s="1" t="inlineStr">
        <is>
          <t>96</t>
        </is>
      </c>
      <c r="L442" s="2">
        <f>_xlfn.CONCAT(IF(D442="數值",CONCATENATE(G442&amp;"("&amp;C442&amp;","&amp;
IF(ISERROR(SEARCH(",",H442,1)),(H442&amp;","&amp;H442),H442)&amp;
IF(ISBLANK(I442),"",IF(ISERROR(SEARCH(",",I442,1)),CONCATENATE(","&amp;I442&amp;","&amp;I442),CONCATENATE(","&amp;I442))&amp;
IF(ISBLANK(J442),"",IF(ISERROR(SEARCH(",",J442,1)),CONCATENATE(","&amp;J442&amp;","&amp;J442),CONCATENATE(","&amp;J442))&amp;
IF(ISBLANK(K442),"",IF(ISERROR(SEARCH(",",K442,1)),CONCATENATE(","&amp;K442&amp;","&amp;K442),CONCATENATE(","&amp;K442))))))&amp;
")","")&amp;" "&amp;F442)</f>
        <v/>
      </c>
    </row>
    <row r="443">
      <c r="A443" s="1" t="n">
        <v>542</v>
      </c>
      <c r="B443" s="1">
        <f>A443</f>
        <v/>
      </c>
      <c r="C443" s="1" t="inlineStr">
        <is>
          <t>vC3m11</t>
        </is>
      </c>
      <c r="D443" s="1" t="inlineStr">
        <is>
          <t>數值</t>
        </is>
      </c>
      <c r="E443" s="9" t="n">
        <v>2</v>
      </c>
      <c r="G443" s="1" t="inlineStr">
        <is>
          <t>range</t>
        </is>
      </c>
      <c r="H443" s="1" t="inlineStr">
        <is>
          <t>0,1</t>
        </is>
      </c>
      <c r="I443" s="1" t="inlineStr">
        <is>
          <t>96</t>
        </is>
      </c>
      <c r="L443" s="2">
        <f>_xlfn.CONCAT(IF(D443="數值",CONCATENATE(G443&amp;"("&amp;C443&amp;","&amp;
IF(ISERROR(SEARCH(",",H443,1)),(H443&amp;","&amp;H443),H443)&amp;
IF(ISBLANK(I443),"",IF(ISERROR(SEARCH(",",I443,1)),CONCATENATE(","&amp;I443&amp;","&amp;I443),CONCATENATE(","&amp;I443))&amp;
IF(ISBLANK(J443),"",IF(ISERROR(SEARCH(",",J443,1)),CONCATENATE(","&amp;J443&amp;","&amp;J443),CONCATENATE(","&amp;J443))&amp;
IF(ISBLANK(K443),"",IF(ISERROR(SEARCH(",",K443,1)),CONCATENATE(","&amp;K443&amp;","&amp;K443),CONCATENATE(","&amp;K443))))))&amp;
")","")&amp;" "&amp;F443)</f>
        <v/>
      </c>
    </row>
    <row r="444">
      <c r="A444" s="1" t="n">
        <v>543</v>
      </c>
      <c r="B444" s="1">
        <f>A444</f>
        <v/>
      </c>
      <c r="C444" s="1" t="inlineStr">
        <is>
          <t>vC3m88</t>
        </is>
      </c>
      <c r="D444" s="1" t="inlineStr">
        <is>
          <t>數值</t>
        </is>
      </c>
      <c r="E444" s="9" t="n">
        <v>2</v>
      </c>
      <c r="G444" s="1" t="inlineStr">
        <is>
          <t>range</t>
        </is>
      </c>
      <c r="H444" s="1" t="inlineStr">
        <is>
          <t>0,1</t>
        </is>
      </c>
      <c r="I444" s="1" t="inlineStr">
        <is>
          <t>96</t>
        </is>
      </c>
      <c r="L444" s="2">
        <f>_xlfn.CONCAT(IF(D444="數值",CONCATENATE(G444&amp;"("&amp;C444&amp;","&amp;
IF(ISERROR(SEARCH(",",H444,1)),(H444&amp;","&amp;H444),H444)&amp;
IF(ISBLANK(I444),"",IF(ISERROR(SEARCH(",",I444,1)),CONCATENATE(","&amp;I444&amp;","&amp;I444),CONCATENATE(","&amp;I444))&amp;
IF(ISBLANK(J444),"",IF(ISERROR(SEARCH(",",J444,1)),CONCATENATE(","&amp;J444&amp;","&amp;J444),CONCATENATE(","&amp;J444))&amp;
IF(ISBLANK(K444),"",IF(ISERROR(SEARCH(",",K444,1)),CONCATENATE(","&amp;K444&amp;","&amp;K444),CONCATENATE(","&amp;K444))))))&amp;
")","")&amp;" "&amp;F444)</f>
        <v/>
      </c>
    </row>
    <row r="445">
      <c r="A445" s="1" t="n">
        <v>544</v>
      </c>
      <c r="B445" s="1">
        <f>A445</f>
        <v/>
      </c>
      <c r="C445" s="1" t="inlineStr">
        <is>
          <t>vJ4_1</t>
        </is>
      </c>
      <c r="D445" s="1" t="inlineStr">
        <is>
          <t>數值</t>
        </is>
      </c>
      <c r="E445" s="9" t="n">
        <v>4</v>
      </c>
      <c r="G445" s="1" t="inlineStr">
        <is>
          <t>range</t>
        </is>
      </c>
      <c r="H445" s="1" t="inlineStr">
        <is>
          <t>997</t>
        </is>
      </c>
      <c r="I445" s="1" t="inlineStr">
        <is>
          <t>998</t>
        </is>
      </c>
      <c r="L445" s="2">
        <f>_xlfn.CONCAT(IF(D445="數值",CONCATENATE(G445&amp;"("&amp;C445&amp;","&amp;
IF(ISERROR(SEARCH(",",H445,1)),(H445&amp;","&amp;H445),H445)&amp;
IF(ISBLANK(I445),"",IF(ISERROR(SEARCH(",",I445,1)),CONCATENATE(","&amp;I445&amp;","&amp;I445),CONCATENATE(","&amp;I445))&amp;
IF(ISBLANK(J445),"",IF(ISERROR(SEARCH(",",J445,1)),CONCATENATE(","&amp;J445&amp;","&amp;J445),CONCATENATE(","&amp;J445))&amp;
IF(ISBLANK(K445),"",IF(ISERROR(SEARCH(",",K445,1)),CONCATENATE(","&amp;K445&amp;","&amp;K445),CONCATENATE(","&amp;K445))))))&amp;
")","")&amp;" "&amp;F445)</f>
        <v/>
      </c>
    </row>
    <row r="446">
      <c r="A446" s="1" t="n">
        <v>545</v>
      </c>
      <c r="B446" s="1">
        <f>A446</f>
        <v/>
      </c>
      <c r="C446" s="1" t="inlineStr">
        <is>
          <t>vJ4_2</t>
        </is>
      </c>
      <c r="D446" s="1" t="inlineStr">
        <is>
          <t>數值</t>
        </is>
      </c>
      <c r="E446" s="9" t="n">
        <v>4</v>
      </c>
      <c r="G446" s="1" t="inlineStr">
        <is>
          <t>range</t>
        </is>
      </c>
      <c r="H446" s="1" t="inlineStr">
        <is>
          <t>1</t>
        </is>
      </c>
      <c r="I446" s="1" t="inlineStr">
        <is>
          <t>997</t>
        </is>
      </c>
      <c r="J446" s="1" t="inlineStr">
        <is>
          <t>998</t>
        </is>
      </c>
      <c r="L446" s="2">
        <f>_xlfn.CONCAT(IF(D446="數值",CONCATENATE(G446&amp;"("&amp;C446&amp;","&amp;
IF(ISERROR(SEARCH(",",H446,1)),(H446&amp;","&amp;H446),H446)&amp;
IF(ISBLANK(I446),"",IF(ISERROR(SEARCH(",",I446,1)),CONCATENATE(","&amp;I446&amp;","&amp;I446),CONCATENATE(","&amp;I446))&amp;
IF(ISBLANK(J446),"",IF(ISERROR(SEARCH(",",J446,1)),CONCATENATE(","&amp;J446&amp;","&amp;J446),CONCATENATE(","&amp;J446))&amp;
IF(ISBLANK(K446),"",IF(ISERROR(SEARCH(",",K446,1)),CONCATENATE(","&amp;K446&amp;","&amp;K446),CONCATENATE(","&amp;K446))))))&amp;
")","")&amp;" "&amp;F446)</f>
        <v/>
      </c>
    </row>
    <row r="447">
      <c r="A447" s="1" t="n">
        <v>546</v>
      </c>
      <c r="B447" s="1">
        <f>A447</f>
        <v/>
      </c>
      <c r="C447" s="1" t="inlineStr">
        <is>
          <t>vJ4_3</t>
        </is>
      </c>
      <c r="D447" s="1" t="inlineStr">
        <is>
          <t>數值</t>
        </is>
      </c>
      <c r="E447" s="9" t="n">
        <v>4</v>
      </c>
      <c r="G447" s="1" t="inlineStr">
        <is>
          <t>range</t>
        </is>
      </c>
      <c r="H447" s="1" t="inlineStr">
        <is>
          <t>997</t>
        </is>
      </c>
      <c r="I447" s="1" t="inlineStr">
        <is>
          <t>998</t>
        </is>
      </c>
      <c r="L447" s="2">
        <f>_xlfn.CONCAT(IF(D447="數值",CONCATENATE(G447&amp;"("&amp;C447&amp;","&amp;
IF(ISERROR(SEARCH(",",H447,1)),(H447&amp;","&amp;H447),H447)&amp;
IF(ISBLANK(I447),"",IF(ISERROR(SEARCH(",",I447,1)),CONCATENATE(","&amp;I447&amp;","&amp;I447),CONCATENATE(","&amp;I447))&amp;
IF(ISBLANK(J447),"",IF(ISERROR(SEARCH(",",J447,1)),CONCATENATE(","&amp;J447&amp;","&amp;J447),CONCATENATE(","&amp;J447))&amp;
IF(ISBLANK(K447),"",IF(ISERROR(SEARCH(",",K447,1)),CONCATENATE(","&amp;K447&amp;","&amp;K447),CONCATENATE(","&amp;K447))))))&amp;
")","")&amp;" "&amp;F447)</f>
        <v/>
      </c>
    </row>
    <row r="448">
      <c r="A448" s="1" t="n">
        <v>547</v>
      </c>
      <c r="B448" s="1">
        <f>A448</f>
        <v/>
      </c>
      <c r="C448" s="1" t="inlineStr">
        <is>
          <t>vJ4_4</t>
        </is>
      </c>
      <c r="D448" s="1" t="inlineStr">
        <is>
          <t>數值</t>
        </is>
      </c>
      <c r="E448" s="9" t="n">
        <v>4</v>
      </c>
      <c r="G448" s="1" t="inlineStr">
        <is>
          <t>range</t>
        </is>
      </c>
      <c r="H448" s="1" t="inlineStr">
        <is>
          <t>1</t>
        </is>
      </c>
      <c r="I448" s="1" t="inlineStr">
        <is>
          <t>997</t>
        </is>
      </c>
      <c r="J448" s="1" t="inlineStr">
        <is>
          <t>998</t>
        </is>
      </c>
      <c r="L448" s="2">
        <f>_xlfn.CONCAT(IF(D448="數值",CONCATENATE(G448&amp;"("&amp;C448&amp;","&amp;
IF(ISERROR(SEARCH(",",H448,1)),(H448&amp;","&amp;H448),H448)&amp;
IF(ISBLANK(I448),"",IF(ISERROR(SEARCH(",",I448,1)),CONCATENATE(","&amp;I448&amp;","&amp;I448),CONCATENATE(","&amp;I448))&amp;
IF(ISBLANK(J448),"",IF(ISERROR(SEARCH(",",J448,1)),CONCATENATE(","&amp;J448&amp;","&amp;J448),CONCATENATE(","&amp;J448))&amp;
IF(ISBLANK(K448),"",IF(ISERROR(SEARCH(",",K448,1)),CONCATENATE(","&amp;K448&amp;","&amp;K448),CONCATENATE(","&amp;K448))))))&amp;
")","")&amp;" "&amp;F448)</f>
        <v/>
      </c>
    </row>
    <row r="449">
      <c r="A449" s="1" t="n">
        <v>548</v>
      </c>
      <c r="B449" s="1">
        <f>A449</f>
        <v/>
      </c>
      <c r="C449" s="1" t="inlineStr">
        <is>
          <t>vJ4_5</t>
        </is>
      </c>
      <c r="D449" s="1" t="inlineStr">
        <is>
          <t>數值</t>
        </is>
      </c>
      <c r="E449" s="9" t="n">
        <v>4</v>
      </c>
      <c r="G449" s="1" t="inlineStr">
        <is>
          <t>range</t>
        </is>
      </c>
      <c r="H449" s="1" t="inlineStr">
        <is>
          <t>1</t>
        </is>
      </c>
      <c r="I449" s="1" t="inlineStr">
        <is>
          <t>997</t>
        </is>
      </c>
      <c r="J449" s="1" t="inlineStr">
        <is>
          <t>998</t>
        </is>
      </c>
      <c r="L449" s="2">
        <f>_xlfn.CONCAT(IF(D449="數值",CONCATENATE(G449&amp;"("&amp;C449&amp;","&amp;
IF(ISERROR(SEARCH(",",H449,1)),(H449&amp;","&amp;H449),H449)&amp;
IF(ISBLANK(I449),"",IF(ISERROR(SEARCH(",",I449,1)),CONCATENATE(","&amp;I449&amp;","&amp;I449),CONCATENATE(","&amp;I449))&amp;
IF(ISBLANK(J449),"",IF(ISERROR(SEARCH(",",J449,1)),CONCATENATE(","&amp;J449&amp;","&amp;J449),CONCATENATE(","&amp;J449))&amp;
IF(ISBLANK(K449),"",IF(ISERROR(SEARCH(",",K449,1)),CONCATENATE(","&amp;K449&amp;","&amp;K449),CONCATENATE(","&amp;K449))))))&amp;
")","")&amp;" "&amp;F449)</f>
        <v/>
      </c>
    </row>
    <row r="450">
      <c r="A450" s="1" t="n">
        <v>549</v>
      </c>
      <c r="B450" s="1">
        <f>A450</f>
        <v/>
      </c>
      <c r="C450" s="1" t="inlineStr">
        <is>
          <t>vJB1m01</t>
        </is>
      </c>
      <c r="D450" s="1" t="inlineStr">
        <is>
          <t>數值</t>
        </is>
      </c>
      <c r="E450" s="9" t="n">
        <v>2</v>
      </c>
      <c r="G450" s="1" t="inlineStr">
        <is>
          <t>range</t>
        </is>
      </c>
      <c r="H450" s="1" t="inlineStr">
        <is>
          <t>0,1</t>
        </is>
      </c>
      <c r="L450" s="2">
        <f>_xlfn.CONCAT(IF(D450="數值",CONCATENATE(G450&amp;"("&amp;C450&amp;","&amp;
IF(ISERROR(SEARCH(",",H450,1)),(H450&amp;","&amp;H450),H450)&amp;
IF(ISBLANK(I450),"",IF(ISERROR(SEARCH(",",I450,1)),CONCATENATE(","&amp;I450&amp;","&amp;I450),CONCATENATE(","&amp;I450))&amp;
IF(ISBLANK(J450),"",IF(ISERROR(SEARCH(",",J450,1)),CONCATENATE(","&amp;J450&amp;","&amp;J450),CONCATENATE(","&amp;J450))&amp;
IF(ISBLANK(K450),"",IF(ISERROR(SEARCH(",",K450,1)),CONCATENATE(","&amp;K450&amp;","&amp;K450),CONCATENATE(","&amp;K450))))))&amp;
")","")&amp;" "&amp;F450)</f>
        <v/>
      </c>
    </row>
    <row r="451">
      <c r="A451" s="1" t="n">
        <v>550</v>
      </c>
      <c r="B451" s="1">
        <f>A451</f>
        <v/>
      </c>
      <c r="C451" s="1" t="inlineStr">
        <is>
          <t>vJB1m02</t>
        </is>
      </c>
      <c r="D451" s="1" t="inlineStr">
        <is>
          <t>數值</t>
        </is>
      </c>
      <c r="E451" s="9" t="n">
        <v>2</v>
      </c>
      <c r="G451" s="1" t="inlineStr">
        <is>
          <t>range</t>
        </is>
      </c>
      <c r="H451" s="1" t="inlineStr">
        <is>
          <t>0,1</t>
        </is>
      </c>
      <c r="L451" s="2">
        <f>_xlfn.CONCAT(IF(D451="數值",CONCATENATE(G451&amp;"("&amp;C451&amp;","&amp;
IF(ISERROR(SEARCH(",",H451,1)),(H451&amp;","&amp;H451),H451)&amp;
IF(ISBLANK(I451),"",IF(ISERROR(SEARCH(",",I451,1)),CONCATENATE(","&amp;I451&amp;","&amp;I451),CONCATENATE(","&amp;I451))&amp;
IF(ISBLANK(J451),"",IF(ISERROR(SEARCH(",",J451,1)),CONCATENATE(","&amp;J451&amp;","&amp;J451),CONCATENATE(","&amp;J451))&amp;
IF(ISBLANK(K451),"",IF(ISERROR(SEARCH(",",K451,1)),CONCATENATE(","&amp;K451&amp;","&amp;K451),CONCATENATE(","&amp;K451))))))&amp;
")","")&amp;" "&amp;F451)</f>
        <v/>
      </c>
    </row>
    <row r="452">
      <c r="A452" s="1" t="n">
        <v>551</v>
      </c>
      <c r="B452" s="1">
        <f>A452</f>
        <v/>
      </c>
      <c r="C452" s="1" t="inlineStr">
        <is>
          <t>vJB1m03</t>
        </is>
      </c>
      <c r="D452" s="1" t="inlineStr">
        <is>
          <t>數值</t>
        </is>
      </c>
      <c r="E452" s="9" t="n">
        <v>2</v>
      </c>
      <c r="G452" s="1" t="inlineStr">
        <is>
          <t>range</t>
        </is>
      </c>
      <c r="H452" s="1" t="inlineStr">
        <is>
          <t>0,1</t>
        </is>
      </c>
      <c r="L452" s="2">
        <f>_xlfn.CONCAT(IF(D452="數值",CONCATENATE(G452&amp;"("&amp;C452&amp;","&amp;
IF(ISERROR(SEARCH(",",H452,1)),(H452&amp;","&amp;H452),H452)&amp;
IF(ISBLANK(I452),"",IF(ISERROR(SEARCH(",",I452,1)),CONCATENATE(","&amp;I452&amp;","&amp;I452),CONCATENATE(","&amp;I452))&amp;
IF(ISBLANK(J452),"",IF(ISERROR(SEARCH(",",J452,1)),CONCATENATE(","&amp;J452&amp;","&amp;J452),CONCATENATE(","&amp;J452))&amp;
IF(ISBLANK(K452),"",IF(ISERROR(SEARCH(",",K452,1)),CONCATENATE(","&amp;K452&amp;","&amp;K452),CONCATENATE(","&amp;K452))))))&amp;
")","")&amp;" "&amp;F452)</f>
        <v/>
      </c>
    </row>
    <row r="453">
      <c r="A453" s="1" t="n">
        <v>552</v>
      </c>
      <c r="B453" s="1">
        <f>A453</f>
        <v/>
      </c>
      <c r="C453" s="1" t="inlineStr">
        <is>
          <t>vJB1m04</t>
        </is>
      </c>
      <c r="D453" s="1" t="inlineStr">
        <is>
          <t>數值</t>
        </is>
      </c>
      <c r="E453" s="9" t="n">
        <v>2</v>
      </c>
      <c r="G453" s="1" t="inlineStr">
        <is>
          <t>range</t>
        </is>
      </c>
      <c r="H453" s="1" t="inlineStr">
        <is>
          <t>0,1</t>
        </is>
      </c>
      <c r="L453" s="2">
        <f>_xlfn.CONCAT(IF(D453="數值",CONCATENATE(G453&amp;"("&amp;C453&amp;","&amp;
IF(ISERROR(SEARCH(",",H453,1)),(H453&amp;","&amp;H453),H453)&amp;
IF(ISBLANK(I453),"",IF(ISERROR(SEARCH(",",I453,1)),CONCATENATE(","&amp;I453&amp;","&amp;I453),CONCATENATE(","&amp;I453))&amp;
IF(ISBLANK(J453),"",IF(ISERROR(SEARCH(",",J453,1)),CONCATENATE(","&amp;J453&amp;","&amp;J453),CONCATENATE(","&amp;J453))&amp;
IF(ISBLANK(K453),"",IF(ISERROR(SEARCH(",",K453,1)),CONCATENATE(","&amp;K453&amp;","&amp;K453),CONCATENATE(","&amp;K453))))))&amp;
")","")&amp;" "&amp;F453)</f>
        <v/>
      </c>
    </row>
    <row r="454">
      <c r="A454" s="1" t="n">
        <v>553</v>
      </c>
      <c r="B454" s="1">
        <f>A454</f>
        <v/>
      </c>
      <c r="C454" s="1" t="inlineStr">
        <is>
          <t>vJB1m05</t>
        </is>
      </c>
      <c r="D454" s="1" t="inlineStr">
        <is>
          <t>數值</t>
        </is>
      </c>
      <c r="E454" s="9" t="n">
        <v>2</v>
      </c>
      <c r="G454" s="1" t="inlineStr">
        <is>
          <t>range</t>
        </is>
      </c>
      <c r="H454" s="1" t="inlineStr">
        <is>
          <t>0,1</t>
        </is>
      </c>
      <c r="L454" s="2">
        <f>_xlfn.CONCAT(IF(D454="數值",CONCATENATE(G454&amp;"("&amp;C454&amp;","&amp;
IF(ISERROR(SEARCH(",",H454,1)),(H454&amp;","&amp;H454),H454)&amp;
IF(ISBLANK(I454),"",IF(ISERROR(SEARCH(",",I454,1)),CONCATENATE(","&amp;I454&amp;","&amp;I454),CONCATENATE(","&amp;I454))&amp;
IF(ISBLANK(J454),"",IF(ISERROR(SEARCH(",",J454,1)),CONCATENATE(","&amp;J454&amp;","&amp;J454),CONCATENATE(","&amp;J454))&amp;
IF(ISBLANK(K454),"",IF(ISERROR(SEARCH(",",K454,1)),CONCATENATE(","&amp;K454&amp;","&amp;K454),CONCATENATE(","&amp;K454))))))&amp;
")","")&amp;" "&amp;F454)</f>
        <v/>
      </c>
    </row>
    <row r="455">
      <c r="A455" s="1" t="n">
        <v>554</v>
      </c>
      <c r="B455" s="1">
        <f>A455</f>
        <v/>
      </c>
      <c r="C455" s="1" t="inlineStr">
        <is>
          <t>vJB1m06</t>
        </is>
      </c>
      <c r="D455" s="1" t="inlineStr">
        <is>
          <t>數值</t>
        </is>
      </c>
      <c r="E455" s="9" t="n">
        <v>2</v>
      </c>
      <c r="G455" s="1" t="inlineStr">
        <is>
          <t>range</t>
        </is>
      </c>
      <c r="H455" s="1" t="inlineStr">
        <is>
          <t>0,1</t>
        </is>
      </c>
      <c r="L455" s="2">
        <f>_xlfn.CONCAT(IF(D455="數值",CONCATENATE(G455&amp;"("&amp;C455&amp;","&amp;
IF(ISERROR(SEARCH(",",H455,1)),(H455&amp;","&amp;H455),H455)&amp;
IF(ISBLANK(I455),"",IF(ISERROR(SEARCH(",",I455,1)),CONCATENATE(","&amp;I455&amp;","&amp;I455),CONCATENATE(","&amp;I455))&amp;
IF(ISBLANK(J455),"",IF(ISERROR(SEARCH(",",J455,1)),CONCATENATE(","&amp;J455&amp;","&amp;J455),CONCATENATE(","&amp;J455))&amp;
IF(ISBLANK(K455),"",IF(ISERROR(SEARCH(",",K455,1)),CONCATENATE(","&amp;K455&amp;","&amp;K455),CONCATENATE(","&amp;K455))))))&amp;
")","")&amp;" "&amp;F455)</f>
        <v/>
      </c>
    </row>
    <row r="456">
      <c r="A456" s="1" t="n">
        <v>555</v>
      </c>
      <c r="B456" s="1">
        <f>A456</f>
        <v/>
      </c>
      <c r="C456" s="1" t="inlineStr">
        <is>
          <t>vJB1m07</t>
        </is>
      </c>
      <c r="D456" s="1" t="inlineStr">
        <is>
          <t>數值</t>
        </is>
      </c>
      <c r="E456" s="9" t="n">
        <v>2</v>
      </c>
      <c r="G456" s="1" t="inlineStr">
        <is>
          <t>range</t>
        </is>
      </c>
      <c r="H456" s="1" t="inlineStr">
        <is>
          <t>0,1</t>
        </is>
      </c>
      <c r="L456" s="2">
        <f>_xlfn.CONCAT(IF(D456="數值",CONCATENATE(G456&amp;"("&amp;C456&amp;","&amp;
IF(ISERROR(SEARCH(",",H456,1)),(H456&amp;","&amp;H456),H456)&amp;
IF(ISBLANK(I456),"",IF(ISERROR(SEARCH(",",I456,1)),CONCATENATE(","&amp;I456&amp;","&amp;I456),CONCATENATE(","&amp;I456))&amp;
IF(ISBLANK(J456),"",IF(ISERROR(SEARCH(",",J456,1)),CONCATENATE(","&amp;J456&amp;","&amp;J456),CONCATENATE(","&amp;J456))&amp;
IF(ISBLANK(K456),"",IF(ISERROR(SEARCH(",",K456,1)),CONCATENATE(","&amp;K456&amp;","&amp;K456),CONCATENATE(","&amp;K456))))))&amp;
")","")&amp;" "&amp;F456)</f>
        <v/>
      </c>
    </row>
    <row r="457">
      <c r="A457" s="1" t="n">
        <v>556</v>
      </c>
      <c r="B457" s="1">
        <f>A457</f>
        <v/>
      </c>
      <c r="C457" s="1" t="inlineStr">
        <is>
          <t>vJB1m08</t>
        </is>
      </c>
      <c r="D457" s="1" t="inlineStr">
        <is>
          <t>數值</t>
        </is>
      </c>
      <c r="E457" s="9" t="n">
        <v>2</v>
      </c>
      <c r="G457" s="1" t="inlineStr">
        <is>
          <t>range</t>
        </is>
      </c>
      <c r="H457" s="1" t="inlineStr">
        <is>
          <t>0,1</t>
        </is>
      </c>
      <c r="L457" s="2">
        <f>_xlfn.CONCAT(IF(D457="數值",CONCATENATE(G457&amp;"("&amp;C457&amp;","&amp;
IF(ISERROR(SEARCH(",",H457,1)),(H457&amp;","&amp;H457),H457)&amp;
IF(ISBLANK(I457),"",IF(ISERROR(SEARCH(",",I457,1)),CONCATENATE(","&amp;I457&amp;","&amp;I457),CONCATENATE(","&amp;I457))&amp;
IF(ISBLANK(J457),"",IF(ISERROR(SEARCH(",",J457,1)),CONCATENATE(","&amp;J457&amp;","&amp;J457),CONCATENATE(","&amp;J457))&amp;
IF(ISBLANK(K457),"",IF(ISERROR(SEARCH(",",K457,1)),CONCATENATE(","&amp;K457&amp;","&amp;K457),CONCATENATE(","&amp;K457))))))&amp;
")","")&amp;" "&amp;F457)</f>
        <v/>
      </c>
    </row>
    <row r="458">
      <c r="A458" s="1" t="n">
        <v>557</v>
      </c>
      <c r="B458" s="1">
        <f>A458</f>
        <v/>
      </c>
      <c r="C458" s="1" t="inlineStr">
        <is>
          <t>vJB1m09</t>
        </is>
      </c>
      <c r="D458" s="1" t="inlineStr">
        <is>
          <t>數值</t>
        </is>
      </c>
      <c r="E458" s="9" t="n">
        <v>2</v>
      </c>
      <c r="G458" s="1" t="inlineStr">
        <is>
          <t>range</t>
        </is>
      </c>
      <c r="H458" s="1" t="inlineStr">
        <is>
          <t>0,1</t>
        </is>
      </c>
      <c r="L458" s="2">
        <f>_xlfn.CONCAT(IF(D458="數值",CONCATENATE(G458&amp;"("&amp;C458&amp;","&amp;
IF(ISERROR(SEARCH(",",H458,1)),(H458&amp;","&amp;H458),H458)&amp;
IF(ISBLANK(I458),"",IF(ISERROR(SEARCH(",",I458,1)),CONCATENATE(","&amp;I458&amp;","&amp;I458),CONCATENATE(","&amp;I458))&amp;
IF(ISBLANK(J458),"",IF(ISERROR(SEARCH(",",J458,1)),CONCATENATE(","&amp;J458&amp;","&amp;J458),CONCATENATE(","&amp;J458))&amp;
IF(ISBLANK(K458),"",IF(ISERROR(SEARCH(",",K458,1)),CONCATENATE(","&amp;K458&amp;","&amp;K458),CONCATENATE(","&amp;K458))))))&amp;
")","")&amp;" "&amp;F458)</f>
        <v/>
      </c>
    </row>
    <row r="459">
      <c r="A459" s="1" t="n">
        <v>558</v>
      </c>
      <c r="B459" s="1">
        <f>A459</f>
        <v/>
      </c>
      <c r="C459" s="1" t="inlineStr">
        <is>
          <t>vJB1m10</t>
        </is>
      </c>
      <c r="D459" s="1" t="inlineStr">
        <is>
          <t>數值</t>
        </is>
      </c>
      <c r="E459" s="9" t="n">
        <v>2</v>
      </c>
      <c r="G459" s="1" t="inlineStr">
        <is>
          <t>range</t>
        </is>
      </c>
      <c r="H459" s="1" t="inlineStr">
        <is>
          <t>0,1</t>
        </is>
      </c>
      <c r="I459" s="1" t="inlineStr">
        <is>
          <t>96</t>
        </is>
      </c>
      <c r="L459" s="2">
        <f>_xlfn.CONCAT(IF(D459="數值",CONCATENATE(G459&amp;"("&amp;C459&amp;","&amp;
IF(ISERROR(SEARCH(",",H459,1)),(H459&amp;","&amp;H459),H459)&amp;
IF(ISBLANK(I459),"",IF(ISERROR(SEARCH(",",I459,1)),CONCATENATE(","&amp;I459&amp;","&amp;I459),CONCATENATE(","&amp;I459))&amp;
IF(ISBLANK(J459),"",IF(ISERROR(SEARCH(",",J459,1)),CONCATENATE(","&amp;J459&amp;","&amp;J459),CONCATENATE(","&amp;J459))&amp;
IF(ISBLANK(K459),"",IF(ISERROR(SEARCH(",",K459,1)),CONCATENATE(","&amp;K459&amp;","&amp;K459),CONCATENATE(","&amp;K459))))))&amp;
")","")&amp;" "&amp;F459)</f>
        <v/>
      </c>
    </row>
    <row r="460">
      <c r="A460" s="1" t="n">
        <v>559</v>
      </c>
      <c r="B460" s="1">
        <f>A460</f>
        <v/>
      </c>
      <c r="C460" s="1" t="inlineStr">
        <is>
          <t>vJB1m11</t>
        </is>
      </c>
      <c r="D460" s="1" t="inlineStr">
        <is>
          <t>數值</t>
        </is>
      </c>
      <c r="E460" s="9" t="n">
        <v>2</v>
      </c>
      <c r="G460" s="1" t="inlineStr">
        <is>
          <t>range</t>
        </is>
      </c>
      <c r="H460" s="1" t="inlineStr">
        <is>
          <t>0,1</t>
        </is>
      </c>
      <c r="I460" s="1" t="inlineStr">
        <is>
          <t>96</t>
        </is>
      </c>
      <c r="L460" s="2">
        <f>_xlfn.CONCAT(IF(D460="數值",CONCATENATE(G460&amp;"("&amp;C460&amp;","&amp;
IF(ISERROR(SEARCH(",",H460,1)),(H460&amp;","&amp;H460),H460)&amp;
IF(ISBLANK(I460),"",IF(ISERROR(SEARCH(",",I460,1)),CONCATENATE(","&amp;I460&amp;","&amp;I460),CONCATENATE(","&amp;I460))&amp;
IF(ISBLANK(J460),"",IF(ISERROR(SEARCH(",",J460,1)),CONCATENATE(","&amp;J460&amp;","&amp;J460),CONCATENATE(","&amp;J460))&amp;
IF(ISBLANK(K460),"",IF(ISERROR(SEARCH(",",K460,1)),CONCATENATE(","&amp;K460&amp;","&amp;K460),CONCATENATE(","&amp;K460))))))&amp;
")","")&amp;" "&amp;F460)</f>
        <v/>
      </c>
    </row>
    <row r="461">
      <c r="A461" s="1" t="n">
        <v>560</v>
      </c>
      <c r="B461" s="1">
        <f>A461</f>
        <v/>
      </c>
      <c r="C461" s="1" t="inlineStr">
        <is>
          <t>vJB1m88</t>
        </is>
      </c>
      <c r="D461" s="1" t="inlineStr">
        <is>
          <t>數值</t>
        </is>
      </c>
      <c r="E461" s="9" t="n">
        <v>2</v>
      </c>
      <c r="G461" s="1" t="inlineStr">
        <is>
          <t>range</t>
        </is>
      </c>
      <c r="H461" s="1" t="inlineStr">
        <is>
          <t>0,1</t>
        </is>
      </c>
      <c r="I461" s="1" t="inlineStr">
        <is>
          <t>96</t>
        </is>
      </c>
      <c r="L461" s="2">
        <f>_xlfn.CONCAT(IF(D461="數值",CONCATENATE(G461&amp;"("&amp;C461&amp;","&amp;
IF(ISERROR(SEARCH(",",H461,1)),(H461&amp;","&amp;H461),H461)&amp;
IF(ISBLANK(I461),"",IF(ISERROR(SEARCH(",",I461,1)),CONCATENATE(","&amp;I461&amp;","&amp;I461),CONCATENATE(","&amp;I461))&amp;
IF(ISBLANK(J461),"",IF(ISERROR(SEARCH(",",J461,1)),CONCATENATE(","&amp;J461&amp;","&amp;J461),CONCATENATE(","&amp;J461))&amp;
IF(ISBLANK(K461),"",IF(ISERROR(SEARCH(",",K461,1)),CONCATENATE(","&amp;K461&amp;","&amp;K461),CONCATENATE(","&amp;K461))))))&amp;
")","")&amp;" "&amp;F461)</f>
        <v/>
      </c>
    </row>
    <row r="462">
      <c r="A462" s="1" t="n">
        <v>561</v>
      </c>
      <c r="B462" s="1">
        <f>A462</f>
        <v/>
      </c>
      <c r="C462" s="1" t="inlineStr">
        <is>
          <t>vJB1m90</t>
        </is>
      </c>
      <c r="D462" s="1" t="inlineStr">
        <is>
          <t>數值</t>
        </is>
      </c>
      <c r="E462" s="9" t="n">
        <v>2</v>
      </c>
      <c r="G462" s="1" t="inlineStr">
        <is>
          <t>range</t>
        </is>
      </c>
      <c r="H462" s="1" t="inlineStr">
        <is>
          <t>0,1</t>
        </is>
      </c>
      <c r="I462" s="1" t="inlineStr">
        <is>
          <t>96</t>
        </is>
      </c>
      <c r="L462" s="2">
        <f>_xlfn.CONCAT(IF(D462="數值",CONCATENATE(G462&amp;"("&amp;C462&amp;","&amp;
IF(ISERROR(SEARCH(",",H462,1)),(H462&amp;","&amp;H462),H462)&amp;
IF(ISBLANK(I462),"",IF(ISERROR(SEARCH(",",I462,1)),CONCATENATE(","&amp;I462&amp;","&amp;I462),CONCATENATE(","&amp;I462))&amp;
IF(ISBLANK(J462),"",IF(ISERROR(SEARCH(",",J462,1)),CONCATENATE(","&amp;J462&amp;","&amp;J462),CONCATENATE(","&amp;J462))&amp;
IF(ISBLANK(K462),"",IF(ISERROR(SEARCH(",",K462,1)),CONCATENATE(","&amp;K462&amp;","&amp;K462),CONCATENATE(","&amp;K462))))))&amp;
")","")&amp;" "&amp;F462)</f>
        <v/>
      </c>
    </row>
    <row r="463">
      <c r="A463" s="1" t="n">
        <v>562</v>
      </c>
      <c r="B463" s="1">
        <f>A463</f>
        <v/>
      </c>
      <c r="C463" s="1" t="inlineStr">
        <is>
          <t>vJB2m01</t>
        </is>
      </c>
      <c r="D463" s="1" t="inlineStr">
        <is>
          <t>數值</t>
        </is>
      </c>
      <c r="E463" s="9" t="n">
        <v>2</v>
      </c>
      <c r="G463" s="1" t="inlineStr">
        <is>
          <t>range</t>
        </is>
      </c>
      <c r="H463" s="1" t="inlineStr">
        <is>
          <t>0,1</t>
        </is>
      </c>
      <c r="L463" s="2">
        <f>_xlfn.CONCAT(IF(D463="數值",CONCATENATE(G463&amp;"("&amp;C463&amp;","&amp;
IF(ISERROR(SEARCH(",",H463,1)),(H463&amp;","&amp;H463),H463)&amp;
IF(ISBLANK(I463),"",IF(ISERROR(SEARCH(",",I463,1)),CONCATENATE(","&amp;I463&amp;","&amp;I463),CONCATENATE(","&amp;I463))&amp;
IF(ISBLANK(J463),"",IF(ISERROR(SEARCH(",",J463,1)),CONCATENATE(","&amp;J463&amp;","&amp;J463),CONCATENATE(","&amp;J463))&amp;
IF(ISBLANK(K463),"",IF(ISERROR(SEARCH(",",K463,1)),CONCATENATE(","&amp;K463&amp;","&amp;K463),CONCATENATE(","&amp;K463))))))&amp;
")","")&amp;" "&amp;F463)</f>
        <v/>
      </c>
    </row>
    <row r="464">
      <c r="A464" s="1" t="n">
        <v>563</v>
      </c>
      <c r="B464" s="1">
        <f>A464</f>
        <v/>
      </c>
      <c r="C464" s="1" t="inlineStr">
        <is>
          <t>vJB2m02</t>
        </is>
      </c>
      <c r="D464" s="1" t="inlineStr">
        <is>
          <t>數值</t>
        </is>
      </c>
      <c r="E464" s="9" t="n">
        <v>2</v>
      </c>
      <c r="G464" s="1" t="inlineStr">
        <is>
          <t>range</t>
        </is>
      </c>
      <c r="H464" s="1" t="inlineStr">
        <is>
          <t>0,1</t>
        </is>
      </c>
      <c r="L464" s="2">
        <f>_xlfn.CONCAT(IF(D464="數值",CONCATENATE(G464&amp;"("&amp;C464&amp;","&amp;
IF(ISERROR(SEARCH(",",H464,1)),(H464&amp;","&amp;H464),H464)&amp;
IF(ISBLANK(I464),"",IF(ISERROR(SEARCH(",",I464,1)),CONCATENATE(","&amp;I464&amp;","&amp;I464),CONCATENATE(","&amp;I464))&amp;
IF(ISBLANK(J464),"",IF(ISERROR(SEARCH(",",J464,1)),CONCATENATE(","&amp;J464&amp;","&amp;J464),CONCATENATE(","&amp;J464))&amp;
IF(ISBLANK(K464),"",IF(ISERROR(SEARCH(",",K464,1)),CONCATENATE(","&amp;K464&amp;","&amp;K464),CONCATENATE(","&amp;K464))))))&amp;
")","")&amp;" "&amp;F464)</f>
        <v/>
      </c>
    </row>
    <row r="465">
      <c r="A465" s="1" t="n">
        <v>564</v>
      </c>
      <c r="B465" s="1">
        <f>A465</f>
        <v/>
      </c>
      <c r="C465" s="1" t="inlineStr">
        <is>
          <t>vJB2m03</t>
        </is>
      </c>
      <c r="D465" s="1" t="inlineStr">
        <is>
          <t>數值</t>
        </is>
      </c>
      <c r="E465" s="9" t="n">
        <v>2</v>
      </c>
      <c r="G465" s="1" t="inlineStr">
        <is>
          <t>range</t>
        </is>
      </c>
      <c r="H465" s="1" t="inlineStr">
        <is>
          <t>0,1</t>
        </is>
      </c>
      <c r="L465" s="2">
        <f>_xlfn.CONCAT(IF(D465="數值",CONCATENATE(G465&amp;"("&amp;C465&amp;","&amp;
IF(ISERROR(SEARCH(",",H465,1)),(H465&amp;","&amp;H465),H465)&amp;
IF(ISBLANK(I465),"",IF(ISERROR(SEARCH(",",I465,1)),CONCATENATE(","&amp;I465&amp;","&amp;I465),CONCATENATE(","&amp;I465))&amp;
IF(ISBLANK(J465),"",IF(ISERROR(SEARCH(",",J465,1)),CONCATENATE(","&amp;J465&amp;","&amp;J465),CONCATENATE(","&amp;J465))&amp;
IF(ISBLANK(K465),"",IF(ISERROR(SEARCH(",",K465,1)),CONCATENATE(","&amp;K465&amp;","&amp;K465),CONCATENATE(","&amp;K465))))))&amp;
")","")&amp;" "&amp;F465)</f>
        <v/>
      </c>
    </row>
    <row r="466">
      <c r="A466" s="1" t="n">
        <v>565</v>
      </c>
      <c r="B466" s="1">
        <f>A466</f>
        <v/>
      </c>
      <c r="C466" s="1" t="inlineStr">
        <is>
          <t>vJB2m04</t>
        </is>
      </c>
      <c r="D466" s="1" t="inlineStr">
        <is>
          <t>數值</t>
        </is>
      </c>
      <c r="E466" s="9" t="n">
        <v>2</v>
      </c>
      <c r="G466" s="1" t="inlineStr">
        <is>
          <t>range</t>
        </is>
      </c>
      <c r="H466" s="1" t="inlineStr">
        <is>
          <t>0,1</t>
        </is>
      </c>
      <c r="L466" s="2">
        <f>_xlfn.CONCAT(IF(D466="數值",CONCATENATE(G466&amp;"("&amp;C466&amp;","&amp;
IF(ISERROR(SEARCH(",",H466,1)),(H466&amp;","&amp;H466),H466)&amp;
IF(ISBLANK(I466),"",IF(ISERROR(SEARCH(",",I466,1)),CONCATENATE(","&amp;I466&amp;","&amp;I466),CONCATENATE(","&amp;I466))&amp;
IF(ISBLANK(J466),"",IF(ISERROR(SEARCH(",",J466,1)),CONCATENATE(","&amp;J466&amp;","&amp;J466),CONCATENATE(","&amp;J466))&amp;
IF(ISBLANK(K466),"",IF(ISERROR(SEARCH(",",K466,1)),CONCATENATE(","&amp;K466&amp;","&amp;K466),CONCATENATE(","&amp;K466))))))&amp;
")","")&amp;" "&amp;F466)</f>
        <v/>
      </c>
    </row>
    <row r="467">
      <c r="A467" s="1" t="n">
        <v>566</v>
      </c>
      <c r="B467" s="1">
        <f>A467</f>
        <v/>
      </c>
      <c r="C467" s="1" t="inlineStr">
        <is>
          <t>vJB2m05</t>
        </is>
      </c>
      <c r="D467" s="1" t="inlineStr">
        <is>
          <t>數值</t>
        </is>
      </c>
      <c r="E467" s="9" t="n">
        <v>2</v>
      </c>
      <c r="G467" s="1" t="inlineStr">
        <is>
          <t>range</t>
        </is>
      </c>
      <c r="H467" s="1" t="inlineStr">
        <is>
          <t>0,1</t>
        </is>
      </c>
      <c r="L467" s="2">
        <f>_xlfn.CONCAT(IF(D467="數值",CONCATENATE(G467&amp;"("&amp;C467&amp;","&amp;
IF(ISERROR(SEARCH(",",H467,1)),(H467&amp;","&amp;H467),H467)&amp;
IF(ISBLANK(I467),"",IF(ISERROR(SEARCH(",",I467,1)),CONCATENATE(","&amp;I467&amp;","&amp;I467),CONCATENATE(","&amp;I467))&amp;
IF(ISBLANK(J467),"",IF(ISERROR(SEARCH(",",J467,1)),CONCATENATE(","&amp;J467&amp;","&amp;J467),CONCATENATE(","&amp;J467))&amp;
IF(ISBLANK(K467),"",IF(ISERROR(SEARCH(",",K467,1)),CONCATENATE(","&amp;K467&amp;","&amp;K467),CONCATENATE(","&amp;K467))))))&amp;
")","")&amp;" "&amp;F467)</f>
        <v/>
      </c>
    </row>
    <row r="468">
      <c r="A468" s="1" t="n">
        <v>567</v>
      </c>
      <c r="B468" s="1">
        <f>A468</f>
        <v/>
      </c>
      <c r="C468" s="1" t="inlineStr">
        <is>
          <t>vJB2m06</t>
        </is>
      </c>
      <c r="D468" s="1" t="inlineStr">
        <is>
          <t>數值</t>
        </is>
      </c>
      <c r="E468" s="9" t="n">
        <v>2</v>
      </c>
      <c r="G468" s="1" t="inlineStr">
        <is>
          <t>range</t>
        </is>
      </c>
      <c r="H468" s="1" t="inlineStr">
        <is>
          <t>0,1</t>
        </is>
      </c>
      <c r="L468" s="2">
        <f>_xlfn.CONCAT(IF(D468="數值",CONCATENATE(G468&amp;"("&amp;C468&amp;","&amp;
IF(ISERROR(SEARCH(",",H468,1)),(H468&amp;","&amp;H468),H468)&amp;
IF(ISBLANK(I468),"",IF(ISERROR(SEARCH(",",I468,1)),CONCATENATE(","&amp;I468&amp;","&amp;I468),CONCATENATE(","&amp;I468))&amp;
IF(ISBLANK(J468),"",IF(ISERROR(SEARCH(",",J468,1)),CONCATENATE(","&amp;J468&amp;","&amp;J468),CONCATENATE(","&amp;J468))&amp;
IF(ISBLANK(K468),"",IF(ISERROR(SEARCH(",",K468,1)),CONCATENATE(","&amp;K468&amp;","&amp;K468),CONCATENATE(","&amp;K468))))))&amp;
")","")&amp;" "&amp;F468)</f>
        <v/>
      </c>
    </row>
    <row r="469">
      <c r="A469" s="1" t="n">
        <v>568</v>
      </c>
      <c r="B469" s="1">
        <f>A469</f>
        <v/>
      </c>
      <c r="C469" s="1" t="inlineStr">
        <is>
          <t>vJB2m07</t>
        </is>
      </c>
      <c r="D469" s="1" t="inlineStr">
        <is>
          <t>數值</t>
        </is>
      </c>
      <c r="E469" s="9" t="n">
        <v>2</v>
      </c>
      <c r="G469" s="1" t="inlineStr">
        <is>
          <t>range</t>
        </is>
      </c>
      <c r="H469" s="1" t="inlineStr">
        <is>
          <t>0,1</t>
        </is>
      </c>
      <c r="L469" s="2">
        <f>_xlfn.CONCAT(IF(D469="數值",CONCATENATE(G469&amp;"("&amp;C469&amp;","&amp;
IF(ISERROR(SEARCH(",",H469,1)),(H469&amp;","&amp;H469),H469)&amp;
IF(ISBLANK(I469),"",IF(ISERROR(SEARCH(",",I469,1)),CONCATENATE(","&amp;I469&amp;","&amp;I469),CONCATENATE(","&amp;I469))&amp;
IF(ISBLANK(J469),"",IF(ISERROR(SEARCH(",",J469,1)),CONCATENATE(","&amp;J469&amp;","&amp;J469),CONCATENATE(","&amp;J469))&amp;
IF(ISBLANK(K469),"",IF(ISERROR(SEARCH(",",K469,1)),CONCATENATE(","&amp;K469&amp;","&amp;K469),CONCATENATE(","&amp;K469))))))&amp;
")","")&amp;" "&amp;F469)</f>
        <v/>
      </c>
    </row>
    <row r="470">
      <c r="A470" s="1" t="n">
        <v>569</v>
      </c>
      <c r="B470" s="1">
        <f>A470</f>
        <v/>
      </c>
      <c r="C470" s="1" t="inlineStr">
        <is>
          <t>vJB2m88</t>
        </is>
      </c>
      <c r="D470" s="1" t="inlineStr">
        <is>
          <t>數值</t>
        </is>
      </c>
      <c r="E470" s="9" t="n">
        <v>2</v>
      </c>
      <c r="G470" s="1" t="inlineStr">
        <is>
          <t>range</t>
        </is>
      </c>
      <c r="H470" s="1" t="inlineStr">
        <is>
          <t>0,1</t>
        </is>
      </c>
      <c r="I470" s="1" t="inlineStr">
        <is>
          <t>96</t>
        </is>
      </c>
      <c r="L470" s="2">
        <f>_xlfn.CONCAT(IF(D470="數值",CONCATENATE(G470&amp;"("&amp;C470&amp;","&amp;
IF(ISERROR(SEARCH(",",H470,1)),(H470&amp;","&amp;H470),H470)&amp;
IF(ISBLANK(I470),"",IF(ISERROR(SEARCH(",",I470,1)),CONCATENATE(","&amp;I470&amp;","&amp;I470),CONCATENATE(","&amp;I470))&amp;
IF(ISBLANK(J470),"",IF(ISERROR(SEARCH(",",J470,1)),CONCATENATE(","&amp;J470&amp;","&amp;J470),CONCATENATE(","&amp;J470))&amp;
IF(ISBLANK(K470),"",IF(ISERROR(SEARCH(",",K470,1)),CONCATENATE(","&amp;K470&amp;","&amp;K470),CONCATENATE(","&amp;K470))))))&amp;
")","")&amp;" "&amp;F470)</f>
        <v/>
      </c>
    </row>
    <row r="471">
      <c r="A471" s="1" t="n">
        <v>570</v>
      </c>
      <c r="B471" s="1">
        <f>A471</f>
        <v/>
      </c>
      <c r="C471" s="1" t="inlineStr">
        <is>
          <t>vJB2m90</t>
        </is>
      </c>
      <c r="D471" s="1" t="inlineStr">
        <is>
          <t>數值</t>
        </is>
      </c>
      <c r="E471" s="9" t="n">
        <v>2</v>
      </c>
      <c r="G471" s="1" t="inlineStr">
        <is>
          <t>range</t>
        </is>
      </c>
      <c r="H471" s="1" t="inlineStr">
        <is>
          <t>0,1</t>
        </is>
      </c>
      <c r="I471" s="1" t="inlineStr">
        <is>
          <t>96</t>
        </is>
      </c>
      <c r="L471" s="2">
        <f>_xlfn.CONCAT(IF(D471="數值",CONCATENATE(G471&amp;"("&amp;C471&amp;","&amp;
IF(ISERROR(SEARCH(",",H471,1)),(H471&amp;","&amp;H471),H471)&amp;
IF(ISBLANK(I471),"",IF(ISERROR(SEARCH(",",I471,1)),CONCATENATE(","&amp;I471&amp;","&amp;I471),CONCATENATE(","&amp;I471))&amp;
IF(ISBLANK(J471),"",IF(ISERROR(SEARCH(",",J471,1)),CONCATENATE(","&amp;J471&amp;","&amp;J471),CONCATENATE(","&amp;J471))&amp;
IF(ISBLANK(K471),"",IF(ISERROR(SEARCH(",",K471,1)),CONCATENATE(","&amp;K471&amp;","&amp;K471),CONCATENATE(","&amp;K471))))))&amp;
")","")&amp;" "&amp;F471)</f>
        <v/>
      </c>
    </row>
    <row r="472">
      <c r="A472" s="1" t="n">
        <v>571</v>
      </c>
      <c r="B472" s="1">
        <f>A472</f>
        <v/>
      </c>
      <c r="C472" s="1" t="inlineStr">
        <is>
          <t>vH1</t>
        </is>
      </c>
      <c r="D472" s="1" t="inlineStr">
        <is>
          <t>數值</t>
        </is>
      </c>
      <c r="E472" s="9" t="n">
        <v>4</v>
      </c>
      <c r="G472" s="1" t="inlineStr">
        <is>
          <t>range</t>
        </is>
      </c>
      <c r="H472" s="1" t="inlineStr">
        <is>
          <t>0,990</t>
        </is>
      </c>
      <c r="I472" s="1" t="inlineStr">
        <is>
          <t>991</t>
        </is>
      </c>
      <c r="J472" s="1" t="inlineStr">
        <is>
          <t>997</t>
        </is>
      </c>
      <c r="K472" s="1" t="inlineStr">
        <is>
          <t>998</t>
        </is>
      </c>
      <c r="L472" s="2">
        <f>_xlfn.CONCAT(IF(D472="數值",CONCATENATE(G472&amp;"("&amp;C472&amp;","&amp;
IF(ISERROR(SEARCH(",",H472,1)),(H472&amp;","&amp;H472),H472)&amp;
IF(ISBLANK(I472),"",IF(ISERROR(SEARCH(",",I472,1)),CONCATENATE(","&amp;I472&amp;","&amp;I472),CONCATENATE(","&amp;I472))&amp;
IF(ISBLANK(J472),"",IF(ISERROR(SEARCH(",",J472,1)),CONCATENATE(","&amp;J472&amp;","&amp;J472),CONCATENATE(","&amp;J472))&amp;
IF(ISBLANK(K472),"",IF(ISERROR(SEARCH(",",K472,1)),CONCATENATE(","&amp;K472&amp;","&amp;K472),CONCATENATE(","&amp;K472))))))&amp;
")","")&amp;" "&amp;F472)</f>
        <v/>
      </c>
    </row>
    <row r="473">
      <c r="A473" s="1" t="n">
        <v>572</v>
      </c>
      <c r="B473" s="1">
        <f>A473</f>
        <v/>
      </c>
      <c r="C473" s="1" t="inlineStr">
        <is>
          <t>vH2</t>
        </is>
      </c>
      <c r="D473" s="1" t="inlineStr">
        <is>
          <t>數值</t>
        </is>
      </c>
      <c r="E473" s="9" t="n">
        <v>2</v>
      </c>
      <c r="G473" s="1" t="inlineStr">
        <is>
          <t>range</t>
        </is>
      </c>
      <c r="H473" s="1" t="inlineStr">
        <is>
          <t>1,5</t>
        </is>
      </c>
      <c r="I473" s="1" t="inlineStr">
        <is>
          <t>97</t>
        </is>
      </c>
      <c r="J473" s="1" t="inlineStr">
        <is>
          <t>997</t>
        </is>
      </c>
      <c r="K473" s="1" t="inlineStr">
        <is>
          <t>998</t>
        </is>
      </c>
      <c r="L473" s="2">
        <f>_xlfn.CONCAT(IF(D473="數值",CONCATENATE(G473&amp;"("&amp;C473&amp;","&amp;
IF(ISERROR(SEARCH(",",H473,1)),(H473&amp;","&amp;H473),H473)&amp;
IF(ISBLANK(I473),"",IF(ISERROR(SEARCH(",",I473,1)),CONCATENATE(","&amp;I473&amp;","&amp;I473),CONCATENATE(","&amp;I473))&amp;
IF(ISBLANK(J473),"",IF(ISERROR(SEARCH(",",J473,1)),CONCATENATE(","&amp;J473&amp;","&amp;J473),CONCATENATE(","&amp;J473))&amp;
IF(ISBLANK(K473),"",IF(ISERROR(SEARCH(",",K473,1)),CONCATENATE(","&amp;K473&amp;","&amp;K473),CONCATENATE(","&amp;K473))))))&amp;
")","")&amp;" "&amp;F473)</f>
        <v/>
      </c>
    </row>
    <row r="474">
      <c r="A474" s="1" t="n">
        <v>573</v>
      </c>
      <c r="B474" s="1">
        <f>A474</f>
        <v/>
      </c>
      <c r="C474" s="1" t="inlineStr">
        <is>
          <t>vH3</t>
        </is>
      </c>
      <c r="D474" s="1" t="inlineStr">
        <is>
          <t>數值</t>
        </is>
      </c>
      <c r="E474" s="9" t="n">
        <v>2</v>
      </c>
      <c r="G474" s="1" t="inlineStr">
        <is>
          <t>range</t>
        </is>
      </c>
      <c r="H474" s="1" t="inlineStr">
        <is>
          <t>1,5</t>
        </is>
      </c>
      <c r="I474" s="1" t="inlineStr">
        <is>
          <t>97</t>
        </is>
      </c>
      <c r="J474" s="1" t="inlineStr">
        <is>
          <t>98</t>
        </is>
      </c>
      <c r="L474" s="2">
        <f>_xlfn.CONCAT(IF(D474="數值",CONCATENATE(G474&amp;"("&amp;C474&amp;","&amp;
IF(ISERROR(SEARCH(",",H474,1)),(H474&amp;","&amp;H474),H474)&amp;
IF(ISBLANK(I474),"",IF(ISERROR(SEARCH(",",I474,1)),CONCATENATE(","&amp;I474&amp;","&amp;I474),CONCATENATE(","&amp;I474))&amp;
IF(ISBLANK(J474),"",IF(ISERROR(SEARCH(",",J474,1)),CONCATENATE(","&amp;J474&amp;","&amp;J474),CONCATENATE(","&amp;J474))&amp;
IF(ISBLANK(K474),"",IF(ISERROR(SEARCH(",",K474,1)),CONCATENATE(","&amp;K474&amp;","&amp;K474),CONCATENATE(","&amp;K474))))))&amp;
")","")&amp;" "&amp;F474)</f>
        <v/>
      </c>
    </row>
    <row r="475">
      <c r="A475" s="1" t="n">
        <v>574</v>
      </c>
      <c r="B475" s="1">
        <f>A475</f>
        <v/>
      </c>
      <c r="C475" s="1" t="inlineStr">
        <is>
          <t>vH4</t>
        </is>
      </c>
      <c r="D475" s="1" t="inlineStr">
        <is>
          <t>數值</t>
        </is>
      </c>
      <c r="E475" s="9" t="n">
        <v>4</v>
      </c>
      <c r="G475" s="1" t="inlineStr">
        <is>
          <t>range</t>
        </is>
      </c>
      <c r="H475" s="1" t="inlineStr">
        <is>
          <t>0,990</t>
        </is>
      </c>
      <c r="I475" s="1" t="inlineStr">
        <is>
          <t>991</t>
        </is>
      </c>
      <c r="J475" s="1" t="inlineStr">
        <is>
          <t>997</t>
        </is>
      </c>
      <c r="K475" s="1" t="inlineStr">
        <is>
          <t>998</t>
        </is>
      </c>
      <c r="L475" s="2">
        <f>_xlfn.CONCAT(IF(D475="數值",CONCATENATE(G475&amp;"("&amp;C475&amp;","&amp;
IF(ISERROR(SEARCH(",",H475,1)),(H475&amp;","&amp;H475),H475)&amp;
IF(ISBLANK(I475),"",IF(ISERROR(SEARCH(",",I475,1)),CONCATENATE(","&amp;I475&amp;","&amp;I475),CONCATENATE(","&amp;I475))&amp;
IF(ISBLANK(J475),"",IF(ISERROR(SEARCH(",",J475,1)),CONCATENATE(","&amp;J475&amp;","&amp;J475),CONCATENATE(","&amp;J475))&amp;
IF(ISBLANK(K475),"",IF(ISERROR(SEARCH(",",K475,1)),CONCATENATE(","&amp;K475&amp;","&amp;K475),CONCATENATE(","&amp;K475))))))&amp;
")","")&amp;" "&amp;F475)</f>
        <v/>
      </c>
    </row>
    <row r="476">
      <c r="A476" s="1" t="n">
        <v>575</v>
      </c>
      <c r="B476" s="1">
        <f>A476</f>
        <v/>
      </c>
      <c r="C476" s="1" t="inlineStr">
        <is>
          <t>vH5</t>
        </is>
      </c>
      <c r="D476" s="1" t="inlineStr">
        <is>
          <t>數值</t>
        </is>
      </c>
      <c r="E476" s="9" t="n">
        <v>2</v>
      </c>
      <c r="G476" s="1" t="inlineStr">
        <is>
          <t>range</t>
        </is>
      </c>
      <c r="H476" s="1" t="inlineStr">
        <is>
          <t>1,5</t>
        </is>
      </c>
      <c r="I476" s="1" t="inlineStr">
        <is>
          <t>97</t>
        </is>
      </c>
      <c r="J476" s="1" t="inlineStr">
        <is>
          <t>997</t>
        </is>
      </c>
      <c r="K476" s="1" t="inlineStr">
        <is>
          <t>998</t>
        </is>
      </c>
      <c r="L476" s="2">
        <f>_xlfn.CONCAT(IF(D476="數值",CONCATENATE(G476&amp;"("&amp;C476&amp;","&amp;
IF(ISERROR(SEARCH(",",H476,1)),(H476&amp;","&amp;H476),H476)&amp;
IF(ISBLANK(I476),"",IF(ISERROR(SEARCH(",",I476,1)),CONCATENATE(","&amp;I476&amp;","&amp;I476),CONCATENATE(","&amp;I476))&amp;
IF(ISBLANK(J476),"",IF(ISERROR(SEARCH(",",J476,1)),CONCATENATE(","&amp;J476&amp;","&amp;J476),CONCATENATE(","&amp;J476))&amp;
IF(ISBLANK(K476),"",IF(ISERROR(SEARCH(",",K476,1)),CONCATENATE(","&amp;K476&amp;","&amp;K476),CONCATENATE(","&amp;K476))))))&amp;
")","")&amp;" "&amp;F476)</f>
        <v/>
      </c>
    </row>
    <row r="477">
      <c r="A477" s="1" t="n">
        <v>576</v>
      </c>
      <c r="B477" s="1">
        <f>A477</f>
        <v/>
      </c>
      <c r="C477" s="1" t="inlineStr">
        <is>
          <t>vH6</t>
        </is>
      </c>
      <c r="D477" s="1" t="inlineStr">
        <is>
          <t>數值</t>
        </is>
      </c>
      <c r="E477" s="9" t="n">
        <v>2</v>
      </c>
      <c r="G477" s="1" t="inlineStr">
        <is>
          <t>range</t>
        </is>
      </c>
      <c r="H477" s="1" t="inlineStr">
        <is>
          <t>1,5</t>
        </is>
      </c>
      <c r="I477" s="1" t="inlineStr">
        <is>
          <t>97</t>
        </is>
      </c>
      <c r="J477" s="1" t="inlineStr">
        <is>
          <t>98</t>
        </is>
      </c>
      <c r="L477" s="2">
        <f>_xlfn.CONCAT(IF(D477="數值",CONCATENATE(G477&amp;"("&amp;C477&amp;","&amp;
IF(ISERROR(SEARCH(",",H477,1)),(H477&amp;","&amp;H477),H477)&amp;
IF(ISBLANK(I477),"",IF(ISERROR(SEARCH(",",I477,1)),CONCATENATE(","&amp;I477&amp;","&amp;I477),CONCATENATE(","&amp;I477))&amp;
IF(ISBLANK(J477),"",IF(ISERROR(SEARCH(",",J477,1)),CONCATENATE(","&amp;J477&amp;","&amp;J477),CONCATENATE(","&amp;J477))&amp;
IF(ISBLANK(K477),"",IF(ISERROR(SEARCH(",",K477,1)),CONCATENATE(","&amp;K477&amp;","&amp;K477),CONCATENATE(","&amp;K477))))))&amp;
")","")&amp;" "&amp;F477)</f>
        <v/>
      </c>
    </row>
    <row r="478">
      <c r="A478" s="1" t="n">
        <v>577</v>
      </c>
      <c r="B478" s="1">
        <f>A478</f>
        <v/>
      </c>
      <c r="C478" s="1" t="inlineStr">
        <is>
          <t>vH7</t>
        </is>
      </c>
      <c r="D478" s="1" t="inlineStr">
        <is>
          <t>數值</t>
        </is>
      </c>
      <c r="E478" s="9" t="n">
        <v>4</v>
      </c>
      <c r="G478" s="1" t="inlineStr">
        <is>
          <t>range</t>
        </is>
      </c>
      <c r="H478" s="1" t="inlineStr">
        <is>
          <t>0,990</t>
        </is>
      </c>
      <c r="I478" s="1" t="inlineStr">
        <is>
          <t>991</t>
        </is>
      </c>
      <c r="J478" s="1" t="inlineStr">
        <is>
          <t>997</t>
        </is>
      </c>
      <c r="K478" s="1" t="inlineStr">
        <is>
          <t>998</t>
        </is>
      </c>
      <c r="L478" s="2">
        <f>_xlfn.CONCAT(IF(D478="數值",CONCATENATE(G478&amp;"("&amp;C478&amp;","&amp;
IF(ISERROR(SEARCH(",",H478,1)),(H478&amp;","&amp;H478),H478)&amp;
IF(ISBLANK(I478),"",IF(ISERROR(SEARCH(",",I478,1)),CONCATENATE(","&amp;I478&amp;","&amp;I478),CONCATENATE(","&amp;I478))&amp;
IF(ISBLANK(J478),"",IF(ISERROR(SEARCH(",",J478,1)),CONCATENATE(","&amp;J478&amp;","&amp;J478),CONCATENATE(","&amp;J478))&amp;
IF(ISBLANK(K478),"",IF(ISERROR(SEARCH(",",K478,1)),CONCATENATE(","&amp;K478&amp;","&amp;K478),CONCATENATE(","&amp;K478))))))&amp;
")","")&amp;" "&amp;F478)</f>
        <v/>
      </c>
    </row>
    <row r="479">
      <c r="A479" s="1" t="n">
        <v>578</v>
      </c>
      <c r="B479" s="1">
        <f>A479</f>
        <v/>
      </c>
      <c r="C479" s="1" t="inlineStr">
        <is>
          <t>vH7_1</t>
        </is>
      </c>
      <c r="D479" s="1" t="inlineStr">
        <is>
          <t>數值</t>
        </is>
      </c>
      <c r="E479" s="9" t="n">
        <v>4</v>
      </c>
      <c r="G479" s="1" t="inlineStr">
        <is>
          <t>range</t>
        </is>
      </c>
      <c r="H479" s="1" t="inlineStr">
        <is>
          <t>0,990</t>
        </is>
      </c>
      <c r="I479" s="1" t="inlineStr">
        <is>
          <t>991</t>
        </is>
      </c>
      <c r="J479" s="1" t="inlineStr">
        <is>
          <t>997</t>
        </is>
      </c>
      <c r="K479" s="1" t="inlineStr">
        <is>
          <t>998</t>
        </is>
      </c>
      <c r="L479" s="2">
        <f>_xlfn.CONCAT(IF(D479="數值",CONCATENATE(G479&amp;"("&amp;C479&amp;","&amp;
IF(ISERROR(SEARCH(",",H479,1)),(H479&amp;","&amp;H479),H479)&amp;
IF(ISBLANK(I479),"",IF(ISERROR(SEARCH(",",I479,1)),CONCATENATE(","&amp;I479&amp;","&amp;I479),CONCATENATE(","&amp;I479))&amp;
IF(ISBLANK(J479),"",IF(ISERROR(SEARCH(",",J479,1)),CONCATENATE(","&amp;J479&amp;","&amp;J479),CONCATENATE(","&amp;J479))&amp;
IF(ISBLANK(K479),"",IF(ISERROR(SEARCH(",",K479,1)),CONCATENATE(","&amp;K479&amp;","&amp;K479),CONCATENATE(","&amp;K479))))))&amp;
")","")&amp;" "&amp;F479)</f>
        <v/>
      </c>
    </row>
    <row r="480">
      <c r="A480" s="1" t="n">
        <v>579</v>
      </c>
      <c r="B480" s="1">
        <f>A480</f>
        <v/>
      </c>
      <c r="C480" s="1" t="inlineStr">
        <is>
          <t>vH7_2</t>
        </is>
      </c>
      <c r="D480" s="1" t="inlineStr">
        <is>
          <t>數值</t>
        </is>
      </c>
      <c r="E480" s="9" t="n">
        <v>4</v>
      </c>
      <c r="G480" s="1" t="inlineStr">
        <is>
          <t>range</t>
        </is>
      </c>
      <c r="H480" s="1" t="inlineStr">
        <is>
          <t>0,990</t>
        </is>
      </c>
      <c r="I480" s="1" t="inlineStr">
        <is>
          <t>991</t>
        </is>
      </c>
      <c r="J480" s="1" t="inlineStr">
        <is>
          <t>997</t>
        </is>
      </c>
      <c r="K480" s="1" t="inlineStr">
        <is>
          <t>998</t>
        </is>
      </c>
      <c r="L480" s="2">
        <f>_xlfn.CONCAT(IF(D480="數值",CONCATENATE(G480&amp;"("&amp;C480&amp;","&amp;
IF(ISERROR(SEARCH(",",H480,1)),(H480&amp;","&amp;H480),H480)&amp;
IF(ISBLANK(I480),"",IF(ISERROR(SEARCH(",",I480,1)),CONCATENATE(","&amp;I480&amp;","&amp;I480),CONCATENATE(","&amp;I480))&amp;
IF(ISBLANK(J480),"",IF(ISERROR(SEARCH(",",J480,1)),CONCATENATE(","&amp;J480&amp;","&amp;J480),CONCATENATE(","&amp;J480))&amp;
IF(ISBLANK(K480),"",IF(ISERROR(SEARCH(",",K480,1)),CONCATENATE(","&amp;K480&amp;","&amp;K480),CONCATENATE(","&amp;K480))))))&amp;
")","")&amp;" "&amp;F480)</f>
        <v/>
      </c>
    </row>
    <row r="481">
      <c r="A481" s="1" t="n">
        <v>580</v>
      </c>
      <c r="B481" s="1">
        <f>A481</f>
        <v/>
      </c>
      <c r="C481" s="1" t="inlineStr">
        <is>
          <t>vH7_3</t>
        </is>
      </c>
      <c r="D481" s="1" t="inlineStr">
        <is>
          <t>數值</t>
        </is>
      </c>
      <c r="E481" s="9" t="n">
        <v>4</v>
      </c>
      <c r="G481" s="1" t="inlineStr">
        <is>
          <t>range</t>
        </is>
      </c>
      <c r="H481" s="1" t="inlineStr">
        <is>
          <t>0,990</t>
        </is>
      </c>
      <c r="I481" s="1" t="inlineStr">
        <is>
          <t>991</t>
        </is>
      </c>
      <c r="J481" s="1" t="inlineStr">
        <is>
          <t>997</t>
        </is>
      </c>
      <c r="K481" s="1" t="inlineStr">
        <is>
          <t>998</t>
        </is>
      </c>
      <c r="L481" s="2">
        <f>_xlfn.CONCAT(IF(D481="數值",CONCATENATE(G481&amp;"("&amp;C481&amp;","&amp;
IF(ISERROR(SEARCH(",",H481,1)),(H481&amp;","&amp;H481),H481)&amp;
IF(ISBLANK(I481),"",IF(ISERROR(SEARCH(",",I481,1)),CONCATENATE(","&amp;I481&amp;","&amp;I481),CONCATENATE(","&amp;I481))&amp;
IF(ISBLANK(J481),"",IF(ISERROR(SEARCH(",",J481,1)),CONCATENATE(","&amp;J481&amp;","&amp;J481),CONCATENATE(","&amp;J481))&amp;
IF(ISBLANK(K481),"",IF(ISERROR(SEARCH(",",K481,1)),CONCATENATE(","&amp;K481&amp;","&amp;K481),CONCATENATE(","&amp;K481))))))&amp;
")","")&amp;" "&amp;F481)</f>
        <v/>
      </c>
    </row>
    <row r="482">
      <c r="A482" s="1" t="n">
        <v>581</v>
      </c>
      <c r="B482" s="1">
        <f>A482</f>
        <v/>
      </c>
      <c r="C482" s="1" t="inlineStr">
        <is>
          <t>vCKH7</t>
        </is>
      </c>
      <c r="D482" s="1" t="inlineStr">
        <is>
          <t>數值</t>
        </is>
      </c>
      <c r="E482" s="9" t="n">
        <v>14</v>
      </c>
      <c r="G482" s="1" t="inlineStr">
        <is>
          <t>range</t>
        </is>
      </c>
      <c r="H482" s="1" t="inlineStr">
        <is>
          <t>20260615000000,20260915000000</t>
        </is>
      </c>
      <c r="L482" s="2">
        <f>_xlfn.CONCAT(IF(D482="數值",CONCATENATE(G482&amp;"("&amp;C482&amp;","&amp;
IF(ISERROR(SEARCH(",",H482,1)),(H482&amp;","&amp;H482),H482)&amp;
IF(ISBLANK(I482),"",IF(ISERROR(SEARCH(",",I482,1)),CONCATENATE(","&amp;I482&amp;","&amp;I482),CONCATENATE(","&amp;I482))&amp;
IF(ISBLANK(J482),"",IF(ISERROR(SEARCH(",",J482,1)),CONCATENATE(","&amp;J482&amp;","&amp;J482),CONCATENATE(","&amp;J482))&amp;
IF(ISBLANK(K482),"",IF(ISERROR(SEARCH(",",K482,1)),CONCATENATE(","&amp;K482&amp;","&amp;K482),CONCATENATE(","&amp;K482))))))&amp;
")","")&amp;" "&amp;F482)</f>
        <v/>
      </c>
    </row>
    <row r="483">
      <c r="A483" s="1" t="n">
        <v>582</v>
      </c>
      <c r="B483" s="1">
        <f>A483</f>
        <v/>
      </c>
      <c r="C483" s="1" t="inlineStr">
        <is>
          <t>vCKH7_1</t>
        </is>
      </c>
      <c r="D483" s="1" t="inlineStr">
        <is>
          <t>數值</t>
        </is>
      </c>
      <c r="E483" s="9" t="n">
        <v>14</v>
      </c>
      <c r="G483" s="1" t="inlineStr">
        <is>
          <t>range</t>
        </is>
      </c>
      <c r="H483" s="1" t="inlineStr">
        <is>
          <t>20260615000000,20260915000000</t>
        </is>
      </c>
      <c r="L483" s="2">
        <f>_xlfn.CONCAT(IF(D483="數值",CONCATENATE(G483&amp;"("&amp;C483&amp;","&amp;
IF(ISERROR(SEARCH(",",H483,1)),(H483&amp;","&amp;H483),H483)&amp;
IF(ISBLANK(I483),"",IF(ISERROR(SEARCH(",",I483,1)),CONCATENATE(","&amp;I483&amp;","&amp;I483),CONCATENATE(","&amp;I483))&amp;
IF(ISBLANK(J483),"",IF(ISERROR(SEARCH(",",J483,1)),CONCATENATE(","&amp;J483&amp;","&amp;J483),CONCATENATE(","&amp;J483))&amp;
IF(ISBLANK(K483),"",IF(ISERROR(SEARCH(",",K483,1)),CONCATENATE(","&amp;K483&amp;","&amp;K483),CONCATENATE(","&amp;K483))))))&amp;
")","")&amp;" "&amp;F483)</f>
        <v/>
      </c>
    </row>
    <row r="484">
      <c r="A484" s="1" t="n">
        <v>583</v>
      </c>
      <c r="B484" s="1">
        <f>A484</f>
        <v/>
      </c>
      <c r="C484" s="1" t="inlineStr">
        <is>
          <t>vCKH7_2</t>
        </is>
      </c>
      <c r="D484" s="1" t="inlineStr">
        <is>
          <t>數值</t>
        </is>
      </c>
      <c r="E484" s="9" t="n">
        <v>14</v>
      </c>
      <c r="G484" s="1" t="inlineStr">
        <is>
          <t>range</t>
        </is>
      </c>
      <c r="H484" s="1" t="inlineStr">
        <is>
          <t>20260615000000,20260915000000</t>
        </is>
      </c>
      <c r="L484" s="2">
        <f>_xlfn.CONCAT(IF(D484="數值",CONCATENATE(G484&amp;"("&amp;C484&amp;","&amp;
IF(ISERROR(SEARCH(",",H484,1)),(H484&amp;","&amp;H484),H484)&amp;
IF(ISBLANK(I484),"",IF(ISERROR(SEARCH(",",I484,1)),CONCATENATE(","&amp;I484&amp;","&amp;I484),CONCATENATE(","&amp;I484))&amp;
IF(ISBLANK(J484),"",IF(ISERROR(SEARCH(",",J484,1)),CONCATENATE(","&amp;J484&amp;","&amp;J484),CONCATENATE(","&amp;J484))&amp;
IF(ISBLANK(K484),"",IF(ISERROR(SEARCH(",",K484,1)),CONCATENATE(","&amp;K484&amp;","&amp;K484),CONCATENATE(","&amp;K484))))))&amp;
")","")&amp;" "&amp;F484)</f>
        <v/>
      </c>
    </row>
    <row r="485">
      <c r="A485" s="1" t="n">
        <v>584</v>
      </c>
      <c r="B485" s="1">
        <f>A485</f>
        <v/>
      </c>
      <c r="C485" s="1" t="inlineStr">
        <is>
          <t>vCKH7_3</t>
        </is>
      </c>
      <c r="D485" s="1" t="inlineStr">
        <is>
          <t>數值</t>
        </is>
      </c>
      <c r="E485" s="9" t="n">
        <v>14</v>
      </c>
      <c r="G485" s="1" t="inlineStr">
        <is>
          <t>range</t>
        </is>
      </c>
      <c r="H485" s="1" t="inlineStr">
        <is>
          <t>20260615000000,20260915000000</t>
        </is>
      </c>
      <c r="L485" s="2">
        <f>_xlfn.CONCAT(IF(D485="數值",CONCATENATE(G485&amp;"("&amp;C485&amp;","&amp;
IF(ISERROR(SEARCH(",",H485,1)),(H485&amp;","&amp;H485),H485)&amp;
IF(ISBLANK(I485),"",IF(ISERROR(SEARCH(",",I485,1)),CONCATENATE(","&amp;I485&amp;","&amp;I485),CONCATENATE(","&amp;I485))&amp;
IF(ISBLANK(J485),"",IF(ISERROR(SEARCH(",",J485,1)),CONCATENATE(","&amp;J485&amp;","&amp;J485),CONCATENATE(","&amp;J485))&amp;
IF(ISBLANK(K485),"",IF(ISERROR(SEARCH(",",K485,1)),CONCATENATE(","&amp;K485&amp;","&amp;K485),CONCATENATE(","&amp;K485))))))&amp;
")","")&amp;" "&amp;F485)</f>
        <v/>
      </c>
    </row>
    <row r="486">
      <c r="A486" s="1" t="n">
        <v>585</v>
      </c>
      <c r="B486" s="1">
        <f>A486</f>
        <v/>
      </c>
      <c r="C486" s="1" t="inlineStr">
        <is>
          <t>vH8</t>
        </is>
      </c>
      <c r="D486" s="1" t="inlineStr">
        <is>
          <t>數值</t>
        </is>
      </c>
      <c r="E486" s="9" t="n">
        <v>4</v>
      </c>
      <c r="G486" s="1" t="inlineStr">
        <is>
          <t>range</t>
        </is>
      </c>
      <c r="H486" s="1" t="inlineStr">
        <is>
          <t>0,500</t>
        </is>
      </c>
      <c r="I486" s="1" t="inlineStr">
        <is>
          <t>991</t>
        </is>
      </c>
      <c r="J486" s="1" t="inlineStr">
        <is>
          <t>997</t>
        </is>
      </c>
      <c r="K486" s="1" t="inlineStr">
        <is>
          <t>998</t>
        </is>
      </c>
      <c r="L486" s="2">
        <f>_xlfn.CONCAT(IF(D486="數值",CONCATENATE(G486&amp;"("&amp;C486&amp;","&amp;
IF(ISERROR(SEARCH(",",H486,1)),(H486&amp;","&amp;H486),H486)&amp;
IF(ISBLANK(I486),"",IF(ISERROR(SEARCH(",",I486,1)),CONCATENATE(","&amp;I486&amp;","&amp;I486),CONCATENATE(","&amp;I486))&amp;
IF(ISBLANK(J486),"",IF(ISERROR(SEARCH(",",J486,1)),CONCATENATE(","&amp;J486&amp;","&amp;J486),CONCATENATE(","&amp;J486))&amp;
IF(ISBLANK(K486),"",IF(ISERROR(SEARCH(",",K486,1)),CONCATENATE(","&amp;K486&amp;","&amp;K486),CONCATENATE(","&amp;K486))))))&amp;
")","")&amp;" "&amp;F486)</f>
        <v/>
      </c>
    </row>
    <row r="487">
      <c r="A487" s="1" t="n">
        <v>586</v>
      </c>
      <c r="B487" s="1">
        <f>A487</f>
        <v/>
      </c>
      <c r="C487" s="1" t="inlineStr">
        <is>
          <t>vM1g1</t>
        </is>
      </c>
      <c r="D487" s="1" t="inlineStr">
        <is>
          <t>數值</t>
        </is>
      </c>
      <c r="E487" s="9" t="n">
        <v>4</v>
      </c>
      <c r="G487" s="1" t="inlineStr">
        <is>
          <t>range</t>
        </is>
      </c>
      <c r="H487" s="1" t="inlineStr">
        <is>
          <t>0,140</t>
        </is>
      </c>
      <c r="I487" s="1" t="inlineStr">
        <is>
          <t>997</t>
        </is>
      </c>
      <c r="J487" s="1" t="inlineStr">
        <is>
          <t>998</t>
        </is>
      </c>
      <c r="L487" s="2">
        <f>_xlfn.CONCAT(IF(D487="數值",CONCATENATE(G487&amp;"("&amp;C487&amp;","&amp;
IF(ISERROR(SEARCH(",",H487,1)),(H487&amp;","&amp;H487),H487)&amp;
IF(ISBLANK(I487),"",IF(ISERROR(SEARCH(",",I487,1)),CONCATENATE(","&amp;I487&amp;","&amp;I487),CONCATENATE(","&amp;I487))&amp;
IF(ISBLANK(J487),"",IF(ISERROR(SEARCH(",",J487,1)),CONCATENATE(","&amp;J487&amp;","&amp;J487),CONCATENATE(","&amp;J487))&amp;
IF(ISBLANK(K487),"",IF(ISERROR(SEARCH(",",K487,1)),CONCATENATE(","&amp;K487&amp;","&amp;K487),CONCATENATE(","&amp;K487))))))&amp;
")","")&amp;" "&amp;F487)</f>
        <v/>
      </c>
    </row>
    <row r="488">
      <c r="A488" s="1" t="n">
        <v>587</v>
      </c>
      <c r="B488" s="1">
        <f>A488</f>
        <v/>
      </c>
      <c r="C488" s="1" t="inlineStr">
        <is>
          <t>vM1g2</t>
        </is>
      </c>
      <c r="D488" s="1" t="inlineStr">
        <is>
          <t>數值</t>
        </is>
      </c>
      <c r="E488" s="9" t="n">
        <v>3</v>
      </c>
      <c r="G488" s="1" t="inlineStr">
        <is>
          <t>range</t>
        </is>
      </c>
      <c r="H488" s="1" t="inlineStr">
        <is>
          <t>0,59</t>
        </is>
      </c>
      <c r="I488" s="1" t="inlineStr">
        <is>
          <t>97</t>
        </is>
      </c>
      <c r="J488" s="1" t="inlineStr">
        <is>
          <t>98</t>
        </is>
      </c>
      <c r="L488" s="2">
        <f>_xlfn.CONCAT(IF(D488="數值",CONCATENATE(G488&amp;"("&amp;C488&amp;","&amp;
IF(ISERROR(SEARCH(",",H488,1)),(H488&amp;","&amp;H488),H488)&amp;
IF(ISBLANK(I488),"",IF(ISERROR(SEARCH(",",I488,1)),CONCATENATE(","&amp;I488&amp;","&amp;I488),CONCATENATE(","&amp;I488))&amp;
IF(ISBLANK(J488),"",IF(ISERROR(SEARCH(",",J488,1)),CONCATENATE(","&amp;J488&amp;","&amp;J488),CONCATENATE(","&amp;J488))&amp;
IF(ISBLANK(K488),"",IF(ISERROR(SEARCH(",",K488,1)),CONCATENATE(","&amp;K488&amp;","&amp;K488),CONCATENATE(","&amp;K488))))))&amp;
")","")&amp;" "&amp;F488)</f>
        <v/>
      </c>
    </row>
    <row r="489">
      <c r="A489" s="1" t="n">
        <v>588</v>
      </c>
      <c r="B489" s="1">
        <f>A489</f>
        <v/>
      </c>
      <c r="C489" s="1" t="inlineStr">
        <is>
          <t>vM2m01</t>
        </is>
      </c>
      <c r="D489" s="1" t="inlineStr">
        <is>
          <t>數值</t>
        </is>
      </c>
      <c r="E489" s="9" t="n">
        <v>2</v>
      </c>
      <c r="G489" s="1" t="inlineStr">
        <is>
          <t>range</t>
        </is>
      </c>
      <c r="H489" s="1" t="inlineStr">
        <is>
          <t>0,1</t>
        </is>
      </c>
      <c r="L489" s="2">
        <f>_xlfn.CONCAT(IF(D489="數值",CONCATENATE(G489&amp;"("&amp;C489&amp;","&amp;
IF(ISERROR(SEARCH(",",H489,1)),(H489&amp;","&amp;H489),H489)&amp;
IF(ISBLANK(I489),"",IF(ISERROR(SEARCH(",",I489,1)),CONCATENATE(","&amp;I489&amp;","&amp;I489),CONCATENATE(","&amp;I489))&amp;
IF(ISBLANK(J489),"",IF(ISERROR(SEARCH(",",J489,1)),CONCATENATE(","&amp;J489&amp;","&amp;J489),CONCATENATE(","&amp;J489))&amp;
IF(ISBLANK(K489),"",IF(ISERROR(SEARCH(",",K489,1)),CONCATENATE(","&amp;K489&amp;","&amp;K489),CONCATENATE(","&amp;K489))))))&amp;
")","")&amp;" "&amp;F489)</f>
        <v/>
      </c>
    </row>
    <row r="490">
      <c r="A490" s="1" t="n">
        <v>589</v>
      </c>
      <c r="B490" s="1">
        <f>A490</f>
        <v/>
      </c>
      <c r="C490" s="1" t="inlineStr">
        <is>
          <t>vM2m02</t>
        </is>
      </c>
      <c r="D490" s="1" t="inlineStr">
        <is>
          <t>數值</t>
        </is>
      </c>
      <c r="E490" s="9" t="n">
        <v>2</v>
      </c>
      <c r="G490" s="1" t="inlineStr">
        <is>
          <t>range</t>
        </is>
      </c>
      <c r="H490" s="1" t="inlineStr">
        <is>
          <t>0,1</t>
        </is>
      </c>
      <c r="L490" s="2">
        <f>_xlfn.CONCAT(IF(D490="數值",CONCATENATE(G490&amp;"("&amp;C490&amp;","&amp;
IF(ISERROR(SEARCH(",",H490,1)),(H490&amp;","&amp;H490),H490)&amp;
IF(ISBLANK(I490),"",IF(ISERROR(SEARCH(",",I490,1)),CONCATENATE(","&amp;I490&amp;","&amp;I490),CONCATENATE(","&amp;I490))&amp;
IF(ISBLANK(J490),"",IF(ISERROR(SEARCH(",",J490,1)),CONCATENATE(","&amp;J490&amp;","&amp;J490),CONCATENATE(","&amp;J490))&amp;
IF(ISBLANK(K490),"",IF(ISERROR(SEARCH(",",K490,1)),CONCATENATE(","&amp;K490&amp;","&amp;K490),CONCATENATE(","&amp;K490))))))&amp;
")","")&amp;" "&amp;F490)</f>
        <v/>
      </c>
    </row>
    <row r="491">
      <c r="A491" s="1" t="n">
        <v>590</v>
      </c>
      <c r="B491" s="1">
        <f>A491</f>
        <v/>
      </c>
      <c r="C491" s="1" t="inlineStr">
        <is>
          <t>vM2m03</t>
        </is>
      </c>
      <c r="D491" s="1" t="inlineStr">
        <is>
          <t>數值</t>
        </is>
      </c>
      <c r="E491" s="9" t="n">
        <v>2</v>
      </c>
      <c r="G491" s="1" t="inlineStr">
        <is>
          <t>range</t>
        </is>
      </c>
      <c r="H491" s="1" t="inlineStr">
        <is>
          <t>0,1</t>
        </is>
      </c>
      <c r="L491" s="2">
        <f>_xlfn.CONCAT(IF(D491="數值",CONCATENATE(G491&amp;"("&amp;C491&amp;","&amp;
IF(ISERROR(SEARCH(",",H491,1)),(H491&amp;","&amp;H491),H491)&amp;
IF(ISBLANK(I491),"",IF(ISERROR(SEARCH(",",I491,1)),CONCATENATE(","&amp;I491&amp;","&amp;I491),CONCATENATE(","&amp;I491))&amp;
IF(ISBLANK(J491),"",IF(ISERROR(SEARCH(",",J491,1)),CONCATENATE(","&amp;J491&amp;","&amp;J491),CONCATENATE(","&amp;J491))&amp;
IF(ISBLANK(K491),"",IF(ISERROR(SEARCH(",",K491,1)),CONCATENATE(","&amp;K491&amp;","&amp;K491),CONCATENATE(","&amp;K491))))))&amp;
")","")&amp;" "&amp;F491)</f>
        <v/>
      </c>
    </row>
    <row r="492">
      <c r="A492" s="1" t="n">
        <v>591</v>
      </c>
      <c r="B492" s="1">
        <f>A492</f>
        <v/>
      </c>
      <c r="C492" s="1" t="inlineStr">
        <is>
          <t>vM2m04</t>
        </is>
      </c>
      <c r="D492" s="1" t="inlineStr">
        <is>
          <t>數值</t>
        </is>
      </c>
      <c r="E492" s="9" t="n">
        <v>2</v>
      </c>
      <c r="G492" s="1" t="inlineStr">
        <is>
          <t>range</t>
        </is>
      </c>
      <c r="H492" s="1" t="inlineStr">
        <is>
          <t>0,1</t>
        </is>
      </c>
      <c r="L492" s="2">
        <f>_xlfn.CONCAT(IF(D492="數值",CONCATENATE(G492&amp;"("&amp;C492&amp;","&amp;
IF(ISERROR(SEARCH(",",H492,1)),(H492&amp;","&amp;H492),H492)&amp;
IF(ISBLANK(I492),"",IF(ISERROR(SEARCH(",",I492,1)),CONCATENATE(","&amp;I492&amp;","&amp;I492),CONCATENATE(","&amp;I492))&amp;
IF(ISBLANK(J492),"",IF(ISERROR(SEARCH(",",J492,1)),CONCATENATE(","&amp;J492&amp;","&amp;J492),CONCATENATE(","&amp;J492))&amp;
IF(ISBLANK(K492),"",IF(ISERROR(SEARCH(",",K492,1)),CONCATENATE(","&amp;K492&amp;","&amp;K492),CONCATENATE(","&amp;K492))))))&amp;
")","")&amp;" "&amp;F492)</f>
        <v/>
      </c>
    </row>
    <row r="493">
      <c r="A493" s="1" t="n">
        <v>592</v>
      </c>
      <c r="B493" s="1">
        <f>A493</f>
        <v/>
      </c>
      <c r="C493" s="1" t="inlineStr">
        <is>
          <t>vM2m05</t>
        </is>
      </c>
      <c r="D493" s="1" t="inlineStr">
        <is>
          <t>數值</t>
        </is>
      </c>
      <c r="E493" s="9" t="n">
        <v>2</v>
      </c>
      <c r="G493" s="1" t="inlineStr">
        <is>
          <t>range</t>
        </is>
      </c>
      <c r="H493" s="1" t="inlineStr">
        <is>
          <t>0,1</t>
        </is>
      </c>
      <c r="L493" s="2">
        <f>_xlfn.CONCAT(IF(D493="數值",CONCATENATE(G493&amp;"("&amp;C493&amp;","&amp;
IF(ISERROR(SEARCH(",",H493,1)),(H493&amp;","&amp;H493),H493)&amp;
IF(ISBLANK(I493),"",IF(ISERROR(SEARCH(",",I493,1)),CONCATENATE(","&amp;I493&amp;","&amp;I493),CONCATENATE(","&amp;I493))&amp;
IF(ISBLANK(J493),"",IF(ISERROR(SEARCH(",",J493,1)),CONCATENATE(","&amp;J493&amp;","&amp;J493),CONCATENATE(","&amp;J493))&amp;
IF(ISBLANK(K493),"",IF(ISERROR(SEARCH(",",K493,1)),CONCATENATE(","&amp;K493&amp;","&amp;K493),CONCATENATE(","&amp;K493))))))&amp;
")","")&amp;" "&amp;F493)</f>
        <v/>
      </c>
    </row>
    <row r="494">
      <c r="A494" s="1" t="n">
        <v>593</v>
      </c>
      <c r="B494" s="1">
        <f>A494</f>
        <v/>
      </c>
      <c r="C494" s="1" t="inlineStr">
        <is>
          <t>vM2m06</t>
        </is>
      </c>
      <c r="D494" s="1" t="inlineStr">
        <is>
          <t>數值</t>
        </is>
      </c>
      <c r="E494" s="9" t="n">
        <v>2</v>
      </c>
      <c r="G494" s="1" t="inlineStr">
        <is>
          <t>range</t>
        </is>
      </c>
      <c r="H494" s="1" t="inlineStr">
        <is>
          <t>0,1</t>
        </is>
      </c>
      <c r="L494" s="2">
        <f>_xlfn.CONCAT(IF(D494="數值",CONCATENATE(G494&amp;"("&amp;C494&amp;","&amp;
IF(ISERROR(SEARCH(",",H494,1)),(H494&amp;","&amp;H494),H494)&amp;
IF(ISBLANK(I494),"",IF(ISERROR(SEARCH(",",I494,1)),CONCATENATE(","&amp;I494&amp;","&amp;I494),CONCATENATE(","&amp;I494))&amp;
IF(ISBLANK(J494),"",IF(ISERROR(SEARCH(",",J494,1)),CONCATENATE(","&amp;J494&amp;","&amp;J494),CONCATENATE(","&amp;J494))&amp;
IF(ISBLANK(K494),"",IF(ISERROR(SEARCH(",",K494,1)),CONCATENATE(","&amp;K494&amp;","&amp;K494),CONCATENATE(","&amp;K494))))))&amp;
")","")&amp;" "&amp;F494)</f>
        <v/>
      </c>
    </row>
    <row r="495">
      <c r="A495" s="1" t="n">
        <v>594</v>
      </c>
      <c r="B495" s="1">
        <f>A495</f>
        <v/>
      </c>
      <c r="C495" s="1" t="inlineStr">
        <is>
          <t>vM2m07</t>
        </is>
      </c>
      <c r="D495" s="1" t="inlineStr">
        <is>
          <t>數值</t>
        </is>
      </c>
      <c r="E495" s="9" t="n">
        <v>2</v>
      </c>
      <c r="G495" s="1" t="inlineStr">
        <is>
          <t>range</t>
        </is>
      </c>
      <c r="H495" s="1" t="inlineStr">
        <is>
          <t>0,1</t>
        </is>
      </c>
      <c r="L495" s="2">
        <f>_xlfn.CONCAT(IF(D495="數值",CONCATENATE(G495&amp;"("&amp;C495&amp;","&amp;
IF(ISERROR(SEARCH(",",H495,1)),(H495&amp;","&amp;H495),H495)&amp;
IF(ISBLANK(I495),"",IF(ISERROR(SEARCH(",",I495,1)),CONCATENATE(","&amp;I495&amp;","&amp;I495),CONCATENATE(","&amp;I495))&amp;
IF(ISBLANK(J495),"",IF(ISERROR(SEARCH(",",J495,1)),CONCATENATE(","&amp;J495&amp;","&amp;J495),CONCATENATE(","&amp;J495))&amp;
IF(ISBLANK(K495),"",IF(ISERROR(SEARCH(",",K495,1)),CONCATENATE(","&amp;K495&amp;","&amp;K495),CONCATENATE(","&amp;K495))))))&amp;
")","")&amp;" "&amp;F495)</f>
        <v/>
      </c>
    </row>
    <row r="496">
      <c r="A496" s="1" t="n">
        <v>595</v>
      </c>
      <c r="B496" s="1">
        <f>A496</f>
        <v/>
      </c>
      <c r="C496" s="1" t="inlineStr">
        <is>
          <t>vM2m08</t>
        </is>
      </c>
      <c r="D496" s="1" t="inlineStr">
        <is>
          <t>數值</t>
        </is>
      </c>
      <c r="E496" s="9" t="n">
        <v>2</v>
      </c>
      <c r="G496" s="1" t="inlineStr">
        <is>
          <t>range</t>
        </is>
      </c>
      <c r="H496" s="1" t="inlineStr">
        <is>
          <t>0,1</t>
        </is>
      </c>
      <c r="L496" s="2">
        <f>_xlfn.CONCAT(IF(D496="數值",CONCATENATE(G496&amp;"("&amp;C496&amp;","&amp;
IF(ISERROR(SEARCH(",",H496,1)),(H496&amp;","&amp;H496),H496)&amp;
IF(ISBLANK(I496),"",IF(ISERROR(SEARCH(",",I496,1)),CONCATENATE(","&amp;I496&amp;","&amp;I496),CONCATENATE(","&amp;I496))&amp;
IF(ISBLANK(J496),"",IF(ISERROR(SEARCH(",",J496,1)),CONCATENATE(","&amp;J496&amp;","&amp;J496),CONCATENATE(","&amp;J496))&amp;
IF(ISBLANK(K496),"",IF(ISERROR(SEARCH(",",K496,1)),CONCATENATE(","&amp;K496&amp;","&amp;K496),CONCATENATE(","&amp;K496))))))&amp;
")","")&amp;" "&amp;F496)</f>
        <v/>
      </c>
    </row>
    <row r="497">
      <c r="A497" s="1" t="n">
        <v>596</v>
      </c>
      <c r="B497" s="1">
        <f>A497</f>
        <v/>
      </c>
      <c r="C497" s="1" t="inlineStr">
        <is>
          <t>vM2m09</t>
        </is>
      </c>
      <c r="D497" s="1" t="inlineStr">
        <is>
          <t>數值</t>
        </is>
      </c>
      <c r="E497" s="9" t="n">
        <v>2</v>
      </c>
      <c r="G497" s="1" t="inlineStr">
        <is>
          <t>range</t>
        </is>
      </c>
      <c r="H497" s="1" t="inlineStr">
        <is>
          <t>0,1</t>
        </is>
      </c>
      <c r="L497" s="2">
        <f>_xlfn.CONCAT(IF(D497="數值",CONCATENATE(G497&amp;"("&amp;C497&amp;","&amp;
IF(ISERROR(SEARCH(",",H497,1)),(H497&amp;","&amp;H497),H497)&amp;
IF(ISBLANK(I497),"",IF(ISERROR(SEARCH(",",I497,1)),CONCATENATE(","&amp;I497&amp;","&amp;I497),CONCATENATE(","&amp;I497))&amp;
IF(ISBLANK(J497),"",IF(ISERROR(SEARCH(",",J497,1)),CONCATENATE(","&amp;J497&amp;","&amp;J497),CONCATENATE(","&amp;J497))&amp;
IF(ISBLANK(K497),"",IF(ISERROR(SEARCH(",",K497,1)),CONCATENATE(","&amp;K497&amp;","&amp;K497),CONCATENATE(","&amp;K497))))))&amp;
")","")&amp;" "&amp;F497)</f>
        <v/>
      </c>
    </row>
    <row r="498">
      <c r="A498" s="1" t="n">
        <v>597</v>
      </c>
      <c r="B498" s="1">
        <f>A498</f>
        <v/>
      </c>
      <c r="C498" s="1" t="inlineStr">
        <is>
          <t>vM2m10</t>
        </is>
      </c>
      <c r="D498" s="1" t="inlineStr">
        <is>
          <t>數值</t>
        </is>
      </c>
      <c r="E498" s="9" t="n">
        <v>2</v>
      </c>
      <c r="G498" s="1" t="inlineStr">
        <is>
          <t>range</t>
        </is>
      </c>
      <c r="H498" s="1" t="inlineStr">
        <is>
          <t>0,1</t>
        </is>
      </c>
      <c r="I498" s="1" t="inlineStr">
        <is>
          <t>96</t>
        </is>
      </c>
      <c r="L498" s="2">
        <f>_xlfn.CONCAT(IF(D498="數值",CONCATENATE(G498&amp;"("&amp;C498&amp;","&amp;
IF(ISERROR(SEARCH(",",H498,1)),(H498&amp;","&amp;H498),H498)&amp;
IF(ISBLANK(I498),"",IF(ISERROR(SEARCH(",",I498,1)),CONCATENATE(","&amp;I498&amp;","&amp;I498),CONCATENATE(","&amp;I498))&amp;
IF(ISBLANK(J498),"",IF(ISERROR(SEARCH(",",J498,1)),CONCATENATE(","&amp;J498&amp;","&amp;J498),CONCATENATE(","&amp;J498))&amp;
IF(ISBLANK(K498),"",IF(ISERROR(SEARCH(",",K498,1)),CONCATENATE(","&amp;K498&amp;","&amp;K498),CONCATENATE(","&amp;K498))))))&amp;
")","")&amp;" "&amp;F498)</f>
        <v/>
      </c>
    </row>
    <row r="499">
      <c r="A499" s="1" t="n">
        <v>598</v>
      </c>
      <c r="B499" s="1">
        <f>A499</f>
        <v/>
      </c>
      <c r="C499" s="1" t="inlineStr">
        <is>
          <t>vM2m11</t>
        </is>
      </c>
      <c r="D499" s="1" t="inlineStr">
        <is>
          <t>數值</t>
        </is>
      </c>
      <c r="E499" s="9" t="n">
        <v>2</v>
      </c>
      <c r="G499" s="1" t="inlineStr">
        <is>
          <t>range</t>
        </is>
      </c>
      <c r="H499" s="1" t="inlineStr">
        <is>
          <t>0,1</t>
        </is>
      </c>
      <c r="I499" s="1" t="inlineStr">
        <is>
          <t>96</t>
        </is>
      </c>
      <c r="L499" s="2">
        <f>_xlfn.CONCAT(IF(D499="數值",CONCATENATE(G499&amp;"("&amp;C499&amp;","&amp;
IF(ISERROR(SEARCH(",",H499,1)),(H499&amp;","&amp;H499),H499)&amp;
IF(ISBLANK(I499),"",IF(ISERROR(SEARCH(",",I499,1)),CONCATENATE(","&amp;I499&amp;","&amp;I499),CONCATENATE(","&amp;I499))&amp;
IF(ISBLANK(J499),"",IF(ISERROR(SEARCH(",",J499,1)),CONCATENATE(","&amp;J499&amp;","&amp;J499),CONCATENATE(","&amp;J499))&amp;
IF(ISBLANK(K499),"",IF(ISERROR(SEARCH(",",K499,1)),CONCATENATE(","&amp;K499&amp;","&amp;K499),CONCATENATE(","&amp;K499))))))&amp;
")","")&amp;" "&amp;F499)</f>
        <v/>
      </c>
    </row>
    <row r="500">
      <c r="A500" s="1" t="n">
        <v>599</v>
      </c>
      <c r="B500" s="1">
        <f>A500</f>
        <v/>
      </c>
      <c r="C500" s="1" t="inlineStr">
        <is>
          <t>vM2m12</t>
        </is>
      </c>
      <c r="D500" s="1" t="inlineStr">
        <is>
          <t>數值</t>
        </is>
      </c>
      <c r="E500" s="9" t="n">
        <v>2</v>
      </c>
      <c r="G500" s="1" t="inlineStr">
        <is>
          <t>range</t>
        </is>
      </c>
      <c r="H500" s="1" t="inlineStr">
        <is>
          <t>0,1</t>
        </is>
      </c>
      <c r="I500" s="1" t="inlineStr">
        <is>
          <t>96</t>
        </is>
      </c>
      <c r="L500" s="2">
        <f>_xlfn.CONCAT(IF(D500="數值",CONCATENATE(G500&amp;"("&amp;C500&amp;","&amp;
IF(ISERROR(SEARCH(",",H500,1)),(H500&amp;","&amp;H500),H500)&amp;
IF(ISBLANK(I500),"",IF(ISERROR(SEARCH(",",I500,1)),CONCATENATE(","&amp;I500&amp;","&amp;I500),CONCATENATE(","&amp;I500))&amp;
IF(ISBLANK(J500),"",IF(ISERROR(SEARCH(",",J500,1)),CONCATENATE(","&amp;J500&amp;","&amp;J500),CONCATENATE(","&amp;J500))&amp;
IF(ISBLANK(K500),"",IF(ISERROR(SEARCH(",",K500,1)),CONCATENATE(","&amp;K500&amp;","&amp;K500),CONCATENATE(","&amp;K500))))))&amp;
")","")&amp;" "&amp;F500)</f>
        <v/>
      </c>
    </row>
    <row r="501">
      <c r="A501" s="1" t="n">
        <v>600</v>
      </c>
      <c r="B501" s="1">
        <f>A501</f>
        <v/>
      </c>
      <c r="C501" s="1" t="inlineStr">
        <is>
          <t>vM2m13</t>
        </is>
      </c>
      <c r="D501" s="1" t="inlineStr">
        <is>
          <t>數值</t>
        </is>
      </c>
      <c r="E501" s="9" t="n">
        <v>2</v>
      </c>
      <c r="G501" s="1" t="inlineStr">
        <is>
          <t>range</t>
        </is>
      </c>
      <c r="H501" s="1" t="inlineStr">
        <is>
          <t>0,1</t>
        </is>
      </c>
      <c r="I501" s="1" t="inlineStr">
        <is>
          <t>96</t>
        </is>
      </c>
      <c r="L501" s="2">
        <f>_xlfn.CONCAT(IF(D501="數值",CONCATENATE(G501&amp;"("&amp;C501&amp;","&amp;
IF(ISERROR(SEARCH(",",H501,1)),(H501&amp;","&amp;H501),H501)&amp;
IF(ISBLANK(I501),"",IF(ISERROR(SEARCH(",",I501,1)),CONCATENATE(","&amp;I501&amp;","&amp;I501),CONCATENATE(","&amp;I501))&amp;
IF(ISBLANK(J501),"",IF(ISERROR(SEARCH(",",J501,1)),CONCATENATE(","&amp;J501&amp;","&amp;J501),CONCATENATE(","&amp;J501))&amp;
IF(ISBLANK(K501),"",IF(ISERROR(SEARCH(",",K501,1)),CONCATENATE(","&amp;K501&amp;","&amp;K501),CONCATENATE(","&amp;K501))))))&amp;
")","")&amp;" "&amp;F501)</f>
        <v/>
      </c>
    </row>
    <row r="502">
      <c r="A502" s="1" t="n">
        <v>601</v>
      </c>
      <c r="B502" s="1">
        <f>A502</f>
        <v/>
      </c>
      <c r="C502" s="1" t="inlineStr">
        <is>
          <t>vM2m14</t>
        </is>
      </c>
      <c r="D502" s="1" t="inlineStr">
        <is>
          <t>數值</t>
        </is>
      </c>
      <c r="E502" s="9" t="n">
        <v>2</v>
      </c>
      <c r="G502" s="1" t="inlineStr">
        <is>
          <t>range</t>
        </is>
      </c>
      <c r="H502" s="1" t="inlineStr">
        <is>
          <t>0,1</t>
        </is>
      </c>
      <c r="I502" s="1" t="inlineStr">
        <is>
          <t>96</t>
        </is>
      </c>
      <c r="L502" s="2">
        <f>_xlfn.CONCAT(IF(D502="數值",CONCATENATE(G502&amp;"("&amp;C502&amp;","&amp;
IF(ISERROR(SEARCH(",",H502,1)),(H502&amp;","&amp;H502),H502)&amp;
IF(ISBLANK(I502),"",IF(ISERROR(SEARCH(",",I502,1)),CONCATENATE(","&amp;I502&amp;","&amp;I502),CONCATENATE(","&amp;I502))&amp;
IF(ISBLANK(J502),"",IF(ISERROR(SEARCH(",",J502,1)),CONCATENATE(","&amp;J502&amp;","&amp;J502),CONCATENATE(","&amp;J502))&amp;
IF(ISBLANK(K502),"",IF(ISERROR(SEARCH(",",K502,1)),CONCATENATE(","&amp;K502&amp;","&amp;K502),CONCATENATE(","&amp;K502))))))&amp;
")","")&amp;" "&amp;F502)</f>
        <v/>
      </c>
    </row>
    <row r="503">
      <c r="A503" s="1" t="n">
        <v>602</v>
      </c>
      <c r="B503" s="1">
        <f>A503</f>
        <v/>
      </c>
      <c r="C503" s="1" t="inlineStr">
        <is>
          <t>vM2m15</t>
        </is>
      </c>
      <c r="D503" s="1" t="inlineStr">
        <is>
          <t>數值</t>
        </is>
      </c>
      <c r="E503" s="9" t="n">
        <v>2</v>
      </c>
      <c r="G503" s="1" t="inlineStr">
        <is>
          <t>range</t>
        </is>
      </c>
      <c r="H503" s="1" t="inlineStr">
        <is>
          <t>0,1</t>
        </is>
      </c>
      <c r="I503" s="1" t="inlineStr">
        <is>
          <t>96</t>
        </is>
      </c>
      <c r="L503" s="2">
        <f>_xlfn.CONCAT(IF(D503="數值",CONCATENATE(G503&amp;"("&amp;C503&amp;","&amp;
IF(ISERROR(SEARCH(",",H503,1)),(H503&amp;","&amp;H503),H503)&amp;
IF(ISBLANK(I503),"",IF(ISERROR(SEARCH(",",I503,1)),CONCATENATE(","&amp;I503&amp;","&amp;I503),CONCATENATE(","&amp;I503))&amp;
IF(ISBLANK(J503),"",IF(ISERROR(SEARCH(",",J503,1)),CONCATENATE(","&amp;J503&amp;","&amp;J503),CONCATENATE(","&amp;J503))&amp;
IF(ISBLANK(K503),"",IF(ISERROR(SEARCH(",",K503,1)),CONCATENATE(","&amp;K503&amp;","&amp;K503),CONCATENATE(","&amp;K503))))))&amp;
")","")&amp;" "&amp;F503)</f>
        <v/>
      </c>
    </row>
    <row r="504">
      <c r="A504" s="1" t="n">
        <v>603</v>
      </c>
      <c r="B504" s="1">
        <f>A504</f>
        <v/>
      </c>
      <c r="C504" s="1" t="inlineStr">
        <is>
          <t>vM2m16</t>
        </is>
      </c>
      <c r="D504" s="1" t="inlineStr">
        <is>
          <t>數值</t>
        </is>
      </c>
      <c r="E504" s="9" t="n">
        <v>2</v>
      </c>
      <c r="G504" s="1" t="inlineStr">
        <is>
          <t>range</t>
        </is>
      </c>
      <c r="H504" s="1" t="inlineStr">
        <is>
          <t>0,1</t>
        </is>
      </c>
      <c r="I504" s="1" t="inlineStr">
        <is>
          <t>96</t>
        </is>
      </c>
      <c r="L504" s="2">
        <f>_xlfn.CONCAT(IF(D504="數值",CONCATENATE(G504&amp;"("&amp;C504&amp;","&amp;
IF(ISERROR(SEARCH(",",H504,1)),(H504&amp;","&amp;H504),H504)&amp;
IF(ISBLANK(I504),"",IF(ISERROR(SEARCH(",",I504,1)),CONCATENATE(","&amp;I504&amp;","&amp;I504),CONCATENATE(","&amp;I504))&amp;
IF(ISBLANK(J504),"",IF(ISERROR(SEARCH(",",J504,1)),CONCATENATE(","&amp;J504&amp;","&amp;J504),CONCATENATE(","&amp;J504))&amp;
IF(ISBLANK(K504),"",IF(ISERROR(SEARCH(",",K504,1)),CONCATENATE(","&amp;K504&amp;","&amp;K504),CONCATENATE(","&amp;K504))))))&amp;
")","")&amp;" "&amp;F504)</f>
        <v/>
      </c>
    </row>
    <row r="505">
      <c r="A505" s="1" t="n">
        <v>604</v>
      </c>
      <c r="B505" s="1">
        <f>A505</f>
        <v/>
      </c>
      <c r="C505" s="1" t="inlineStr">
        <is>
          <t>vM2m88</t>
        </is>
      </c>
      <c r="D505" s="1" t="inlineStr">
        <is>
          <t>數值</t>
        </is>
      </c>
      <c r="E505" s="9" t="n">
        <v>2</v>
      </c>
      <c r="G505" s="1" t="inlineStr">
        <is>
          <t>range</t>
        </is>
      </c>
      <c r="H505" s="1" t="inlineStr">
        <is>
          <t>0,1</t>
        </is>
      </c>
      <c r="I505" s="1" t="inlineStr">
        <is>
          <t>96</t>
        </is>
      </c>
      <c r="L505" s="2">
        <f>_xlfn.CONCAT(IF(D505="數值",CONCATENATE(G505&amp;"("&amp;C505&amp;","&amp;
IF(ISERROR(SEARCH(",",H505,1)),(H505&amp;","&amp;H505),H505)&amp;
IF(ISBLANK(I505),"",IF(ISERROR(SEARCH(",",I505,1)),CONCATENATE(","&amp;I505&amp;","&amp;I505),CONCATENATE(","&amp;I505))&amp;
IF(ISBLANK(J505),"",IF(ISERROR(SEARCH(",",J505,1)),CONCATENATE(","&amp;J505&amp;","&amp;J505),CONCATENATE(","&amp;J505))&amp;
IF(ISBLANK(K505),"",IF(ISERROR(SEARCH(",",K505,1)),CONCATENATE(","&amp;K505&amp;","&amp;K505),CONCATENATE(","&amp;K505))))))&amp;
")","")&amp;" "&amp;F505)</f>
        <v/>
      </c>
    </row>
    <row r="506">
      <c r="A506" s="1" t="n">
        <v>605</v>
      </c>
      <c r="B506" s="1">
        <f>A506</f>
        <v/>
      </c>
      <c r="C506" s="1" t="inlineStr">
        <is>
          <t>vM3m01</t>
        </is>
      </c>
      <c r="D506" s="1" t="inlineStr">
        <is>
          <t>數值</t>
        </is>
      </c>
      <c r="E506" s="9" t="n">
        <v>2</v>
      </c>
      <c r="G506" s="1" t="inlineStr">
        <is>
          <t>range</t>
        </is>
      </c>
      <c r="H506" s="1" t="inlineStr">
        <is>
          <t>0,1</t>
        </is>
      </c>
      <c r="L506" s="2">
        <f>_xlfn.CONCAT(IF(D506="數值",CONCATENATE(G506&amp;"("&amp;C506&amp;","&amp;
IF(ISERROR(SEARCH(",",H506,1)),(H506&amp;","&amp;H506),H506)&amp;
IF(ISBLANK(I506),"",IF(ISERROR(SEARCH(",",I506,1)),CONCATENATE(","&amp;I506&amp;","&amp;I506),CONCATENATE(","&amp;I506))&amp;
IF(ISBLANK(J506),"",IF(ISERROR(SEARCH(",",J506,1)),CONCATENATE(","&amp;J506&amp;","&amp;J506),CONCATENATE(","&amp;J506))&amp;
IF(ISBLANK(K506),"",IF(ISERROR(SEARCH(",",K506,1)),CONCATENATE(","&amp;K506&amp;","&amp;K506),CONCATENATE(","&amp;K506))))))&amp;
")","")&amp;" "&amp;F506)</f>
        <v/>
      </c>
    </row>
    <row r="507">
      <c r="A507" s="1" t="n">
        <v>606</v>
      </c>
      <c r="B507" s="1">
        <f>A507</f>
        <v/>
      </c>
      <c r="C507" s="1" t="inlineStr">
        <is>
          <t>vM3m02</t>
        </is>
      </c>
      <c r="D507" s="1" t="inlineStr">
        <is>
          <t>數值</t>
        </is>
      </c>
      <c r="E507" s="9" t="n">
        <v>2</v>
      </c>
      <c r="G507" s="1" t="inlineStr">
        <is>
          <t>range</t>
        </is>
      </c>
      <c r="H507" s="1" t="inlineStr">
        <is>
          <t>0,1</t>
        </is>
      </c>
      <c r="L507" s="2">
        <f>_xlfn.CONCAT(IF(D507="數值",CONCATENATE(G507&amp;"("&amp;C507&amp;","&amp;
IF(ISERROR(SEARCH(",",H507,1)),(H507&amp;","&amp;H507),H507)&amp;
IF(ISBLANK(I507),"",IF(ISERROR(SEARCH(",",I507,1)),CONCATENATE(","&amp;I507&amp;","&amp;I507),CONCATENATE(","&amp;I507))&amp;
IF(ISBLANK(J507),"",IF(ISERROR(SEARCH(",",J507,1)),CONCATENATE(","&amp;J507&amp;","&amp;J507),CONCATENATE(","&amp;J507))&amp;
IF(ISBLANK(K507),"",IF(ISERROR(SEARCH(",",K507,1)),CONCATENATE(","&amp;K507&amp;","&amp;K507),CONCATENATE(","&amp;K507))))))&amp;
")","")&amp;" "&amp;F507)</f>
        <v/>
      </c>
    </row>
    <row r="508">
      <c r="A508" s="1" t="n">
        <v>607</v>
      </c>
      <c r="B508" s="1">
        <f>A508</f>
        <v/>
      </c>
      <c r="C508" s="1" t="inlineStr">
        <is>
          <t>vM3m03</t>
        </is>
      </c>
      <c r="D508" s="1" t="inlineStr">
        <is>
          <t>數值</t>
        </is>
      </c>
      <c r="E508" s="9" t="n">
        <v>2</v>
      </c>
      <c r="G508" s="1" t="inlineStr">
        <is>
          <t>range</t>
        </is>
      </c>
      <c r="H508" s="1" t="inlineStr">
        <is>
          <t>0,1</t>
        </is>
      </c>
      <c r="L508" s="2">
        <f>_xlfn.CONCAT(IF(D508="數值",CONCATENATE(G508&amp;"("&amp;C508&amp;","&amp;
IF(ISERROR(SEARCH(",",H508,1)),(H508&amp;","&amp;H508),H508)&amp;
IF(ISBLANK(I508),"",IF(ISERROR(SEARCH(",",I508,1)),CONCATENATE(","&amp;I508&amp;","&amp;I508),CONCATENATE(","&amp;I508))&amp;
IF(ISBLANK(J508),"",IF(ISERROR(SEARCH(",",J508,1)),CONCATENATE(","&amp;J508&amp;","&amp;J508),CONCATENATE(","&amp;J508))&amp;
IF(ISBLANK(K508),"",IF(ISERROR(SEARCH(",",K508,1)),CONCATENATE(","&amp;K508&amp;","&amp;K508),CONCATENATE(","&amp;K508))))))&amp;
")","")&amp;" "&amp;F508)</f>
        <v/>
      </c>
    </row>
    <row r="509">
      <c r="A509" s="1" t="n">
        <v>608</v>
      </c>
      <c r="B509" s="1">
        <f>A509</f>
        <v/>
      </c>
      <c r="C509" s="1" t="inlineStr">
        <is>
          <t>vM3m04</t>
        </is>
      </c>
      <c r="D509" s="1" t="inlineStr">
        <is>
          <t>數值</t>
        </is>
      </c>
      <c r="E509" s="9" t="n">
        <v>2</v>
      </c>
      <c r="G509" s="1" t="inlineStr">
        <is>
          <t>range</t>
        </is>
      </c>
      <c r="H509" s="1" t="inlineStr">
        <is>
          <t>0,1</t>
        </is>
      </c>
      <c r="L509" s="2">
        <f>_xlfn.CONCAT(IF(D509="數值",CONCATENATE(G509&amp;"("&amp;C509&amp;","&amp;
IF(ISERROR(SEARCH(",",H509,1)),(H509&amp;","&amp;H509),H509)&amp;
IF(ISBLANK(I509),"",IF(ISERROR(SEARCH(",",I509,1)),CONCATENATE(","&amp;I509&amp;","&amp;I509),CONCATENATE(","&amp;I509))&amp;
IF(ISBLANK(J509),"",IF(ISERROR(SEARCH(",",J509,1)),CONCATENATE(","&amp;J509&amp;","&amp;J509),CONCATENATE(","&amp;J509))&amp;
IF(ISBLANK(K509),"",IF(ISERROR(SEARCH(",",K509,1)),CONCATENATE(","&amp;K509&amp;","&amp;K509),CONCATENATE(","&amp;K509))))))&amp;
")","")&amp;" "&amp;F509)</f>
        <v/>
      </c>
    </row>
    <row r="510">
      <c r="A510" s="1" t="n">
        <v>609</v>
      </c>
      <c r="B510" s="1">
        <f>A510</f>
        <v/>
      </c>
      <c r="C510" s="1" t="inlineStr">
        <is>
          <t>vM3m05</t>
        </is>
      </c>
      <c r="D510" s="1" t="inlineStr">
        <is>
          <t>數值</t>
        </is>
      </c>
      <c r="E510" s="9" t="n">
        <v>2</v>
      </c>
      <c r="G510" s="1" t="inlineStr">
        <is>
          <t>range</t>
        </is>
      </c>
      <c r="H510" s="1" t="inlineStr">
        <is>
          <t>0,1</t>
        </is>
      </c>
      <c r="L510" s="2">
        <f>_xlfn.CONCAT(IF(D510="數值",CONCATENATE(G510&amp;"("&amp;C510&amp;","&amp;
IF(ISERROR(SEARCH(",",H510,1)),(H510&amp;","&amp;H510),H510)&amp;
IF(ISBLANK(I510),"",IF(ISERROR(SEARCH(",",I510,1)),CONCATENATE(","&amp;I510&amp;","&amp;I510),CONCATENATE(","&amp;I510))&amp;
IF(ISBLANK(J510),"",IF(ISERROR(SEARCH(",",J510,1)),CONCATENATE(","&amp;J510&amp;","&amp;J510),CONCATENATE(","&amp;J510))&amp;
IF(ISBLANK(K510),"",IF(ISERROR(SEARCH(",",K510,1)),CONCATENATE(","&amp;K510&amp;","&amp;K510),CONCATENATE(","&amp;K510))))))&amp;
")","")&amp;" "&amp;F510)</f>
        <v/>
      </c>
    </row>
    <row r="511">
      <c r="A511" s="1" t="n">
        <v>610</v>
      </c>
      <c r="B511" s="1">
        <f>A511</f>
        <v/>
      </c>
      <c r="C511" s="1" t="inlineStr">
        <is>
          <t>vM3m06</t>
        </is>
      </c>
      <c r="D511" s="1" t="inlineStr">
        <is>
          <t>數值</t>
        </is>
      </c>
      <c r="E511" s="9" t="n">
        <v>2</v>
      </c>
      <c r="G511" s="1" t="inlineStr">
        <is>
          <t>range</t>
        </is>
      </c>
      <c r="H511" s="1" t="inlineStr">
        <is>
          <t>0,1</t>
        </is>
      </c>
      <c r="L511" s="2">
        <f>_xlfn.CONCAT(IF(D511="數值",CONCATENATE(G511&amp;"("&amp;C511&amp;","&amp;
IF(ISERROR(SEARCH(",",H511,1)),(H511&amp;","&amp;H511),H511)&amp;
IF(ISBLANK(I511),"",IF(ISERROR(SEARCH(",",I511,1)),CONCATENATE(","&amp;I511&amp;","&amp;I511),CONCATENATE(","&amp;I511))&amp;
IF(ISBLANK(J511),"",IF(ISERROR(SEARCH(",",J511,1)),CONCATENATE(","&amp;J511&amp;","&amp;J511),CONCATENATE(","&amp;J511))&amp;
IF(ISBLANK(K511),"",IF(ISERROR(SEARCH(",",K511,1)),CONCATENATE(","&amp;K511&amp;","&amp;K511),CONCATENATE(","&amp;K511))))))&amp;
")","")&amp;" "&amp;F511)</f>
        <v/>
      </c>
    </row>
    <row r="512">
      <c r="A512" s="1" t="n">
        <v>611</v>
      </c>
      <c r="B512" s="1">
        <f>A512</f>
        <v/>
      </c>
      <c r="C512" s="1" t="inlineStr">
        <is>
          <t>vM3m07</t>
        </is>
      </c>
      <c r="D512" s="1" t="inlineStr">
        <is>
          <t>數值</t>
        </is>
      </c>
      <c r="E512" s="9" t="n">
        <v>2</v>
      </c>
      <c r="G512" s="1" t="inlineStr">
        <is>
          <t>range</t>
        </is>
      </c>
      <c r="H512" s="1" t="inlineStr">
        <is>
          <t>0,1</t>
        </is>
      </c>
      <c r="L512" s="2">
        <f>_xlfn.CONCAT(IF(D512="數值",CONCATENATE(G512&amp;"("&amp;C512&amp;","&amp;
IF(ISERROR(SEARCH(",",H512,1)),(H512&amp;","&amp;H512),H512)&amp;
IF(ISBLANK(I512),"",IF(ISERROR(SEARCH(",",I512,1)),CONCATENATE(","&amp;I512&amp;","&amp;I512),CONCATENATE(","&amp;I512))&amp;
IF(ISBLANK(J512),"",IF(ISERROR(SEARCH(",",J512,1)),CONCATENATE(","&amp;J512&amp;","&amp;J512),CONCATENATE(","&amp;J512))&amp;
IF(ISBLANK(K512),"",IF(ISERROR(SEARCH(",",K512,1)),CONCATENATE(","&amp;K512&amp;","&amp;K512),CONCATENATE(","&amp;K512))))))&amp;
")","")&amp;" "&amp;F512)</f>
        <v/>
      </c>
    </row>
    <row r="513">
      <c r="A513" s="1" t="n">
        <v>612</v>
      </c>
      <c r="B513" s="1">
        <f>A513</f>
        <v/>
      </c>
      <c r="C513" s="1" t="inlineStr">
        <is>
          <t>vM3m08</t>
        </is>
      </c>
      <c r="D513" s="1" t="inlineStr">
        <is>
          <t>數值</t>
        </is>
      </c>
      <c r="E513" s="9" t="n">
        <v>2</v>
      </c>
      <c r="G513" s="1" t="inlineStr">
        <is>
          <t>range</t>
        </is>
      </c>
      <c r="H513" s="1" t="inlineStr">
        <is>
          <t>0,1</t>
        </is>
      </c>
      <c r="L513" s="2">
        <f>_xlfn.CONCAT(IF(D513="數值",CONCATENATE(G513&amp;"("&amp;C513&amp;","&amp;
IF(ISERROR(SEARCH(",",H513,1)),(H513&amp;","&amp;H513),H513)&amp;
IF(ISBLANK(I513),"",IF(ISERROR(SEARCH(",",I513,1)),CONCATENATE(","&amp;I513&amp;","&amp;I513),CONCATENATE(","&amp;I513))&amp;
IF(ISBLANK(J513),"",IF(ISERROR(SEARCH(",",J513,1)),CONCATENATE(","&amp;J513&amp;","&amp;J513),CONCATENATE(","&amp;J513))&amp;
IF(ISBLANK(K513),"",IF(ISERROR(SEARCH(",",K513,1)),CONCATENATE(","&amp;K513&amp;","&amp;K513),CONCATENATE(","&amp;K513))))))&amp;
")","")&amp;" "&amp;F513)</f>
        <v/>
      </c>
    </row>
    <row r="514">
      <c r="A514" s="1" t="n">
        <v>613</v>
      </c>
      <c r="B514" s="1">
        <f>A514</f>
        <v/>
      </c>
      <c r="C514" s="1" t="inlineStr">
        <is>
          <t>vM3m09</t>
        </is>
      </c>
      <c r="D514" s="1" t="inlineStr">
        <is>
          <t>數值</t>
        </is>
      </c>
      <c r="E514" s="9" t="n">
        <v>2</v>
      </c>
      <c r="G514" s="1" t="inlineStr">
        <is>
          <t>range</t>
        </is>
      </c>
      <c r="H514" s="1" t="inlineStr">
        <is>
          <t>0,1</t>
        </is>
      </c>
      <c r="L514" s="2">
        <f>_xlfn.CONCAT(IF(D514="數值",CONCATENATE(G514&amp;"("&amp;C514&amp;","&amp;
IF(ISERROR(SEARCH(",",H514,1)),(H514&amp;","&amp;H514),H514)&amp;
IF(ISBLANK(I514),"",IF(ISERROR(SEARCH(",",I514,1)),CONCATENATE(","&amp;I514&amp;","&amp;I514),CONCATENATE(","&amp;I514))&amp;
IF(ISBLANK(J514),"",IF(ISERROR(SEARCH(",",J514,1)),CONCATENATE(","&amp;J514&amp;","&amp;J514),CONCATENATE(","&amp;J514))&amp;
IF(ISBLANK(K514),"",IF(ISERROR(SEARCH(",",K514,1)),CONCATENATE(","&amp;K514&amp;","&amp;K514),CONCATENATE(","&amp;K514))))))&amp;
")","")&amp;" "&amp;F514)</f>
        <v/>
      </c>
    </row>
    <row r="515">
      <c r="A515" s="1" t="n">
        <v>614</v>
      </c>
      <c r="B515" s="1">
        <f>A515</f>
        <v/>
      </c>
      <c r="C515" s="1" t="inlineStr">
        <is>
          <t>vM3m10</t>
        </is>
      </c>
      <c r="D515" s="1" t="inlineStr">
        <is>
          <t>數值</t>
        </is>
      </c>
      <c r="E515" s="9" t="n">
        <v>2</v>
      </c>
      <c r="G515" s="1" t="inlineStr">
        <is>
          <t>range</t>
        </is>
      </c>
      <c r="H515" s="1" t="inlineStr">
        <is>
          <t>0,1</t>
        </is>
      </c>
      <c r="I515" s="1" t="inlineStr">
        <is>
          <t>96</t>
        </is>
      </c>
      <c r="L515" s="2">
        <f>_xlfn.CONCAT(IF(D515="數值",CONCATENATE(G515&amp;"("&amp;C515&amp;","&amp;
IF(ISERROR(SEARCH(",",H515,1)),(H515&amp;","&amp;H515),H515)&amp;
IF(ISBLANK(I515),"",IF(ISERROR(SEARCH(",",I515,1)),CONCATENATE(","&amp;I515&amp;","&amp;I515),CONCATENATE(","&amp;I515))&amp;
IF(ISBLANK(J515),"",IF(ISERROR(SEARCH(",",J515,1)),CONCATENATE(","&amp;J515&amp;","&amp;J515),CONCATENATE(","&amp;J515))&amp;
IF(ISBLANK(K515),"",IF(ISERROR(SEARCH(",",K515,1)),CONCATENATE(","&amp;K515&amp;","&amp;K515),CONCATENATE(","&amp;K515))))))&amp;
")","")&amp;" "&amp;F515)</f>
        <v/>
      </c>
    </row>
    <row r="516">
      <c r="A516" s="1" t="n">
        <v>615</v>
      </c>
      <c r="B516" s="1">
        <f>A516</f>
        <v/>
      </c>
      <c r="C516" s="1" t="inlineStr">
        <is>
          <t>vM3m11</t>
        </is>
      </c>
      <c r="D516" s="1" t="inlineStr">
        <is>
          <t>數值</t>
        </is>
      </c>
      <c r="E516" s="9" t="n">
        <v>2</v>
      </c>
      <c r="G516" s="1" t="inlineStr">
        <is>
          <t>range</t>
        </is>
      </c>
      <c r="H516" s="1" t="inlineStr">
        <is>
          <t>0,1</t>
        </is>
      </c>
      <c r="I516" s="1" t="inlineStr">
        <is>
          <t>96</t>
        </is>
      </c>
      <c r="L516" s="2">
        <f>_xlfn.CONCAT(IF(D516="數值",CONCATENATE(G516&amp;"("&amp;C516&amp;","&amp;
IF(ISERROR(SEARCH(",",H516,1)),(H516&amp;","&amp;H516),H516)&amp;
IF(ISBLANK(I516),"",IF(ISERROR(SEARCH(",",I516,1)),CONCATENATE(","&amp;I516&amp;","&amp;I516),CONCATENATE(","&amp;I516))&amp;
IF(ISBLANK(J516),"",IF(ISERROR(SEARCH(",",J516,1)),CONCATENATE(","&amp;J516&amp;","&amp;J516),CONCATENATE(","&amp;J516))&amp;
IF(ISBLANK(K516),"",IF(ISERROR(SEARCH(",",K516,1)),CONCATENATE(","&amp;K516&amp;","&amp;K516),CONCATENATE(","&amp;K516))))))&amp;
")","")&amp;" "&amp;F516)</f>
        <v/>
      </c>
    </row>
    <row r="517">
      <c r="A517" s="1" t="n">
        <v>616</v>
      </c>
      <c r="B517" s="1">
        <f>A517</f>
        <v/>
      </c>
      <c r="C517" s="1" t="inlineStr">
        <is>
          <t>vM3m12</t>
        </is>
      </c>
      <c r="D517" s="1" t="inlineStr">
        <is>
          <t>數值</t>
        </is>
      </c>
      <c r="E517" s="9" t="n">
        <v>2</v>
      </c>
      <c r="G517" s="1" t="inlineStr">
        <is>
          <t>range</t>
        </is>
      </c>
      <c r="H517" s="1" t="inlineStr">
        <is>
          <t>0,1</t>
        </is>
      </c>
      <c r="I517" s="1" t="inlineStr">
        <is>
          <t>96</t>
        </is>
      </c>
      <c r="L517" s="2">
        <f>_xlfn.CONCAT(IF(D517="數值",CONCATENATE(G517&amp;"("&amp;C517&amp;","&amp;
IF(ISERROR(SEARCH(",",H517,1)),(H517&amp;","&amp;H517),H517)&amp;
IF(ISBLANK(I517),"",IF(ISERROR(SEARCH(",",I517,1)),CONCATENATE(","&amp;I517&amp;","&amp;I517),CONCATENATE(","&amp;I517))&amp;
IF(ISBLANK(J517),"",IF(ISERROR(SEARCH(",",J517,1)),CONCATENATE(","&amp;J517&amp;","&amp;J517),CONCATENATE(","&amp;J517))&amp;
IF(ISBLANK(K517),"",IF(ISERROR(SEARCH(",",K517,1)),CONCATENATE(","&amp;K517&amp;","&amp;K517),CONCATENATE(","&amp;K517))))))&amp;
")","")&amp;" "&amp;F517)</f>
        <v/>
      </c>
    </row>
    <row r="518">
      <c r="A518" s="1" t="n">
        <v>617</v>
      </c>
      <c r="B518" s="1">
        <f>A518</f>
        <v/>
      </c>
      <c r="C518" s="1" t="inlineStr">
        <is>
          <t>vM3m13</t>
        </is>
      </c>
      <c r="D518" s="1" t="inlineStr">
        <is>
          <t>數值</t>
        </is>
      </c>
      <c r="E518" s="9" t="n">
        <v>2</v>
      </c>
      <c r="G518" s="1" t="inlineStr">
        <is>
          <t>range</t>
        </is>
      </c>
      <c r="H518" s="1" t="inlineStr">
        <is>
          <t>0,1</t>
        </is>
      </c>
      <c r="I518" s="1" t="inlineStr">
        <is>
          <t>96</t>
        </is>
      </c>
      <c r="L518" s="2">
        <f>_xlfn.CONCAT(IF(D518="數值",CONCATENATE(G518&amp;"("&amp;C518&amp;","&amp;
IF(ISERROR(SEARCH(",",H518,1)),(H518&amp;","&amp;H518),H518)&amp;
IF(ISBLANK(I518),"",IF(ISERROR(SEARCH(",",I518,1)),CONCATENATE(","&amp;I518&amp;","&amp;I518),CONCATENATE(","&amp;I518))&amp;
IF(ISBLANK(J518),"",IF(ISERROR(SEARCH(",",J518,1)),CONCATENATE(","&amp;J518&amp;","&amp;J518),CONCATENATE(","&amp;J518))&amp;
IF(ISBLANK(K518),"",IF(ISERROR(SEARCH(",",K518,1)),CONCATENATE(","&amp;K518&amp;","&amp;K518),CONCATENATE(","&amp;K518))))))&amp;
")","")&amp;" "&amp;F518)</f>
        <v/>
      </c>
    </row>
    <row r="519">
      <c r="A519" s="1" t="n">
        <v>618</v>
      </c>
      <c r="B519" s="1">
        <f>A519</f>
        <v/>
      </c>
      <c r="C519" s="1" t="inlineStr">
        <is>
          <t>vM3m88</t>
        </is>
      </c>
      <c r="D519" s="1" t="inlineStr">
        <is>
          <t>數值</t>
        </is>
      </c>
      <c r="E519" s="9" t="n">
        <v>2</v>
      </c>
      <c r="G519" s="1" t="inlineStr">
        <is>
          <t>range</t>
        </is>
      </c>
      <c r="H519" s="1" t="inlineStr">
        <is>
          <t>0,1</t>
        </is>
      </c>
      <c r="I519" s="1" t="inlineStr">
        <is>
          <t>96</t>
        </is>
      </c>
      <c r="L519" s="2">
        <f>_xlfn.CONCAT(IF(D519="數值",CONCATENATE(G519&amp;"("&amp;C519&amp;","&amp;
IF(ISERROR(SEARCH(",",H519,1)),(H519&amp;","&amp;H519),H519)&amp;
IF(ISBLANK(I519),"",IF(ISERROR(SEARCH(",",I519,1)),CONCATENATE(","&amp;I519&amp;","&amp;I519),CONCATENATE(","&amp;I519))&amp;
IF(ISBLANK(J519),"",IF(ISERROR(SEARCH(",",J519,1)),CONCATENATE(","&amp;J519&amp;","&amp;J519),CONCATENATE(","&amp;J519))&amp;
IF(ISBLANK(K519),"",IF(ISERROR(SEARCH(",",K519,1)),CONCATENATE(","&amp;K519&amp;","&amp;K519),CONCATENATE(","&amp;K519))))))&amp;
")","")&amp;" "&amp;F519)</f>
        <v/>
      </c>
    </row>
    <row r="520">
      <c r="A520" s="1" t="n">
        <v>619</v>
      </c>
      <c r="B520" s="1">
        <f>A520</f>
        <v/>
      </c>
      <c r="C520" s="1" t="inlineStr">
        <is>
          <t>vM4sM4</t>
        </is>
      </c>
      <c r="D520" s="1" t="inlineStr">
        <is>
          <t>數值</t>
        </is>
      </c>
      <c r="E520" s="9" t="n">
        <v>2</v>
      </c>
      <c r="G520" s="1" t="inlineStr">
        <is>
          <t>range</t>
        </is>
      </c>
      <c r="H520" s="1" t="inlineStr">
        <is>
          <t>0,1</t>
        </is>
      </c>
      <c r="I520" s="1" t="inlineStr">
        <is>
          <t>96</t>
        </is>
      </c>
      <c r="L520" s="2">
        <f>_xlfn.CONCAT(IF(D520="數值",CONCATENATE(G520&amp;"("&amp;C520&amp;","&amp;
IF(ISERROR(SEARCH(",",H520,1)),(H520&amp;","&amp;H520),H520)&amp;
IF(ISBLANK(I520),"",IF(ISERROR(SEARCH(",",I520,1)),CONCATENATE(","&amp;I520&amp;","&amp;I520),CONCATENATE(","&amp;I520))&amp;
IF(ISBLANK(J520),"",IF(ISERROR(SEARCH(",",J520,1)),CONCATENATE(","&amp;J520&amp;","&amp;J520),CONCATENATE(","&amp;J520))&amp;
IF(ISBLANK(K520),"",IF(ISERROR(SEARCH(",",K520,1)),CONCATENATE(","&amp;K520&amp;","&amp;K520),CONCATENATE(","&amp;K520))))))&amp;
")","")&amp;" "&amp;F520)</f>
        <v/>
      </c>
    </row>
    <row r="521">
      <c r="A521" s="1" t="n">
        <v>620</v>
      </c>
      <c r="B521" s="1">
        <f>A521</f>
        <v/>
      </c>
      <c r="C521" s="1" t="inlineStr">
        <is>
          <t>vM4sM5</t>
        </is>
      </c>
      <c r="D521" s="1" t="inlineStr">
        <is>
          <t>數值</t>
        </is>
      </c>
      <c r="E521" s="9" t="n">
        <v>2</v>
      </c>
      <c r="G521" s="1" t="inlineStr">
        <is>
          <t>range</t>
        </is>
      </c>
      <c r="H521" s="1" t="inlineStr">
        <is>
          <t>0,1</t>
        </is>
      </c>
      <c r="I521" s="1" t="inlineStr">
        <is>
          <t>96</t>
        </is>
      </c>
      <c r="L521" s="2">
        <f>_xlfn.CONCAT(IF(D521="數值",CONCATENATE(G521&amp;"("&amp;C521&amp;","&amp;
IF(ISERROR(SEARCH(",",H521,1)),(H521&amp;","&amp;H521),H521)&amp;
IF(ISBLANK(I521),"",IF(ISERROR(SEARCH(",",I521,1)),CONCATENATE(","&amp;I521&amp;","&amp;I521),CONCATENATE(","&amp;I521))&amp;
IF(ISBLANK(J521),"",IF(ISERROR(SEARCH(",",J521,1)),CONCATENATE(","&amp;J521&amp;","&amp;J521),CONCATENATE(","&amp;J521))&amp;
IF(ISBLANK(K521),"",IF(ISERROR(SEARCH(",",K521,1)),CONCATENATE(","&amp;K521&amp;","&amp;K521),CONCATENATE(","&amp;K521))))))&amp;
")","")&amp;" "&amp;F521)</f>
        <v/>
      </c>
    </row>
    <row r="522">
      <c r="A522" s="1" t="n">
        <v>621</v>
      </c>
      <c r="B522" s="1">
        <f>A522</f>
        <v/>
      </c>
      <c r="C522" s="1" t="inlineStr">
        <is>
          <t>vM4sM6</t>
        </is>
      </c>
      <c r="D522" s="1" t="inlineStr">
        <is>
          <t>數值</t>
        </is>
      </c>
      <c r="E522" s="9" t="n">
        <v>2</v>
      </c>
      <c r="G522" s="1" t="inlineStr">
        <is>
          <t>range</t>
        </is>
      </c>
      <c r="H522" s="1" t="inlineStr">
        <is>
          <t>0,1</t>
        </is>
      </c>
      <c r="I522" s="1" t="inlineStr">
        <is>
          <t>96</t>
        </is>
      </c>
      <c r="L522" s="2">
        <f>_xlfn.CONCAT(IF(D522="數值",CONCATENATE(G522&amp;"("&amp;C522&amp;","&amp;
IF(ISERROR(SEARCH(",",H522,1)),(H522&amp;","&amp;H522),H522)&amp;
IF(ISBLANK(I522),"",IF(ISERROR(SEARCH(",",I522,1)),CONCATENATE(","&amp;I522&amp;","&amp;I522),CONCATENATE(","&amp;I522))&amp;
IF(ISBLANK(J522),"",IF(ISERROR(SEARCH(",",J522,1)),CONCATENATE(","&amp;J522&amp;","&amp;J522),CONCATENATE(","&amp;J522))&amp;
IF(ISBLANK(K522),"",IF(ISERROR(SEARCH(",",K522,1)),CONCATENATE(","&amp;K522&amp;","&amp;K522),CONCATENATE(","&amp;K522))))))&amp;
")","")&amp;" "&amp;F522)</f>
        <v/>
      </c>
    </row>
    <row r="523">
      <c r="A523" s="1" t="n">
        <v>622</v>
      </c>
      <c r="B523" s="1">
        <f>A523</f>
        <v/>
      </c>
      <c r="C523" s="1" t="inlineStr">
        <is>
          <t>vN1sN1</t>
        </is>
      </c>
      <c r="D523" s="1" t="inlineStr">
        <is>
          <t>數值</t>
        </is>
      </c>
      <c r="E523" s="9" t="n">
        <v>2</v>
      </c>
      <c r="G523" s="1" t="inlineStr">
        <is>
          <t>range</t>
        </is>
      </c>
      <c r="H523" s="1" t="inlineStr">
        <is>
          <t>1,4</t>
        </is>
      </c>
      <c r="I523" s="1" t="inlineStr">
        <is>
          <t>97</t>
        </is>
      </c>
      <c r="J523" s="1" t="inlineStr">
        <is>
          <t>98</t>
        </is>
      </c>
      <c r="L523" s="2">
        <f>_xlfn.CONCAT(IF(D523="數值",CONCATENATE(G523&amp;"("&amp;C523&amp;","&amp;
IF(ISERROR(SEARCH(",",H523,1)),(H523&amp;","&amp;H523),H523)&amp;
IF(ISBLANK(I523),"",IF(ISERROR(SEARCH(",",I523,1)),CONCATENATE(","&amp;I523&amp;","&amp;I523),CONCATENATE(","&amp;I523))&amp;
IF(ISBLANK(J523),"",IF(ISERROR(SEARCH(",",J523,1)),CONCATENATE(","&amp;J523&amp;","&amp;J523),CONCATENATE(","&amp;J523))&amp;
IF(ISBLANK(K523),"",IF(ISERROR(SEARCH(",",K523,1)),CONCATENATE(","&amp;K523&amp;","&amp;K523),CONCATENATE(","&amp;K523))))))&amp;
")","")&amp;" "&amp;F523)</f>
        <v/>
      </c>
    </row>
    <row r="524">
      <c r="A524" s="1" t="n">
        <v>623</v>
      </c>
      <c r="B524" s="1">
        <f>A524</f>
        <v/>
      </c>
      <c r="C524" s="1" t="inlineStr">
        <is>
          <t>vN1sN2</t>
        </is>
      </c>
      <c r="D524" s="1" t="inlineStr">
        <is>
          <t>數值</t>
        </is>
      </c>
      <c r="E524" s="9" t="n">
        <v>2</v>
      </c>
      <c r="G524" s="1" t="inlineStr">
        <is>
          <t>range</t>
        </is>
      </c>
      <c r="H524" s="1" t="inlineStr">
        <is>
          <t>1,4</t>
        </is>
      </c>
      <c r="I524" s="1" t="inlineStr">
        <is>
          <t>97</t>
        </is>
      </c>
      <c r="J524" s="1" t="inlineStr">
        <is>
          <t>98</t>
        </is>
      </c>
      <c r="L524" s="2">
        <f>_xlfn.CONCAT(IF(D524="數值",CONCATENATE(G524&amp;"("&amp;C524&amp;","&amp;
IF(ISERROR(SEARCH(",",H524,1)),(H524&amp;","&amp;H524),H524)&amp;
IF(ISBLANK(I524),"",IF(ISERROR(SEARCH(",",I524,1)),CONCATENATE(","&amp;I524&amp;","&amp;I524),CONCATENATE(","&amp;I524))&amp;
IF(ISBLANK(J524),"",IF(ISERROR(SEARCH(",",J524,1)),CONCATENATE(","&amp;J524&amp;","&amp;J524),CONCATENATE(","&amp;J524))&amp;
IF(ISBLANK(K524),"",IF(ISERROR(SEARCH(",",K524,1)),CONCATENATE(","&amp;K524&amp;","&amp;K524),CONCATENATE(","&amp;K524))))))&amp;
")","")&amp;" "&amp;F524)</f>
        <v/>
      </c>
    </row>
    <row r="525">
      <c r="A525" s="1" t="n">
        <v>624</v>
      </c>
      <c r="B525" s="1">
        <f>A525</f>
        <v/>
      </c>
      <c r="C525" s="1" t="inlineStr">
        <is>
          <t>vN1sN3</t>
        </is>
      </c>
      <c r="D525" s="1" t="inlineStr">
        <is>
          <t>數值</t>
        </is>
      </c>
      <c r="E525" s="9" t="n">
        <v>2</v>
      </c>
      <c r="G525" s="1" t="inlineStr">
        <is>
          <t>range</t>
        </is>
      </c>
      <c r="H525" s="1" t="inlineStr">
        <is>
          <t>1,4</t>
        </is>
      </c>
      <c r="I525" s="1" t="inlineStr">
        <is>
          <t>97</t>
        </is>
      </c>
      <c r="J525" s="1" t="inlineStr">
        <is>
          <t>98</t>
        </is>
      </c>
      <c r="L525" s="2">
        <f>_xlfn.CONCAT(IF(D525="數值",CONCATENATE(G525&amp;"("&amp;C525&amp;","&amp;
IF(ISERROR(SEARCH(",",H525,1)),(H525&amp;","&amp;H525),H525)&amp;
IF(ISBLANK(I525),"",IF(ISERROR(SEARCH(",",I525,1)),CONCATENATE(","&amp;I525&amp;","&amp;I525),CONCATENATE(","&amp;I525))&amp;
IF(ISBLANK(J525),"",IF(ISERROR(SEARCH(",",J525,1)),CONCATENATE(","&amp;J525&amp;","&amp;J525),CONCATENATE(","&amp;J525))&amp;
IF(ISBLANK(K525),"",IF(ISERROR(SEARCH(",",K525,1)),CONCATENATE(","&amp;K525&amp;","&amp;K525),CONCATENATE(","&amp;K525))))))&amp;
")","")&amp;" "&amp;F525)</f>
        <v/>
      </c>
    </row>
    <row r="526">
      <c r="A526" s="1" t="n">
        <v>625</v>
      </c>
      <c r="B526" s="1">
        <f>A526</f>
        <v/>
      </c>
      <c r="C526" s="1" t="inlineStr">
        <is>
          <t>vN1sN4</t>
        </is>
      </c>
      <c r="D526" s="1" t="inlineStr">
        <is>
          <t>數值</t>
        </is>
      </c>
      <c r="E526" s="9" t="n">
        <v>2</v>
      </c>
      <c r="G526" s="1" t="inlineStr">
        <is>
          <t>range</t>
        </is>
      </c>
      <c r="H526" s="1" t="inlineStr">
        <is>
          <t>1,4</t>
        </is>
      </c>
      <c r="I526" s="1" t="inlineStr">
        <is>
          <t>97</t>
        </is>
      </c>
      <c r="J526" s="1" t="inlineStr">
        <is>
          <t>98</t>
        </is>
      </c>
      <c r="L526" s="2">
        <f>_xlfn.CONCAT(IF(D526="數值",CONCATENATE(G526&amp;"("&amp;C526&amp;","&amp;
IF(ISERROR(SEARCH(",",H526,1)),(H526&amp;","&amp;H526),H526)&amp;
IF(ISBLANK(I526),"",IF(ISERROR(SEARCH(",",I526,1)),CONCATENATE(","&amp;I526&amp;","&amp;I526),CONCATENATE(","&amp;I526))&amp;
IF(ISBLANK(J526),"",IF(ISERROR(SEARCH(",",J526,1)),CONCATENATE(","&amp;J526&amp;","&amp;J526),CONCATENATE(","&amp;J526))&amp;
IF(ISBLANK(K526),"",IF(ISERROR(SEARCH(",",K526,1)),CONCATENATE(","&amp;K526&amp;","&amp;K526),CONCATENATE(","&amp;K526))))))&amp;
")","")&amp;" "&amp;F526)</f>
        <v/>
      </c>
    </row>
    <row r="527">
      <c r="A527" s="1" t="n">
        <v>626</v>
      </c>
      <c r="B527" s="1">
        <f>A527</f>
        <v/>
      </c>
      <c r="C527" s="1" t="inlineStr">
        <is>
          <t>vN1sN5</t>
        </is>
      </c>
      <c r="D527" s="1" t="inlineStr">
        <is>
          <t>數值</t>
        </is>
      </c>
      <c r="E527" s="9" t="n">
        <v>2</v>
      </c>
      <c r="G527" s="1" t="inlineStr">
        <is>
          <t>range</t>
        </is>
      </c>
      <c r="H527" s="1" t="inlineStr">
        <is>
          <t>1,4</t>
        </is>
      </c>
      <c r="I527" s="1" t="inlineStr">
        <is>
          <t>97</t>
        </is>
      </c>
      <c r="J527" s="1" t="inlineStr">
        <is>
          <t>98</t>
        </is>
      </c>
      <c r="L527" s="2">
        <f>_xlfn.CONCAT(IF(D527="數值",CONCATENATE(G527&amp;"("&amp;C527&amp;","&amp;
IF(ISERROR(SEARCH(",",H527,1)),(H527&amp;","&amp;H527),H527)&amp;
IF(ISBLANK(I527),"",IF(ISERROR(SEARCH(",",I527,1)),CONCATENATE(","&amp;I527&amp;","&amp;I527),CONCATENATE(","&amp;I527))&amp;
IF(ISBLANK(J527),"",IF(ISERROR(SEARCH(",",J527,1)),CONCATENATE(","&amp;J527&amp;","&amp;J527),CONCATENATE(","&amp;J527))&amp;
IF(ISBLANK(K527),"",IF(ISERROR(SEARCH(",",K527,1)),CONCATENATE(","&amp;K527&amp;","&amp;K527),CONCATENATE(","&amp;K527))))))&amp;
")","")&amp;" "&amp;F527)</f>
        <v/>
      </c>
    </row>
    <row r="528">
      <c r="A528" s="1" t="n">
        <v>627</v>
      </c>
      <c r="B528" s="1">
        <f>A528</f>
        <v/>
      </c>
      <c r="C528" s="1" t="inlineStr">
        <is>
          <t>vN6sN6</t>
        </is>
      </c>
      <c r="D528" s="1" t="inlineStr">
        <is>
          <t>數值</t>
        </is>
      </c>
      <c r="E528" s="9" t="n">
        <v>2</v>
      </c>
      <c r="G528" s="1" t="inlineStr">
        <is>
          <t>range</t>
        </is>
      </c>
      <c r="H528" s="1" t="inlineStr">
        <is>
          <t>1,4</t>
        </is>
      </c>
      <c r="I528" s="1" t="inlineStr">
        <is>
          <t>97</t>
        </is>
      </c>
      <c r="J528" s="1" t="inlineStr">
        <is>
          <t>98</t>
        </is>
      </c>
      <c r="L528" s="2">
        <f>_xlfn.CONCAT(IF(D528="數值",CONCATENATE(G528&amp;"("&amp;C528&amp;","&amp;
IF(ISERROR(SEARCH(",",H528,1)),(H528&amp;","&amp;H528),H528)&amp;
IF(ISBLANK(I528),"",IF(ISERROR(SEARCH(",",I528,1)),CONCATENATE(","&amp;I528&amp;","&amp;I528),CONCATENATE(","&amp;I528))&amp;
IF(ISBLANK(J528),"",IF(ISERROR(SEARCH(",",J528,1)),CONCATENATE(","&amp;J528&amp;","&amp;J528),CONCATENATE(","&amp;J528))&amp;
IF(ISBLANK(K528),"",IF(ISERROR(SEARCH(",",K528,1)),CONCATENATE(","&amp;K528&amp;","&amp;K528),CONCATENATE(","&amp;K528))))))&amp;
")","")&amp;" "&amp;F528)</f>
        <v/>
      </c>
    </row>
    <row r="529">
      <c r="A529" s="1" t="n">
        <v>628</v>
      </c>
      <c r="B529" s="1">
        <f>A529</f>
        <v/>
      </c>
      <c r="C529" s="1" t="inlineStr">
        <is>
          <t>vN6sN7</t>
        </is>
      </c>
      <c r="D529" s="1" t="inlineStr">
        <is>
          <t>數值</t>
        </is>
      </c>
      <c r="E529" s="9" t="n">
        <v>2</v>
      </c>
      <c r="G529" s="1" t="inlineStr">
        <is>
          <t>range</t>
        </is>
      </c>
      <c r="H529" s="1" t="inlineStr">
        <is>
          <t>1,4</t>
        </is>
      </c>
      <c r="I529" s="1" t="inlineStr">
        <is>
          <t>97</t>
        </is>
      </c>
      <c r="J529" s="1" t="inlineStr">
        <is>
          <t>98</t>
        </is>
      </c>
      <c r="L529" s="2">
        <f>_xlfn.CONCAT(IF(D529="數值",CONCATENATE(G529&amp;"("&amp;C529&amp;","&amp;
IF(ISERROR(SEARCH(",",H529,1)),(H529&amp;","&amp;H529),H529)&amp;
IF(ISBLANK(I529),"",IF(ISERROR(SEARCH(",",I529,1)),CONCATENATE(","&amp;I529&amp;","&amp;I529),CONCATENATE(","&amp;I529))&amp;
IF(ISBLANK(J529),"",IF(ISERROR(SEARCH(",",J529,1)),CONCATENATE(","&amp;J529&amp;","&amp;J529),CONCATENATE(","&amp;J529))&amp;
IF(ISBLANK(K529),"",IF(ISERROR(SEARCH(",",K529,1)),CONCATENATE(","&amp;K529&amp;","&amp;K529),CONCATENATE(","&amp;K529))))))&amp;
")","")&amp;" "&amp;F529)</f>
        <v/>
      </c>
    </row>
    <row r="530">
      <c r="A530" s="1" t="n">
        <v>629</v>
      </c>
      <c r="B530" s="1">
        <f>A530</f>
        <v/>
      </c>
      <c r="C530" s="1" t="inlineStr">
        <is>
          <t>vN6sN8</t>
        </is>
      </c>
      <c r="D530" s="1" t="inlineStr">
        <is>
          <t>數值</t>
        </is>
      </c>
      <c r="E530" s="9" t="n">
        <v>2</v>
      </c>
      <c r="G530" s="1" t="inlineStr">
        <is>
          <t>range</t>
        </is>
      </c>
      <c r="H530" s="1" t="inlineStr">
        <is>
          <t>1,4</t>
        </is>
      </c>
      <c r="I530" s="1" t="inlineStr">
        <is>
          <t>97</t>
        </is>
      </c>
      <c r="J530" s="1" t="inlineStr">
        <is>
          <t>98</t>
        </is>
      </c>
      <c r="L530" s="2">
        <f>_xlfn.CONCAT(IF(D530="數值",CONCATENATE(G530&amp;"("&amp;C530&amp;","&amp;
IF(ISERROR(SEARCH(",",H530,1)),(H530&amp;","&amp;H530),H530)&amp;
IF(ISBLANK(I530),"",IF(ISERROR(SEARCH(",",I530,1)),CONCATENATE(","&amp;I530&amp;","&amp;I530),CONCATENATE(","&amp;I530))&amp;
IF(ISBLANK(J530),"",IF(ISERROR(SEARCH(",",J530,1)),CONCATENATE(","&amp;J530&amp;","&amp;J530),CONCATENATE(","&amp;J530))&amp;
IF(ISBLANK(K530),"",IF(ISERROR(SEARCH(",",K530,1)),CONCATENATE(","&amp;K530&amp;","&amp;K530),CONCATENATE(","&amp;K530))))))&amp;
")","")&amp;" "&amp;F530)</f>
        <v/>
      </c>
    </row>
    <row r="531">
      <c r="A531" s="1" t="n">
        <v>630</v>
      </c>
      <c r="B531" s="1">
        <f>A531</f>
        <v/>
      </c>
      <c r="C531" s="1" t="inlineStr">
        <is>
          <t>vN6sN9</t>
        </is>
      </c>
      <c r="D531" s="1" t="inlineStr">
        <is>
          <t>數值</t>
        </is>
      </c>
      <c r="E531" s="9" t="n">
        <v>2</v>
      </c>
      <c r="G531" s="1" t="inlineStr">
        <is>
          <t>range</t>
        </is>
      </c>
      <c r="H531" s="1" t="inlineStr">
        <is>
          <t>1,4</t>
        </is>
      </c>
      <c r="I531" s="1" t="inlineStr">
        <is>
          <t>97</t>
        </is>
      </c>
      <c r="J531" s="1" t="inlineStr">
        <is>
          <t>98</t>
        </is>
      </c>
      <c r="L531" s="2">
        <f>_xlfn.CONCAT(IF(D531="數值",CONCATENATE(G531&amp;"("&amp;C531&amp;","&amp;
IF(ISERROR(SEARCH(",",H531,1)),(H531&amp;","&amp;H531),H531)&amp;
IF(ISBLANK(I531),"",IF(ISERROR(SEARCH(",",I531,1)),CONCATENATE(","&amp;I531&amp;","&amp;I531),CONCATENATE(","&amp;I531))&amp;
IF(ISBLANK(J531),"",IF(ISERROR(SEARCH(",",J531,1)),CONCATENATE(","&amp;J531&amp;","&amp;J531),CONCATENATE(","&amp;J531))&amp;
IF(ISBLANK(K531),"",IF(ISERROR(SEARCH(",",K531,1)),CONCATENATE(","&amp;K531&amp;","&amp;K531),CONCATENATE(","&amp;K531))))))&amp;
")","")&amp;" "&amp;F531)</f>
        <v/>
      </c>
    </row>
    <row r="532">
      <c r="A532" s="1" t="n">
        <v>631</v>
      </c>
      <c r="B532" s="1">
        <f>A532</f>
        <v/>
      </c>
      <c r="C532" s="1" t="inlineStr">
        <is>
          <t>vN6sN10</t>
        </is>
      </c>
      <c r="D532" s="1" t="inlineStr">
        <is>
          <t>數值</t>
        </is>
      </c>
      <c r="E532" s="9" t="n">
        <v>2</v>
      </c>
      <c r="G532" s="1" t="inlineStr">
        <is>
          <t>range</t>
        </is>
      </c>
      <c r="H532" s="1" t="inlineStr">
        <is>
          <t>1,4</t>
        </is>
      </c>
      <c r="I532" s="1" t="inlineStr">
        <is>
          <t>97</t>
        </is>
      </c>
      <c r="J532" s="1" t="inlineStr">
        <is>
          <t>98</t>
        </is>
      </c>
      <c r="L532" s="2">
        <f>_xlfn.CONCAT(IF(D532="數值",CONCATENATE(G532&amp;"("&amp;C532&amp;","&amp;
IF(ISERROR(SEARCH(",",H532,1)),(H532&amp;","&amp;H532),H532)&amp;
IF(ISBLANK(I532),"",IF(ISERROR(SEARCH(",",I532,1)),CONCATENATE(","&amp;I532&amp;","&amp;I532),CONCATENATE(","&amp;I532))&amp;
IF(ISBLANK(J532),"",IF(ISERROR(SEARCH(",",J532,1)),CONCATENATE(","&amp;J532&amp;","&amp;J532),CONCATENATE(","&amp;J532))&amp;
IF(ISBLANK(K532),"",IF(ISERROR(SEARCH(",",K532,1)),CONCATENATE(","&amp;K532&amp;","&amp;K532),CONCATENATE(","&amp;K532))))))&amp;
")","")&amp;" "&amp;F532)</f>
        <v/>
      </c>
    </row>
    <row r="533">
      <c r="A533" s="1" t="n">
        <v>632</v>
      </c>
      <c r="B533" s="1">
        <f>A533</f>
        <v/>
      </c>
      <c r="C533" s="1" t="inlineStr">
        <is>
          <t>vN11sN11</t>
        </is>
      </c>
      <c r="D533" s="1" t="inlineStr">
        <is>
          <t>數值</t>
        </is>
      </c>
      <c r="E533" s="9" t="n">
        <v>2</v>
      </c>
      <c r="G533" s="1" t="inlineStr">
        <is>
          <t>range</t>
        </is>
      </c>
      <c r="H533" s="1" t="inlineStr">
        <is>
          <t>1,5</t>
        </is>
      </c>
      <c r="I533" s="1" t="inlineStr">
        <is>
          <t>97</t>
        </is>
      </c>
      <c r="J533" s="1" t="inlineStr">
        <is>
          <t>98</t>
        </is>
      </c>
      <c r="L533" s="2">
        <f>_xlfn.CONCAT(IF(D533="數值",CONCATENATE(G533&amp;"("&amp;C533&amp;","&amp;
IF(ISERROR(SEARCH(",",H533,1)),(H533&amp;","&amp;H533),H533)&amp;
IF(ISBLANK(I533),"",IF(ISERROR(SEARCH(",",I533,1)),CONCATENATE(","&amp;I533&amp;","&amp;I533),CONCATENATE(","&amp;I533))&amp;
IF(ISBLANK(J533),"",IF(ISERROR(SEARCH(",",J533,1)),CONCATENATE(","&amp;J533&amp;","&amp;J533),CONCATENATE(","&amp;J533))&amp;
IF(ISBLANK(K533),"",IF(ISERROR(SEARCH(",",K533,1)),CONCATENATE(","&amp;K533&amp;","&amp;K533),CONCATENATE(","&amp;K533))))))&amp;
")","")&amp;" "&amp;F533)</f>
        <v/>
      </c>
    </row>
    <row r="534">
      <c r="A534" s="1" t="n">
        <v>633</v>
      </c>
      <c r="B534" s="1">
        <f>A534</f>
        <v/>
      </c>
      <c r="C534" s="1" t="inlineStr">
        <is>
          <t>vN11sN12</t>
        </is>
      </c>
      <c r="D534" s="1" t="inlineStr">
        <is>
          <t>數值</t>
        </is>
      </c>
      <c r="E534" s="9" t="n">
        <v>2</v>
      </c>
      <c r="G534" s="1" t="inlineStr">
        <is>
          <t>range</t>
        </is>
      </c>
      <c r="H534" s="1" t="inlineStr">
        <is>
          <t>1,5</t>
        </is>
      </c>
      <c r="I534" s="1" t="inlineStr">
        <is>
          <t>97</t>
        </is>
      </c>
      <c r="J534" s="1" t="inlineStr">
        <is>
          <t>98</t>
        </is>
      </c>
      <c r="L534" s="2">
        <f>_xlfn.CONCAT(IF(D534="數值",CONCATENATE(G534&amp;"("&amp;C534&amp;","&amp;
IF(ISERROR(SEARCH(",",H534,1)),(H534&amp;","&amp;H534),H534)&amp;
IF(ISBLANK(I534),"",IF(ISERROR(SEARCH(",",I534,1)),CONCATENATE(","&amp;I534&amp;","&amp;I534),CONCATENATE(","&amp;I534))&amp;
IF(ISBLANK(J534),"",IF(ISERROR(SEARCH(",",J534,1)),CONCATENATE(","&amp;J534&amp;","&amp;J534),CONCATENATE(","&amp;J534))&amp;
IF(ISBLANK(K534),"",IF(ISERROR(SEARCH(",",K534,1)),CONCATENATE(","&amp;K534&amp;","&amp;K534),CONCATENATE(","&amp;K534))))))&amp;
")","")&amp;" "&amp;F534)</f>
        <v/>
      </c>
    </row>
    <row r="535">
      <c r="A535" s="1" t="n">
        <v>634</v>
      </c>
      <c r="B535" s="1">
        <f>A535</f>
        <v/>
      </c>
      <c r="C535" s="1" t="inlineStr">
        <is>
          <t>vN11sN13</t>
        </is>
      </c>
      <c r="D535" s="1" t="inlineStr">
        <is>
          <t>數值</t>
        </is>
      </c>
      <c r="E535" s="9" t="n">
        <v>2</v>
      </c>
      <c r="G535" s="1" t="inlineStr">
        <is>
          <t>range</t>
        </is>
      </c>
      <c r="H535" s="1" t="inlineStr">
        <is>
          <t>1,5</t>
        </is>
      </c>
      <c r="I535" s="1" t="inlineStr">
        <is>
          <t>97</t>
        </is>
      </c>
      <c r="J535" s="1" t="inlineStr">
        <is>
          <t>98</t>
        </is>
      </c>
      <c r="L535" s="2">
        <f>_xlfn.CONCAT(IF(D535="數值",CONCATENATE(G535&amp;"("&amp;C535&amp;","&amp;
IF(ISERROR(SEARCH(",",H535,1)),(H535&amp;","&amp;H535),H535)&amp;
IF(ISBLANK(I535),"",IF(ISERROR(SEARCH(",",I535,1)),CONCATENATE(","&amp;I535&amp;","&amp;I535),CONCATENATE(","&amp;I535))&amp;
IF(ISBLANK(J535),"",IF(ISERROR(SEARCH(",",J535,1)),CONCATENATE(","&amp;J535&amp;","&amp;J535),CONCATENATE(","&amp;J535))&amp;
IF(ISBLANK(K535),"",IF(ISERROR(SEARCH(",",K535,1)),CONCATENATE(","&amp;K535&amp;","&amp;K535),CONCATENATE(","&amp;K535))))))&amp;
")","")&amp;" "&amp;F535)</f>
        <v/>
      </c>
    </row>
    <row r="536">
      <c r="A536" s="1" t="n">
        <v>635</v>
      </c>
      <c r="B536" s="1">
        <f>A536</f>
        <v/>
      </c>
      <c r="C536" s="1" t="inlineStr">
        <is>
          <t>vN11sN14</t>
        </is>
      </c>
      <c r="D536" s="1" t="inlineStr">
        <is>
          <t>數值</t>
        </is>
      </c>
      <c r="E536" s="9" t="n">
        <v>2</v>
      </c>
      <c r="G536" s="1" t="inlineStr">
        <is>
          <t>range</t>
        </is>
      </c>
      <c r="H536" s="1" t="inlineStr">
        <is>
          <t>1,5</t>
        </is>
      </c>
      <c r="I536" s="1" t="inlineStr">
        <is>
          <t>97</t>
        </is>
      </c>
      <c r="J536" s="1" t="inlineStr">
        <is>
          <t>98</t>
        </is>
      </c>
      <c r="L536" s="2">
        <f>_xlfn.CONCAT(IF(D536="數值",CONCATENATE(G536&amp;"("&amp;C536&amp;","&amp;
IF(ISERROR(SEARCH(",",H536,1)),(H536&amp;","&amp;H536),H536)&amp;
IF(ISBLANK(I536),"",IF(ISERROR(SEARCH(",",I536,1)),CONCATENATE(","&amp;I536&amp;","&amp;I536),CONCATENATE(","&amp;I536))&amp;
IF(ISBLANK(J536),"",IF(ISERROR(SEARCH(",",J536,1)),CONCATENATE(","&amp;J536&amp;","&amp;J536),CONCATENATE(","&amp;J536))&amp;
IF(ISBLANK(K536),"",IF(ISERROR(SEARCH(",",K536,1)),CONCATENATE(","&amp;K536&amp;","&amp;K536),CONCATENATE(","&amp;K536))))))&amp;
")","")&amp;" "&amp;F536)</f>
        <v/>
      </c>
    </row>
    <row r="537">
      <c r="A537" s="1" t="n">
        <v>636</v>
      </c>
      <c r="B537" s="1">
        <f>A537</f>
        <v/>
      </c>
      <c r="C537" s="1" t="inlineStr">
        <is>
          <t>vN11sN15</t>
        </is>
      </c>
      <c r="D537" s="1" t="inlineStr">
        <is>
          <t>數值</t>
        </is>
      </c>
      <c r="E537" s="9" t="n">
        <v>2</v>
      </c>
      <c r="G537" s="1" t="inlineStr">
        <is>
          <t>range</t>
        </is>
      </c>
      <c r="H537" s="1" t="inlineStr">
        <is>
          <t>1,5</t>
        </is>
      </c>
      <c r="I537" s="1" t="inlineStr">
        <is>
          <t>97</t>
        </is>
      </c>
      <c r="J537" s="1" t="inlineStr">
        <is>
          <t>98</t>
        </is>
      </c>
      <c r="L537" s="2">
        <f>_xlfn.CONCAT(IF(D537="數值",CONCATENATE(G537&amp;"("&amp;C537&amp;","&amp;
IF(ISERROR(SEARCH(",",H537,1)),(H537&amp;","&amp;H537),H537)&amp;
IF(ISBLANK(I537),"",IF(ISERROR(SEARCH(",",I537,1)),CONCATENATE(","&amp;I537&amp;","&amp;I537),CONCATENATE(","&amp;I537))&amp;
IF(ISBLANK(J537),"",IF(ISERROR(SEARCH(",",J537,1)),CONCATENATE(","&amp;J537&amp;","&amp;J537),CONCATENATE(","&amp;J537))&amp;
IF(ISBLANK(K537),"",IF(ISERROR(SEARCH(",",K537,1)),CONCATENATE(","&amp;K537&amp;","&amp;K537),CONCATENATE(","&amp;K537))))))&amp;
")","")&amp;" "&amp;F537)</f>
        <v/>
      </c>
    </row>
    <row r="538">
      <c r="A538" s="1" t="n">
        <v>637</v>
      </c>
      <c r="B538" s="1">
        <f>A538</f>
        <v/>
      </c>
      <c r="C538" s="1" t="inlineStr">
        <is>
          <t>vN11sN16</t>
        </is>
      </c>
      <c r="D538" s="1" t="inlineStr">
        <is>
          <t>數值</t>
        </is>
      </c>
      <c r="E538" s="9" t="n">
        <v>2</v>
      </c>
      <c r="G538" s="1" t="inlineStr">
        <is>
          <t>range</t>
        </is>
      </c>
      <c r="H538" s="1" t="inlineStr">
        <is>
          <t>1,5</t>
        </is>
      </c>
      <c r="I538" s="1" t="inlineStr">
        <is>
          <t>97</t>
        </is>
      </c>
      <c r="J538" s="1" t="inlineStr">
        <is>
          <t>98</t>
        </is>
      </c>
      <c r="L538" s="2">
        <f>_xlfn.CONCAT(IF(D538="數值",CONCATENATE(G538&amp;"("&amp;C538&amp;","&amp;
IF(ISERROR(SEARCH(",",H538,1)),(H538&amp;","&amp;H538),H538)&amp;
IF(ISBLANK(I538),"",IF(ISERROR(SEARCH(",",I538,1)),CONCATENATE(","&amp;I538&amp;","&amp;I538),CONCATENATE(","&amp;I538))&amp;
IF(ISBLANK(J538),"",IF(ISERROR(SEARCH(",",J538,1)),CONCATENATE(","&amp;J538&amp;","&amp;J538),CONCATENATE(","&amp;J538))&amp;
IF(ISBLANK(K538),"",IF(ISERROR(SEARCH(",",K538,1)),CONCATENATE(","&amp;K538&amp;","&amp;K538),CONCATENATE(","&amp;K538))))))&amp;
")","")&amp;" "&amp;F538)</f>
        <v/>
      </c>
    </row>
    <row r="539">
      <c r="A539" s="1" t="n">
        <v>638</v>
      </c>
      <c r="B539" s="1">
        <f>A539</f>
        <v/>
      </c>
      <c r="C539" s="1" t="inlineStr">
        <is>
          <t>vN17</t>
        </is>
      </c>
      <c r="D539" s="1" t="inlineStr">
        <is>
          <t>數值</t>
        </is>
      </c>
      <c r="E539" s="9" t="n">
        <v>2</v>
      </c>
      <c r="G539" s="1" t="inlineStr">
        <is>
          <t>range</t>
        </is>
      </c>
      <c r="H539" s="1" t="inlineStr">
        <is>
          <t>1,5</t>
        </is>
      </c>
      <c r="I539" s="1" t="inlineStr">
        <is>
          <t>90</t>
        </is>
      </c>
      <c r="J539" s="1" t="inlineStr">
        <is>
          <t>97</t>
        </is>
      </c>
      <c r="K539" s="1" t="inlineStr">
        <is>
          <t>98</t>
        </is>
      </c>
      <c r="L539" s="2">
        <f>_xlfn.CONCAT(IF(D539="數值",CONCATENATE(G539&amp;"("&amp;C539&amp;","&amp;
IF(ISERROR(SEARCH(",",H539,1)),(H539&amp;","&amp;H539),H539)&amp;
IF(ISBLANK(I539),"",IF(ISERROR(SEARCH(",",I539,1)),CONCATENATE(","&amp;I539&amp;","&amp;I539),CONCATENATE(","&amp;I539))&amp;
IF(ISBLANK(J539),"",IF(ISERROR(SEARCH(",",J539,1)),CONCATENATE(","&amp;J539&amp;","&amp;J539),CONCATENATE(","&amp;J539))&amp;
IF(ISBLANK(K539),"",IF(ISERROR(SEARCH(",",K539,1)),CONCATENATE(","&amp;K539&amp;","&amp;K539),CONCATENATE(","&amp;K539))))))&amp;
")","")&amp;" "&amp;F539)</f>
        <v/>
      </c>
    </row>
    <row r="540">
      <c r="A540" s="1" t="n">
        <v>639</v>
      </c>
      <c r="B540" s="1">
        <f>A540</f>
        <v/>
      </c>
      <c r="C540" s="1" t="inlineStr">
        <is>
          <t>vN18sN18</t>
        </is>
      </c>
      <c r="D540" s="1" t="inlineStr">
        <is>
          <t>數值</t>
        </is>
      </c>
      <c r="E540" s="9" t="n">
        <v>2</v>
      </c>
      <c r="G540" s="1" t="inlineStr">
        <is>
          <t>range</t>
        </is>
      </c>
      <c r="H540" s="1" t="inlineStr">
        <is>
          <t>1,5</t>
        </is>
      </c>
      <c r="I540" s="1" t="inlineStr">
        <is>
          <t>97</t>
        </is>
      </c>
      <c r="J540" s="1" t="inlineStr">
        <is>
          <t>98</t>
        </is>
      </c>
      <c r="L540" s="2">
        <f>_xlfn.CONCAT(IF(D540="數值",CONCATENATE(G540&amp;"("&amp;C540&amp;","&amp;
IF(ISERROR(SEARCH(",",H540,1)),(H540&amp;","&amp;H540),H540)&amp;
IF(ISBLANK(I540),"",IF(ISERROR(SEARCH(",",I540,1)),CONCATENATE(","&amp;I540&amp;","&amp;I540),CONCATENATE(","&amp;I540))&amp;
IF(ISBLANK(J540),"",IF(ISERROR(SEARCH(",",J540,1)),CONCATENATE(","&amp;J540&amp;","&amp;J540),CONCATENATE(","&amp;J540))&amp;
IF(ISBLANK(K540),"",IF(ISERROR(SEARCH(",",K540,1)),CONCATENATE(","&amp;K540&amp;","&amp;K540),CONCATENATE(","&amp;K540))))))&amp;
")","")&amp;" "&amp;F540)</f>
        <v/>
      </c>
    </row>
    <row r="541">
      <c r="A541" s="1" t="n">
        <v>640</v>
      </c>
      <c r="B541" s="1">
        <f>A541</f>
        <v/>
      </c>
      <c r="C541" s="1" t="inlineStr">
        <is>
          <t>vN18sN19</t>
        </is>
      </c>
      <c r="D541" s="1" t="inlineStr">
        <is>
          <t>數值</t>
        </is>
      </c>
      <c r="E541" s="9" t="n">
        <v>2</v>
      </c>
      <c r="G541" s="1" t="inlineStr">
        <is>
          <t>range</t>
        </is>
      </c>
      <c r="H541" s="1" t="inlineStr">
        <is>
          <t>1,5</t>
        </is>
      </c>
      <c r="I541" s="1" t="inlineStr">
        <is>
          <t>97</t>
        </is>
      </c>
      <c r="J541" s="1" t="inlineStr">
        <is>
          <t>98</t>
        </is>
      </c>
      <c r="L541" s="2">
        <f>_xlfn.CONCAT(IF(D541="數值",CONCATENATE(G541&amp;"("&amp;C541&amp;","&amp;
IF(ISERROR(SEARCH(",",H541,1)),(H541&amp;","&amp;H541),H541)&amp;
IF(ISBLANK(I541),"",IF(ISERROR(SEARCH(",",I541,1)),CONCATENATE(","&amp;I541&amp;","&amp;I541),CONCATENATE(","&amp;I541))&amp;
IF(ISBLANK(J541),"",IF(ISERROR(SEARCH(",",J541,1)),CONCATENATE(","&amp;J541&amp;","&amp;J541),CONCATENATE(","&amp;J541))&amp;
IF(ISBLANK(K541),"",IF(ISERROR(SEARCH(",",K541,1)),CONCATENATE(","&amp;K541&amp;","&amp;K541),CONCATENATE(","&amp;K541))))))&amp;
")","")&amp;" "&amp;F541)</f>
        <v/>
      </c>
    </row>
    <row r="542">
      <c r="A542" s="1" t="n">
        <v>641</v>
      </c>
      <c r="B542" s="1">
        <f>A542</f>
        <v/>
      </c>
      <c r="C542" s="1" t="inlineStr">
        <is>
          <t>vN18sN20</t>
        </is>
      </c>
      <c r="D542" s="1" t="inlineStr">
        <is>
          <t>數值</t>
        </is>
      </c>
      <c r="E542" s="9" t="n">
        <v>2</v>
      </c>
      <c r="G542" s="1" t="inlineStr">
        <is>
          <t>range</t>
        </is>
      </c>
      <c r="H542" s="1" t="inlineStr">
        <is>
          <t>1,5</t>
        </is>
      </c>
      <c r="I542" s="1" t="inlineStr">
        <is>
          <t>97</t>
        </is>
      </c>
      <c r="J542" s="1" t="inlineStr">
        <is>
          <t>98</t>
        </is>
      </c>
      <c r="L542" s="2">
        <f>_xlfn.CONCAT(IF(D542="數值",CONCATENATE(G542&amp;"("&amp;C542&amp;","&amp;
IF(ISERROR(SEARCH(",",H542,1)),(H542&amp;","&amp;H542),H542)&amp;
IF(ISBLANK(I542),"",IF(ISERROR(SEARCH(",",I542,1)),CONCATENATE(","&amp;I542&amp;","&amp;I542),CONCATENATE(","&amp;I542))&amp;
IF(ISBLANK(J542),"",IF(ISERROR(SEARCH(",",J542,1)),CONCATENATE(","&amp;J542&amp;","&amp;J542),CONCATENATE(","&amp;J542))&amp;
IF(ISBLANK(K542),"",IF(ISERROR(SEARCH(",",K542,1)),CONCATENATE(","&amp;K542&amp;","&amp;K542),CONCATENATE(","&amp;K542))))))&amp;
")","")&amp;" "&amp;F542)</f>
        <v/>
      </c>
    </row>
    <row r="543">
      <c r="A543" s="1" t="n">
        <v>642</v>
      </c>
      <c r="B543" s="1">
        <f>A543</f>
        <v/>
      </c>
      <c r="C543" s="1" t="inlineStr">
        <is>
          <t>vN21sN21</t>
        </is>
      </c>
      <c r="D543" s="1" t="inlineStr">
        <is>
          <t>數值</t>
        </is>
      </c>
      <c r="E543" s="9" t="n">
        <v>2</v>
      </c>
      <c r="G543" s="1" t="inlineStr">
        <is>
          <t>range</t>
        </is>
      </c>
      <c r="H543" s="1" t="inlineStr">
        <is>
          <t>1,5</t>
        </is>
      </c>
      <c r="I543" s="1" t="inlineStr">
        <is>
          <t>97</t>
        </is>
      </c>
      <c r="J543" s="1" t="inlineStr">
        <is>
          <t>98</t>
        </is>
      </c>
      <c r="L543" s="2">
        <f>_xlfn.CONCAT(IF(D543="數值",CONCATENATE(G543&amp;"("&amp;C543&amp;","&amp;
IF(ISERROR(SEARCH(",",H543,1)),(H543&amp;","&amp;H543),H543)&amp;
IF(ISBLANK(I543),"",IF(ISERROR(SEARCH(",",I543,1)),CONCATENATE(","&amp;I543&amp;","&amp;I543),CONCATENATE(","&amp;I543))&amp;
IF(ISBLANK(J543),"",IF(ISERROR(SEARCH(",",J543,1)),CONCATENATE(","&amp;J543&amp;","&amp;J543),CONCATENATE(","&amp;J543))&amp;
IF(ISBLANK(K543),"",IF(ISERROR(SEARCH(",",K543,1)),CONCATENATE(","&amp;K543&amp;","&amp;K543),CONCATENATE(","&amp;K543))))))&amp;
")","")&amp;" "&amp;F543)</f>
        <v/>
      </c>
    </row>
    <row r="544">
      <c r="A544" s="1" t="n">
        <v>643</v>
      </c>
      <c r="B544" s="1">
        <f>A544</f>
        <v/>
      </c>
      <c r="C544" s="1" t="inlineStr">
        <is>
          <t>vN21sN22</t>
        </is>
      </c>
      <c r="D544" s="1" t="inlineStr">
        <is>
          <t>數值</t>
        </is>
      </c>
      <c r="E544" s="9" t="n">
        <v>2</v>
      </c>
      <c r="G544" s="1" t="inlineStr">
        <is>
          <t>range</t>
        </is>
      </c>
      <c r="H544" s="1" t="inlineStr">
        <is>
          <t>1,5</t>
        </is>
      </c>
      <c r="I544" s="1" t="inlineStr">
        <is>
          <t>97</t>
        </is>
      </c>
      <c r="J544" s="1" t="inlineStr">
        <is>
          <t>98</t>
        </is>
      </c>
      <c r="L544" s="2">
        <f>_xlfn.CONCAT(IF(D544="數值",CONCATENATE(G544&amp;"("&amp;C544&amp;","&amp;
IF(ISERROR(SEARCH(",",H544,1)),(H544&amp;","&amp;H544),H544)&amp;
IF(ISBLANK(I544),"",IF(ISERROR(SEARCH(",",I544,1)),CONCATENATE(","&amp;I544&amp;","&amp;I544),CONCATENATE(","&amp;I544))&amp;
IF(ISBLANK(J544),"",IF(ISERROR(SEARCH(",",J544,1)),CONCATENATE(","&amp;J544&amp;","&amp;J544),CONCATENATE(","&amp;J544))&amp;
IF(ISBLANK(K544),"",IF(ISERROR(SEARCH(",",K544,1)),CONCATENATE(","&amp;K544&amp;","&amp;K544),CONCATENATE(","&amp;K544))))))&amp;
")","")&amp;" "&amp;F544)</f>
        <v/>
      </c>
    </row>
    <row r="545">
      <c r="A545" s="1" t="n">
        <v>644</v>
      </c>
      <c r="B545" s="1">
        <f>A545</f>
        <v/>
      </c>
      <c r="C545" s="1" t="inlineStr">
        <is>
          <t>vN23</t>
        </is>
      </c>
      <c r="D545" s="1" t="inlineStr">
        <is>
          <t>數值</t>
        </is>
      </c>
      <c r="E545" s="9" t="n">
        <v>2</v>
      </c>
      <c r="G545" s="1" t="inlineStr">
        <is>
          <t>range</t>
        </is>
      </c>
      <c r="H545" s="1" t="inlineStr">
        <is>
          <t>1,5</t>
        </is>
      </c>
      <c r="I545" s="1" t="inlineStr">
        <is>
          <t>97</t>
        </is>
      </c>
      <c r="J545" s="1" t="inlineStr">
        <is>
          <t>98</t>
        </is>
      </c>
      <c r="L545" s="2">
        <f>_xlfn.CONCAT(IF(D545="數值",CONCATENATE(G545&amp;"("&amp;C545&amp;","&amp;
IF(ISERROR(SEARCH(",",H545,1)),(H545&amp;","&amp;H545),H545)&amp;
IF(ISBLANK(I545),"",IF(ISERROR(SEARCH(",",I545,1)),CONCATENATE(","&amp;I545&amp;","&amp;I545),CONCATENATE(","&amp;I545))&amp;
IF(ISBLANK(J545),"",IF(ISERROR(SEARCH(",",J545,1)),CONCATENATE(","&amp;J545&amp;","&amp;J545),CONCATENATE(","&amp;J545))&amp;
IF(ISBLANK(K545),"",IF(ISERROR(SEARCH(",",K545,1)),CONCATENATE(","&amp;K545&amp;","&amp;K545),CONCATENATE(","&amp;K545))))))&amp;
")","")&amp;" "&amp;F545)</f>
        <v/>
      </c>
    </row>
    <row r="546">
      <c r="A546" s="1" t="n">
        <v>645</v>
      </c>
      <c r="B546" s="1">
        <f>A546</f>
        <v/>
      </c>
      <c r="C546" s="1" t="inlineStr">
        <is>
          <t>vN24</t>
        </is>
      </c>
      <c r="D546" s="1" t="inlineStr">
        <is>
          <t>數值</t>
        </is>
      </c>
      <c r="E546" s="9" t="n">
        <v>2</v>
      </c>
      <c r="G546" s="1" t="inlineStr">
        <is>
          <t>range</t>
        </is>
      </c>
      <c r="H546" s="1" t="inlineStr">
        <is>
          <t>1,88</t>
        </is>
      </c>
      <c r="I546" s="1" t="inlineStr">
        <is>
          <t>97</t>
        </is>
      </c>
      <c r="J546" s="1" t="inlineStr">
        <is>
          <t>98</t>
        </is>
      </c>
      <c r="L546" s="2">
        <f>_xlfn.CONCAT(IF(D546="數值",CONCATENATE(G546&amp;"("&amp;C546&amp;","&amp;
IF(ISERROR(SEARCH(",",H546,1)),(H546&amp;","&amp;H546),H546)&amp;
IF(ISBLANK(I546),"",IF(ISERROR(SEARCH(",",I546,1)),CONCATENATE(","&amp;I546&amp;","&amp;I546),CONCATENATE(","&amp;I546))&amp;
IF(ISBLANK(J546),"",IF(ISERROR(SEARCH(",",J546,1)),CONCATENATE(","&amp;J546&amp;","&amp;J546),CONCATENATE(","&amp;J546))&amp;
IF(ISBLANK(K546),"",IF(ISERROR(SEARCH(",",K546,1)),CONCATENATE(","&amp;K546&amp;","&amp;K546),CONCATENATE(","&amp;K546))))))&amp;
")","")&amp;" "&amp;F546)</f>
        <v/>
      </c>
    </row>
    <row r="547">
      <c r="A547" s="1" t="n">
        <v>646</v>
      </c>
      <c r="B547" s="1">
        <f>A547</f>
        <v/>
      </c>
      <c r="C547" s="1" t="inlineStr">
        <is>
          <t>vN25</t>
        </is>
      </c>
      <c r="D547" s="1" t="inlineStr">
        <is>
          <t>數值</t>
        </is>
      </c>
      <c r="E547" s="9" t="n">
        <v>2</v>
      </c>
      <c r="G547" s="1" t="inlineStr">
        <is>
          <t>range</t>
        </is>
      </c>
      <c r="H547" s="1" t="inlineStr">
        <is>
          <t>1,5</t>
        </is>
      </c>
      <c r="I547" s="1" t="inlineStr">
        <is>
          <t>90</t>
        </is>
      </c>
      <c r="J547" s="1" t="inlineStr">
        <is>
          <t>97</t>
        </is>
      </c>
      <c r="K547" s="1" t="inlineStr">
        <is>
          <t>98</t>
        </is>
      </c>
      <c r="L547" s="2">
        <f>_xlfn.CONCAT(IF(D547="數值",CONCATENATE(G547&amp;"("&amp;C547&amp;","&amp;
IF(ISERROR(SEARCH(",",H547,1)),(H547&amp;","&amp;H547),H547)&amp;
IF(ISBLANK(I547),"",IF(ISERROR(SEARCH(",",I547,1)),CONCATENATE(","&amp;I547&amp;","&amp;I547),CONCATENATE(","&amp;I547))&amp;
IF(ISBLANK(J547),"",IF(ISERROR(SEARCH(",",J547,1)),CONCATENATE(","&amp;J547&amp;","&amp;J547),CONCATENATE(","&amp;J547))&amp;
IF(ISBLANK(K547),"",IF(ISERROR(SEARCH(",",K547,1)),CONCATENATE(","&amp;K547&amp;","&amp;K547),CONCATENATE(","&amp;K547))))))&amp;
")","")&amp;" "&amp;F547)</f>
        <v/>
      </c>
    </row>
    <row r="548">
      <c r="A548" s="1" t="n">
        <v>647</v>
      </c>
      <c r="B548" s="1">
        <f>A548</f>
        <v/>
      </c>
      <c r="C548" s="1" t="inlineStr">
        <is>
          <t>vN26</t>
        </is>
      </c>
      <c r="D548" s="1" t="inlineStr">
        <is>
          <t>數值</t>
        </is>
      </c>
      <c r="E548" s="9" t="n">
        <v>2</v>
      </c>
      <c r="G548" s="1" t="inlineStr">
        <is>
          <t>range</t>
        </is>
      </c>
      <c r="H548" s="1" t="inlineStr">
        <is>
          <t>1,5</t>
        </is>
      </c>
      <c r="I548" s="1" t="inlineStr">
        <is>
          <t>97</t>
        </is>
      </c>
      <c r="J548" s="1" t="inlineStr">
        <is>
          <t>98</t>
        </is>
      </c>
      <c r="L548" s="2">
        <f>_xlfn.CONCAT(IF(D548="數值",CONCATENATE(G548&amp;"("&amp;C548&amp;","&amp;
IF(ISERROR(SEARCH(",",H548,1)),(H548&amp;","&amp;H548),H548)&amp;
IF(ISBLANK(I548),"",IF(ISERROR(SEARCH(",",I548,1)),CONCATENATE(","&amp;I548&amp;","&amp;I548),CONCATENATE(","&amp;I548))&amp;
IF(ISBLANK(J548),"",IF(ISERROR(SEARCH(",",J548,1)),CONCATENATE(","&amp;J548&amp;","&amp;J548),CONCATENATE(","&amp;J548))&amp;
IF(ISBLANK(K548),"",IF(ISERROR(SEARCH(",",K548,1)),CONCATENATE(","&amp;K548&amp;","&amp;K548),CONCATENATE(","&amp;K548))))))&amp;
")","")&amp;" "&amp;F548)</f>
        <v/>
      </c>
    </row>
    <row r="549">
      <c r="A549" s="1" t="n">
        <v>648</v>
      </c>
      <c r="B549" s="1">
        <f>A549</f>
        <v/>
      </c>
      <c r="C549" s="1" t="inlineStr">
        <is>
          <t>vN27</t>
        </is>
      </c>
      <c r="D549" s="1" t="inlineStr">
        <is>
          <t>數值</t>
        </is>
      </c>
      <c r="E549" s="9" t="n">
        <v>2</v>
      </c>
      <c r="G549" s="1" t="inlineStr">
        <is>
          <t>range</t>
        </is>
      </c>
      <c r="H549" s="1" t="inlineStr">
        <is>
          <t>1,5</t>
        </is>
      </c>
      <c r="I549" s="1" t="inlineStr">
        <is>
          <t>97</t>
        </is>
      </c>
      <c r="J549" s="1" t="inlineStr">
        <is>
          <t>98</t>
        </is>
      </c>
      <c r="L549" s="2">
        <f>_xlfn.CONCAT(IF(D549="數值",CONCATENATE(G549&amp;"("&amp;C549&amp;","&amp;
IF(ISERROR(SEARCH(",",H549,1)),(H549&amp;","&amp;H549),H549)&amp;
IF(ISBLANK(I549),"",IF(ISERROR(SEARCH(",",I549,1)),CONCATENATE(","&amp;I549&amp;","&amp;I549),CONCATENATE(","&amp;I549))&amp;
IF(ISBLANK(J549),"",IF(ISERROR(SEARCH(",",J549,1)),CONCATENATE(","&amp;J549&amp;","&amp;J549),CONCATENATE(","&amp;J549))&amp;
IF(ISBLANK(K549),"",IF(ISERROR(SEARCH(",",K549,1)),CONCATENATE(","&amp;K549&amp;","&amp;K549),CONCATENATE(","&amp;K549))))))&amp;
")","")&amp;" "&amp;F549)</f>
        <v/>
      </c>
    </row>
    <row r="550">
      <c r="A550" s="1" t="n">
        <v>649</v>
      </c>
      <c r="B550" s="1">
        <f>A550</f>
        <v/>
      </c>
      <c r="C550" s="1" t="inlineStr">
        <is>
          <t>vN28</t>
        </is>
      </c>
      <c r="D550" s="1" t="inlineStr">
        <is>
          <t>數值</t>
        </is>
      </c>
      <c r="E550" s="9" t="n">
        <v>2</v>
      </c>
      <c r="G550" s="1" t="inlineStr">
        <is>
          <t>range</t>
        </is>
      </c>
      <c r="H550" s="1" t="inlineStr">
        <is>
          <t>1,5</t>
        </is>
      </c>
      <c r="I550" s="1" t="inlineStr">
        <is>
          <t>97</t>
        </is>
      </c>
      <c r="J550" s="1" t="inlineStr">
        <is>
          <t>98</t>
        </is>
      </c>
      <c r="L550" s="2">
        <f>_xlfn.CONCAT(IF(D550="數值",CONCATENATE(G550&amp;"("&amp;C550&amp;","&amp;
IF(ISERROR(SEARCH(",",H550,1)),(H550&amp;","&amp;H550),H550)&amp;
IF(ISBLANK(I550),"",IF(ISERROR(SEARCH(",",I550,1)),CONCATENATE(","&amp;I550&amp;","&amp;I550),CONCATENATE(","&amp;I550))&amp;
IF(ISBLANK(J550),"",IF(ISERROR(SEARCH(",",J550,1)),CONCATENATE(","&amp;J550&amp;","&amp;J550),CONCATENATE(","&amp;J550))&amp;
IF(ISBLANK(K550),"",IF(ISERROR(SEARCH(",",K550,1)),CONCATENATE(","&amp;K550&amp;","&amp;K550),CONCATENATE(","&amp;K550))))))&amp;
")","")&amp;" "&amp;F550)</f>
        <v/>
      </c>
    </row>
    <row r="551">
      <c r="A551" s="1" t="n">
        <v>650</v>
      </c>
      <c r="B551" s="1">
        <f>A551</f>
        <v/>
      </c>
      <c r="C551" s="1" t="inlineStr">
        <is>
          <t>vN29</t>
        </is>
      </c>
      <c r="D551" s="1" t="inlineStr">
        <is>
          <t>數值</t>
        </is>
      </c>
      <c r="E551" s="9" t="n">
        <v>2</v>
      </c>
      <c r="G551" s="1" t="inlineStr">
        <is>
          <t>range</t>
        </is>
      </c>
      <c r="H551" s="1" t="inlineStr">
        <is>
          <t>1,5</t>
        </is>
      </c>
      <c r="I551" s="1" t="inlineStr">
        <is>
          <t>97</t>
        </is>
      </c>
      <c r="J551" s="1" t="inlineStr">
        <is>
          <t>98</t>
        </is>
      </c>
      <c r="L551" s="2">
        <f>_xlfn.CONCAT(IF(D551="數值",CONCATENATE(G551&amp;"("&amp;C551&amp;","&amp;
IF(ISERROR(SEARCH(",",H551,1)),(H551&amp;","&amp;H551),H551)&amp;
IF(ISBLANK(I551),"",IF(ISERROR(SEARCH(",",I551,1)),CONCATENATE(","&amp;I551&amp;","&amp;I551),CONCATENATE(","&amp;I551))&amp;
IF(ISBLANK(J551),"",IF(ISERROR(SEARCH(",",J551,1)),CONCATENATE(","&amp;J551&amp;","&amp;J551),CONCATENATE(","&amp;J551))&amp;
IF(ISBLANK(K551),"",IF(ISERROR(SEARCH(",",K551,1)),CONCATENATE(","&amp;K551&amp;","&amp;K551),CONCATENATE(","&amp;K551))))))&amp;
")","")&amp;" "&amp;F551)</f>
        <v/>
      </c>
    </row>
    <row r="552">
      <c r="A552" s="1" t="n">
        <v>651</v>
      </c>
      <c r="B552" s="1">
        <f>A552</f>
        <v/>
      </c>
      <c r="C552" s="1" t="inlineStr">
        <is>
          <t>vN30</t>
        </is>
      </c>
      <c r="D552" s="1" t="inlineStr">
        <is>
          <t>數值</t>
        </is>
      </c>
      <c r="E552" s="9" t="n">
        <v>3</v>
      </c>
      <c r="G552" s="1" t="inlineStr">
        <is>
          <t>range</t>
        </is>
      </c>
      <c r="H552" s="1" t="inlineStr">
        <is>
          <t>90</t>
        </is>
      </c>
      <c r="I552" s="1" t="inlineStr">
        <is>
          <t>97</t>
        </is>
      </c>
      <c r="J552" s="1" t="inlineStr">
        <is>
          <t>98</t>
        </is>
      </c>
      <c r="L552" s="2">
        <f>_xlfn.CONCAT(IF(D552="數值",CONCATENATE(G552&amp;"("&amp;C552&amp;","&amp;
IF(ISERROR(SEARCH(",",H552,1)),(H552&amp;","&amp;H552),H552)&amp;
IF(ISBLANK(I552),"",IF(ISERROR(SEARCH(",",I552,1)),CONCATENATE(","&amp;I552&amp;","&amp;I552),CONCATENATE(","&amp;I552))&amp;
IF(ISBLANK(J552),"",IF(ISERROR(SEARCH(",",J552,1)),CONCATENATE(","&amp;J552&amp;","&amp;J552),CONCATENATE(","&amp;J552))&amp;
IF(ISBLANK(K552),"",IF(ISERROR(SEARCH(",",K552,1)),CONCATENATE(","&amp;K552&amp;","&amp;K552),CONCATENATE(","&amp;K552))))))&amp;
")","")&amp;" "&amp;F552)</f>
        <v/>
      </c>
    </row>
    <row r="553">
      <c r="A553" s="1" t="n">
        <v>652</v>
      </c>
      <c r="B553" s="1">
        <f>A553</f>
        <v/>
      </c>
      <c r="C553" s="1" t="inlineStr">
        <is>
          <t>vN31</t>
        </is>
      </c>
      <c r="D553" s="1" t="inlineStr">
        <is>
          <t>數值</t>
        </is>
      </c>
      <c r="E553" s="9" t="n">
        <v>3</v>
      </c>
      <c r="G553" s="1" t="inlineStr">
        <is>
          <t>range</t>
        </is>
      </c>
      <c r="H553" s="1" t="inlineStr">
        <is>
          <t>97</t>
        </is>
      </c>
      <c r="I553" s="1" t="inlineStr">
        <is>
          <t>98</t>
        </is>
      </c>
      <c r="L553" s="2">
        <f>_xlfn.CONCAT(IF(D553="數值",CONCATENATE(G553&amp;"("&amp;C553&amp;","&amp;
IF(ISERROR(SEARCH(",",H553,1)),(H553&amp;","&amp;H553),H553)&amp;
IF(ISBLANK(I553),"",IF(ISERROR(SEARCH(",",I553,1)),CONCATENATE(","&amp;I553&amp;","&amp;I553),CONCATENATE(","&amp;I553))&amp;
IF(ISBLANK(J553),"",IF(ISERROR(SEARCH(",",J553,1)),CONCATENATE(","&amp;J553&amp;","&amp;J553),CONCATENATE(","&amp;J553))&amp;
IF(ISBLANK(K553),"",IF(ISERROR(SEARCH(",",K553,1)),CONCATENATE(","&amp;K553&amp;","&amp;K553),CONCATENATE(","&amp;K553))))))&amp;
")","")&amp;" "&amp;F553)</f>
        <v/>
      </c>
    </row>
    <row r="554">
      <c r="A554" s="1" t="n">
        <v>653</v>
      </c>
      <c r="B554" s="1">
        <f>A554</f>
        <v/>
      </c>
      <c r="C554" s="1" t="inlineStr">
        <is>
          <t>vN32</t>
        </is>
      </c>
      <c r="D554" s="1" t="inlineStr">
        <is>
          <t>數值</t>
        </is>
      </c>
      <c r="E554" s="9" t="n">
        <v>3</v>
      </c>
      <c r="G554" s="1" t="inlineStr">
        <is>
          <t>range</t>
        </is>
      </c>
      <c r="H554" s="1" t="inlineStr">
        <is>
          <t>97</t>
        </is>
      </c>
      <c r="I554" s="1" t="inlineStr">
        <is>
          <t>98</t>
        </is>
      </c>
      <c r="L554" s="2">
        <f>_xlfn.CONCAT(IF(D554="數值",CONCATENATE(G554&amp;"("&amp;C554&amp;","&amp;
IF(ISERROR(SEARCH(",",H554,1)),(H554&amp;","&amp;H554),H554)&amp;
IF(ISBLANK(I554),"",IF(ISERROR(SEARCH(",",I554,1)),CONCATENATE(","&amp;I554&amp;","&amp;I554),CONCATENATE(","&amp;I554))&amp;
IF(ISBLANK(J554),"",IF(ISERROR(SEARCH(",",J554,1)),CONCATENATE(","&amp;J554&amp;","&amp;J554),CONCATENATE(","&amp;J554))&amp;
IF(ISBLANK(K554),"",IF(ISERROR(SEARCH(",",K554,1)),CONCATENATE(","&amp;K554&amp;","&amp;K554),CONCATENATE(","&amp;K554))))))&amp;
")","")&amp;" "&amp;F554)</f>
        <v/>
      </c>
    </row>
    <row r="555">
      <c r="A555" s="1" t="n">
        <v>654</v>
      </c>
      <c r="B555" s="1">
        <f>A555</f>
        <v/>
      </c>
      <c r="C555" s="1" t="inlineStr">
        <is>
          <t>vO5</t>
        </is>
      </c>
      <c r="D555" s="1" t="inlineStr">
        <is>
          <t>數值</t>
        </is>
      </c>
      <c r="E555" s="9" t="n">
        <v>2</v>
      </c>
      <c r="G555" s="1" t="inlineStr">
        <is>
          <t>range</t>
        </is>
      </c>
      <c r="H555" s="1" t="inlineStr">
        <is>
          <t>1,23</t>
        </is>
      </c>
      <c r="I555" s="1" t="inlineStr">
        <is>
          <t>97</t>
        </is>
      </c>
      <c r="J555" s="1" t="inlineStr">
        <is>
          <t>98</t>
        </is>
      </c>
      <c r="L555" s="2">
        <f>_xlfn.CONCAT(IF(D555="數值",CONCATENATE(G555&amp;"("&amp;C555&amp;","&amp;
IF(ISERROR(SEARCH(",",H555,1)),(H555&amp;","&amp;H555),H555)&amp;
IF(ISBLANK(I555),"",IF(ISERROR(SEARCH(",",I555,1)),CONCATENATE(","&amp;I555&amp;","&amp;I555),CONCATENATE(","&amp;I555))&amp;
IF(ISBLANK(J555),"",IF(ISERROR(SEARCH(",",J555,1)),CONCATENATE(","&amp;J555&amp;","&amp;J555),CONCATENATE(","&amp;J555))&amp;
IF(ISBLANK(K555),"",IF(ISERROR(SEARCH(",",K555,1)),CONCATENATE(","&amp;K555&amp;","&amp;K555),CONCATENATE(","&amp;K555))))))&amp;
")","")&amp;" "&amp;F555)</f>
        <v/>
      </c>
    </row>
    <row r="556">
      <c r="A556" s="1" t="n">
        <v>655</v>
      </c>
      <c r="B556" s="1">
        <f>A556</f>
        <v/>
      </c>
      <c r="C556" s="1" t="inlineStr">
        <is>
          <t>vN33sN33</t>
        </is>
      </c>
      <c r="D556" s="1" t="inlineStr">
        <is>
          <t>數值</t>
        </is>
      </c>
      <c r="E556" s="9" t="n">
        <v>2</v>
      </c>
      <c r="G556" s="1" t="inlineStr">
        <is>
          <t>range</t>
        </is>
      </c>
      <c r="H556" s="1" t="inlineStr">
        <is>
          <t>1,4</t>
        </is>
      </c>
      <c r="I556" s="1" t="inlineStr">
        <is>
          <t>97</t>
        </is>
      </c>
      <c r="J556" s="1" t="inlineStr">
        <is>
          <t>98</t>
        </is>
      </c>
      <c r="L556" s="2">
        <f>_xlfn.CONCAT(IF(D556="數值",CONCATENATE(G556&amp;"("&amp;C556&amp;","&amp;
IF(ISERROR(SEARCH(",",H556,1)),(H556&amp;","&amp;H556),H556)&amp;
IF(ISBLANK(I556),"",IF(ISERROR(SEARCH(",",I556,1)),CONCATENATE(","&amp;I556&amp;","&amp;I556),CONCATENATE(","&amp;I556))&amp;
IF(ISBLANK(J556),"",IF(ISERROR(SEARCH(",",J556,1)),CONCATENATE(","&amp;J556&amp;","&amp;J556),CONCATENATE(","&amp;J556))&amp;
IF(ISBLANK(K556),"",IF(ISERROR(SEARCH(",",K556,1)),CONCATENATE(","&amp;K556&amp;","&amp;K556),CONCATENATE(","&amp;K556))))))&amp;
")","")&amp;" "&amp;F556)</f>
        <v/>
      </c>
    </row>
    <row r="557">
      <c r="A557" s="1" t="n">
        <v>656</v>
      </c>
      <c r="B557" s="1">
        <f>A557</f>
        <v/>
      </c>
      <c r="C557" s="1" t="inlineStr">
        <is>
          <t>vN33sN34</t>
        </is>
      </c>
      <c r="D557" s="1" t="inlineStr">
        <is>
          <t>數值</t>
        </is>
      </c>
      <c r="E557" s="9" t="n">
        <v>2</v>
      </c>
      <c r="G557" s="1" t="inlineStr">
        <is>
          <t>range</t>
        </is>
      </c>
      <c r="H557" s="1" t="inlineStr">
        <is>
          <t>1,4</t>
        </is>
      </c>
      <c r="I557" s="1" t="inlineStr">
        <is>
          <t>97</t>
        </is>
      </c>
      <c r="J557" s="1" t="inlineStr">
        <is>
          <t>98</t>
        </is>
      </c>
      <c r="L557" s="2">
        <f>_xlfn.CONCAT(IF(D557="數值",CONCATENATE(G557&amp;"("&amp;C557&amp;","&amp;
IF(ISERROR(SEARCH(",",H557,1)),(H557&amp;","&amp;H557),H557)&amp;
IF(ISBLANK(I557),"",IF(ISERROR(SEARCH(",",I557,1)),CONCATENATE(","&amp;I557&amp;","&amp;I557),CONCATENATE(","&amp;I557))&amp;
IF(ISBLANK(J557),"",IF(ISERROR(SEARCH(",",J557,1)),CONCATENATE(","&amp;J557&amp;","&amp;J557),CONCATENATE(","&amp;J557))&amp;
IF(ISBLANK(K557),"",IF(ISERROR(SEARCH(",",K557,1)),CONCATENATE(","&amp;K557&amp;","&amp;K557),CONCATENATE(","&amp;K557))))))&amp;
")","")&amp;" "&amp;F557)</f>
        <v/>
      </c>
    </row>
    <row r="558">
      <c r="A558" s="1" t="n">
        <v>657</v>
      </c>
      <c r="B558" s="1">
        <f>A558</f>
        <v/>
      </c>
      <c r="C558" s="1" t="inlineStr">
        <is>
          <t>vN35sN35</t>
        </is>
      </c>
      <c r="D558" s="1" t="inlineStr">
        <is>
          <t>數值</t>
        </is>
      </c>
      <c r="E558" s="9" t="n">
        <v>2</v>
      </c>
      <c r="G558" s="1" t="inlineStr">
        <is>
          <t>range</t>
        </is>
      </c>
      <c r="H558" s="1" t="inlineStr">
        <is>
          <t>0,7</t>
        </is>
      </c>
      <c r="I558" s="1" t="inlineStr">
        <is>
          <t>97</t>
        </is>
      </c>
      <c r="J558" s="1" t="inlineStr">
        <is>
          <t>98</t>
        </is>
      </c>
      <c r="L558" s="2">
        <f>_xlfn.CONCAT(IF(D558="數值",CONCATENATE(G558&amp;"("&amp;C558&amp;","&amp;
IF(ISERROR(SEARCH(",",H558,1)),(H558&amp;","&amp;H558),H558)&amp;
IF(ISBLANK(I558),"",IF(ISERROR(SEARCH(",",I558,1)),CONCATENATE(","&amp;I558&amp;","&amp;I558),CONCATENATE(","&amp;I558))&amp;
IF(ISBLANK(J558),"",IF(ISERROR(SEARCH(",",J558,1)),CONCATENATE(","&amp;J558&amp;","&amp;J558),CONCATENATE(","&amp;J558))&amp;
IF(ISBLANK(K558),"",IF(ISERROR(SEARCH(",",K558,1)),CONCATENATE(","&amp;K558&amp;","&amp;K558),CONCATENATE(","&amp;K558))))))&amp;
")","")&amp;" "&amp;F558)</f>
        <v/>
      </c>
    </row>
    <row r="559">
      <c r="A559" s="1" t="n">
        <v>658</v>
      </c>
      <c r="B559" s="1">
        <f>A559</f>
        <v/>
      </c>
      <c r="C559" s="1" t="inlineStr">
        <is>
          <t>vN35sN36</t>
        </is>
      </c>
      <c r="D559" s="1" t="inlineStr">
        <is>
          <t>數值</t>
        </is>
      </c>
      <c r="E559" s="9" t="n">
        <v>2</v>
      </c>
      <c r="G559" s="1" t="inlineStr">
        <is>
          <t>range</t>
        </is>
      </c>
      <c r="H559" s="1" t="inlineStr">
        <is>
          <t>0,7</t>
        </is>
      </c>
      <c r="I559" s="1" t="inlineStr">
        <is>
          <t>97</t>
        </is>
      </c>
      <c r="J559" s="1" t="inlineStr">
        <is>
          <t>98</t>
        </is>
      </c>
      <c r="L559" s="2">
        <f>_xlfn.CONCAT(IF(D559="數值",CONCATENATE(G559&amp;"("&amp;C559&amp;","&amp;
IF(ISERROR(SEARCH(",",H559,1)),(H559&amp;","&amp;H559),H559)&amp;
IF(ISBLANK(I559),"",IF(ISERROR(SEARCH(",",I559,1)),CONCATENATE(","&amp;I559&amp;","&amp;I559),CONCATENATE(","&amp;I559))&amp;
IF(ISBLANK(J559),"",IF(ISERROR(SEARCH(",",J559,1)),CONCATENATE(","&amp;J559&amp;","&amp;J559),CONCATENATE(","&amp;J559))&amp;
IF(ISBLANK(K559),"",IF(ISERROR(SEARCH(",",K559,1)),CONCATENATE(","&amp;K559&amp;","&amp;K559),CONCATENATE(","&amp;K559))))))&amp;
")","")&amp;" "&amp;F559)</f>
        <v/>
      </c>
    </row>
    <row r="560">
      <c r="A560" s="1" t="n">
        <v>659</v>
      </c>
      <c r="B560" s="1">
        <f>A560</f>
        <v/>
      </c>
      <c r="C560" s="1" t="inlineStr">
        <is>
          <t>vN35sN37</t>
        </is>
      </c>
      <c r="D560" s="1" t="inlineStr">
        <is>
          <t>數值</t>
        </is>
      </c>
      <c r="E560" s="9" t="n">
        <v>2</v>
      </c>
      <c r="G560" s="1" t="inlineStr">
        <is>
          <t>range</t>
        </is>
      </c>
      <c r="H560" s="1" t="inlineStr">
        <is>
          <t>0,7</t>
        </is>
      </c>
      <c r="I560" s="1" t="inlineStr">
        <is>
          <t>97</t>
        </is>
      </c>
      <c r="J560" s="1" t="inlineStr">
        <is>
          <t>98</t>
        </is>
      </c>
      <c r="L560" s="2">
        <f>_xlfn.CONCAT(IF(D560="數值",CONCATENATE(G560&amp;"("&amp;C560&amp;","&amp;
IF(ISERROR(SEARCH(",",H560,1)),(H560&amp;","&amp;H560),H560)&amp;
IF(ISBLANK(I560),"",IF(ISERROR(SEARCH(",",I560,1)),CONCATENATE(","&amp;I560&amp;","&amp;I560),CONCATENATE(","&amp;I560))&amp;
IF(ISBLANK(J560),"",IF(ISERROR(SEARCH(",",J560,1)),CONCATENATE(","&amp;J560&amp;","&amp;J560),CONCATENATE(","&amp;J560))&amp;
IF(ISBLANK(K560),"",IF(ISERROR(SEARCH(",",K560,1)),CONCATENATE(","&amp;K560&amp;","&amp;K560),CONCATENATE(","&amp;K560))))))&amp;
")","")&amp;" "&amp;F560)</f>
        <v/>
      </c>
    </row>
    <row r="561">
      <c r="A561" s="1" t="n">
        <v>660</v>
      </c>
      <c r="B561" s="1">
        <f>A561</f>
        <v/>
      </c>
      <c r="C561" s="1" t="inlineStr">
        <is>
          <t>vN35sN38</t>
        </is>
      </c>
      <c r="D561" s="1" t="inlineStr">
        <is>
          <t>數值</t>
        </is>
      </c>
      <c r="E561" s="9" t="n">
        <v>2</v>
      </c>
      <c r="G561" s="1" t="inlineStr">
        <is>
          <t>range</t>
        </is>
      </c>
      <c r="H561" s="1" t="inlineStr">
        <is>
          <t>0,7</t>
        </is>
      </c>
      <c r="I561" s="1" t="inlineStr">
        <is>
          <t>97</t>
        </is>
      </c>
      <c r="J561" s="1" t="inlineStr">
        <is>
          <t>98</t>
        </is>
      </c>
      <c r="L561" s="2">
        <f>_xlfn.CONCAT(IF(D561="數值",CONCATENATE(G561&amp;"("&amp;C561&amp;","&amp;
IF(ISERROR(SEARCH(",",H561,1)),(H561&amp;","&amp;H561),H561)&amp;
IF(ISBLANK(I561),"",IF(ISERROR(SEARCH(",",I561,1)),CONCATENATE(","&amp;I561&amp;","&amp;I561),CONCATENATE(","&amp;I561))&amp;
IF(ISBLANK(J561),"",IF(ISERROR(SEARCH(",",J561,1)),CONCATENATE(","&amp;J561&amp;","&amp;J561),CONCATENATE(","&amp;J561))&amp;
IF(ISBLANK(K561),"",IF(ISERROR(SEARCH(",",K561,1)),CONCATENATE(","&amp;K561&amp;","&amp;K561),CONCATENATE(","&amp;K561))))))&amp;
")","")&amp;" "&amp;F561)</f>
        <v/>
      </c>
    </row>
    <row r="562">
      <c r="A562" s="1" t="n">
        <v>661</v>
      </c>
      <c r="B562" s="1">
        <f>A562</f>
        <v/>
      </c>
      <c r="C562" s="1" t="inlineStr">
        <is>
          <t>vQa</t>
        </is>
      </c>
      <c r="D562" s="1" t="inlineStr">
        <is>
          <t>數值</t>
        </is>
      </c>
      <c r="E562" s="9" t="n">
        <v>14</v>
      </c>
      <c r="G562" s="1" t="inlineStr">
        <is>
          <t>range</t>
        </is>
      </c>
      <c r="H562" s="1" t="inlineStr">
        <is>
          <t>20260615000000,20260915000000</t>
        </is>
      </c>
      <c r="L562" s="2">
        <f>_xlfn.CONCAT(IF(D562="數值",CONCATENATE(G562&amp;"("&amp;C562&amp;","&amp;
IF(ISERROR(SEARCH(",",H562,1)),(H562&amp;","&amp;H562),H562)&amp;
IF(ISBLANK(I562),"",IF(ISERROR(SEARCH(",",I562,1)),CONCATENATE(","&amp;I562&amp;","&amp;I562),CONCATENATE(","&amp;I562))&amp;
IF(ISBLANK(J562),"",IF(ISERROR(SEARCH(",",J562,1)),CONCATENATE(","&amp;J562&amp;","&amp;J562),CONCATENATE(","&amp;J562))&amp;
IF(ISBLANK(K562),"",IF(ISERROR(SEARCH(",",K562,1)),CONCATENATE(","&amp;K562&amp;","&amp;K562),CONCATENATE(","&amp;K562))))))&amp;
")","")&amp;" "&amp;F562)</f>
        <v/>
      </c>
    </row>
    <row r="563">
      <c r="A563" s="1" t="n">
        <v>662</v>
      </c>
      <c r="B563" s="1">
        <f>A563</f>
        <v/>
      </c>
      <c r="C563" s="1" t="inlineStr">
        <is>
          <t>vQ1</t>
        </is>
      </c>
      <c r="D563" s="1" t="inlineStr">
        <is>
          <t>數值</t>
        </is>
      </c>
      <c r="E563" s="9" t="n">
        <v>2</v>
      </c>
      <c r="G563" s="1" t="inlineStr">
        <is>
          <t>range</t>
        </is>
      </c>
      <c r="H563" s="1" t="inlineStr">
        <is>
          <t>1,4</t>
        </is>
      </c>
      <c r="I563" s="1" t="inlineStr">
        <is>
          <t>97</t>
        </is>
      </c>
      <c r="J563" s="1" t="inlineStr">
        <is>
          <t>98</t>
        </is>
      </c>
      <c r="L563" s="2">
        <f>_xlfn.CONCAT(IF(D563="數值",CONCATENATE(G563&amp;"("&amp;C563&amp;","&amp;
IF(ISERROR(SEARCH(",",H563,1)),(H563&amp;","&amp;H563),H563)&amp;
IF(ISBLANK(I563),"",IF(ISERROR(SEARCH(",",I563,1)),CONCATENATE(","&amp;I563&amp;","&amp;I563),CONCATENATE(","&amp;I563))&amp;
IF(ISBLANK(J563),"",IF(ISERROR(SEARCH(",",J563,1)),CONCATENATE(","&amp;J563&amp;","&amp;J563),CONCATENATE(","&amp;J563))&amp;
IF(ISBLANK(K563),"",IF(ISERROR(SEARCH(",",K563,1)),CONCATENATE(","&amp;K563&amp;","&amp;K563),CONCATENATE(","&amp;K563))))))&amp;
")","")&amp;" "&amp;F563)</f>
        <v/>
      </c>
    </row>
    <row r="564">
      <c r="A564" s="1" t="n">
        <v>663</v>
      </c>
      <c r="B564" s="1">
        <f>A564</f>
        <v/>
      </c>
      <c r="C564" s="1" t="inlineStr">
        <is>
          <t>vQ2</t>
        </is>
      </c>
      <c r="D564" s="1" t="inlineStr">
        <is>
          <t>數值</t>
        </is>
      </c>
      <c r="E564" s="9" t="n">
        <v>2</v>
      </c>
      <c r="G564" s="1" t="inlineStr">
        <is>
          <t>range</t>
        </is>
      </c>
      <c r="H564" s="1" t="inlineStr">
        <is>
          <t>1,4</t>
        </is>
      </c>
      <c r="I564" s="1" t="inlineStr">
        <is>
          <t>97</t>
        </is>
      </c>
      <c r="J564" s="1" t="inlineStr">
        <is>
          <t>98</t>
        </is>
      </c>
      <c r="L564" s="2">
        <f>_xlfn.CONCAT(IF(D564="數值",CONCATENATE(G564&amp;"("&amp;C564&amp;","&amp;
IF(ISERROR(SEARCH(",",H564,1)),(H564&amp;","&amp;H564),H564)&amp;
IF(ISBLANK(I564),"",IF(ISERROR(SEARCH(",",I564,1)),CONCATENATE(","&amp;I564&amp;","&amp;I564),CONCATENATE(","&amp;I564))&amp;
IF(ISBLANK(J564),"",IF(ISERROR(SEARCH(",",J564,1)),CONCATENATE(","&amp;J564&amp;","&amp;J564),CONCATENATE(","&amp;J564))&amp;
IF(ISBLANK(K564),"",IF(ISERROR(SEARCH(",",K564,1)),CONCATENATE(","&amp;K564&amp;","&amp;K564),CONCATENATE(","&amp;K564))))))&amp;
")","")&amp;" "&amp;F564)</f>
        <v/>
      </c>
    </row>
    <row r="565">
      <c r="A565" s="1" t="n">
        <v>664</v>
      </c>
      <c r="B565" s="1">
        <f>A565</f>
        <v/>
      </c>
      <c r="C565" s="1" t="inlineStr">
        <is>
          <t>vQ3</t>
        </is>
      </c>
      <c r="D565" s="1" t="inlineStr">
        <is>
          <t>數值</t>
        </is>
      </c>
      <c r="E565" s="9" t="n">
        <v>2</v>
      </c>
      <c r="G565" s="1" t="inlineStr">
        <is>
          <t>range</t>
        </is>
      </c>
      <c r="H565" s="1" t="inlineStr">
        <is>
          <t>1,8</t>
        </is>
      </c>
      <c r="I565" s="1" t="inlineStr">
        <is>
          <t>97</t>
        </is>
      </c>
      <c r="J565" s="1" t="inlineStr">
        <is>
          <t>98</t>
        </is>
      </c>
      <c r="L565" s="2">
        <f>_xlfn.CONCAT(IF(D565="數值",CONCATENATE(G565&amp;"("&amp;C565&amp;","&amp;
IF(ISERROR(SEARCH(",",H565,1)),(H565&amp;","&amp;H565),H565)&amp;
IF(ISBLANK(I565),"",IF(ISERROR(SEARCH(",",I565,1)),CONCATENATE(","&amp;I565&amp;","&amp;I565),CONCATENATE(","&amp;I565))&amp;
IF(ISBLANK(J565),"",IF(ISERROR(SEARCH(",",J565,1)),CONCATENATE(","&amp;J565&amp;","&amp;J565),CONCATENATE(","&amp;J565))&amp;
IF(ISBLANK(K565),"",IF(ISERROR(SEARCH(",",K565,1)),CONCATENATE(","&amp;K565&amp;","&amp;K565),CONCATENATE(","&amp;K565))))))&amp;
")","")&amp;" "&amp;F565)</f>
        <v/>
      </c>
    </row>
    <row r="566">
      <c r="A566" s="1" t="n">
        <v>665</v>
      </c>
      <c r="B566" s="1">
        <f>A566</f>
        <v/>
      </c>
      <c r="C566" s="1" t="inlineStr">
        <is>
          <t>vQ4</t>
        </is>
      </c>
      <c r="D566" s="1" t="inlineStr">
        <is>
          <t>數值</t>
        </is>
      </c>
      <c r="E566" s="9" t="n">
        <v>2</v>
      </c>
      <c r="G566" s="1" t="inlineStr">
        <is>
          <t>range</t>
        </is>
      </c>
      <c r="H566" s="1" t="inlineStr">
        <is>
          <t>1,8</t>
        </is>
      </c>
      <c r="I566" s="1" t="inlineStr">
        <is>
          <t>97</t>
        </is>
      </c>
      <c r="J566" s="1" t="inlineStr">
        <is>
          <t>98</t>
        </is>
      </c>
      <c r="L566" s="2">
        <f>_xlfn.CONCAT(IF(D566="數值",CONCATENATE(G566&amp;"("&amp;C566&amp;","&amp;
IF(ISERROR(SEARCH(",",H566,1)),(H566&amp;","&amp;H566),H566)&amp;
IF(ISBLANK(I566),"",IF(ISERROR(SEARCH(",",I566,1)),CONCATENATE(","&amp;I566&amp;","&amp;I566),CONCATENATE(","&amp;I566))&amp;
IF(ISBLANK(J566),"",IF(ISERROR(SEARCH(",",J566,1)),CONCATENATE(","&amp;J566&amp;","&amp;J566),CONCATENATE(","&amp;J566))&amp;
IF(ISBLANK(K566),"",IF(ISERROR(SEARCH(",",K566,1)),CONCATENATE(","&amp;K566&amp;","&amp;K566),CONCATENATE(","&amp;K566))))))&amp;
")","")&amp;" "&amp;F566)</f>
        <v/>
      </c>
    </row>
    <row r="567">
      <c r="A567" s="1" t="n">
        <v>666</v>
      </c>
      <c r="B567" s="1">
        <f>A567</f>
        <v/>
      </c>
      <c r="C567" s="1" t="inlineStr">
        <is>
          <t>vQ5</t>
        </is>
      </c>
      <c r="D567" s="1" t="inlineStr">
        <is>
          <t>數值</t>
        </is>
      </c>
      <c r="E567" s="9" t="n">
        <v>2</v>
      </c>
      <c r="G567" s="1" t="inlineStr">
        <is>
          <t>range</t>
        </is>
      </c>
      <c r="H567" s="1" t="inlineStr">
        <is>
          <t>1,2</t>
        </is>
      </c>
      <c r="I567" s="1" t="inlineStr">
        <is>
          <t>97</t>
        </is>
      </c>
      <c r="J567" s="1" t="inlineStr">
        <is>
          <t>98</t>
        </is>
      </c>
      <c r="L567" s="2">
        <f>_xlfn.CONCAT(IF(D567="數值",CONCATENATE(G567&amp;"("&amp;C567&amp;","&amp;
IF(ISERROR(SEARCH(",",H567,1)),(H567&amp;","&amp;H567),H567)&amp;
IF(ISBLANK(I567),"",IF(ISERROR(SEARCH(",",I567,1)),CONCATENATE(","&amp;I567&amp;","&amp;I567),CONCATENATE(","&amp;I567))&amp;
IF(ISBLANK(J567),"",IF(ISERROR(SEARCH(",",J567,1)),CONCATENATE(","&amp;J567&amp;","&amp;J567),CONCATENATE(","&amp;J567))&amp;
IF(ISBLANK(K567),"",IF(ISERROR(SEARCH(",",K567,1)),CONCATENATE(","&amp;K567&amp;","&amp;K567),CONCATENATE(","&amp;K567))))))&amp;
")","")&amp;" "&amp;F567)</f>
        <v/>
      </c>
    </row>
    <row r="568">
      <c r="A568" s="1" t="n">
        <v>667</v>
      </c>
      <c r="B568" s="1">
        <f>A568</f>
        <v/>
      </c>
      <c r="C568" s="1" t="inlineStr">
        <is>
          <t>vQ6</t>
        </is>
      </c>
      <c r="D568" s="1" t="inlineStr">
        <is>
          <t>數值</t>
        </is>
      </c>
      <c r="E568" s="9" t="n">
        <v>2</v>
      </c>
      <c r="G568" s="1" t="inlineStr">
        <is>
          <t>range</t>
        </is>
      </c>
      <c r="H568" s="1" t="inlineStr">
        <is>
          <t>1,4</t>
        </is>
      </c>
      <c r="I568" s="1" t="inlineStr">
        <is>
          <t>90</t>
        </is>
      </c>
      <c r="J568" s="1" t="inlineStr">
        <is>
          <t>97</t>
        </is>
      </c>
      <c r="K568" s="1" t="inlineStr">
        <is>
          <t>98</t>
        </is>
      </c>
      <c r="L568" s="2">
        <f>_xlfn.CONCAT(IF(D568="數值",CONCATENATE(G568&amp;"("&amp;C568&amp;","&amp;
IF(ISERROR(SEARCH(",",H568,1)),(H568&amp;","&amp;H568),H568)&amp;
IF(ISBLANK(I568),"",IF(ISERROR(SEARCH(",",I568,1)),CONCATENATE(","&amp;I568&amp;","&amp;I568),CONCATENATE(","&amp;I568))&amp;
IF(ISBLANK(J568),"",IF(ISERROR(SEARCH(",",J568,1)),CONCATENATE(","&amp;J568&amp;","&amp;J568),CONCATENATE(","&amp;J568))&amp;
IF(ISBLANK(K568),"",IF(ISERROR(SEARCH(",",K568,1)),CONCATENATE(","&amp;K568&amp;","&amp;K568),CONCATENATE(","&amp;K568))))))&amp;
")","")&amp;" "&amp;F568)</f>
        <v/>
      </c>
    </row>
    <row r="569">
      <c r="A569" s="1" t="n">
        <v>668</v>
      </c>
      <c r="B569" s="1">
        <f>A569</f>
        <v/>
      </c>
      <c r="C569" s="1" t="inlineStr">
        <is>
          <t>vQ7</t>
        </is>
      </c>
      <c r="D569" s="1" t="inlineStr">
        <is>
          <t>數值</t>
        </is>
      </c>
      <c r="E569" s="9" t="n">
        <v>2</v>
      </c>
      <c r="G569" s="1" t="inlineStr">
        <is>
          <t>range</t>
        </is>
      </c>
      <c r="H569" s="1" t="inlineStr">
        <is>
          <t>1,4</t>
        </is>
      </c>
      <c r="I569" s="1" t="inlineStr">
        <is>
          <t>90</t>
        </is>
      </c>
      <c r="J569" s="1" t="inlineStr">
        <is>
          <t>97</t>
        </is>
      </c>
      <c r="K569" s="1" t="inlineStr">
        <is>
          <t>98</t>
        </is>
      </c>
      <c r="L569" s="2">
        <f>_xlfn.CONCAT(IF(D569="數值",CONCATENATE(G569&amp;"("&amp;C569&amp;","&amp;
IF(ISERROR(SEARCH(",",H569,1)),(H569&amp;","&amp;H569),H569)&amp;
IF(ISBLANK(I569),"",IF(ISERROR(SEARCH(",",I569,1)),CONCATENATE(","&amp;I569&amp;","&amp;I569),CONCATENATE(","&amp;I569))&amp;
IF(ISBLANK(J569),"",IF(ISERROR(SEARCH(",",J569,1)),CONCATENATE(","&amp;J569&amp;","&amp;J569),CONCATENATE(","&amp;J569))&amp;
IF(ISBLANK(K569),"",IF(ISERROR(SEARCH(",",K569,1)),CONCATENATE(","&amp;K569&amp;","&amp;K569),CONCATENATE(","&amp;K569))))))&amp;
")","")&amp;" "&amp;F569)</f>
        <v/>
      </c>
    </row>
    <row r="570">
      <c r="A570" s="1" t="n">
        <v>669</v>
      </c>
      <c r="B570" s="1">
        <f>A570</f>
        <v/>
      </c>
      <c r="C570" s="1" t="inlineStr">
        <is>
          <t>vQ8</t>
        </is>
      </c>
      <c r="D570" s="1" t="inlineStr">
        <is>
          <t>數值</t>
        </is>
      </c>
      <c r="E570" s="9" t="n">
        <v>2</v>
      </c>
      <c r="G570" s="1" t="inlineStr">
        <is>
          <t>range</t>
        </is>
      </c>
      <c r="H570" s="1" t="inlineStr">
        <is>
          <t>1,4</t>
        </is>
      </c>
      <c r="I570" s="1" t="inlineStr">
        <is>
          <t>90</t>
        </is>
      </c>
      <c r="J570" s="1" t="inlineStr">
        <is>
          <t>97</t>
        </is>
      </c>
      <c r="K570" s="1" t="inlineStr">
        <is>
          <t>98</t>
        </is>
      </c>
      <c r="L570" s="2">
        <f>_xlfn.CONCAT(IF(D570="數值",CONCATENATE(G570&amp;"("&amp;C570&amp;","&amp;
IF(ISERROR(SEARCH(",",H570,1)),(H570&amp;","&amp;H570),H570)&amp;
IF(ISBLANK(I570),"",IF(ISERROR(SEARCH(",",I570,1)),CONCATENATE(","&amp;I570&amp;","&amp;I570),CONCATENATE(","&amp;I570))&amp;
IF(ISBLANK(J570),"",IF(ISERROR(SEARCH(",",J570,1)),CONCATENATE(","&amp;J570&amp;","&amp;J570),CONCATENATE(","&amp;J570))&amp;
IF(ISBLANK(K570),"",IF(ISERROR(SEARCH(",",K570,1)),CONCATENATE(","&amp;K570&amp;","&amp;K570),CONCATENATE(","&amp;K570))))))&amp;
")","")&amp;" "&amp;F570)</f>
        <v/>
      </c>
    </row>
    <row r="571">
      <c r="A571" s="1" t="n">
        <v>670</v>
      </c>
      <c r="B571" s="1">
        <f>A571</f>
        <v/>
      </c>
      <c r="C571" s="1" t="inlineStr">
        <is>
          <t>vQ9</t>
        </is>
      </c>
      <c r="D571" s="1" t="inlineStr">
        <is>
          <t>數值</t>
        </is>
      </c>
      <c r="E571" s="9" t="n">
        <v>2</v>
      </c>
      <c r="G571" s="1" t="inlineStr">
        <is>
          <t>range</t>
        </is>
      </c>
      <c r="H571" s="1" t="inlineStr">
        <is>
          <t>1,4</t>
        </is>
      </c>
      <c r="I571" s="1" t="inlineStr">
        <is>
          <t>90</t>
        </is>
      </c>
      <c r="J571" s="1" t="inlineStr">
        <is>
          <t>97</t>
        </is>
      </c>
      <c r="K571" s="1" t="inlineStr">
        <is>
          <t>98</t>
        </is>
      </c>
      <c r="L571" s="2">
        <f>_xlfn.CONCAT(IF(D571="數值",CONCATENATE(G571&amp;"("&amp;C571&amp;","&amp;
IF(ISERROR(SEARCH(",",H571,1)),(H571&amp;","&amp;H571),H571)&amp;
IF(ISBLANK(I571),"",IF(ISERROR(SEARCH(",",I571,1)),CONCATENATE(","&amp;I571&amp;","&amp;I571),CONCATENATE(","&amp;I571))&amp;
IF(ISBLANK(J571),"",IF(ISERROR(SEARCH(",",J571,1)),CONCATENATE(","&amp;J571&amp;","&amp;J571),CONCATENATE(","&amp;J571))&amp;
IF(ISBLANK(K571),"",IF(ISERROR(SEARCH(",",K571,1)),CONCATENATE(","&amp;K571&amp;","&amp;K571),CONCATENATE(","&amp;K571))))))&amp;
")","")&amp;" "&amp;F571)</f>
        <v/>
      </c>
    </row>
    <row r="572">
      <c r="A572" s="1" t="n">
        <v>671</v>
      </c>
      <c r="B572" s="1">
        <f>A572</f>
        <v/>
      </c>
      <c r="C572" s="1" t="inlineStr">
        <is>
          <t>vQ10</t>
        </is>
      </c>
      <c r="D572" s="1" t="inlineStr">
        <is>
          <t>數值</t>
        </is>
      </c>
      <c r="E572" s="9" t="n">
        <v>2</v>
      </c>
      <c r="G572" s="1" t="inlineStr">
        <is>
          <t>range</t>
        </is>
      </c>
      <c r="H572" s="1" t="inlineStr">
        <is>
          <t>1,2</t>
        </is>
      </c>
      <c r="I572" s="1" t="inlineStr">
        <is>
          <t>97</t>
        </is>
      </c>
      <c r="J572" s="1" t="inlineStr">
        <is>
          <t>98</t>
        </is>
      </c>
      <c r="L572" s="2">
        <f>_xlfn.CONCAT(IF(D572="數值",CONCATENATE(G572&amp;"("&amp;C572&amp;","&amp;
IF(ISERROR(SEARCH(",",H572,1)),(H572&amp;","&amp;H572),H572)&amp;
IF(ISBLANK(I572),"",IF(ISERROR(SEARCH(",",I572,1)),CONCATENATE(","&amp;I572&amp;","&amp;I572),CONCATENATE(","&amp;I572))&amp;
IF(ISBLANK(J572),"",IF(ISERROR(SEARCH(",",J572,1)),CONCATENATE(","&amp;J572&amp;","&amp;J572),CONCATENATE(","&amp;J572))&amp;
IF(ISBLANK(K572),"",IF(ISERROR(SEARCH(",",K572,1)),CONCATENATE(","&amp;K572&amp;","&amp;K572),CONCATENATE(","&amp;K572))))))&amp;
")","")&amp;" "&amp;F572)</f>
        <v/>
      </c>
    </row>
    <row r="573">
      <c r="A573" s="1" t="n">
        <v>672</v>
      </c>
      <c r="B573" s="1">
        <f>A573</f>
        <v/>
      </c>
      <c r="C573" s="1" t="inlineStr">
        <is>
          <t>vCKQ10</t>
        </is>
      </c>
      <c r="D573" s="1" t="inlineStr">
        <is>
          <t>數值</t>
        </is>
      </c>
      <c r="E573" s="9" t="n">
        <v>2</v>
      </c>
      <c r="G573" s="1" t="inlineStr">
        <is>
          <t>range</t>
        </is>
      </c>
      <c r="H573" s="1" t="inlineStr">
        <is>
          <t>1,2</t>
        </is>
      </c>
      <c r="L573" s="2">
        <f>_xlfn.CONCAT(IF(D573="數值",CONCATENATE(G573&amp;"("&amp;C573&amp;","&amp;
IF(ISERROR(SEARCH(",",H573,1)),(H573&amp;","&amp;H573),H573)&amp;
IF(ISBLANK(I573),"",IF(ISERROR(SEARCH(",",I573,1)),CONCATENATE(","&amp;I573&amp;","&amp;I573),CONCATENATE(","&amp;I573))&amp;
IF(ISBLANK(J573),"",IF(ISERROR(SEARCH(",",J573,1)),CONCATENATE(","&amp;J573&amp;","&amp;J573),CONCATENATE(","&amp;J573))&amp;
IF(ISBLANK(K573),"",IF(ISERROR(SEARCH(",",K573,1)),CONCATENATE(","&amp;K573&amp;","&amp;K573),CONCATENATE(","&amp;K573))))))&amp;
")","")&amp;" "&amp;F573)</f>
        <v/>
      </c>
    </row>
    <row r="574">
      <c r="A574" s="1" t="n">
        <v>673</v>
      </c>
      <c r="B574" s="1">
        <f>A574</f>
        <v/>
      </c>
      <c r="C574" s="1" t="inlineStr">
        <is>
          <t>vQ11</t>
        </is>
      </c>
      <c r="D574" s="1" t="inlineStr">
        <is>
          <t>數值</t>
        </is>
      </c>
      <c r="E574" s="9" t="n">
        <v>2</v>
      </c>
      <c r="G574" s="1" t="inlineStr">
        <is>
          <t>range</t>
        </is>
      </c>
      <c r="H574" s="1" t="inlineStr">
        <is>
          <t>1,4</t>
        </is>
      </c>
      <c r="I574" s="1" t="inlineStr">
        <is>
          <t>90</t>
        </is>
      </c>
      <c r="J574" s="1" t="inlineStr">
        <is>
          <t>97</t>
        </is>
      </c>
      <c r="K574" s="1" t="inlineStr">
        <is>
          <t>98</t>
        </is>
      </c>
      <c r="L574" s="2">
        <f>_xlfn.CONCAT(IF(D574="數值",CONCATENATE(G574&amp;"("&amp;C574&amp;","&amp;
IF(ISERROR(SEARCH(",",H574,1)),(H574&amp;","&amp;H574),H574)&amp;
IF(ISBLANK(I574),"",IF(ISERROR(SEARCH(",",I574,1)),CONCATENATE(","&amp;I574&amp;","&amp;I574),CONCATENATE(","&amp;I574))&amp;
IF(ISBLANK(J574),"",IF(ISERROR(SEARCH(",",J574,1)),CONCATENATE(","&amp;J574&amp;","&amp;J574),CONCATENATE(","&amp;J574))&amp;
IF(ISBLANK(K574),"",IF(ISERROR(SEARCH(",",K574,1)),CONCATENATE(","&amp;K574&amp;","&amp;K574),CONCATENATE(","&amp;K574))))))&amp;
")","")&amp;" "&amp;F574)</f>
        <v/>
      </c>
    </row>
    <row r="575">
      <c r="A575" s="1" t="n">
        <v>674</v>
      </c>
      <c r="B575" s="1">
        <f>A575</f>
        <v/>
      </c>
      <c r="C575" s="1" t="inlineStr">
        <is>
          <t>vQ12</t>
        </is>
      </c>
      <c r="D575" s="1" t="inlineStr">
        <is>
          <t>數值</t>
        </is>
      </c>
      <c r="E575" s="9" t="n">
        <v>2</v>
      </c>
      <c r="G575" s="1" t="inlineStr">
        <is>
          <t>range</t>
        </is>
      </c>
      <c r="H575" s="1" t="inlineStr">
        <is>
          <t>1,4</t>
        </is>
      </c>
      <c r="I575" s="1" t="inlineStr">
        <is>
          <t>90</t>
        </is>
      </c>
      <c r="J575" s="1" t="inlineStr">
        <is>
          <t>97</t>
        </is>
      </c>
      <c r="K575" s="1" t="inlineStr">
        <is>
          <t>98</t>
        </is>
      </c>
      <c r="L575" s="2">
        <f>_xlfn.CONCAT(IF(D575="數值",CONCATENATE(G575&amp;"("&amp;C575&amp;","&amp;
IF(ISERROR(SEARCH(",",H575,1)),(H575&amp;","&amp;H575),H575)&amp;
IF(ISBLANK(I575),"",IF(ISERROR(SEARCH(",",I575,1)),CONCATENATE(","&amp;I575&amp;","&amp;I575),CONCATENATE(","&amp;I575))&amp;
IF(ISBLANK(J575),"",IF(ISERROR(SEARCH(",",J575,1)),CONCATENATE(","&amp;J575&amp;","&amp;J575),CONCATENATE(","&amp;J575))&amp;
IF(ISBLANK(K575),"",IF(ISERROR(SEARCH(",",K575,1)),CONCATENATE(","&amp;K575&amp;","&amp;K575),CONCATENATE(","&amp;K575))))))&amp;
")","")&amp;" "&amp;F575)</f>
        <v/>
      </c>
    </row>
    <row r="576">
      <c r="A576" s="1" t="n">
        <v>675</v>
      </c>
      <c r="B576" s="1">
        <f>A576</f>
        <v/>
      </c>
      <c r="C576" s="1" t="inlineStr">
        <is>
          <t>vQ13</t>
        </is>
      </c>
      <c r="D576" s="1" t="inlineStr">
        <is>
          <t>數值</t>
        </is>
      </c>
      <c r="E576" s="9" t="n">
        <v>2</v>
      </c>
      <c r="G576" s="1" t="inlineStr">
        <is>
          <t>range</t>
        </is>
      </c>
      <c r="H576" s="1" t="inlineStr">
        <is>
          <t>1,4</t>
        </is>
      </c>
      <c r="I576" s="1" t="inlineStr">
        <is>
          <t>90</t>
        </is>
      </c>
      <c r="J576" s="1" t="inlineStr">
        <is>
          <t>97</t>
        </is>
      </c>
      <c r="K576" s="1" t="inlineStr">
        <is>
          <t>98</t>
        </is>
      </c>
      <c r="L576" s="2">
        <f>_xlfn.CONCAT(IF(D576="數值",CONCATENATE(G576&amp;"("&amp;C576&amp;","&amp;
IF(ISERROR(SEARCH(",",H576,1)),(H576&amp;","&amp;H576),H576)&amp;
IF(ISBLANK(I576),"",IF(ISERROR(SEARCH(",",I576,1)),CONCATENATE(","&amp;I576&amp;","&amp;I576),CONCATENATE(","&amp;I576))&amp;
IF(ISBLANK(J576),"",IF(ISERROR(SEARCH(",",J576,1)),CONCATENATE(","&amp;J576&amp;","&amp;J576),CONCATENATE(","&amp;J576))&amp;
IF(ISBLANK(K576),"",IF(ISERROR(SEARCH(",",K576,1)),CONCATENATE(","&amp;K576&amp;","&amp;K576),CONCATENATE(","&amp;K576))))))&amp;
")","")&amp;" "&amp;F576)</f>
        <v/>
      </c>
    </row>
    <row r="577">
      <c r="A577" s="1" t="n">
        <v>676</v>
      </c>
      <c r="B577" s="1">
        <f>A577</f>
        <v/>
      </c>
      <c r="C577" s="1" t="inlineStr">
        <is>
          <t>vQ14</t>
        </is>
      </c>
      <c r="D577" s="1" t="inlineStr">
        <is>
          <t>數值</t>
        </is>
      </c>
      <c r="E577" s="9" t="n">
        <v>2</v>
      </c>
      <c r="G577" s="1" t="inlineStr">
        <is>
          <t>range</t>
        </is>
      </c>
      <c r="H577" s="1" t="inlineStr">
        <is>
          <t>1,4</t>
        </is>
      </c>
      <c r="I577" s="1" t="inlineStr">
        <is>
          <t>90</t>
        </is>
      </c>
      <c r="J577" s="1" t="inlineStr">
        <is>
          <t>97</t>
        </is>
      </c>
      <c r="K577" s="1" t="inlineStr">
        <is>
          <t>98</t>
        </is>
      </c>
      <c r="L577" s="2">
        <f>_xlfn.CONCAT(IF(D577="數值",CONCATENATE(G577&amp;"("&amp;C577&amp;","&amp;
IF(ISERROR(SEARCH(",",H577,1)),(H577&amp;","&amp;H577),H577)&amp;
IF(ISBLANK(I577),"",IF(ISERROR(SEARCH(",",I577,1)),CONCATENATE(","&amp;I577&amp;","&amp;I577),CONCATENATE(","&amp;I577))&amp;
IF(ISBLANK(J577),"",IF(ISERROR(SEARCH(",",J577,1)),CONCATENATE(","&amp;J577&amp;","&amp;J577),CONCATENATE(","&amp;J577))&amp;
IF(ISBLANK(K577),"",IF(ISERROR(SEARCH(",",K577,1)),CONCATENATE(","&amp;K577&amp;","&amp;K577),CONCATENATE(","&amp;K577))))))&amp;
")","")&amp;" "&amp;F577)</f>
        <v/>
      </c>
    </row>
    <row r="578">
      <c r="A578" s="1" t="n">
        <v>677</v>
      </c>
      <c r="B578" s="1">
        <f>A578</f>
        <v/>
      </c>
      <c r="C578" s="1" t="inlineStr">
        <is>
          <t>vQ15</t>
        </is>
      </c>
      <c r="D578" s="1" t="inlineStr">
        <is>
          <t>數值</t>
        </is>
      </c>
      <c r="E578" s="9" t="n">
        <v>2</v>
      </c>
      <c r="G578" s="1" t="inlineStr">
        <is>
          <t>range</t>
        </is>
      </c>
      <c r="H578" s="1" t="inlineStr">
        <is>
          <t>1,2</t>
        </is>
      </c>
      <c r="I578" s="1" t="inlineStr">
        <is>
          <t>97</t>
        </is>
      </c>
      <c r="J578" s="1" t="inlineStr">
        <is>
          <t>98</t>
        </is>
      </c>
      <c r="L578" s="2">
        <f>_xlfn.CONCAT(IF(D578="數值",CONCATENATE(G578&amp;"("&amp;C578&amp;","&amp;
IF(ISERROR(SEARCH(",",H578,1)),(H578&amp;","&amp;H578),H578)&amp;
IF(ISBLANK(I578),"",IF(ISERROR(SEARCH(",",I578,1)),CONCATENATE(","&amp;I578&amp;","&amp;I578),CONCATENATE(","&amp;I578))&amp;
IF(ISBLANK(J578),"",IF(ISERROR(SEARCH(",",J578,1)),CONCATENATE(","&amp;J578&amp;","&amp;J578),CONCATENATE(","&amp;J578))&amp;
IF(ISBLANK(K578),"",IF(ISERROR(SEARCH(",",K578,1)),CONCATENATE(","&amp;K578&amp;","&amp;K578),CONCATENATE(","&amp;K578))))))&amp;
")","")&amp;" "&amp;F578)</f>
        <v/>
      </c>
    </row>
    <row r="579">
      <c r="A579" s="1" t="n">
        <v>678</v>
      </c>
      <c r="B579" s="1">
        <f>A579</f>
        <v/>
      </c>
      <c r="C579" s="1" t="inlineStr">
        <is>
          <t>vQ16</t>
        </is>
      </c>
      <c r="D579" s="1" t="inlineStr">
        <is>
          <t>數值</t>
        </is>
      </c>
      <c r="E579" s="9" t="n">
        <v>2</v>
      </c>
      <c r="G579" s="1" t="inlineStr">
        <is>
          <t>range</t>
        </is>
      </c>
      <c r="H579" s="1" t="inlineStr">
        <is>
          <t>1,4</t>
        </is>
      </c>
      <c r="I579" s="1" t="inlineStr">
        <is>
          <t>90</t>
        </is>
      </c>
      <c r="J579" s="1" t="inlineStr">
        <is>
          <t>97</t>
        </is>
      </c>
      <c r="K579" s="1" t="inlineStr">
        <is>
          <t>98</t>
        </is>
      </c>
      <c r="L579" s="2">
        <f>_xlfn.CONCAT(IF(D579="數值",CONCATENATE(G579&amp;"("&amp;C579&amp;","&amp;
IF(ISERROR(SEARCH(",",H579,1)),(H579&amp;","&amp;H579),H579)&amp;
IF(ISBLANK(I579),"",IF(ISERROR(SEARCH(",",I579,1)),CONCATENATE(","&amp;I579&amp;","&amp;I579),CONCATENATE(","&amp;I579))&amp;
IF(ISBLANK(J579),"",IF(ISERROR(SEARCH(",",J579,1)),CONCATENATE(","&amp;J579&amp;","&amp;J579),CONCATENATE(","&amp;J579))&amp;
IF(ISBLANK(K579),"",IF(ISERROR(SEARCH(",",K579,1)),CONCATENATE(","&amp;K579&amp;","&amp;K579),CONCATENATE(","&amp;K579))))))&amp;
")","")&amp;" "&amp;F579)</f>
        <v/>
      </c>
    </row>
    <row r="580">
      <c r="A580" s="1" t="n">
        <v>679</v>
      </c>
      <c r="B580" s="1">
        <f>A580</f>
        <v/>
      </c>
      <c r="C580" s="1" t="inlineStr">
        <is>
          <t>vQ17</t>
        </is>
      </c>
      <c r="D580" s="1" t="inlineStr">
        <is>
          <t>數值</t>
        </is>
      </c>
      <c r="E580" s="9" t="n">
        <v>2</v>
      </c>
      <c r="G580" s="1" t="inlineStr">
        <is>
          <t>range</t>
        </is>
      </c>
      <c r="H580" s="1" t="inlineStr">
        <is>
          <t>1,4</t>
        </is>
      </c>
      <c r="I580" s="1" t="inlineStr">
        <is>
          <t>90</t>
        </is>
      </c>
      <c r="J580" s="1" t="inlineStr">
        <is>
          <t>97</t>
        </is>
      </c>
      <c r="K580" s="1" t="inlineStr">
        <is>
          <t>98</t>
        </is>
      </c>
      <c r="L580" s="2">
        <f>_xlfn.CONCAT(IF(D580="數值",CONCATENATE(G580&amp;"("&amp;C580&amp;","&amp;
IF(ISERROR(SEARCH(",",H580,1)),(H580&amp;","&amp;H580),H580)&amp;
IF(ISBLANK(I580),"",IF(ISERROR(SEARCH(",",I580,1)),CONCATENATE(","&amp;I580&amp;","&amp;I580),CONCATENATE(","&amp;I580))&amp;
IF(ISBLANK(J580),"",IF(ISERROR(SEARCH(",",J580,1)),CONCATENATE(","&amp;J580&amp;","&amp;J580),CONCATENATE(","&amp;J580))&amp;
IF(ISBLANK(K580),"",IF(ISERROR(SEARCH(",",K580,1)),CONCATENATE(","&amp;K580&amp;","&amp;K580),CONCATENATE(","&amp;K580))))))&amp;
")","")&amp;" "&amp;F580)</f>
        <v/>
      </c>
    </row>
    <row r="581">
      <c r="A581" s="1" t="n">
        <v>680</v>
      </c>
      <c r="B581" s="1">
        <f>A581</f>
        <v/>
      </c>
      <c r="C581" s="1" t="inlineStr">
        <is>
          <t>vQ18</t>
        </is>
      </c>
      <c r="D581" s="1" t="inlineStr">
        <is>
          <t>數值</t>
        </is>
      </c>
      <c r="E581" s="9" t="n">
        <v>2</v>
      </c>
      <c r="G581" s="1" t="inlineStr">
        <is>
          <t>range</t>
        </is>
      </c>
      <c r="H581" s="1" t="inlineStr">
        <is>
          <t>1,4</t>
        </is>
      </c>
      <c r="I581" s="1" t="inlineStr">
        <is>
          <t>90</t>
        </is>
      </c>
      <c r="J581" s="1" t="inlineStr">
        <is>
          <t>97</t>
        </is>
      </c>
      <c r="K581" s="1" t="inlineStr">
        <is>
          <t>98</t>
        </is>
      </c>
      <c r="L581" s="2">
        <f>_xlfn.CONCAT(IF(D581="數值",CONCATENATE(G581&amp;"("&amp;C581&amp;","&amp;
IF(ISERROR(SEARCH(",",H581,1)),(H581&amp;","&amp;H581),H581)&amp;
IF(ISBLANK(I581),"",IF(ISERROR(SEARCH(",",I581,1)),CONCATENATE(","&amp;I581&amp;","&amp;I581),CONCATENATE(","&amp;I581))&amp;
IF(ISBLANK(J581),"",IF(ISERROR(SEARCH(",",J581,1)),CONCATENATE(","&amp;J581&amp;","&amp;J581),CONCATENATE(","&amp;J581))&amp;
IF(ISBLANK(K581),"",IF(ISERROR(SEARCH(",",K581,1)),CONCATENATE(","&amp;K581&amp;","&amp;K581),CONCATENATE(","&amp;K581))))))&amp;
")","")&amp;" "&amp;F581)</f>
        <v/>
      </c>
    </row>
    <row r="582">
      <c r="A582" s="1" t="n">
        <v>681</v>
      </c>
      <c r="B582" s="1">
        <f>A582</f>
        <v/>
      </c>
      <c r="C582" s="1" t="inlineStr">
        <is>
          <t>vQ19</t>
        </is>
      </c>
      <c r="D582" s="1" t="inlineStr">
        <is>
          <t>數值</t>
        </is>
      </c>
      <c r="E582" s="9" t="n">
        <v>2</v>
      </c>
      <c r="G582" s="1" t="inlineStr">
        <is>
          <t>range</t>
        </is>
      </c>
      <c r="H582" s="1" t="inlineStr">
        <is>
          <t>1,4</t>
        </is>
      </c>
      <c r="I582" s="1" t="inlineStr">
        <is>
          <t>90</t>
        </is>
      </c>
      <c r="J582" s="1" t="inlineStr">
        <is>
          <t>97</t>
        </is>
      </c>
      <c r="K582" s="1" t="inlineStr">
        <is>
          <t>98</t>
        </is>
      </c>
      <c r="L582" s="2">
        <f>_xlfn.CONCAT(IF(D582="數值",CONCATENATE(G582&amp;"("&amp;C582&amp;","&amp;
IF(ISERROR(SEARCH(",",H582,1)),(H582&amp;","&amp;H582),H582)&amp;
IF(ISBLANK(I582),"",IF(ISERROR(SEARCH(",",I582,1)),CONCATENATE(","&amp;I582&amp;","&amp;I582),CONCATENATE(","&amp;I582))&amp;
IF(ISBLANK(J582),"",IF(ISERROR(SEARCH(",",J582,1)),CONCATENATE(","&amp;J582&amp;","&amp;J582),CONCATENATE(","&amp;J582))&amp;
IF(ISBLANK(K582),"",IF(ISERROR(SEARCH(",",K582,1)),CONCATENATE(","&amp;K582&amp;","&amp;K582),CONCATENATE(","&amp;K582))))))&amp;
")","")&amp;" "&amp;F582)</f>
        <v/>
      </c>
    </row>
    <row r="583">
      <c r="A583" s="1" t="n">
        <v>682</v>
      </c>
      <c r="B583" s="1">
        <f>A583</f>
        <v/>
      </c>
      <c r="C583" s="1" t="inlineStr">
        <is>
          <t>vQ20m01</t>
        </is>
      </c>
      <c r="D583" s="1" t="inlineStr">
        <is>
          <t>數值</t>
        </is>
      </c>
      <c r="E583" s="9" t="n">
        <v>2</v>
      </c>
      <c r="G583" s="1" t="inlineStr">
        <is>
          <t>range</t>
        </is>
      </c>
      <c r="H583" s="1" t="inlineStr">
        <is>
          <t>0,1</t>
        </is>
      </c>
      <c r="L583" s="2">
        <f>_xlfn.CONCAT(IF(D583="數值",CONCATENATE(G583&amp;"("&amp;C583&amp;","&amp;
IF(ISERROR(SEARCH(",",H583,1)),(H583&amp;","&amp;H583),H583)&amp;
IF(ISBLANK(I583),"",IF(ISERROR(SEARCH(",",I583,1)),CONCATENATE(","&amp;I583&amp;","&amp;I583),CONCATENATE(","&amp;I583))&amp;
IF(ISBLANK(J583),"",IF(ISERROR(SEARCH(",",J583,1)),CONCATENATE(","&amp;J583&amp;","&amp;J583),CONCATENATE(","&amp;J583))&amp;
IF(ISBLANK(K583),"",IF(ISERROR(SEARCH(",",K583,1)),CONCATENATE(","&amp;K583&amp;","&amp;K583),CONCATENATE(","&amp;K583))))))&amp;
")","")&amp;" "&amp;F583)</f>
        <v/>
      </c>
    </row>
    <row r="584">
      <c r="A584" s="1" t="n">
        <v>683</v>
      </c>
      <c r="B584" s="1">
        <f>A584</f>
        <v/>
      </c>
      <c r="C584" s="1" t="inlineStr">
        <is>
          <t>vQ20m02</t>
        </is>
      </c>
      <c r="D584" s="1" t="inlineStr">
        <is>
          <t>數值</t>
        </is>
      </c>
      <c r="E584" s="9" t="n">
        <v>2</v>
      </c>
      <c r="G584" s="1" t="inlineStr">
        <is>
          <t>range</t>
        </is>
      </c>
      <c r="H584" s="1" t="inlineStr">
        <is>
          <t>0,1</t>
        </is>
      </c>
      <c r="L584" s="2">
        <f>_xlfn.CONCAT(IF(D584="數值",CONCATENATE(G584&amp;"("&amp;C584&amp;","&amp;
IF(ISERROR(SEARCH(",",H584,1)),(H584&amp;","&amp;H584),H584)&amp;
IF(ISBLANK(I584),"",IF(ISERROR(SEARCH(",",I584,1)),CONCATENATE(","&amp;I584&amp;","&amp;I584),CONCATENATE(","&amp;I584))&amp;
IF(ISBLANK(J584),"",IF(ISERROR(SEARCH(",",J584,1)),CONCATENATE(","&amp;J584&amp;","&amp;J584),CONCATENATE(","&amp;J584))&amp;
IF(ISBLANK(K584),"",IF(ISERROR(SEARCH(",",K584,1)),CONCATENATE(","&amp;K584&amp;","&amp;K584),CONCATENATE(","&amp;K584))))))&amp;
")","")&amp;" "&amp;F584)</f>
        <v/>
      </c>
    </row>
    <row r="585">
      <c r="A585" s="1" t="n">
        <v>684</v>
      </c>
      <c r="B585" s="1">
        <f>A585</f>
        <v/>
      </c>
      <c r="C585" s="1" t="inlineStr">
        <is>
          <t>vQ20m03</t>
        </is>
      </c>
      <c r="D585" s="1" t="inlineStr">
        <is>
          <t>數值</t>
        </is>
      </c>
      <c r="E585" s="9" t="n">
        <v>2</v>
      </c>
      <c r="G585" s="1" t="inlineStr">
        <is>
          <t>range</t>
        </is>
      </c>
      <c r="H585" s="1" t="inlineStr">
        <is>
          <t>0,1</t>
        </is>
      </c>
      <c r="L585" s="2">
        <f>_xlfn.CONCAT(IF(D585="數值",CONCATENATE(G585&amp;"("&amp;C585&amp;","&amp;
IF(ISERROR(SEARCH(",",H585,1)),(H585&amp;","&amp;H585),H585)&amp;
IF(ISBLANK(I585),"",IF(ISERROR(SEARCH(",",I585,1)),CONCATENATE(","&amp;I585&amp;","&amp;I585),CONCATENATE(","&amp;I585))&amp;
IF(ISBLANK(J585),"",IF(ISERROR(SEARCH(",",J585,1)),CONCATENATE(","&amp;J585&amp;","&amp;J585),CONCATENATE(","&amp;J585))&amp;
IF(ISBLANK(K585),"",IF(ISERROR(SEARCH(",",K585,1)),CONCATENATE(","&amp;K585&amp;","&amp;K585),CONCATENATE(","&amp;K585))))))&amp;
")","")&amp;" "&amp;F585)</f>
        <v/>
      </c>
    </row>
    <row r="586">
      <c r="A586" s="1" t="n">
        <v>685</v>
      </c>
      <c r="B586" s="1">
        <f>A586</f>
        <v/>
      </c>
      <c r="C586" s="1" t="inlineStr">
        <is>
          <t>vQ20m04</t>
        </is>
      </c>
      <c r="D586" s="1" t="inlineStr">
        <is>
          <t>數值</t>
        </is>
      </c>
      <c r="E586" s="9" t="n">
        <v>2</v>
      </c>
      <c r="G586" s="1" t="inlineStr">
        <is>
          <t>range</t>
        </is>
      </c>
      <c r="H586" s="1" t="inlineStr">
        <is>
          <t>0,1</t>
        </is>
      </c>
      <c r="L586" s="2">
        <f>_xlfn.CONCAT(IF(D586="數值",CONCATENATE(G586&amp;"("&amp;C586&amp;","&amp;
IF(ISERROR(SEARCH(",",H586,1)),(H586&amp;","&amp;H586),H586)&amp;
IF(ISBLANK(I586),"",IF(ISERROR(SEARCH(",",I586,1)),CONCATENATE(","&amp;I586&amp;","&amp;I586),CONCATENATE(","&amp;I586))&amp;
IF(ISBLANK(J586),"",IF(ISERROR(SEARCH(",",J586,1)),CONCATENATE(","&amp;J586&amp;","&amp;J586),CONCATENATE(","&amp;J586))&amp;
IF(ISBLANK(K586),"",IF(ISERROR(SEARCH(",",K586,1)),CONCATENATE(","&amp;K586&amp;","&amp;K586),CONCATENATE(","&amp;K586))))))&amp;
")","")&amp;" "&amp;F586)</f>
        <v/>
      </c>
    </row>
    <row r="587">
      <c r="A587" s="1" t="n">
        <v>686</v>
      </c>
      <c r="B587" s="1">
        <f>A587</f>
        <v/>
      </c>
      <c r="C587" s="1" t="inlineStr">
        <is>
          <t>vQ20m05</t>
        </is>
      </c>
      <c r="D587" s="1" t="inlineStr">
        <is>
          <t>數值</t>
        </is>
      </c>
      <c r="E587" s="9" t="n">
        <v>2</v>
      </c>
      <c r="G587" s="1" t="inlineStr">
        <is>
          <t>range</t>
        </is>
      </c>
      <c r="H587" s="1" t="inlineStr">
        <is>
          <t>0,1</t>
        </is>
      </c>
      <c r="L587" s="2">
        <f>_xlfn.CONCAT(IF(D587="數值",CONCATENATE(G587&amp;"("&amp;C587&amp;","&amp;
IF(ISERROR(SEARCH(",",H587,1)),(H587&amp;","&amp;H587),H587)&amp;
IF(ISBLANK(I587),"",IF(ISERROR(SEARCH(",",I587,1)),CONCATENATE(","&amp;I587&amp;","&amp;I587),CONCATENATE(","&amp;I587))&amp;
IF(ISBLANK(J587),"",IF(ISERROR(SEARCH(",",J587,1)),CONCATENATE(","&amp;J587&amp;","&amp;J587),CONCATENATE(","&amp;J587))&amp;
IF(ISBLANK(K587),"",IF(ISERROR(SEARCH(",",K587,1)),CONCATENATE(","&amp;K587&amp;","&amp;K587),CONCATENATE(","&amp;K587))))))&amp;
")","")&amp;" "&amp;F587)</f>
        <v/>
      </c>
    </row>
    <row r="588">
      <c r="A588" s="1" t="n">
        <v>687</v>
      </c>
      <c r="B588" s="1">
        <f>A588</f>
        <v/>
      </c>
      <c r="C588" s="1" t="inlineStr">
        <is>
          <t>vQ20m06</t>
        </is>
      </c>
      <c r="D588" s="1" t="inlineStr">
        <is>
          <t>數值</t>
        </is>
      </c>
      <c r="E588" s="9" t="n">
        <v>2</v>
      </c>
      <c r="G588" s="1" t="inlineStr">
        <is>
          <t>range</t>
        </is>
      </c>
      <c r="H588" s="1" t="inlineStr">
        <is>
          <t>0,1</t>
        </is>
      </c>
      <c r="L588" s="2">
        <f>_xlfn.CONCAT(IF(D588="數值",CONCATENATE(G588&amp;"("&amp;C588&amp;","&amp;
IF(ISERROR(SEARCH(",",H588,1)),(H588&amp;","&amp;H588),H588)&amp;
IF(ISBLANK(I588),"",IF(ISERROR(SEARCH(",",I588,1)),CONCATENATE(","&amp;I588&amp;","&amp;I588),CONCATENATE(","&amp;I588))&amp;
IF(ISBLANK(J588),"",IF(ISERROR(SEARCH(",",J588,1)),CONCATENATE(","&amp;J588&amp;","&amp;J588),CONCATENATE(","&amp;J588))&amp;
IF(ISBLANK(K588),"",IF(ISERROR(SEARCH(",",K588,1)),CONCATENATE(","&amp;K588&amp;","&amp;K588),CONCATENATE(","&amp;K588))))))&amp;
")","")&amp;" "&amp;F588)</f>
        <v/>
      </c>
    </row>
    <row r="589">
      <c r="A589" s="1" t="n">
        <v>688</v>
      </c>
      <c r="B589" s="1">
        <f>A589</f>
        <v/>
      </c>
      <c r="C589" s="1" t="inlineStr">
        <is>
          <t>vQ20m88</t>
        </is>
      </c>
      <c r="D589" s="1" t="inlineStr">
        <is>
          <t>數值</t>
        </is>
      </c>
      <c r="E589" s="9" t="n">
        <v>2</v>
      </c>
      <c r="G589" s="1" t="inlineStr">
        <is>
          <t>range</t>
        </is>
      </c>
      <c r="H589" s="1" t="inlineStr">
        <is>
          <t>0,1</t>
        </is>
      </c>
      <c r="I589" s="1" t="inlineStr">
        <is>
          <t>96</t>
        </is>
      </c>
      <c r="L589" s="2">
        <f>_xlfn.CONCAT(IF(D589="數值",CONCATENATE(G589&amp;"("&amp;C589&amp;","&amp;
IF(ISERROR(SEARCH(",",H589,1)),(H589&amp;","&amp;H589),H589)&amp;
IF(ISBLANK(I589),"",IF(ISERROR(SEARCH(",",I589,1)),CONCATENATE(","&amp;I589&amp;","&amp;I589),CONCATENATE(","&amp;I589))&amp;
IF(ISBLANK(J589),"",IF(ISERROR(SEARCH(",",J589,1)),CONCATENATE(","&amp;J589&amp;","&amp;J589),CONCATENATE(","&amp;J589))&amp;
IF(ISBLANK(K589),"",IF(ISERROR(SEARCH(",",K589,1)),CONCATENATE(","&amp;K589&amp;","&amp;K589),CONCATENATE(","&amp;K589))))))&amp;
")","")&amp;" "&amp;F589)</f>
        <v/>
      </c>
    </row>
    <row r="590">
      <c r="A590" s="1" t="n">
        <v>689</v>
      </c>
      <c r="B590" s="1">
        <f>A590</f>
        <v/>
      </c>
      <c r="C590" s="1" t="inlineStr">
        <is>
          <t>vQ20m90</t>
        </is>
      </c>
      <c r="D590" s="1" t="inlineStr">
        <is>
          <t>數值</t>
        </is>
      </c>
      <c r="E590" s="9" t="n">
        <v>2</v>
      </c>
      <c r="G590" s="1" t="inlineStr">
        <is>
          <t>range</t>
        </is>
      </c>
      <c r="H590" s="1" t="inlineStr">
        <is>
          <t>0,1</t>
        </is>
      </c>
      <c r="I590" s="1" t="inlineStr">
        <is>
          <t>96</t>
        </is>
      </c>
      <c r="L590" s="2">
        <f>_xlfn.CONCAT(IF(D590="數值",CONCATENATE(G590&amp;"("&amp;C590&amp;","&amp;
IF(ISERROR(SEARCH(",",H590,1)),(H590&amp;","&amp;H590),H590)&amp;
IF(ISBLANK(I590),"",IF(ISERROR(SEARCH(",",I590,1)),CONCATENATE(","&amp;I590&amp;","&amp;I590),CONCATENATE(","&amp;I590))&amp;
IF(ISBLANK(J590),"",IF(ISERROR(SEARCH(",",J590,1)),CONCATENATE(","&amp;J590&amp;","&amp;J590),CONCATENATE(","&amp;J590))&amp;
IF(ISBLANK(K590),"",IF(ISERROR(SEARCH(",",K590,1)),CONCATENATE(","&amp;K590&amp;","&amp;K590),CONCATENATE(","&amp;K590))))))&amp;
")","")&amp;" "&amp;F590)</f>
        <v/>
      </c>
    </row>
    <row r="591">
      <c r="A591" s="1" t="n">
        <v>690</v>
      </c>
      <c r="B591" s="1">
        <f>A591</f>
        <v/>
      </c>
      <c r="C591" s="1" t="inlineStr">
        <is>
          <t>vCKQ20A</t>
        </is>
      </c>
      <c r="D591" s="1" t="inlineStr">
        <is>
          <t>數值</t>
        </is>
      </c>
      <c r="E591" s="9" t="n">
        <v>2</v>
      </c>
      <c r="G591" s="1" t="inlineStr">
        <is>
          <t>range</t>
        </is>
      </c>
      <c r="H591" s="1" t="inlineStr">
        <is>
          <t>1,5</t>
        </is>
      </c>
      <c r="L591" s="2">
        <f>_xlfn.CONCAT(IF(D591="數值",CONCATENATE(G591&amp;"("&amp;C591&amp;","&amp;
IF(ISERROR(SEARCH(",",H591,1)),(H591&amp;","&amp;H591),H591)&amp;
IF(ISBLANK(I591),"",IF(ISERROR(SEARCH(",",I591,1)),CONCATENATE(","&amp;I591&amp;","&amp;I591),CONCATENATE(","&amp;I591))&amp;
IF(ISBLANK(J591),"",IF(ISERROR(SEARCH(",",J591,1)),CONCATENATE(","&amp;J591&amp;","&amp;J591),CONCATENATE(","&amp;J591))&amp;
IF(ISBLANK(K591),"",IF(ISERROR(SEARCH(",",K591,1)),CONCATENATE(","&amp;K591&amp;","&amp;K591),CONCATENATE(","&amp;K591))))))&amp;
")","")&amp;" "&amp;F591)</f>
        <v/>
      </c>
    </row>
    <row r="592">
      <c r="A592" s="1" t="n">
        <v>691</v>
      </c>
      <c r="B592" s="1">
        <f>A592</f>
        <v/>
      </c>
      <c r="C592" s="1" t="inlineStr">
        <is>
          <t>vCKQ20B</t>
        </is>
      </c>
      <c r="D592" s="1" t="inlineStr">
        <is>
          <t>數值</t>
        </is>
      </c>
      <c r="E592" s="9" t="n">
        <v>2</v>
      </c>
      <c r="G592" s="1" t="inlineStr">
        <is>
          <t>range</t>
        </is>
      </c>
      <c r="H592" s="1" t="inlineStr">
        <is>
          <t>1,2</t>
        </is>
      </c>
      <c r="L592" s="2">
        <f>_xlfn.CONCAT(IF(D592="數值",CONCATENATE(G592&amp;"("&amp;C592&amp;","&amp;
IF(ISERROR(SEARCH(",",H592,1)),(H592&amp;","&amp;H592),H592)&amp;
IF(ISBLANK(I592),"",IF(ISERROR(SEARCH(",",I592,1)),CONCATENATE(","&amp;I592&amp;","&amp;I592),CONCATENATE(","&amp;I592))&amp;
IF(ISBLANK(J592),"",IF(ISERROR(SEARCH(",",J592,1)),CONCATENATE(","&amp;J592&amp;","&amp;J592),CONCATENATE(","&amp;J592))&amp;
IF(ISBLANK(K592),"",IF(ISERROR(SEARCH(",",K592,1)),CONCATENATE(","&amp;K592&amp;","&amp;K592),CONCATENATE(","&amp;K592))))))&amp;
")","")&amp;" "&amp;F592)</f>
        <v/>
      </c>
    </row>
    <row r="593">
      <c r="A593" s="1" t="n">
        <v>692</v>
      </c>
      <c r="B593" s="1">
        <f>A593</f>
        <v/>
      </c>
      <c r="C593" s="1" t="inlineStr">
        <is>
          <t>vQ24g1</t>
        </is>
      </c>
      <c r="D593" s="1" t="inlineStr">
        <is>
          <t>數值</t>
        </is>
      </c>
      <c r="E593" s="9" t="n">
        <v>4</v>
      </c>
      <c r="G593" s="1" t="inlineStr">
        <is>
          <t>range</t>
        </is>
      </c>
      <c r="H593" s="1" t="inlineStr">
        <is>
          <t>0,140</t>
        </is>
      </c>
      <c r="I593" s="1" t="inlineStr">
        <is>
          <t>997</t>
        </is>
      </c>
      <c r="J593" s="1" t="inlineStr">
        <is>
          <t>998</t>
        </is>
      </c>
      <c r="L593" s="2">
        <f>_xlfn.CONCAT(IF(D593="數值",CONCATENATE(G593&amp;"("&amp;C593&amp;","&amp;
IF(ISERROR(SEARCH(",",H593,1)),(H593&amp;","&amp;H593),H593)&amp;
IF(ISBLANK(I593),"",IF(ISERROR(SEARCH(",",I593,1)),CONCATENATE(","&amp;I593&amp;","&amp;I593),CONCATENATE(","&amp;I593))&amp;
IF(ISBLANK(J593),"",IF(ISERROR(SEARCH(",",J593,1)),CONCATENATE(","&amp;J593&amp;","&amp;J593),CONCATENATE(","&amp;J593))&amp;
IF(ISBLANK(K593),"",IF(ISERROR(SEARCH(",",K593,1)),CONCATENATE(","&amp;K593&amp;","&amp;K593),CONCATENATE(","&amp;K593))))))&amp;
")","")&amp;" "&amp;F593)</f>
        <v/>
      </c>
    </row>
    <row r="594">
      <c r="A594" s="1" t="n">
        <v>693</v>
      </c>
      <c r="B594" s="1">
        <f>A594</f>
        <v/>
      </c>
      <c r="C594" s="1" t="inlineStr">
        <is>
          <t>vQ24g2</t>
        </is>
      </c>
      <c r="D594" s="1" t="inlineStr">
        <is>
          <t>數值</t>
        </is>
      </c>
      <c r="E594" s="9" t="n">
        <v>3</v>
      </c>
      <c r="G594" s="1" t="inlineStr">
        <is>
          <t>range</t>
        </is>
      </c>
      <c r="H594" s="1" t="inlineStr">
        <is>
          <t>0,59</t>
        </is>
      </c>
      <c r="I594" s="1" t="inlineStr">
        <is>
          <t>97</t>
        </is>
      </c>
      <c r="J594" s="1" t="inlineStr">
        <is>
          <t>98</t>
        </is>
      </c>
      <c r="L594" s="2">
        <f>_xlfn.CONCAT(IF(D594="數值",CONCATENATE(G594&amp;"("&amp;C594&amp;","&amp;
IF(ISERROR(SEARCH(",",H594,1)),(H594&amp;","&amp;H594),H594)&amp;
IF(ISBLANK(I594),"",IF(ISERROR(SEARCH(",",I594,1)),CONCATENATE(","&amp;I594&amp;","&amp;I594),CONCATENATE(","&amp;I594))&amp;
IF(ISBLANK(J594),"",IF(ISERROR(SEARCH(",",J594,1)),CONCATENATE(","&amp;J594&amp;","&amp;J594),CONCATENATE(","&amp;J594))&amp;
IF(ISBLANK(K594),"",IF(ISERROR(SEARCH(",",K594,1)),CONCATENATE(","&amp;K594&amp;","&amp;K594),CONCATENATE(","&amp;K594))))))&amp;
")","")&amp;" "&amp;F594)</f>
        <v/>
      </c>
    </row>
    <row r="595">
      <c r="A595" s="1" t="n">
        <v>694</v>
      </c>
      <c r="B595" s="1">
        <f>A595</f>
        <v/>
      </c>
      <c r="C595" s="1" t="inlineStr">
        <is>
          <t>vCKQ24</t>
        </is>
      </c>
      <c r="D595" s="1" t="inlineStr">
        <is>
          <t>數值</t>
        </is>
      </c>
      <c r="E595" s="9" t="n">
        <v>2</v>
      </c>
      <c r="G595" s="1" t="inlineStr">
        <is>
          <t>range</t>
        </is>
      </c>
      <c r="H595" s="1" t="inlineStr">
        <is>
          <t>1</t>
        </is>
      </c>
      <c r="L595" s="2">
        <f>_xlfn.CONCAT(IF(D595="數值",CONCATENATE(G595&amp;"("&amp;C595&amp;","&amp;
IF(ISERROR(SEARCH(",",H595,1)),(H595&amp;","&amp;H595),H595)&amp;
IF(ISBLANK(I595),"",IF(ISERROR(SEARCH(",",I595,1)),CONCATENATE(","&amp;I595&amp;","&amp;I595),CONCATENATE(","&amp;I595))&amp;
IF(ISBLANK(J595),"",IF(ISERROR(SEARCH(",",J595,1)),CONCATENATE(","&amp;J595&amp;","&amp;J595),CONCATENATE(","&amp;J595))&amp;
IF(ISBLANK(K595),"",IF(ISERROR(SEARCH(",",K595,1)),CONCATENATE(","&amp;K595&amp;","&amp;K595),CONCATENATE(","&amp;K595))))))&amp;
")","")&amp;" "&amp;F595)</f>
        <v/>
      </c>
    </row>
    <row r="596">
      <c r="A596" s="1" t="n">
        <v>695</v>
      </c>
      <c r="B596" s="1">
        <f>A596</f>
        <v/>
      </c>
      <c r="C596" s="1" t="inlineStr">
        <is>
          <t>vQ25m01</t>
        </is>
      </c>
      <c r="D596" s="1" t="inlineStr">
        <is>
          <t>數值</t>
        </is>
      </c>
      <c r="E596" s="9" t="n">
        <v>2</v>
      </c>
      <c r="G596" s="1" t="inlineStr">
        <is>
          <t>range</t>
        </is>
      </c>
      <c r="H596" s="1" t="inlineStr">
        <is>
          <t>0,1</t>
        </is>
      </c>
      <c r="L596" s="2">
        <f>_xlfn.CONCAT(IF(D596="數值",CONCATENATE(G596&amp;"("&amp;C596&amp;","&amp;
IF(ISERROR(SEARCH(",",H596,1)),(H596&amp;","&amp;H596),H596)&amp;
IF(ISBLANK(I596),"",IF(ISERROR(SEARCH(",",I596,1)),CONCATENATE(","&amp;I596&amp;","&amp;I596),CONCATENATE(","&amp;I596))&amp;
IF(ISBLANK(J596),"",IF(ISERROR(SEARCH(",",J596,1)),CONCATENATE(","&amp;J596&amp;","&amp;J596),CONCATENATE(","&amp;J596))&amp;
IF(ISBLANK(K596),"",IF(ISERROR(SEARCH(",",K596,1)),CONCATENATE(","&amp;K596&amp;","&amp;K596),CONCATENATE(","&amp;K596))))))&amp;
")","")&amp;" "&amp;F596)</f>
        <v/>
      </c>
    </row>
    <row r="597">
      <c r="A597" s="1" t="n">
        <v>696</v>
      </c>
      <c r="B597" s="1">
        <f>A597</f>
        <v/>
      </c>
      <c r="C597" s="1" t="inlineStr">
        <is>
          <t>vQ25m02</t>
        </is>
      </c>
      <c r="D597" s="1" t="inlineStr">
        <is>
          <t>數值</t>
        </is>
      </c>
      <c r="E597" s="9" t="n">
        <v>2</v>
      </c>
      <c r="G597" s="1" t="inlineStr">
        <is>
          <t>range</t>
        </is>
      </c>
      <c r="H597" s="1" t="inlineStr">
        <is>
          <t>0,1</t>
        </is>
      </c>
      <c r="L597" s="2">
        <f>_xlfn.CONCAT(IF(D597="數值",CONCATENATE(G597&amp;"("&amp;C597&amp;","&amp;
IF(ISERROR(SEARCH(",",H597,1)),(H597&amp;","&amp;H597),H597)&amp;
IF(ISBLANK(I597),"",IF(ISERROR(SEARCH(",",I597,1)),CONCATENATE(","&amp;I597&amp;","&amp;I597),CONCATENATE(","&amp;I597))&amp;
IF(ISBLANK(J597),"",IF(ISERROR(SEARCH(",",J597,1)),CONCATENATE(","&amp;J597&amp;","&amp;J597),CONCATENATE(","&amp;J597))&amp;
IF(ISBLANK(K597),"",IF(ISERROR(SEARCH(",",K597,1)),CONCATENATE(","&amp;K597&amp;","&amp;K597),CONCATENATE(","&amp;K597))))))&amp;
")","")&amp;" "&amp;F597)</f>
        <v/>
      </c>
    </row>
    <row r="598">
      <c r="A598" s="1" t="n">
        <v>697</v>
      </c>
      <c r="B598" s="1">
        <f>A598</f>
        <v/>
      </c>
      <c r="C598" s="1" t="inlineStr">
        <is>
          <t>vQ25m03</t>
        </is>
      </c>
      <c r="D598" s="1" t="inlineStr">
        <is>
          <t>數值</t>
        </is>
      </c>
      <c r="E598" s="9" t="n">
        <v>2</v>
      </c>
      <c r="G598" s="1" t="inlineStr">
        <is>
          <t>range</t>
        </is>
      </c>
      <c r="H598" s="1" t="inlineStr">
        <is>
          <t>0,1</t>
        </is>
      </c>
      <c r="L598" s="2">
        <f>_xlfn.CONCAT(IF(D598="數值",CONCATENATE(G598&amp;"("&amp;C598&amp;","&amp;
IF(ISERROR(SEARCH(",",H598,1)),(H598&amp;","&amp;H598),H598)&amp;
IF(ISBLANK(I598),"",IF(ISERROR(SEARCH(",",I598,1)),CONCATENATE(","&amp;I598&amp;","&amp;I598),CONCATENATE(","&amp;I598))&amp;
IF(ISBLANK(J598),"",IF(ISERROR(SEARCH(",",J598,1)),CONCATENATE(","&amp;J598&amp;","&amp;J598),CONCATENATE(","&amp;J598))&amp;
IF(ISBLANK(K598),"",IF(ISERROR(SEARCH(",",K598,1)),CONCATENATE(","&amp;K598&amp;","&amp;K598),CONCATENATE(","&amp;K598))))))&amp;
")","")&amp;" "&amp;F598)</f>
        <v/>
      </c>
    </row>
    <row r="599">
      <c r="A599" s="1" t="n">
        <v>698</v>
      </c>
      <c r="B599" s="1">
        <f>A599</f>
        <v/>
      </c>
      <c r="C599" s="1" t="inlineStr">
        <is>
          <t>vQ25m04</t>
        </is>
      </c>
      <c r="D599" s="1" t="inlineStr">
        <is>
          <t>數值</t>
        </is>
      </c>
      <c r="E599" s="9" t="n">
        <v>2</v>
      </c>
      <c r="G599" s="1" t="inlineStr">
        <is>
          <t>range</t>
        </is>
      </c>
      <c r="H599" s="1" t="inlineStr">
        <is>
          <t>0,1</t>
        </is>
      </c>
      <c r="L599" s="2">
        <f>_xlfn.CONCAT(IF(D599="數值",CONCATENATE(G599&amp;"("&amp;C599&amp;","&amp;
IF(ISERROR(SEARCH(",",H599,1)),(H599&amp;","&amp;H599),H599)&amp;
IF(ISBLANK(I599),"",IF(ISERROR(SEARCH(",",I599,1)),CONCATENATE(","&amp;I599&amp;","&amp;I599),CONCATENATE(","&amp;I599))&amp;
IF(ISBLANK(J599),"",IF(ISERROR(SEARCH(",",J599,1)),CONCATENATE(","&amp;J599&amp;","&amp;J599),CONCATENATE(","&amp;J599))&amp;
IF(ISBLANK(K599),"",IF(ISERROR(SEARCH(",",K599,1)),CONCATENATE(","&amp;K599&amp;","&amp;K599),CONCATENATE(","&amp;K599))))))&amp;
")","")&amp;" "&amp;F599)</f>
        <v/>
      </c>
    </row>
    <row r="600">
      <c r="A600" s="1" t="n">
        <v>699</v>
      </c>
      <c r="B600" s="1">
        <f>A600</f>
        <v/>
      </c>
      <c r="C600" s="1" t="inlineStr">
        <is>
          <t>vQ25m05</t>
        </is>
      </c>
      <c r="D600" s="1" t="inlineStr">
        <is>
          <t>數值</t>
        </is>
      </c>
      <c r="E600" s="9" t="n">
        <v>2</v>
      </c>
      <c r="G600" s="1" t="inlineStr">
        <is>
          <t>range</t>
        </is>
      </c>
      <c r="H600" s="1" t="inlineStr">
        <is>
          <t>0,1</t>
        </is>
      </c>
      <c r="L600" s="2">
        <f>_xlfn.CONCAT(IF(D600="數值",CONCATENATE(G600&amp;"("&amp;C600&amp;","&amp;
IF(ISERROR(SEARCH(",",H600,1)),(H600&amp;","&amp;H600),H600)&amp;
IF(ISBLANK(I600),"",IF(ISERROR(SEARCH(",",I600,1)),CONCATENATE(","&amp;I600&amp;","&amp;I600),CONCATENATE(","&amp;I600))&amp;
IF(ISBLANK(J600),"",IF(ISERROR(SEARCH(",",J600,1)),CONCATENATE(","&amp;J600&amp;","&amp;J600),CONCATENATE(","&amp;J600))&amp;
IF(ISBLANK(K600),"",IF(ISERROR(SEARCH(",",K600,1)),CONCATENATE(","&amp;K600&amp;","&amp;K600),CONCATENATE(","&amp;K600))))))&amp;
")","")&amp;" "&amp;F600)</f>
        <v/>
      </c>
    </row>
    <row r="601">
      <c r="A601" s="1" t="n">
        <v>700</v>
      </c>
      <c r="B601" s="1">
        <f>A601</f>
        <v/>
      </c>
      <c r="C601" s="1" t="inlineStr">
        <is>
          <t>vQ25m06</t>
        </is>
      </c>
      <c r="D601" s="1" t="inlineStr">
        <is>
          <t>數值</t>
        </is>
      </c>
      <c r="E601" s="9" t="n">
        <v>2</v>
      </c>
      <c r="G601" s="1" t="inlineStr">
        <is>
          <t>range</t>
        </is>
      </c>
      <c r="H601" s="1" t="inlineStr">
        <is>
          <t>0,1</t>
        </is>
      </c>
      <c r="L601" s="2">
        <f>_xlfn.CONCAT(IF(D601="數值",CONCATENATE(G601&amp;"("&amp;C601&amp;","&amp;
IF(ISERROR(SEARCH(",",H601,1)),(H601&amp;","&amp;H601),H601)&amp;
IF(ISBLANK(I601),"",IF(ISERROR(SEARCH(",",I601,1)),CONCATENATE(","&amp;I601&amp;","&amp;I601),CONCATENATE(","&amp;I601))&amp;
IF(ISBLANK(J601),"",IF(ISERROR(SEARCH(",",J601,1)),CONCATENATE(","&amp;J601&amp;","&amp;J601),CONCATENATE(","&amp;J601))&amp;
IF(ISBLANK(K601),"",IF(ISERROR(SEARCH(",",K601,1)),CONCATENATE(","&amp;K601&amp;","&amp;K601),CONCATENATE(","&amp;K601))))))&amp;
")","")&amp;" "&amp;F601)</f>
        <v/>
      </c>
    </row>
    <row r="602">
      <c r="A602" s="1" t="n">
        <v>701</v>
      </c>
      <c r="B602" s="1">
        <f>A602</f>
        <v/>
      </c>
      <c r="C602" s="1" t="inlineStr">
        <is>
          <t>vQ25m07</t>
        </is>
      </c>
      <c r="D602" s="1" t="inlineStr">
        <is>
          <t>數值</t>
        </is>
      </c>
      <c r="E602" s="9" t="n">
        <v>2</v>
      </c>
      <c r="G602" s="1" t="inlineStr">
        <is>
          <t>range</t>
        </is>
      </c>
      <c r="H602" s="1" t="inlineStr">
        <is>
          <t>0,1</t>
        </is>
      </c>
      <c r="L602" s="2">
        <f>_xlfn.CONCAT(IF(D602="數值",CONCATENATE(G602&amp;"("&amp;C602&amp;","&amp;
IF(ISERROR(SEARCH(",",H602,1)),(H602&amp;","&amp;H602),H602)&amp;
IF(ISBLANK(I602),"",IF(ISERROR(SEARCH(",",I602,1)),CONCATENATE(","&amp;I602&amp;","&amp;I602),CONCATENATE(","&amp;I602))&amp;
IF(ISBLANK(J602),"",IF(ISERROR(SEARCH(",",J602,1)),CONCATENATE(","&amp;J602&amp;","&amp;J602),CONCATENATE(","&amp;J602))&amp;
IF(ISBLANK(K602),"",IF(ISERROR(SEARCH(",",K602,1)),CONCATENATE(","&amp;K602&amp;","&amp;K602),CONCATENATE(","&amp;K602))))))&amp;
")","")&amp;" "&amp;F602)</f>
        <v/>
      </c>
    </row>
    <row r="603">
      <c r="A603" s="1" t="n">
        <v>702</v>
      </c>
      <c r="B603" s="1">
        <f>A603</f>
        <v/>
      </c>
      <c r="C603" s="1" t="inlineStr">
        <is>
          <t>vQ25m08</t>
        </is>
      </c>
      <c r="D603" s="1" t="inlineStr">
        <is>
          <t>數值</t>
        </is>
      </c>
      <c r="E603" s="9" t="n">
        <v>2</v>
      </c>
      <c r="G603" s="1" t="inlineStr">
        <is>
          <t>range</t>
        </is>
      </c>
      <c r="H603" s="1" t="inlineStr">
        <is>
          <t>0,1</t>
        </is>
      </c>
      <c r="L603" s="2">
        <f>_xlfn.CONCAT(IF(D603="數值",CONCATENATE(G603&amp;"("&amp;C603&amp;","&amp;
IF(ISERROR(SEARCH(",",H603,1)),(H603&amp;","&amp;H603),H603)&amp;
IF(ISBLANK(I603),"",IF(ISERROR(SEARCH(",",I603,1)),CONCATENATE(","&amp;I603&amp;","&amp;I603),CONCATENATE(","&amp;I603))&amp;
IF(ISBLANK(J603),"",IF(ISERROR(SEARCH(",",J603,1)),CONCATENATE(","&amp;J603&amp;","&amp;J603),CONCATENATE(","&amp;J603))&amp;
IF(ISBLANK(K603),"",IF(ISERROR(SEARCH(",",K603,1)),CONCATENATE(","&amp;K603&amp;","&amp;K603),CONCATENATE(","&amp;K603))))))&amp;
")","")&amp;" "&amp;F603)</f>
        <v/>
      </c>
    </row>
    <row r="604">
      <c r="A604" s="1" t="n">
        <v>703</v>
      </c>
      <c r="B604" s="1">
        <f>A604</f>
        <v/>
      </c>
      <c r="C604" s="1" t="inlineStr">
        <is>
          <t>vQ25m09</t>
        </is>
      </c>
      <c r="D604" s="1" t="inlineStr">
        <is>
          <t>數值</t>
        </is>
      </c>
      <c r="E604" s="9" t="n">
        <v>2</v>
      </c>
      <c r="G604" s="1" t="inlineStr">
        <is>
          <t>range</t>
        </is>
      </c>
      <c r="H604" s="1" t="inlineStr">
        <is>
          <t>0,1</t>
        </is>
      </c>
      <c r="L604" s="2">
        <f>_xlfn.CONCAT(IF(D604="數值",CONCATENATE(G604&amp;"("&amp;C604&amp;","&amp;
IF(ISERROR(SEARCH(",",H604,1)),(H604&amp;","&amp;H604),H604)&amp;
IF(ISBLANK(I604),"",IF(ISERROR(SEARCH(",",I604,1)),CONCATENATE(","&amp;I604&amp;","&amp;I604),CONCATENATE(","&amp;I604))&amp;
IF(ISBLANK(J604),"",IF(ISERROR(SEARCH(",",J604,1)),CONCATENATE(","&amp;J604&amp;","&amp;J604),CONCATENATE(","&amp;J604))&amp;
IF(ISBLANK(K604),"",IF(ISERROR(SEARCH(",",K604,1)),CONCATENATE(","&amp;K604&amp;","&amp;K604),CONCATENATE(","&amp;K604))))))&amp;
")","")&amp;" "&amp;F604)</f>
        <v/>
      </c>
    </row>
    <row r="605">
      <c r="A605" s="1" t="n">
        <v>704</v>
      </c>
      <c r="B605" s="1">
        <f>A605</f>
        <v/>
      </c>
      <c r="C605" s="1" t="inlineStr">
        <is>
          <t>vQ25m10</t>
        </is>
      </c>
      <c r="D605" s="1" t="inlineStr">
        <is>
          <t>數值</t>
        </is>
      </c>
      <c r="E605" s="9" t="n">
        <v>2</v>
      </c>
      <c r="G605" s="1" t="inlineStr">
        <is>
          <t>range</t>
        </is>
      </c>
      <c r="H605" s="1" t="inlineStr">
        <is>
          <t>0,1</t>
        </is>
      </c>
      <c r="I605" s="1" t="inlineStr">
        <is>
          <t>96</t>
        </is>
      </c>
      <c r="L605" s="2">
        <f>_xlfn.CONCAT(IF(D605="數值",CONCATENATE(G605&amp;"("&amp;C605&amp;","&amp;
IF(ISERROR(SEARCH(",",H605,1)),(H605&amp;","&amp;H605),H605)&amp;
IF(ISBLANK(I605),"",IF(ISERROR(SEARCH(",",I605,1)),CONCATENATE(","&amp;I605&amp;","&amp;I605),CONCATENATE(","&amp;I605))&amp;
IF(ISBLANK(J605),"",IF(ISERROR(SEARCH(",",J605,1)),CONCATENATE(","&amp;J605&amp;","&amp;J605),CONCATENATE(","&amp;J605))&amp;
IF(ISBLANK(K605),"",IF(ISERROR(SEARCH(",",K605,1)),CONCATENATE(","&amp;K605&amp;","&amp;K605),CONCATENATE(","&amp;K605))))))&amp;
")","")&amp;" "&amp;F605)</f>
        <v/>
      </c>
    </row>
    <row r="606">
      <c r="A606" s="1" t="n">
        <v>705</v>
      </c>
      <c r="B606" s="1">
        <f>A606</f>
        <v/>
      </c>
      <c r="C606" s="1" t="inlineStr">
        <is>
          <t>vQ25m11</t>
        </is>
      </c>
      <c r="D606" s="1" t="inlineStr">
        <is>
          <t>數值</t>
        </is>
      </c>
      <c r="E606" s="9" t="n">
        <v>2</v>
      </c>
      <c r="G606" s="1" t="inlineStr">
        <is>
          <t>range</t>
        </is>
      </c>
      <c r="H606" s="1" t="inlineStr">
        <is>
          <t>0,1</t>
        </is>
      </c>
      <c r="I606" s="1" t="inlineStr">
        <is>
          <t>96</t>
        </is>
      </c>
      <c r="L606" s="2">
        <f>_xlfn.CONCAT(IF(D606="數值",CONCATENATE(G606&amp;"("&amp;C606&amp;","&amp;
IF(ISERROR(SEARCH(",",H606,1)),(H606&amp;","&amp;H606),H606)&amp;
IF(ISBLANK(I606),"",IF(ISERROR(SEARCH(",",I606,1)),CONCATENATE(","&amp;I606&amp;","&amp;I606),CONCATENATE(","&amp;I606))&amp;
IF(ISBLANK(J606),"",IF(ISERROR(SEARCH(",",J606,1)),CONCATENATE(","&amp;J606&amp;","&amp;J606),CONCATENATE(","&amp;J606))&amp;
IF(ISBLANK(K606),"",IF(ISERROR(SEARCH(",",K606,1)),CONCATENATE(","&amp;K606&amp;","&amp;K606),CONCATENATE(","&amp;K606))))))&amp;
")","")&amp;" "&amp;F606)</f>
        <v/>
      </c>
    </row>
    <row r="607">
      <c r="A607" s="1" t="n">
        <v>706</v>
      </c>
      <c r="B607" s="1">
        <f>A607</f>
        <v/>
      </c>
      <c r="C607" s="1" t="inlineStr">
        <is>
          <t>vQ25m12</t>
        </is>
      </c>
      <c r="D607" s="1" t="inlineStr">
        <is>
          <t>數值</t>
        </is>
      </c>
      <c r="E607" s="9" t="n">
        <v>2</v>
      </c>
      <c r="G607" s="1" t="inlineStr">
        <is>
          <t>range</t>
        </is>
      </c>
      <c r="H607" s="1" t="inlineStr">
        <is>
          <t>0,1</t>
        </is>
      </c>
      <c r="I607" s="1" t="inlineStr">
        <is>
          <t>96</t>
        </is>
      </c>
      <c r="L607" s="2">
        <f>_xlfn.CONCAT(IF(D607="數值",CONCATENATE(G607&amp;"("&amp;C607&amp;","&amp;
IF(ISERROR(SEARCH(",",H607,1)),(H607&amp;","&amp;H607),H607)&amp;
IF(ISBLANK(I607),"",IF(ISERROR(SEARCH(",",I607,1)),CONCATENATE(","&amp;I607&amp;","&amp;I607),CONCATENATE(","&amp;I607))&amp;
IF(ISBLANK(J607),"",IF(ISERROR(SEARCH(",",J607,1)),CONCATENATE(","&amp;J607&amp;","&amp;J607),CONCATENATE(","&amp;J607))&amp;
IF(ISBLANK(K607),"",IF(ISERROR(SEARCH(",",K607,1)),CONCATENATE(","&amp;K607&amp;","&amp;K607),CONCATENATE(","&amp;K607))))))&amp;
")","")&amp;" "&amp;F607)</f>
        <v/>
      </c>
    </row>
    <row r="608">
      <c r="A608" s="1" t="n">
        <v>707</v>
      </c>
      <c r="B608" s="1">
        <f>A608</f>
        <v/>
      </c>
      <c r="C608" s="1" t="inlineStr">
        <is>
          <t>vQ25m13</t>
        </is>
      </c>
      <c r="D608" s="1" t="inlineStr">
        <is>
          <t>數值</t>
        </is>
      </c>
      <c r="E608" s="9" t="n">
        <v>2</v>
      </c>
      <c r="G608" s="1" t="inlineStr">
        <is>
          <t>range</t>
        </is>
      </c>
      <c r="H608" s="1" t="inlineStr">
        <is>
          <t>0,1</t>
        </is>
      </c>
      <c r="I608" s="1" t="inlineStr">
        <is>
          <t>96</t>
        </is>
      </c>
      <c r="L608" s="2">
        <f>_xlfn.CONCAT(IF(D608="數值",CONCATENATE(G608&amp;"("&amp;C608&amp;","&amp;
IF(ISERROR(SEARCH(",",H608,1)),(H608&amp;","&amp;H608),H608)&amp;
IF(ISBLANK(I608),"",IF(ISERROR(SEARCH(",",I608,1)),CONCATENATE(","&amp;I608&amp;","&amp;I608),CONCATENATE(","&amp;I608))&amp;
IF(ISBLANK(J608),"",IF(ISERROR(SEARCH(",",J608,1)),CONCATENATE(","&amp;J608&amp;","&amp;J608),CONCATENATE(","&amp;J608))&amp;
IF(ISBLANK(K608),"",IF(ISERROR(SEARCH(",",K608,1)),CONCATENATE(","&amp;K608&amp;","&amp;K608),CONCATENATE(","&amp;K608))))))&amp;
")","")&amp;" "&amp;F608)</f>
        <v/>
      </c>
    </row>
    <row r="609">
      <c r="A609" s="1" t="n">
        <v>708</v>
      </c>
      <c r="B609" s="1">
        <f>A609</f>
        <v/>
      </c>
      <c r="C609" s="1" t="inlineStr">
        <is>
          <t>vQ25m14</t>
        </is>
      </c>
      <c r="D609" s="1" t="inlineStr">
        <is>
          <t>數值</t>
        </is>
      </c>
      <c r="E609" s="9" t="n">
        <v>2</v>
      </c>
      <c r="G609" s="1" t="inlineStr">
        <is>
          <t>range</t>
        </is>
      </c>
      <c r="H609" s="1" t="inlineStr">
        <is>
          <t>0,1</t>
        </is>
      </c>
      <c r="I609" s="1" t="inlineStr">
        <is>
          <t>96</t>
        </is>
      </c>
      <c r="L609" s="2">
        <f>_xlfn.CONCAT(IF(D609="數值",CONCATENATE(G609&amp;"("&amp;C609&amp;","&amp;
IF(ISERROR(SEARCH(",",H609,1)),(H609&amp;","&amp;H609),H609)&amp;
IF(ISBLANK(I609),"",IF(ISERROR(SEARCH(",",I609,1)),CONCATENATE(","&amp;I609&amp;","&amp;I609),CONCATENATE(","&amp;I609))&amp;
IF(ISBLANK(J609),"",IF(ISERROR(SEARCH(",",J609,1)),CONCATENATE(","&amp;J609&amp;","&amp;J609),CONCATENATE(","&amp;J609))&amp;
IF(ISBLANK(K609),"",IF(ISERROR(SEARCH(",",K609,1)),CONCATENATE(","&amp;K609&amp;","&amp;K609),CONCATENATE(","&amp;K609))))))&amp;
")","")&amp;" "&amp;F609)</f>
        <v/>
      </c>
    </row>
    <row r="610">
      <c r="A610" s="1" t="n">
        <v>709</v>
      </c>
      <c r="B610" s="1">
        <f>A610</f>
        <v/>
      </c>
      <c r="C610" s="1" t="inlineStr">
        <is>
          <t>vQ25m15</t>
        </is>
      </c>
      <c r="D610" s="1" t="inlineStr">
        <is>
          <t>數值</t>
        </is>
      </c>
      <c r="E610" s="9" t="n">
        <v>2</v>
      </c>
      <c r="G610" s="1" t="inlineStr">
        <is>
          <t>range</t>
        </is>
      </c>
      <c r="H610" s="1" t="inlineStr">
        <is>
          <t>0,1</t>
        </is>
      </c>
      <c r="I610" s="1" t="inlineStr">
        <is>
          <t>96</t>
        </is>
      </c>
      <c r="L610" s="2">
        <f>_xlfn.CONCAT(IF(D610="數值",CONCATENATE(G610&amp;"("&amp;C610&amp;","&amp;
IF(ISERROR(SEARCH(",",H610,1)),(H610&amp;","&amp;H610),H610)&amp;
IF(ISBLANK(I610),"",IF(ISERROR(SEARCH(",",I610,1)),CONCATENATE(","&amp;I610&amp;","&amp;I610),CONCATENATE(","&amp;I610))&amp;
IF(ISBLANK(J610),"",IF(ISERROR(SEARCH(",",J610,1)),CONCATENATE(","&amp;J610&amp;","&amp;J610),CONCATENATE(","&amp;J610))&amp;
IF(ISBLANK(K610),"",IF(ISERROR(SEARCH(",",K610,1)),CONCATENATE(","&amp;K610&amp;","&amp;K610),CONCATENATE(","&amp;K610))))))&amp;
")","")&amp;" "&amp;F610)</f>
        <v/>
      </c>
    </row>
    <row r="611">
      <c r="A611" s="1" t="n">
        <v>710</v>
      </c>
      <c r="B611" s="1">
        <f>A611</f>
        <v/>
      </c>
      <c r="C611" s="1" t="inlineStr">
        <is>
          <t>vQ25m16</t>
        </is>
      </c>
      <c r="D611" s="1" t="inlineStr">
        <is>
          <t>數值</t>
        </is>
      </c>
      <c r="E611" s="9" t="n">
        <v>2</v>
      </c>
      <c r="G611" s="1" t="inlineStr">
        <is>
          <t>range</t>
        </is>
      </c>
      <c r="H611" s="1" t="inlineStr">
        <is>
          <t>0,1</t>
        </is>
      </c>
      <c r="I611" s="1" t="inlineStr">
        <is>
          <t>96</t>
        </is>
      </c>
      <c r="L611" s="2">
        <f>_xlfn.CONCAT(IF(D611="數值",CONCATENATE(G611&amp;"("&amp;C611&amp;","&amp;
IF(ISERROR(SEARCH(",",H611,1)),(H611&amp;","&amp;H611),H611)&amp;
IF(ISBLANK(I611),"",IF(ISERROR(SEARCH(",",I611,1)),CONCATENATE(","&amp;I611&amp;","&amp;I611),CONCATENATE(","&amp;I611))&amp;
IF(ISBLANK(J611),"",IF(ISERROR(SEARCH(",",J611,1)),CONCATENATE(","&amp;J611&amp;","&amp;J611),CONCATENATE(","&amp;J611))&amp;
IF(ISBLANK(K611),"",IF(ISERROR(SEARCH(",",K611,1)),CONCATENATE(","&amp;K611&amp;","&amp;K611),CONCATENATE(","&amp;K611))))))&amp;
")","")&amp;" "&amp;F611)</f>
        <v/>
      </c>
    </row>
    <row r="612">
      <c r="A612" s="1" t="n">
        <v>711</v>
      </c>
      <c r="B612" s="1">
        <f>A612</f>
        <v/>
      </c>
      <c r="C612" s="1" t="inlineStr">
        <is>
          <t>vQ25m17</t>
        </is>
      </c>
      <c r="D612" s="1" t="inlineStr">
        <is>
          <t>數值</t>
        </is>
      </c>
      <c r="E612" s="9" t="n">
        <v>2</v>
      </c>
      <c r="G612" s="1" t="inlineStr">
        <is>
          <t>range</t>
        </is>
      </c>
      <c r="H612" s="1" t="inlineStr">
        <is>
          <t>0,1</t>
        </is>
      </c>
      <c r="I612" s="1" t="inlineStr">
        <is>
          <t>96</t>
        </is>
      </c>
      <c r="L612" s="2">
        <f>_xlfn.CONCAT(IF(D612="數值",CONCATENATE(G612&amp;"("&amp;C612&amp;","&amp;
IF(ISERROR(SEARCH(",",H612,1)),(H612&amp;","&amp;H612),H612)&amp;
IF(ISBLANK(I612),"",IF(ISERROR(SEARCH(",",I612,1)),CONCATENATE(","&amp;I612&amp;","&amp;I612),CONCATENATE(","&amp;I612))&amp;
IF(ISBLANK(J612),"",IF(ISERROR(SEARCH(",",J612,1)),CONCATENATE(","&amp;J612&amp;","&amp;J612),CONCATENATE(","&amp;J612))&amp;
IF(ISBLANK(K612),"",IF(ISERROR(SEARCH(",",K612,1)),CONCATENATE(","&amp;K612&amp;","&amp;K612),CONCATENATE(","&amp;K612))))))&amp;
")","")&amp;" "&amp;F612)</f>
        <v/>
      </c>
    </row>
    <row r="613">
      <c r="A613" s="1" t="n">
        <v>712</v>
      </c>
      <c r="B613" s="1">
        <f>A613</f>
        <v/>
      </c>
      <c r="C613" s="1" t="inlineStr">
        <is>
          <t>vQ25m18</t>
        </is>
      </c>
      <c r="D613" s="1" t="inlineStr">
        <is>
          <t>數值</t>
        </is>
      </c>
      <c r="E613" s="9" t="n">
        <v>2</v>
      </c>
      <c r="G613" s="1" t="inlineStr">
        <is>
          <t>range</t>
        </is>
      </c>
      <c r="H613" s="1" t="inlineStr">
        <is>
          <t>0,1</t>
        </is>
      </c>
      <c r="I613" s="1" t="inlineStr">
        <is>
          <t>96</t>
        </is>
      </c>
      <c r="L613" s="2">
        <f>_xlfn.CONCAT(IF(D613="數值",CONCATENATE(G613&amp;"("&amp;C613&amp;","&amp;
IF(ISERROR(SEARCH(",",H613,1)),(H613&amp;","&amp;H613),H613)&amp;
IF(ISBLANK(I613),"",IF(ISERROR(SEARCH(",",I613,1)),CONCATENATE(","&amp;I613&amp;","&amp;I613),CONCATENATE(","&amp;I613))&amp;
IF(ISBLANK(J613),"",IF(ISERROR(SEARCH(",",J613,1)),CONCATENATE(","&amp;J613&amp;","&amp;J613),CONCATENATE(","&amp;J613))&amp;
IF(ISBLANK(K613),"",IF(ISERROR(SEARCH(",",K613,1)),CONCATENATE(","&amp;K613&amp;","&amp;K613),CONCATENATE(","&amp;K613))))))&amp;
")","")&amp;" "&amp;F613)</f>
        <v/>
      </c>
    </row>
    <row r="614">
      <c r="A614" s="1" t="n">
        <v>713</v>
      </c>
      <c r="B614" s="1">
        <f>A614</f>
        <v/>
      </c>
      <c r="C614" s="1" t="inlineStr">
        <is>
          <t>vQ25m19</t>
        </is>
      </c>
      <c r="D614" s="1" t="inlineStr">
        <is>
          <t>數值</t>
        </is>
      </c>
      <c r="E614" s="9" t="n">
        <v>2</v>
      </c>
      <c r="G614" s="1" t="inlineStr">
        <is>
          <t>range</t>
        </is>
      </c>
      <c r="H614" s="1" t="inlineStr">
        <is>
          <t>0,1</t>
        </is>
      </c>
      <c r="I614" s="1" t="inlineStr">
        <is>
          <t>96</t>
        </is>
      </c>
      <c r="L614" s="2">
        <f>_xlfn.CONCAT(IF(D614="數值",CONCATENATE(G614&amp;"("&amp;C614&amp;","&amp;
IF(ISERROR(SEARCH(",",H614,1)),(H614&amp;","&amp;H614),H614)&amp;
IF(ISBLANK(I614),"",IF(ISERROR(SEARCH(",",I614,1)),CONCATENATE(","&amp;I614&amp;","&amp;I614),CONCATENATE(","&amp;I614))&amp;
IF(ISBLANK(J614),"",IF(ISERROR(SEARCH(",",J614,1)),CONCATENATE(","&amp;J614&amp;","&amp;J614),CONCATENATE(","&amp;J614))&amp;
IF(ISBLANK(K614),"",IF(ISERROR(SEARCH(",",K614,1)),CONCATENATE(","&amp;K614&amp;","&amp;K614),CONCATENATE(","&amp;K614))))))&amp;
")","")&amp;" "&amp;F614)</f>
        <v/>
      </c>
    </row>
    <row r="615">
      <c r="A615" s="1" t="n">
        <v>714</v>
      </c>
      <c r="B615" s="1">
        <f>A615</f>
        <v/>
      </c>
      <c r="C615" s="1" t="inlineStr">
        <is>
          <t>vQ25m20</t>
        </is>
      </c>
      <c r="D615" s="1" t="inlineStr">
        <is>
          <t>數值</t>
        </is>
      </c>
      <c r="E615" s="9" t="n">
        <v>2</v>
      </c>
      <c r="G615" s="1" t="inlineStr">
        <is>
          <t>range</t>
        </is>
      </c>
      <c r="H615" s="1" t="inlineStr">
        <is>
          <t>0,1</t>
        </is>
      </c>
      <c r="I615" s="1" t="inlineStr">
        <is>
          <t>96</t>
        </is>
      </c>
      <c r="L615" s="2">
        <f>_xlfn.CONCAT(IF(D615="數值",CONCATENATE(G615&amp;"("&amp;C615&amp;","&amp;
IF(ISERROR(SEARCH(",",H615,1)),(H615&amp;","&amp;H615),H615)&amp;
IF(ISBLANK(I615),"",IF(ISERROR(SEARCH(",",I615,1)),CONCATENATE(","&amp;I615&amp;","&amp;I615),CONCATENATE(","&amp;I615))&amp;
IF(ISBLANK(J615),"",IF(ISERROR(SEARCH(",",J615,1)),CONCATENATE(","&amp;J615&amp;","&amp;J615),CONCATENATE(","&amp;J615))&amp;
IF(ISBLANK(K615),"",IF(ISERROR(SEARCH(",",K615,1)),CONCATENATE(","&amp;K615&amp;","&amp;K615),CONCATENATE(","&amp;K615))))))&amp;
")","")&amp;" "&amp;F615)</f>
        <v/>
      </c>
    </row>
    <row r="616">
      <c r="A616" s="1" t="n">
        <v>715</v>
      </c>
      <c r="B616" s="1">
        <f>A616</f>
        <v/>
      </c>
      <c r="C616" s="1" t="inlineStr">
        <is>
          <t>vQ25m21</t>
        </is>
      </c>
      <c r="D616" s="1" t="inlineStr">
        <is>
          <t>數值</t>
        </is>
      </c>
      <c r="E616" s="9" t="n">
        <v>2</v>
      </c>
      <c r="G616" s="1" t="inlineStr">
        <is>
          <t>range</t>
        </is>
      </c>
      <c r="H616" s="1" t="inlineStr">
        <is>
          <t>0,1</t>
        </is>
      </c>
      <c r="I616" s="1" t="inlineStr">
        <is>
          <t>96</t>
        </is>
      </c>
      <c r="L616" s="2">
        <f>_xlfn.CONCAT(IF(D616="數值",CONCATENATE(G616&amp;"("&amp;C616&amp;","&amp;
IF(ISERROR(SEARCH(",",H616,1)),(H616&amp;","&amp;H616),H616)&amp;
IF(ISBLANK(I616),"",IF(ISERROR(SEARCH(",",I616,1)),CONCATENATE(","&amp;I616&amp;","&amp;I616),CONCATENATE(","&amp;I616))&amp;
IF(ISBLANK(J616),"",IF(ISERROR(SEARCH(",",J616,1)),CONCATENATE(","&amp;J616&amp;","&amp;J616),CONCATENATE(","&amp;J616))&amp;
IF(ISBLANK(K616),"",IF(ISERROR(SEARCH(",",K616,1)),CONCATENATE(","&amp;K616&amp;","&amp;K616),CONCATENATE(","&amp;K616))))))&amp;
")","")&amp;" "&amp;F616)</f>
        <v/>
      </c>
    </row>
    <row r="617">
      <c r="A617" s="1" t="n">
        <v>716</v>
      </c>
      <c r="B617" s="1">
        <f>A617</f>
        <v/>
      </c>
      <c r="C617" s="1" t="inlineStr">
        <is>
          <t>vQ25m22</t>
        </is>
      </c>
      <c r="D617" s="1" t="inlineStr">
        <is>
          <t>數值</t>
        </is>
      </c>
      <c r="E617" s="9" t="n">
        <v>2</v>
      </c>
      <c r="G617" s="1" t="inlineStr">
        <is>
          <t>range</t>
        </is>
      </c>
      <c r="H617" s="1" t="inlineStr">
        <is>
          <t>0,1</t>
        </is>
      </c>
      <c r="I617" s="1" t="inlineStr">
        <is>
          <t>96</t>
        </is>
      </c>
      <c r="L617" s="2">
        <f>_xlfn.CONCAT(IF(D617="數值",CONCATENATE(G617&amp;"("&amp;C617&amp;","&amp;
IF(ISERROR(SEARCH(",",H617,1)),(H617&amp;","&amp;H617),H617)&amp;
IF(ISBLANK(I617),"",IF(ISERROR(SEARCH(",",I617,1)),CONCATENATE(","&amp;I617&amp;","&amp;I617),CONCATENATE(","&amp;I617))&amp;
IF(ISBLANK(J617),"",IF(ISERROR(SEARCH(",",J617,1)),CONCATENATE(","&amp;J617&amp;","&amp;J617),CONCATENATE(","&amp;J617))&amp;
IF(ISBLANK(K617),"",IF(ISERROR(SEARCH(",",K617,1)),CONCATENATE(","&amp;K617&amp;","&amp;K617),CONCATENATE(","&amp;K617))))))&amp;
")","")&amp;" "&amp;F617)</f>
        <v/>
      </c>
    </row>
    <row r="618">
      <c r="A618" s="1" t="n">
        <v>717</v>
      </c>
      <c r="B618" s="1">
        <f>A618</f>
        <v/>
      </c>
      <c r="C618" s="1" t="inlineStr">
        <is>
          <t>vQ25m23</t>
        </is>
      </c>
      <c r="D618" s="1" t="inlineStr">
        <is>
          <t>數值</t>
        </is>
      </c>
      <c r="E618" s="9" t="n">
        <v>2</v>
      </c>
      <c r="G618" s="1" t="inlineStr">
        <is>
          <t>range</t>
        </is>
      </c>
      <c r="H618" s="1" t="inlineStr">
        <is>
          <t>0,1</t>
        </is>
      </c>
      <c r="I618" s="1" t="inlineStr">
        <is>
          <t>96</t>
        </is>
      </c>
      <c r="L618" s="2">
        <f>_xlfn.CONCAT(IF(D618="數值",CONCATENATE(G618&amp;"("&amp;C618&amp;","&amp;
IF(ISERROR(SEARCH(",",H618,1)),(H618&amp;","&amp;H618),H618)&amp;
IF(ISBLANK(I618),"",IF(ISERROR(SEARCH(",",I618,1)),CONCATENATE(","&amp;I618&amp;","&amp;I618),CONCATENATE(","&amp;I618))&amp;
IF(ISBLANK(J618),"",IF(ISERROR(SEARCH(",",J618,1)),CONCATENATE(","&amp;J618&amp;","&amp;J618),CONCATENATE(","&amp;J618))&amp;
IF(ISBLANK(K618),"",IF(ISERROR(SEARCH(",",K618,1)),CONCATENATE(","&amp;K618&amp;","&amp;K618),CONCATENATE(","&amp;K618))))))&amp;
")","")&amp;" "&amp;F618)</f>
        <v/>
      </c>
    </row>
    <row r="619">
      <c r="A619" s="1" t="n">
        <v>718</v>
      </c>
      <c r="B619" s="1">
        <f>A619</f>
        <v/>
      </c>
      <c r="C619" s="1" t="inlineStr">
        <is>
          <t>vQ25m24</t>
        </is>
      </c>
      <c r="D619" s="1" t="inlineStr">
        <is>
          <t>數值</t>
        </is>
      </c>
      <c r="E619" s="9" t="n">
        <v>2</v>
      </c>
      <c r="G619" s="1" t="inlineStr">
        <is>
          <t>range</t>
        </is>
      </c>
      <c r="H619" s="1" t="inlineStr">
        <is>
          <t>0,1</t>
        </is>
      </c>
      <c r="I619" s="1" t="inlineStr">
        <is>
          <t>96</t>
        </is>
      </c>
      <c r="L619" s="2">
        <f>_xlfn.CONCAT(IF(D619="數值",CONCATENATE(G619&amp;"("&amp;C619&amp;","&amp;
IF(ISERROR(SEARCH(",",H619,1)),(H619&amp;","&amp;H619),H619)&amp;
IF(ISBLANK(I619),"",IF(ISERROR(SEARCH(",",I619,1)),CONCATENATE(","&amp;I619&amp;","&amp;I619),CONCATENATE(","&amp;I619))&amp;
IF(ISBLANK(J619),"",IF(ISERROR(SEARCH(",",J619,1)),CONCATENATE(","&amp;J619&amp;","&amp;J619),CONCATENATE(","&amp;J619))&amp;
IF(ISBLANK(K619),"",IF(ISERROR(SEARCH(",",K619,1)),CONCATENATE(","&amp;K619&amp;","&amp;K619),CONCATENATE(","&amp;K619))))))&amp;
")","")&amp;" "&amp;F619)</f>
        <v/>
      </c>
    </row>
    <row r="620">
      <c r="A620" s="1" t="n">
        <v>719</v>
      </c>
      <c r="B620" s="1">
        <f>A620</f>
        <v/>
      </c>
      <c r="C620" s="1" t="inlineStr">
        <is>
          <t>vQ25m25</t>
        </is>
      </c>
      <c r="D620" s="1" t="inlineStr">
        <is>
          <t>數值</t>
        </is>
      </c>
      <c r="E620" s="9" t="n">
        <v>2</v>
      </c>
      <c r="G620" s="1" t="inlineStr">
        <is>
          <t>range</t>
        </is>
      </c>
      <c r="H620" s="1" t="inlineStr">
        <is>
          <t>0,1</t>
        </is>
      </c>
      <c r="I620" s="1" t="inlineStr">
        <is>
          <t>96</t>
        </is>
      </c>
      <c r="L620" s="2">
        <f>_xlfn.CONCAT(IF(D620="數值",CONCATENATE(G620&amp;"("&amp;C620&amp;","&amp;
IF(ISERROR(SEARCH(",",H620,1)),(H620&amp;","&amp;H620),H620)&amp;
IF(ISBLANK(I620),"",IF(ISERROR(SEARCH(",",I620,1)),CONCATENATE(","&amp;I620&amp;","&amp;I620),CONCATENATE(","&amp;I620))&amp;
IF(ISBLANK(J620),"",IF(ISERROR(SEARCH(",",J620,1)),CONCATENATE(","&amp;J620&amp;","&amp;J620),CONCATENATE(","&amp;J620))&amp;
IF(ISBLANK(K620),"",IF(ISERROR(SEARCH(",",K620,1)),CONCATENATE(","&amp;K620&amp;","&amp;K620),CONCATENATE(","&amp;K620))))))&amp;
")","")&amp;" "&amp;F620)</f>
        <v/>
      </c>
    </row>
    <row r="621">
      <c r="A621" s="1" t="n">
        <v>720</v>
      </c>
      <c r="B621" s="1">
        <f>A621</f>
        <v/>
      </c>
      <c r="C621" s="1" t="inlineStr">
        <is>
          <t>vQ25m26</t>
        </is>
      </c>
      <c r="D621" s="1" t="inlineStr">
        <is>
          <t>數值</t>
        </is>
      </c>
      <c r="E621" s="9" t="n">
        <v>2</v>
      </c>
      <c r="G621" s="1" t="inlineStr">
        <is>
          <t>range</t>
        </is>
      </c>
      <c r="H621" s="1" t="inlineStr">
        <is>
          <t>0,1</t>
        </is>
      </c>
      <c r="I621" s="1" t="inlineStr">
        <is>
          <t>96</t>
        </is>
      </c>
      <c r="L621" s="2">
        <f>_xlfn.CONCAT(IF(D621="數值",CONCATENATE(G621&amp;"("&amp;C621&amp;","&amp;
IF(ISERROR(SEARCH(",",H621,1)),(H621&amp;","&amp;H621),H621)&amp;
IF(ISBLANK(I621),"",IF(ISERROR(SEARCH(",",I621,1)),CONCATENATE(","&amp;I621&amp;","&amp;I621),CONCATENATE(","&amp;I621))&amp;
IF(ISBLANK(J621),"",IF(ISERROR(SEARCH(",",J621,1)),CONCATENATE(","&amp;J621&amp;","&amp;J621),CONCATENATE(","&amp;J621))&amp;
IF(ISBLANK(K621),"",IF(ISERROR(SEARCH(",",K621,1)),CONCATENATE(","&amp;K621&amp;","&amp;K621),CONCATENATE(","&amp;K621))))))&amp;
")","")&amp;" "&amp;F621)</f>
        <v/>
      </c>
    </row>
    <row r="622">
      <c r="A622" s="1" t="n">
        <v>721</v>
      </c>
      <c r="B622" s="1">
        <f>A622</f>
        <v/>
      </c>
      <c r="C622" s="1" t="inlineStr">
        <is>
          <t>vQ25m27</t>
        </is>
      </c>
      <c r="D622" s="1" t="inlineStr">
        <is>
          <t>數值</t>
        </is>
      </c>
      <c r="E622" s="9" t="n">
        <v>2</v>
      </c>
      <c r="G622" s="1" t="inlineStr">
        <is>
          <t>range</t>
        </is>
      </c>
      <c r="H622" s="1" t="inlineStr">
        <is>
          <t>0,1</t>
        </is>
      </c>
      <c r="I622" s="1" t="inlineStr">
        <is>
          <t>96</t>
        </is>
      </c>
      <c r="L622" s="2">
        <f>_xlfn.CONCAT(IF(D622="數值",CONCATENATE(G622&amp;"("&amp;C622&amp;","&amp;
IF(ISERROR(SEARCH(",",H622,1)),(H622&amp;","&amp;H622),H622)&amp;
IF(ISBLANK(I622),"",IF(ISERROR(SEARCH(",",I622,1)),CONCATENATE(","&amp;I622&amp;","&amp;I622),CONCATENATE(","&amp;I622))&amp;
IF(ISBLANK(J622),"",IF(ISERROR(SEARCH(",",J622,1)),CONCATENATE(","&amp;J622&amp;","&amp;J622),CONCATENATE(","&amp;J622))&amp;
IF(ISBLANK(K622),"",IF(ISERROR(SEARCH(",",K622,1)),CONCATENATE(","&amp;K622&amp;","&amp;K622),CONCATENATE(","&amp;K622))))))&amp;
")","")&amp;" "&amp;F622)</f>
        <v/>
      </c>
    </row>
    <row r="623">
      <c r="A623" s="1" t="n">
        <v>722</v>
      </c>
      <c r="B623" s="1">
        <f>A623</f>
        <v/>
      </c>
      <c r="C623" s="1" t="inlineStr">
        <is>
          <t>vQ25m28</t>
        </is>
      </c>
      <c r="D623" s="1" t="inlineStr">
        <is>
          <t>數值</t>
        </is>
      </c>
      <c r="E623" s="9" t="n">
        <v>2</v>
      </c>
      <c r="G623" s="1" t="inlineStr">
        <is>
          <t>range</t>
        </is>
      </c>
      <c r="H623" s="1" t="inlineStr">
        <is>
          <t>0,1</t>
        </is>
      </c>
      <c r="I623" s="1" t="inlineStr">
        <is>
          <t>96</t>
        </is>
      </c>
      <c r="L623" s="2">
        <f>_xlfn.CONCAT(IF(D623="數值",CONCATENATE(G623&amp;"("&amp;C623&amp;","&amp;
IF(ISERROR(SEARCH(",",H623,1)),(H623&amp;","&amp;H623),H623)&amp;
IF(ISBLANK(I623),"",IF(ISERROR(SEARCH(",",I623,1)),CONCATENATE(","&amp;I623&amp;","&amp;I623),CONCATENATE(","&amp;I623))&amp;
IF(ISBLANK(J623),"",IF(ISERROR(SEARCH(",",J623,1)),CONCATENATE(","&amp;J623&amp;","&amp;J623),CONCATENATE(","&amp;J623))&amp;
IF(ISBLANK(K623),"",IF(ISERROR(SEARCH(",",K623,1)),CONCATENATE(","&amp;K623&amp;","&amp;K623),CONCATENATE(","&amp;K623))))))&amp;
")","")&amp;" "&amp;F623)</f>
        <v/>
      </c>
    </row>
    <row r="624">
      <c r="A624" s="1" t="n">
        <v>723</v>
      </c>
      <c r="B624" s="1">
        <f>A624</f>
        <v/>
      </c>
      <c r="C624" s="1" t="inlineStr">
        <is>
          <t>vQ25m29</t>
        </is>
      </c>
      <c r="D624" s="1" t="inlineStr">
        <is>
          <t>數值</t>
        </is>
      </c>
      <c r="E624" s="9" t="n">
        <v>2</v>
      </c>
      <c r="G624" s="1" t="inlineStr">
        <is>
          <t>range</t>
        </is>
      </c>
      <c r="H624" s="1" t="inlineStr">
        <is>
          <t>0,1</t>
        </is>
      </c>
      <c r="I624" s="1" t="inlineStr">
        <is>
          <t>96</t>
        </is>
      </c>
      <c r="L624" s="2">
        <f>_xlfn.CONCAT(IF(D624="數值",CONCATENATE(G624&amp;"("&amp;C624&amp;","&amp;
IF(ISERROR(SEARCH(",",H624,1)),(H624&amp;","&amp;H624),H624)&amp;
IF(ISBLANK(I624),"",IF(ISERROR(SEARCH(",",I624,1)),CONCATENATE(","&amp;I624&amp;","&amp;I624),CONCATENATE(","&amp;I624))&amp;
IF(ISBLANK(J624),"",IF(ISERROR(SEARCH(",",J624,1)),CONCATENATE(","&amp;J624&amp;","&amp;J624),CONCATENATE(","&amp;J624))&amp;
IF(ISBLANK(K624),"",IF(ISERROR(SEARCH(",",K624,1)),CONCATENATE(","&amp;K624&amp;","&amp;K624),CONCATENATE(","&amp;K624))))))&amp;
")","")&amp;" "&amp;F624)</f>
        <v/>
      </c>
    </row>
    <row r="625">
      <c r="A625" s="1" t="n">
        <v>724</v>
      </c>
      <c r="B625" s="1">
        <f>A625</f>
        <v/>
      </c>
      <c r="C625" s="1" t="inlineStr">
        <is>
          <t>vQ25m30</t>
        </is>
      </c>
      <c r="D625" s="1" t="inlineStr">
        <is>
          <t>數值</t>
        </is>
      </c>
      <c r="E625" s="9" t="n">
        <v>2</v>
      </c>
      <c r="G625" s="1" t="inlineStr">
        <is>
          <t>range</t>
        </is>
      </c>
      <c r="H625" s="1" t="inlineStr">
        <is>
          <t>0,1</t>
        </is>
      </c>
      <c r="I625" s="1" t="inlineStr">
        <is>
          <t>96</t>
        </is>
      </c>
      <c r="L625" s="2">
        <f>_xlfn.CONCAT(IF(D625="數值",CONCATENATE(G625&amp;"("&amp;C625&amp;","&amp;
IF(ISERROR(SEARCH(",",H625,1)),(H625&amp;","&amp;H625),H625)&amp;
IF(ISBLANK(I625),"",IF(ISERROR(SEARCH(",",I625,1)),CONCATENATE(","&amp;I625&amp;","&amp;I625),CONCATENATE(","&amp;I625))&amp;
IF(ISBLANK(J625),"",IF(ISERROR(SEARCH(",",J625,1)),CONCATENATE(","&amp;J625&amp;","&amp;J625),CONCATENATE(","&amp;J625))&amp;
IF(ISBLANK(K625),"",IF(ISERROR(SEARCH(",",K625,1)),CONCATENATE(","&amp;K625&amp;","&amp;K625),CONCATENATE(","&amp;K625))))))&amp;
")","")&amp;" "&amp;F625)</f>
        <v/>
      </c>
    </row>
    <row r="626">
      <c r="A626" s="1" t="n">
        <v>725</v>
      </c>
      <c r="B626" s="1">
        <f>A626</f>
        <v/>
      </c>
      <c r="C626" s="1" t="inlineStr">
        <is>
          <t>vQ25m31</t>
        </is>
      </c>
      <c r="D626" s="1" t="inlineStr">
        <is>
          <t>數值</t>
        </is>
      </c>
      <c r="E626" s="9" t="n">
        <v>2</v>
      </c>
      <c r="G626" s="1" t="inlineStr">
        <is>
          <t>range</t>
        </is>
      </c>
      <c r="H626" s="1" t="inlineStr">
        <is>
          <t>0,1</t>
        </is>
      </c>
      <c r="I626" s="1" t="inlineStr">
        <is>
          <t>96</t>
        </is>
      </c>
      <c r="L626" s="2">
        <f>_xlfn.CONCAT(IF(D626="數值",CONCATENATE(G626&amp;"("&amp;C626&amp;","&amp;
IF(ISERROR(SEARCH(",",H626,1)),(H626&amp;","&amp;H626),H626)&amp;
IF(ISBLANK(I626),"",IF(ISERROR(SEARCH(",",I626,1)),CONCATENATE(","&amp;I626&amp;","&amp;I626),CONCATENATE(","&amp;I626))&amp;
IF(ISBLANK(J626),"",IF(ISERROR(SEARCH(",",J626,1)),CONCATENATE(","&amp;J626&amp;","&amp;J626),CONCATENATE(","&amp;J626))&amp;
IF(ISBLANK(K626),"",IF(ISERROR(SEARCH(",",K626,1)),CONCATENATE(","&amp;K626&amp;","&amp;K626),CONCATENATE(","&amp;K626))))))&amp;
")","")&amp;" "&amp;F626)</f>
        <v/>
      </c>
    </row>
    <row r="627">
      <c r="A627" s="1" t="n">
        <v>726</v>
      </c>
      <c r="B627" s="1">
        <f>A627</f>
        <v/>
      </c>
      <c r="C627" s="1" t="inlineStr">
        <is>
          <t>vQ25m88</t>
        </is>
      </c>
      <c r="D627" s="1" t="inlineStr">
        <is>
          <t>數值</t>
        </is>
      </c>
      <c r="E627" s="9" t="n">
        <v>2</v>
      </c>
      <c r="G627" s="1" t="inlineStr">
        <is>
          <t>range</t>
        </is>
      </c>
      <c r="H627" s="1" t="inlineStr">
        <is>
          <t>0,1</t>
        </is>
      </c>
      <c r="I627" s="1" t="inlineStr">
        <is>
          <t>96</t>
        </is>
      </c>
      <c r="L627" s="2">
        <f>_xlfn.CONCAT(IF(D627="數值",CONCATENATE(G627&amp;"("&amp;C627&amp;","&amp;
IF(ISERROR(SEARCH(",",H627,1)),(H627&amp;","&amp;H627),H627)&amp;
IF(ISBLANK(I627),"",IF(ISERROR(SEARCH(",",I627,1)),CONCATENATE(","&amp;I627&amp;","&amp;I627),CONCATENATE(","&amp;I627))&amp;
IF(ISBLANK(J627),"",IF(ISERROR(SEARCH(",",J627,1)),CONCATENATE(","&amp;J627&amp;","&amp;J627),CONCATENATE(","&amp;J627))&amp;
IF(ISBLANK(K627),"",IF(ISERROR(SEARCH(",",K627,1)),CONCATENATE(","&amp;K627&amp;","&amp;K627),CONCATENATE(","&amp;K627))))))&amp;
")","")&amp;" "&amp;F627)</f>
        <v/>
      </c>
    </row>
    <row r="628">
      <c r="A628" s="1" t="n">
        <v>727</v>
      </c>
      <c r="B628" s="1">
        <f>A628</f>
        <v/>
      </c>
      <c r="C628" s="1" t="inlineStr">
        <is>
          <t>vQ21g1</t>
        </is>
      </c>
      <c r="D628" s="1" t="inlineStr">
        <is>
          <t>數值</t>
        </is>
      </c>
      <c r="E628" s="9" t="n">
        <v>4</v>
      </c>
      <c r="G628" s="1" t="inlineStr">
        <is>
          <t>range</t>
        </is>
      </c>
      <c r="H628" s="1" t="inlineStr">
        <is>
          <t>0,140</t>
        </is>
      </c>
      <c r="I628" s="1" t="inlineStr">
        <is>
          <t>997</t>
        </is>
      </c>
      <c r="J628" s="1" t="inlineStr">
        <is>
          <t>998</t>
        </is>
      </c>
      <c r="L628" s="2">
        <f>_xlfn.CONCAT(IF(D628="數值",CONCATENATE(G628&amp;"("&amp;C628&amp;","&amp;
IF(ISERROR(SEARCH(",",H628,1)),(H628&amp;","&amp;H628),H628)&amp;
IF(ISBLANK(I628),"",IF(ISERROR(SEARCH(",",I628,1)),CONCATENATE(","&amp;I628&amp;","&amp;I628),CONCATENATE(","&amp;I628))&amp;
IF(ISBLANK(J628),"",IF(ISERROR(SEARCH(",",J628,1)),CONCATENATE(","&amp;J628&amp;","&amp;J628),CONCATENATE(","&amp;J628))&amp;
IF(ISBLANK(K628),"",IF(ISERROR(SEARCH(",",K628,1)),CONCATENATE(","&amp;K628&amp;","&amp;K628),CONCATENATE(","&amp;K628))))))&amp;
")","")&amp;" "&amp;F628)</f>
        <v/>
      </c>
    </row>
    <row r="629">
      <c r="A629" s="1" t="n">
        <v>728</v>
      </c>
      <c r="B629" s="1">
        <f>A629</f>
        <v/>
      </c>
      <c r="C629" s="1" t="inlineStr">
        <is>
          <t>vQ21g2</t>
        </is>
      </c>
      <c r="D629" s="1" t="inlineStr">
        <is>
          <t>數值</t>
        </is>
      </c>
      <c r="E629" s="9" t="n">
        <v>3</v>
      </c>
      <c r="G629" s="1" t="inlineStr">
        <is>
          <t>range</t>
        </is>
      </c>
      <c r="H629" s="1" t="inlineStr">
        <is>
          <t>0,59</t>
        </is>
      </c>
      <c r="I629" s="1" t="inlineStr">
        <is>
          <t>97</t>
        </is>
      </c>
      <c r="J629" s="1" t="inlineStr">
        <is>
          <t>98</t>
        </is>
      </c>
      <c r="L629" s="2">
        <f>_xlfn.CONCAT(IF(D629="數值",CONCATENATE(G629&amp;"("&amp;C629&amp;","&amp;
IF(ISERROR(SEARCH(",",H629,1)),(H629&amp;","&amp;H629),H629)&amp;
IF(ISBLANK(I629),"",IF(ISERROR(SEARCH(",",I629,1)),CONCATENATE(","&amp;I629&amp;","&amp;I629),CONCATENATE(","&amp;I629))&amp;
IF(ISBLANK(J629),"",IF(ISERROR(SEARCH(",",J629,1)),CONCATENATE(","&amp;J629&amp;","&amp;J629),CONCATENATE(","&amp;J629))&amp;
IF(ISBLANK(K629),"",IF(ISERROR(SEARCH(",",K629,1)),CONCATENATE(","&amp;K629&amp;","&amp;K629),CONCATENATE(","&amp;K629))))))&amp;
")","")&amp;" "&amp;F629)</f>
        <v/>
      </c>
    </row>
    <row r="630">
      <c r="A630" s="1" t="n">
        <v>729</v>
      </c>
      <c r="B630" s="1">
        <f>A630</f>
        <v/>
      </c>
      <c r="C630" s="1" t="inlineStr">
        <is>
          <t>vCKQ21</t>
        </is>
      </c>
      <c r="D630" s="1" t="inlineStr">
        <is>
          <t>數值</t>
        </is>
      </c>
      <c r="E630" s="9" t="n">
        <v>2</v>
      </c>
      <c r="G630" s="1" t="inlineStr">
        <is>
          <t>range</t>
        </is>
      </c>
      <c r="H630" s="1" t="inlineStr">
        <is>
          <t>1</t>
        </is>
      </c>
      <c r="L630" s="2">
        <f>_xlfn.CONCAT(IF(D630="數值",CONCATENATE(G630&amp;"("&amp;C630&amp;","&amp;
IF(ISERROR(SEARCH(",",H630,1)),(H630&amp;","&amp;H630),H630)&amp;
IF(ISBLANK(I630),"",IF(ISERROR(SEARCH(",",I630,1)),CONCATENATE(","&amp;I630&amp;","&amp;I630),CONCATENATE(","&amp;I630))&amp;
IF(ISBLANK(J630),"",IF(ISERROR(SEARCH(",",J630,1)),CONCATENATE(","&amp;J630&amp;","&amp;J630),CONCATENATE(","&amp;J630))&amp;
IF(ISBLANK(K630),"",IF(ISERROR(SEARCH(",",K630,1)),CONCATENATE(","&amp;K630&amp;","&amp;K630),CONCATENATE(","&amp;K630))))))&amp;
")","")&amp;" "&amp;F630)</f>
        <v/>
      </c>
    </row>
    <row r="631">
      <c r="A631" s="1" t="n">
        <v>730</v>
      </c>
      <c r="B631" s="1">
        <f>A631</f>
        <v/>
      </c>
      <c r="C631" s="1" t="inlineStr">
        <is>
          <t>vQ22m01</t>
        </is>
      </c>
      <c r="D631" s="1" t="inlineStr">
        <is>
          <t>數值</t>
        </is>
      </c>
      <c r="E631" s="9" t="n">
        <v>2</v>
      </c>
      <c r="G631" s="1" t="inlineStr">
        <is>
          <t>range</t>
        </is>
      </c>
      <c r="H631" s="1" t="inlineStr">
        <is>
          <t>0,1</t>
        </is>
      </c>
      <c r="L631" s="2">
        <f>_xlfn.CONCAT(IF(D631="數值",CONCATENATE(G631&amp;"("&amp;C631&amp;","&amp;
IF(ISERROR(SEARCH(",",H631,1)),(H631&amp;","&amp;H631),H631)&amp;
IF(ISBLANK(I631),"",IF(ISERROR(SEARCH(",",I631,1)),CONCATENATE(","&amp;I631&amp;","&amp;I631),CONCATENATE(","&amp;I631))&amp;
IF(ISBLANK(J631),"",IF(ISERROR(SEARCH(",",J631,1)),CONCATENATE(","&amp;J631&amp;","&amp;J631),CONCATENATE(","&amp;J631))&amp;
IF(ISBLANK(K631),"",IF(ISERROR(SEARCH(",",K631,1)),CONCATENATE(","&amp;K631&amp;","&amp;K631),CONCATENATE(","&amp;K631))))))&amp;
")","")&amp;" "&amp;F631)</f>
        <v/>
      </c>
    </row>
    <row r="632">
      <c r="A632" s="1" t="n">
        <v>731</v>
      </c>
      <c r="B632" s="1">
        <f>A632</f>
        <v/>
      </c>
      <c r="C632" s="1" t="inlineStr">
        <is>
          <t>vQ22m02</t>
        </is>
      </c>
      <c r="D632" s="1" t="inlineStr">
        <is>
          <t>數值</t>
        </is>
      </c>
      <c r="E632" s="9" t="n">
        <v>2</v>
      </c>
      <c r="G632" s="1" t="inlineStr">
        <is>
          <t>range</t>
        </is>
      </c>
      <c r="H632" s="1" t="inlineStr">
        <is>
          <t>0,1</t>
        </is>
      </c>
      <c r="L632" s="2">
        <f>_xlfn.CONCAT(IF(D632="數值",CONCATENATE(G632&amp;"("&amp;C632&amp;","&amp;
IF(ISERROR(SEARCH(",",H632,1)),(H632&amp;","&amp;H632),H632)&amp;
IF(ISBLANK(I632),"",IF(ISERROR(SEARCH(",",I632,1)),CONCATENATE(","&amp;I632&amp;","&amp;I632),CONCATENATE(","&amp;I632))&amp;
IF(ISBLANK(J632),"",IF(ISERROR(SEARCH(",",J632,1)),CONCATENATE(","&amp;J632&amp;","&amp;J632),CONCATENATE(","&amp;J632))&amp;
IF(ISBLANK(K632),"",IF(ISERROR(SEARCH(",",K632,1)),CONCATENATE(","&amp;K632&amp;","&amp;K632),CONCATENATE(","&amp;K632))))))&amp;
")","")&amp;" "&amp;F632)</f>
        <v/>
      </c>
    </row>
    <row r="633">
      <c r="A633" s="1" t="n">
        <v>732</v>
      </c>
      <c r="B633" s="1">
        <f>A633</f>
        <v/>
      </c>
      <c r="C633" s="1" t="inlineStr">
        <is>
          <t>vQ22m03</t>
        </is>
      </c>
      <c r="D633" s="1" t="inlineStr">
        <is>
          <t>數值</t>
        </is>
      </c>
      <c r="E633" s="9" t="n">
        <v>2</v>
      </c>
      <c r="G633" s="1" t="inlineStr">
        <is>
          <t>range</t>
        </is>
      </c>
      <c r="H633" s="1" t="inlineStr">
        <is>
          <t>0,1</t>
        </is>
      </c>
      <c r="L633" s="2">
        <f>_xlfn.CONCAT(IF(D633="數值",CONCATENATE(G633&amp;"("&amp;C633&amp;","&amp;
IF(ISERROR(SEARCH(",",H633,1)),(H633&amp;","&amp;H633),H633)&amp;
IF(ISBLANK(I633),"",IF(ISERROR(SEARCH(",",I633,1)),CONCATENATE(","&amp;I633&amp;","&amp;I633),CONCATENATE(","&amp;I633))&amp;
IF(ISBLANK(J633),"",IF(ISERROR(SEARCH(",",J633,1)),CONCATENATE(","&amp;J633&amp;","&amp;J633),CONCATENATE(","&amp;J633))&amp;
IF(ISBLANK(K633),"",IF(ISERROR(SEARCH(",",K633,1)),CONCATENATE(","&amp;K633&amp;","&amp;K633),CONCATENATE(","&amp;K633))))))&amp;
")","")&amp;" "&amp;F633)</f>
        <v/>
      </c>
    </row>
    <row r="634">
      <c r="A634" s="1" t="n">
        <v>733</v>
      </c>
      <c r="B634" s="1">
        <f>A634</f>
        <v/>
      </c>
      <c r="C634" s="1" t="inlineStr">
        <is>
          <t>vQ22m04</t>
        </is>
      </c>
      <c r="D634" s="1" t="inlineStr">
        <is>
          <t>數值</t>
        </is>
      </c>
      <c r="E634" s="9" t="n">
        <v>2</v>
      </c>
      <c r="G634" s="1" t="inlineStr">
        <is>
          <t>range</t>
        </is>
      </c>
      <c r="H634" s="1" t="inlineStr">
        <is>
          <t>0,1</t>
        </is>
      </c>
      <c r="L634" s="2">
        <f>_xlfn.CONCAT(IF(D634="數值",CONCATENATE(G634&amp;"("&amp;C634&amp;","&amp;
IF(ISERROR(SEARCH(",",H634,1)),(H634&amp;","&amp;H634),H634)&amp;
IF(ISBLANK(I634),"",IF(ISERROR(SEARCH(",",I634,1)),CONCATENATE(","&amp;I634&amp;","&amp;I634),CONCATENATE(","&amp;I634))&amp;
IF(ISBLANK(J634),"",IF(ISERROR(SEARCH(",",J634,1)),CONCATENATE(","&amp;J634&amp;","&amp;J634),CONCATENATE(","&amp;J634))&amp;
IF(ISBLANK(K634),"",IF(ISERROR(SEARCH(",",K634,1)),CONCATENATE(","&amp;K634&amp;","&amp;K634),CONCATENATE(","&amp;K634))))))&amp;
")","")&amp;" "&amp;F634)</f>
        <v/>
      </c>
    </row>
    <row r="635">
      <c r="A635" s="1" t="n">
        <v>734</v>
      </c>
      <c r="B635" s="1">
        <f>A635</f>
        <v/>
      </c>
      <c r="C635" s="1" t="inlineStr">
        <is>
          <t>vQ22m05</t>
        </is>
      </c>
      <c r="D635" s="1" t="inlineStr">
        <is>
          <t>數值</t>
        </is>
      </c>
      <c r="E635" s="9" t="n">
        <v>2</v>
      </c>
      <c r="G635" s="1" t="inlineStr">
        <is>
          <t>range</t>
        </is>
      </c>
      <c r="H635" s="1" t="inlineStr">
        <is>
          <t>0,1</t>
        </is>
      </c>
      <c r="L635" s="2">
        <f>_xlfn.CONCAT(IF(D635="數值",CONCATENATE(G635&amp;"("&amp;C635&amp;","&amp;
IF(ISERROR(SEARCH(",",H635,1)),(H635&amp;","&amp;H635),H635)&amp;
IF(ISBLANK(I635),"",IF(ISERROR(SEARCH(",",I635,1)),CONCATENATE(","&amp;I635&amp;","&amp;I635),CONCATENATE(","&amp;I635))&amp;
IF(ISBLANK(J635),"",IF(ISERROR(SEARCH(",",J635,1)),CONCATENATE(","&amp;J635&amp;","&amp;J635),CONCATENATE(","&amp;J635))&amp;
IF(ISBLANK(K635),"",IF(ISERROR(SEARCH(",",K635,1)),CONCATENATE(","&amp;K635&amp;","&amp;K635),CONCATENATE(","&amp;K635))))))&amp;
")","")&amp;" "&amp;F635)</f>
        <v/>
      </c>
    </row>
    <row r="636">
      <c r="A636" s="1" t="n">
        <v>735</v>
      </c>
      <c r="B636" s="1">
        <f>A636</f>
        <v/>
      </c>
      <c r="C636" s="1" t="inlineStr">
        <is>
          <t>vQ22m06</t>
        </is>
      </c>
      <c r="D636" s="1" t="inlineStr">
        <is>
          <t>數值</t>
        </is>
      </c>
      <c r="E636" s="9" t="n">
        <v>2</v>
      </c>
      <c r="G636" s="1" t="inlineStr">
        <is>
          <t>range</t>
        </is>
      </c>
      <c r="H636" s="1" t="inlineStr">
        <is>
          <t>0,1</t>
        </is>
      </c>
      <c r="L636" s="2">
        <f>_xlfn.CONCAT(IF(D636="數值",CONCATENATE(G636&amp;"("&amp;C636&amp;","&amp;
IF(ISERROR(SEARCH(",",H636,1)),(H636&amp;","&amp;H636),H636)&amp;
IF(ISBLANK(I636),"",IF(ISERROR(SEARCH(",",I636,1)),CONCATENATE(","&amp;I636&amp;","&amp;I636),CONCATENATE(","&amp;I636))&amp;
IF(ISBLANK(J636),"",IF(ISERROR(SEARCH(",",J636,1)),CONCATENATE(","&amp;J636&amp;","&amp;J636),CONCATENATE(","&amp;J636))&amp;
IF(ISBLANK(K636),"",IF(ISERROR(SEARCH(",",K636,1)),CONCATENATE(","&amp;K636&amp;","&amp;K636),CONCATENATE(","&amp;K636))))))&amp;
")","")&amp;" "&amp;F636)</f>
        <v/>
      </c>
    </row>
    <row r="637">
      <c r="A637" s="1" t="n">
        <v>736</v>
      </c>
      <c r="B637" s="1">
        <f>A637</f>
        <v/>
      </c>
      <c r="C637" s="1" t="inlineStr">
        <is>
          <t>vQ22m07</t>
        </is>
      </c>
      <c r="D637" s="1" t="inlineStr">
        <is>
          <t>數值</t>
        </is>
      </c>
      <c r="E637" s="9" t="n">
        <v>2</v>
      </c>
      <c r="G637" s="1" t="inlineStr">
        <is>
          <t>range</t>
        </is>
      </c>
      <c r="H637" s="1" t="inlineStr">
        <is>
          <t>0,1</t>
        </is>
      </c>
      <c r="L637" s="2">
        <f>_xlfn.CONCAT(IF(D637="數值",CONCATENATE(G637&amp;"("&amp;C637&amp;","&amp;
IF(ISERROR(SEARCH(",",H637,1)),(H637&amp;","&amp;H637),H637)&amp;
IF(ISBLANK(I637),"",IF(ISERROR(SEARCH(",",I637,1)),CONCATENATE(","&amp;I637&amp;","&amp;I637),CONCATENATE(","&amp;I637))&amp;
IF(ISBLANK(J637),"",IF(ISERROR(SEARCH(",",J637,1)),CONCATENATE(","&amp;J637&amp;","&amp;J637),CONCATENATE(","&amp;J637))&amp;
IF(ISBLANK(K637),"",IF(ISERROR(SEARCH(",",K637,1)),CONCATENATE(","&amp;K637&amp;","&amp;K637),CONCATENATE(","&amp;K637))))))&amp;
")","")&amp;" "&amp;F637)</f>
        <v/>
      </c>
    </row>
    <row r="638">
      <c r="A638" s="1" t="n">
        <v>737</v>
      </c>
      <c r="B638" s="1">
        <f>A638</f>
        <v/>
      </c>
      <c r="C638" s="1" t="inlineStr">
        <is>
          <t>vQ22m08</t>
        </is>
      </c>
      <c r="D638" s="1" t="inlineStr">
        <is>
          <t>數值</t>
        </is>
      </c>
      <c r="E638" s="9" t="n">
        <v>2</v>
      </c>
      <c r="G638" s="1" t="inlineStr">
        <is>
          <t>range</t>
        </is>
      </c>
      <c r="H638" s="1" t="inlineStr">
        <is>
          <t>0,1</t>
        </is>
      </c>
      <c r="L638" s="2">
        <f>_xlfn.CONCAT(IF(D638="數值",CONCATENATE(G638&amp;"("&amp;C638&amp;","&amp;
IF(ISERROR(SEARCH(",",H638,1)),(H638&amp;","&amp;H638),H638)&amp;
IF(ISBLANK(I638),"",IF(ISERROR(SEARCH(",",I638,1)),CONCATENATE(","&amp;I638&amp;","&amp;I638),CONCATENATE(","&amp;I638))&amp;
IF(ISBLANK(J638),"",IF(ISERROR(SEARCH(",",J638,1)),CONCATENATE(","&amp;J638&amp;","&amp;J638),CONCATENATE(","&amp;J638))&amp;
IF(ISBLANK(K638),"",IF(ISERROR(SEARCH(",",K638,1)),CONCATENATE(","&amp;K638&amp;","&amp;K638),CONCATENATE(","&amp;K638))))))&amp;
")","")&amp;" "&amp;F638)</f>
        <v/>
      </c>
    </row>
    <row r="639">
      <c r="A639" s="1" t="n">
        <v>738</v>
      </c>
      <c r="B639" s="1">
        <f>A639</f>
        <v/>
      </c>
      <c r="C639" s="1" t="inlineStr">
        <is>
          <t>vQ22m09</t>
        </is>
      </c>
      <c r="D639" s="1" t="inlineStr">
        <is>
          <t>數值</t>
        </is>
      </c>
      <c r="E639" s="9" t="n">
        <v>2</v>
      </c>
      <c r="G639" s="1" t="inlineStr">
        <is>
          <t>range</t>
        </is>
      </c>
      <c r="H639" s="1" t="inlineStr">
        <is>
          <t>0,1</t>
        </is>
      </c>
      <c r="L639" s="2">
        <f>_xlfn.CONCAT(IF(D639="數值",CONCATENATE(G639&amp;"("&amp;C639&amp;","&amp;
IF(ISERROR(SEARCH(",",H639,1)),(H639&amp;","&amp;H639),H639)&amp;
IF(ISBLANK(I639),"",IF(ISERROR(SEARCH(",",I639,1)),CONCATENATE(","&amp;I639&amp;","&amp;I639),CONCATENATE(","&amp;I639))&amp;
IF(ISBLANK(J639),"",IF(ISERROR(SEARCH(",",J639,1)),CONCATENATE(","&amp;J639&amp;","&amp;J639),CONCATENATE(","&amp;J639))&amp;
IF(ISBLANK(K639),"",IF(ISERROR(SEARCH(",",K639,1)),CONCATENATE(","&amp;K639&amp;","&amp;K639),CONCATENATE(","&amp;K639))))))&amp;
")","")&amp;" "&amp;F639)</f>
        <v/>
      </c>
    </row>
    <row r="640">
      <c r="A640" s="1" t="n">
        <v>739</v>
      </c>
      <c r="B640" s="1">
        <f>A640</f>
        <v/>
      </c>
      <c r="C640" s="1" t="inlineStr">
        <is>
          <t>vQ22m10</t>
        </is>
      </c>
      <c r="D640" s="1" t="inlineStr">
        <is>
          <t>數值</t>
        </is>
      </c>
      <c r="E640" s="9" t="n">
        <v>2</v>
      </c>
      <c r="G640" s="1" t="inlineStr">
        <is>
          <t>range</t>
        </is>
      </c>
      <c r="H640" s="1" t="inlineStr">
        <is>
          <t>0,1</t>
        </is>
      </c>
      <c r="I640" s="1" t="inlineStr">
        <is>
          <t>96</t>
        </is>
      </c>
      <c r="L640" s="2">
        <f>_xlfn.CONCAT(IF(D640="數值",CONCATENATE(G640&amp;"("&amp;C640&amp;","&amp;
IF(ISERROR(SEARCH(",",H640,1)),(H640&amp;","&amp;H640),H640)&amp;
IF(ISBLANK(I640),"",IF(ISERROR(SEARCH(",",I640,1)),CONCATENATE(","&amp;I640&amp;","&amp;I640),CONCATENATE(","&amp;I640))&amp;
IF(ISBLANK(J640),"",IF(ISERROR(SEARCH(",",J640,1)),CONCATENATE(","&amp;J640&amp;","&amp;J640),CONCATENATE(","&amp;J640))&amp;
IF(ISBLANK(K640),"",IF(ISERROR(SEARCH(",",K640,1)),CONCATENATE(","&amp;K640&amp;","&amp;K640),CONCATENATE(","&amp;K640))))))&amp;
")","")&amp;" "&amp;F640)</f>
        <v/>
      </c>
    </row>
    <row r="641">
      <c r="A641" s="1" t="n">
        <v>740</v>
      </c>
      <c r="B641" s="1">
        <f>A641</f>
        <v/>
      </c>
      <c r="C641" s="1" t="inlineStr">
        <is>
          <t>vQ22m11</t>
        </is>
      </c>
      <c r="D641" s="1" t="inlineStr">
        <is>
          <t>數值</t>
        </is>
      </c>
      <c r="E641" s="9" t="n">
        <v>2</v>
      </c>
      <c r="G641" s="1" t="inlineStr">
        <is>
          <t>range</t>
        </is>
      </c>
      <c r="H641" s="1" t="inlineStr">
        <is>
          <t>0,1</t>
        </is>
      </c>
      <c r="I641" s="1" t="inlineStr">
        <is>
          <t>96</t>
        </is>
      </c>
      <c r="L641" s="2">
        <f>_xlfn.CONCAT(IF(D641="數值",CONCATENATE(G641&amp;"("&amp;C641&amp;","&amp;
IF(ISERROR(SEARCH(",",H641,1)),(H641&amp;","&amp;H641),H641)&amp;
IF(ISBLANK(I641),"",IF(ISERROR(SEARCH(",",I641,1)),CONCATENATE(","&amp;I641&amp;","&amp;I641),CONCATENATE(","&amp;I641))&amp;
IF(ISBLANK(J641),"",IF(ISERROR(SEARCH(",",J641,1)),CONCATENATE(","&amp;J641&amp;","&amp;J641),CONCATENATE(","&amp;J641))&amp;
IF(ISBLANK(K641),"",IF(ISERROR(SEARCH(",",K641,1)),CONCATENATE(","&amp;K641&amp;","&amp;K641),CONCATENATE(","&amp;K641))))))&amp;
")","")&amp;" "&amp;F641)</f>
        <v/>
      </c>
    </row>
    <row r="642">
      <c r="A642" s="1" t="n">
        <v>741</v>
      </c>
      <c r="B642" s="1">
        <f>A642</f>
        <v/>
      </c>
      <c r="C642" s="1" t="inlineStr">
        <is>
          <t>vQ22m12</t>
        </is>
      </c>
      <c r="D642" s="1" t="inlineStr">
        <is>
          <t>數值</t>
        </is>
      </c>
      <c r="E642" s="9" t="n">
        <v>2</v>
      </c>
      <c r="G642" s="1" t="inlineStr">
        <is>
          <t>range</t>
        </is>
      </c>
      <c r="H642" s="1" t="inlineStr">
        <is>
          <t>0,1</t>
        </is>
      </c>
      <c r="I642" s="1" t="inlineStr">
        <is>
          <t>96</t>
        </is>
      </c>
      <c r="L642" s="2">
        <f>_xlfn.CONCAT(IF(D642="數值",CONCATENATE(G642&amp;"("&amp;C642&amp;","&amp;
IF(ISERROR(SEARCH(",",H642,1)),(H642&amp;","&amp;H642),H642)&amp;
IF(ISBLANK(I642),"",IF(ISERROR(SEARCH(",",I642,1)),CONCATENATE(","&amp;I642&amp;","&amp;I642),CONCATENATE(","&amp;I642))&amp;
IF(ISBLANK(J642),"",IF(ISERROR(SEARCH(",",J642,1)),CONCATENATE(","&amp;J642&amp;","&amp;J642),CONCATENATE(","&amp;J642))&amp;
IF(ISBLANK(K642),"",IF(ISERROR(SEARCH(",",K642,1)),CONCATENATE(","&amp;K642&amp;","&amp;K642),CONCATENATE(","&amp;K642))))))&amp;
")","")&amp;" "&amp;F642)</f>
        <v/>
      </c>
    </row>
    <row r="643">
      <c r="A643" s="1" t="n">
        <v>742</v>
      </c>
      <c r="B643" s="1">
        <f>A643</f>
        <v/>
      </c>
      <c r="C643" s="1" t="inlineStr">
        <is>
          <t>vQ22m13</t>
        </is>
      </c>
      <c r="D643" s="1" t="inlineStr">
        <is>
          <t>數值</t>
        </is>
      </c>
      <c r="E643" s="9" t="n">
        <v>2</v>
      </c>
      <c r="G643" s="1" t="inlineStr">
        <is>
          <t>range</t>
        </is>
      </c>
      <c r="H643" s="1" t="inlineStr">
        <is>
          <t>0,1</t>
        </is>
      </c>
      <c r="I643" s="1" t="inlineStr">
        <is>
          <t>96</t>
        </is>
      </c>
      <c r="L643" s="2">
        <f>_xlfn.CONCAT(IF(D643="數值",CONCATENATE(G643&amp;"("&amp;C643&amp;","&amp;
IF(ISERROR(SEARCH(",",H643,1)),(H643&amp;","&amp;H643),H643)&amp;
IF(ISBLANK(I643),"",IF(ISERROR(SEARCH(",",I643,1)),CONCATENATE(","&amp;I643&amp;","&amp;I643),CONCATENATE(","&amp;I643))&amp;
IF(ISBLANK(J643),"",IF(ISERROR(SEARCH(",",J643,1)),CONCATENATE(","&amp;J643&amp;","&amp;J643),CONCATENATE(","&amp;J643))&amp;
IF(ISBLANK(K643),"",IF(ISERROR(SEARCH(",",K643,1)),CONCATENATE(","&amp;K643&amp;","&amp;K643),CONCATENATE(","&amp;K643))))))&amp;
")","")&amp;" "&amp;F643)</f>
        <v/>
      </c>
    </row>
    <row r="644">
      <c r="A644" s="1" t="n">
        <v>743</v>
      </c>
      <c r="B644" s="1">
        <f>A644</f>
        <v/>
      </c>
      <c r="C644" s="1" t="inlineStr">
        <is>
          <t>vQ22m14</t>
        </is>
      </c>
      <c r="D644" s="1" t="inlineStr">
        <is>
          <t>數值</t>
        </is>
      </c>
      <c r="E644" s="9" t="n">
        <v>2</v>
      </c>
      <c r="G644" s="1" t="inlineStr">
        <is>
          <t>range</t>
        </is>
      </c>
      <c r="H644" s="1" t="inlineStr">
        <is>
          <t>0,1</t>
        </is>
      </c>
      <c r="I644" s="1" t="inlineStr">
        <is>
          <t>96</t>
        </is>
      </c>
      <c r="L644" s="2">
        <f>_xlfn.CONCAT(IF(D644="數值",CONCATENATE(G644&amp;"("&amp;C644&amp;","&amp;
IF(ISERROR(SEARCH(",",H644,1)),(H644&amp;","&amp;H644),H644)&amp;
IF(ISBLANK(I644),"",IF(ISERROR(SEARCH(",",I644,1)),CONCATENATE(","&amp;I644&amp;","&amp;I644),CONCATENATE(","&amp;I644))&amp;
IF(ISBLANK(J644),"",IF(ISERROR(SEARCH(",",J644,1)),CONCATENATE(","&amp;J644&amp;","&amp;J644),CONCATENATE(","&amp;J644))&amp;
IF(ISBLANK(K644),"",IF(ISERROR(SEARCH(",",K644,1)),CONCATENATE(","&amp;K644&amp;","&amp;K644),CONCATENATE(","&amp;K644))))))&amp;
")","")&amp;" "&amp;F644)</f>
        <v/>
      </c>
    </row>
    <row r="645">
      <c r="A645" s="1" t="n">
        <v>744</v>
      </c>
      <c r="B645" s="1">
        <f>A645</f>
        <v/>
      </c>
      <c r="C645" s="1" t="inlineStr">
        <is>
          <t>vQ22m15</t>
        </is>
      </c>
      <c r="D645" s="1" t="inlineStr">
        <is>
          <t>數值</t>
        </is>
      </c>
      <c r="E645" s="9" t="n">
        <v>2</v>
      </c>
      <c r="G645" s="1" t="inlineStr">
        <is>
          <t>range</t>
        </is>
      </c>
      <c r="H645" s="1" t="inlineStr">
        <is>
          <t>0,1</t>
        </is>
      </c>
      <c r="I645" s="1" t="inlineStr">
        <is>
          <t>96</t>
        </is>
      </c>
      <c r="L645" s="2">
        <f>_xlfn.CONCAT(IF(D645="數值",CONCATENATE(G645&amp;"("&amp;C645&amp;","&amp;
IF(ISERROR(SEARCH(",",H645,1)),(H645&amp;","&amp;H645),H645)&amp;
IF(ISBLANK(I645),"",IF(ISERROR(SEARCH(",",I645,1)),CONCATENATE(","&amp;I645&amp;","&amp;I645),CONCATENATE(","&amp;I645))&amp;
IF(ISBLANK(J645),"",IF(ISERROR(SEARCH(",",J645,1)),CONCATENATE(","&amp;J645&amp;","&amp;J645),CONCATENATE(","&amp;J645))&amp;
IF(ISBLANK(K645),"",IF(ISERROR(SEARCH(",",K645,1)),CONCATENATE(","&amp;K645&amp;","&amp;K645),CONCATENATE(","&amp;K645))))))&amp;
")","")&amp;" "&amp;F645)</f>
        <v/>
      </c>
    </row>
    <row r="646">
      <c r="A646" s="1" t="n">
        <v>745</v>
      </c>
      <c r="B646" s="1">
        <f>A646</f>
        <v/>
      </c>
      <c r="C646" s="1" t="inlineStr">
        <is>
          <t>vQ22m16</t>
        </is>
      </c>
      <c r="D646" s="1" t="inlineStr">
        <is>
          <t>數值</t>
        </is>
      </c>
      <c r="E646" s="9" t="n">
        <v>2</v>
      </c>
      <c r="G646" s="1" t="inlineStr">
        <is>
          <t>range</t>
        </is>
      </c>
      <c r="H646" s="1" t="inlineStr">
        <is>
          <t>0,1</t>
        </is>
      </c>
      <c r="I646" s="1" t="inlineStr">
        <is>
          <t>96</t>
        </is>
      </c>
      <c r="L646" s="2">
        <f>_xlfn.CONCAT(IF(D646="數值",CONCATENATE(G646&amp;"("&amp;C646&amp;","&amp;
IF(ISERROR(SEARCH(",",H646,1)),(H646&amp;","&amp;H646),H646)&amp;
IF(ISBLANK(I646),"",IF(ISERROR(SEARCH(",",I646,1)),CONCATENATE(","&amp;I646&amp;","&amp;I646),CONCATENATE(","&amp;I646))&amp;
IF(ISBLANK(J646),"",IF(ISERROR(SEARCH(",",J646,1)),CONCATENATE(","&amp;J646&amp;","&amp;J646),CONCATENATE(","&amp;J646))&amp;
IF(ISBLANK(K646),"",IF(ISERROR(SEARCH(",",K646,1)),CONCATENATE(","&amp;K646&amp;","&amp;K646),CONCATENATE(","&amp;K646))))))&amp;
")","")&amp;" "&amp;F646)</f>
        <v/>
      </c>
    </row>
    <row r="647">
      <c r="A647" s="1" t="n">
        <v>746</v>
      </c>
      <c r="B647" s="1">
        <f>A647</f>
        <v/>
      </c>
      <c r="C647" s="1" t="inlineStr">
        <is>
          <t>vQ22m17</t>
        </is>
      </c>
      <c r="D647" s="1" t="inlineStr">
        <is>
          <t>數值</t>
        </is>
      </c>
      <c r="E647" s="9" t="n">
        <v>2</v>
      </c>
      <c r="G647" s="1" t="inlineStr">
        <is>
          <t>range</t>
        </is>
      </c>
      <c r="H647" s="1" t="inlineStr">
        <is>
          <t>0,1</t>
        </is>
      </c>
      <c r="I647" s="1" t="inlineStr">
        <is>
          <t>96</t>
        </is>
      </c>
      <c r="L647" s="2">
        <f>_xlfn.CONCAT(IF(D647="數值",CONCATENATE(G647&amp;"("&amp;C647&amp;","&amp;
IF(ISERROR(SEARCH(",",H647,1)),(H647&amp;","&amp;H647),H647)&amp;
IF(ISBLANK(I647),"",IF(ISERROR(SEARCH(",",I647,1)),CONCATENATE(","&amp;I647&amp;","&amp;I647),CONCATENATE(","&amp;I647))&amp;
IF(ISBLANK(J647),"",IF(ISERROR(SEARCH(",",J647,1)),CONCATENATE(","&amp;J647&amp;","&amp;J647),CONCATENATE(","&amp;J647))&amp;
IF(ISBLANK(K647),"",IF(ISERROR(SEARCH(",",K647,1)),CONCATENATE(","&amp;K647&amp;","&amp;K647),CONCATENATE(","&amp;K647))))))&amp;
")","")&amp;" "&amp;F647)</f>
        <v/>
      </c>
    </row>
    <row r="648">
      <c r="A648" s="1" t="n">
        <v>747</v>
      </c>
      <c r="B648" s="1">
        <f>A648</f>
        <v/>
      </c>
      <c r="C648" s="1" t="inlineStr">
        <is>
          <t>vQ22m18</t>
        </is>
      </c>
      <c r="D648" s="1" t="inlineStr">
        <is>
          <t>數值</t>
        </is>
      </c>
      <c r="E648" s="9" t="n">
        <v>2</v>
      </c>
      <c r="G648" s="1" t="inlineStr">
        <is>
          <t>range</t>
        </is>
      </c>
      <c r="H648" s="1" t="inlineStr">
        <is>
          <t>0,1</t>
        </is>
      </c>
      <c r="I648" s="1" t="inlineStr">
        <is>
          <t>96</t>
        </is>
      </c>
      <c r="L648" s="2">
        <f>_xlfn.CONCAT(IF(D648="數值",CONCATENATE(G648&amp;"("&amp;C648&amp;","&amp;
IF(ISERROR(SEARCH(",",H648,1)),(H648&amp;","&amp;H648),H648)&amp;
IF(ISBLANK(I648),"",IF(ISERROR(SEARCH(",",I648,1)),CONCATENATE(","&amp;I648&amp;","&amp;I648),CONCATENATE(","&amp;I648))&amp;
IF(ISBLANK(J648),"",IF(ISERROR(SEARCH(",",J648,1)),CONCATENATE(","&amp;J648&amp;","&amp;J648),CONCATENATE(","&amp;J648))&amp;
IF(ISBLANK(K648),"",IF(ISERROR(SEARCH(",",K648,1)),CONCATENATE(","&amp;K648&amp;","&amp;K648),CONCATENATE(","&amp;K648))))))&amp;
")","")&amp;" "&amp;F648)</f>
        <v/>
      </c>
    </row>
    <row r="649">
      <c r="A649" s="1" t="n">
        <v>748</v>
      </c>
      <c r="B649" s="1">
        <f>A649</f>
        <v/>
      </c>
      <c r="C649" s="1" t="inlineStr">
        <is>
          <t>vQ22m19</t>
        </is>
      </c>
      <c r="D649" s="1" t="inlineStr">
        <is>
          <t>數值</t>
        </is>
      </c>
      <c r="E649" s="9" t="n">
        <v>2</v>
      </c>
      <c r="G649" s="1" t="inlineStr">
        <is>
          <t>range</t>
        </is>
      </c>
      <c r="H649" s="1" t="inlineStr">
        <is>
          <t>0,1</t>
        </is>
      </c>
      <c r="I649" s="1" t="inlineStr">
        <is>
          <t>96</t>
        </is>
      </c>
      <c r="L649" s="2">
        <f>_xlfn.CONCAT(IF(D649="數值",CONCATENATE(G649&amp;"("&amp;C649&amp;","&amp;
IF(ISERROR(SEARCH(",",H649,1)),(H649&amp;","&amp;H649),H649)&amp;
IF(ISBLANK(I649),"",IF(ISERROR(SEARCH(",",I649,1)),CONCATENATE(","&amp;I649&amp;","&amp;I649),CONCATENATE(","&amp;I649))&amp;
IF(ISBLANK(J649),"",IF(ISERROR(SEARCH(",",J649,1)),CONCATENATE(","&amp;J649&amp;","&amp;J649),CONCATENATE(","&amp;J649))&amp;
IF(ISBLANK(K649),"",IF(ISERROR(SEARCH(",",K649,1)),CONCATENATE(","&amp;K649&amp;","&amp;K649),CONCATENATE(","&amp;K649))))))&amp;
")","")&amp;" "&amp;F649)</f>
        <v/>
      </c>
    </row>
    <row r="650">
      <c r="A650" s="1" t="n">
        <v>749</v>
      </c>
      <c r="B650" s="1">
        <f>A650</f>
        <v/>
      </c>
      <c r="C650" s="1" t="inlineStr">
        <is>
          <t>vQ22m20</t>
        </is>
      </c>
      <c r="D650" s="1" t="inlineStr">
        <is>
          <t>數值</t>
        </is>
      </c>
      <c r="E650" s="9" t="n">
        <v>2</v>
      </c>
      <c r="G650" s="1" t="inlineStr">
        <is>
          <t>range</t>
        </is>
      </c>
      <c r="H650" s="1" t="inlineStr">
        <is>
          <t>0,1</t>
        </is>
      </c>
      <c r="I650" s="1" t="inlineStr">
        <is>
          <t>96</t>
        </is>
      </c>
      <c r="L650" s="2">
        <f>_xlfn.CONCAT(IF(D650="數值",CONCATENATE(G650&amp;"("&amp;C650&amp;","&amp;
IF(ISERROR(SEARCH(",",H650,1)),(H650&amp;","&amp;H650),H650)&amp;
IF(ISBLANK(I650),"",IF(ISERROR(SEARCH(",",I650,1)),CONCATENATE(","&amp;I650&amp;","&amp;I650),CONCATENATE(","&amp;I650))&amp;
IF(ISBLANK(J650),"",IF(ISERROR(SEARCH(",",J650,1)),CONCATENATE(","&amp;J650&amp;","&amp;J650),CONCATENATE(","&amp;J650))&amp;
IF(ISBLANK(K650),"",IF(ISERROR(SEARCH(",",K650,1)),CONCATENATE(","&amp;K650&amp;","&amp;K650),CONCATENATE(","&amp;K650))))))&amp;
")","")&amp;" "&amp;F650)</f>
        <v/>
      </c>
    </row>
    <row r="651">
      <c r="A651" s="1" t="n">
        <v>750</v>
      </c>
      <c r="B651" s="1">
        <f>A651</f>
        <v/>
      </c>
      <c r="C651" s="1" t="inlineStr">
        <is>
          <t>vQ22m21</t>
        </is>
      </c>
      <c r="D651" s="1" t="inlineStr">
        <is>
          <t>數值</t>
        </is>
      </c>
      <c r="E651" s="9" t="n">
        <v>2</v>
      </c>
      <c r="G651" s="1" t="inlineStr">
        <is>
          <t>range</t>
        </is>
      </c>
      <c r="H651" s="1" t="inlineStr">
        <is>
          <t>0,1</t>
        </is>
      </c>
      <c r="I651" s="1" t="inlineStr">
        <is>
          <t>96</t>
        </is>
      </c>
      <c r="L651" s="2">
        <f>_xlfn.CONCAT(IF(D651="數值",CONCATENATE(G651&amp;"("&amp;C651&amp;","&amp;
IF(ISERROR(SEARCH(",",H651,1)),(H651&amp;","&amp;H651),H651)&amp;
IF(ISBLANK(I651),"",IF(ISERROR(SEARCH(",",I651,1)),CONCATENATE(","&amp;I651&amp;","&amp;I651),CONCATENATE(","&amp;I651))&amp;
IF(ISBLANK(J651),"",IF(ISERROR(SEARCH(",",J651,1)),CONCATENATE(","&amp;J651&amp;","&amp;J651),CONCATENATE(","&amp;J651))&amp;
IF(ISBLANK(K651),"",IF(ISERROR(SEARCH(",",K651,1)),CONCATENATE(","&amp;K651&amp;","&amp;K651),CONCATENATE(","&amp;K651))))))&amp;
")","")&amp;" "&amp;F651)</f>
        <v/>
      </c>
    </row>
    <row r="652">
      <c r="A652" s="1" t="n">
        <v>751</v>
      </c>
      <c r="B652" s="1">
        <f>A652</f>
        <v/>
      </c>
      <c r="C652" s="1" t="inlineStr">
        <is>
          <t>vQ22m22</t>
        </is>
      </c>
      <c r="D652" s="1" t="inlineStr">
        <is>
          <t>數值</t>
        </is>
      </c>
      <c r="E652" s="9" t="n">
        <v>2</v>
      </c>
      <c r="G652" s="1" t="inlineStr">
        <is>
          <t>range</t>
        </is>
      </c>
      <c r="H652" s="1" t="inlineStr">
        <is>
          <t>0,1</t>
        </is>
      </c>
      <c r="I652" s="1" t="inlineStr">
        <is>
          <t>96</t>
        </is>
      </c>
      <c r="L652" s="2">
        <f>_xlfn.CONCAT(IF(D652="數值",CONCATENATE(G652&amp;"("&amp;C652&amp;","&amp;
IF(ISERROR(SEARCH(",",H652,1)),(H652&amp;","&amp;H652),H652)&amp;
IF(ISBLANK(I652),"",IF(ISERROR(SEARCH(",",I652,1)),CONCATENATE(","&amp;I652&amp;","&amp;I652),CONCATENATE(","&amp;I652))&amp;
IF(ISBLANK(J652),"",IF(ISERROR(SEARCH(",",J652,1)),CONCATENATE(","&amp;J652&amp;","&amp;J652),CONCATENATE(","&amp;J652))&amp;
IF(ISBLANK(K652),"",IF(ISERROR(SEARCH(",",K652,1)),CONCATENATE(","&amp;K652&amp;","&amp;K652),CONCATENATE(","&amp;K652))))))&amp;
")","")&amp;" "&amp;F652)</f>
        <v/>
      </c>
    </row>
    <row r="653">
      <c r="A653" s="1" t="n">
        <v>752</v>
      </c>
      <c r="B653" s="1">
        <f>A653</f>
        <v/>
      </c>
      <c r="C653" s="1" t="inlineStr">
        <is>
          <t>vQ22m23</t>
        </is>
      </c>
      <c r="D653" s="1" t="inlineStr">
        <is>
          <t>數值</t>
        </is>
      </c>
      <c r="E653" s="9" t="n">
        <v>2</v>
      </c>
      <c r="G653" s="1" t="inlineStr">
        <is>
          <t>range</t>
        </is>
      </c>
      <c r="H653" s="1" t="inlineStr">
        <is>
          <t>0,1</t>
        </is>
      </c>
      <c r="I653" s="1" t="inlineStr">
        <is>
          <t>96</t>
        </is>
      </c>
      <c r="L653" s="2">
        <f>_xlfn.CONCAT(IF(D653="數值",CONCATENATE(G653&amp;"("&amp;C653&amp;","&amp;
IF(ISERROR(SEARCH(",",H653,1)),(H653&amp;","&amp;H653),H653)&amp;
IF(ISBLANK(I653),"",IF(ISERROR(SEARCH(",",I653,1)),CONCATENATE(","&amp;I653&amp;","&amp;I653),CONCATENATE(","&amp;I653))&amp;
IF(ISBLANK(J653),"",IF(ISERROR(SEARCH(",",J653,1)),CONCATENATE(","&amp;J653&amp;","&amp;J653),CONCATENATE(","&amp;J653))&amp;
IF(ISBLANK(K653),"",IF(ISERROR(SEARCH(",",K653,1)),CONCATENATE(","&amp;K653&amp;","&amp;K653),CONCATENATE(","&amp;K653))))))&amp;
")","")&amp;" "&amp;F653)</f>
        <v/>
      </c>
    </row>
    <row r="654">
      <c r="A654" s="1" t="n">
        <v>753</v>
      </c>
      <c r="B654" s="1">
        <f>A654</f>
        <v/>
      </c>
      <c r="C654" s="1" t="inlineStr">
        <is>
          <t>vQ22m24</t>
        </is>
      </c>
      <c r="D654" s="1" t="inlineStr">
        <is>
          <t>數值</t>
        </is>
      </c>
      <c r="E654" s="9" t="n">
        <v>2</v>
      </c>
      <c r="G654" s="1" t="inlineStr">
        <is>
          <t>range</t>
        </is>
      </c>
      <c r="H654" s="1" t="inlineStr">
        <is>
          <t>0,1</t>
        </is>
      </c>
      <c r="I654" s="1" t="inlineStr">
        <is>
          <t>96</t>
        </is>
      </c>
      <c r="L654" s="2">
        <f>_xlfn.CONCAT(IF(D654="數值",CONCATENATE(G654&amp;"("&amp;C654&amp;","&amp;
IF(ISERROR(SEARCH(",",H654,1)),(H654&amp;","&amp;H654),H654)&amp;
IF(ISBLANK(I654),"",IF(ISERROR(SEARCH(",",I654,1)),CONCATENATE(","&amp;I654&amp;","&amp;I654),CONCATENATE(","&amp;I654))&amp;
IF(ISBLANK(J654),"",IF(ISERROR(SEARCH(",",J654,1)),CONCATENATE(","&amp;J654&amp;","&amp;J654),CONCATENATE(","&amp;J654))&amp;
IF(ISBLANK(K654),"",IF(ISERROR(SEARCH(",",K654,1)),CONCATENATE(","&amp;K654&amp;","&amp;K654),CONCATENATE(","&amp;K654))))))&amp;
")","")&amp;" "&amp;F654)</f>
        <v/>
      </c>
    </row>
    <row r="655">
      <c r="A655" s="1" t="n">
        <v>754</v>
      </c>
      <c r="B655" s="1">
        <f>A655</f>
        <v/>
      </c>
      <c r="C655" s="1" t="inlineStr">
        <is>
          <t>vQ22m25</t>
        </is>
      </c>
      <c r="D655" s="1" t="inlineStr">
        <is>
          <t>數值</t>
        </is>
      </c>
      <c r="E655" s="9" t="n">
        <v>2</v>
      </c>
      <c r="G655" s="1" t="inlineStr">
        <is>
          <t>range</t>
        </is>
      </c>
      <c r="H655" s="1" t="inlineStr">
        <is>
          <t>0,1</t>
        </is>
      </c>
      <c r="I655" s="1" t="inlineStr">
        <is>
          <t>96</t>
        </is>
      </c>
      <c r="L655" s="2">
        <f>_xlfn.CONCAT(IF(D655="數值",CONCATENATE(G655&amp;"("&amp;C655&amp;","&amp;
IF(ISERROR(SEARCH(",",H655,1)),(H655&amp;","&amp;H655),H655)&amp;
IF(ISBLANK(I655),"",IF(ISERROR(SEARCH(",",I655,1)),CONCATENATE(","&amp;I655&amp;","&amp;I655),CONCATENATE(","&amp;I655))&amp;
IF(ISBLANK(J655),"",IF(ISERROR(SEARCH(",",J655,1)),CONCATENATE(","&amp;J655&amp;","&amp;J655),CONCATENATE(","&amp;J655))&amp;
IF(ISBLANK(K655),"",IF(ISERROR(SEARCH(",",K655,1)),CONCATENATE(","&amp;K655&amp;","&amp;K655),CONCATENATE(","&amp;K655))))))&amp;
")","")&amp;" "&amp;F655)</f>
        <v/>
      </c>
    </row>
    <row r="656">
      <c r="A656" s="1" t="n">
        <v>755</v>
      </c>
      <c r="B656" s="1">
        <f>A656</f>
        <v/>
      </c>
      <c r="C656" s="1" t="inlineStr">
        <is>
          <t>vQ22m26</t>
        </is>
      </c>
      <c r="D656" s="1" t="inlineStr">
        <is>
          <t>數值</t>
        </is>
      </c>
      <c r="E656" s="9" t="n">
        <v>2</v>
      </c>
      <c r="G656" s="1" t="inlineStr">
        <is>
          <t>range</t>
        </is>
      </c>
      <c r="H656" s="1" t="inlineStr">
        <is>
          <t>0,1</t>
        </is>
      </c>
      <c r="I656" s="1" t="inlineStr">
        <is>
          <t>96</t>
        </is>
      </c>
      <c r="L656" s="2">
        <f>_xlfn.CONCAT(IF(D656="數值",CONCATENATE(G656&amp;"("&amp;C656&amp;","&amp;
IF(ISERROR(SEARCH(",",H656,1)),(H656&amp;","&amp;H656),H656)&amp;
IF(ISBLANK(I656),"",IF(ISERROR(SEARCH(",",I656,1)),CONCATENATE(","&amp;I656&amp;","&amp;I656),CONCATENATE(","&amp;I656))&amp;
IF(ISBLANK(J656),"",IF(ISERROR(SEARCH(",",J656,1)),CONCATENATE(","&amp;J656&amp;","&amp;J656),CONCATENATE(","&amp;J656))&amp;
IF(ISBLANK(K656),"",IF(ISERROR(SEARCH(",",K656,1)),CONCATENATE(","&amp;K656&amp;","&amp;K656),CONCATENATE(","&amp;K656))))))&amp;
")","")&amp;" "&amp;F656)</f>
        <v/>
      </c>
    </row>
    <row r="657">
      <c r="A657" s="1" t="n">
        <v>756</v>
      </c>
      <c r="B657" s="1">
        <f>A657</f>
        <v/>
      </c>
      <c r="C657" s="1" t="inlineStr">
        <is>
          <t>vQ22m27</t>
        </is>
      </c>
      <c r="D657" s="1" t="inlineStr">
        <is>
          <t>數值</t>
        </is>
      </c>
      <c r="E657" s="9" t="n">
        <v>2</v>
      </c>
      <c r="G657" s="1" t="inlineStr">
        <is>
          <t>range</t>
        </is>
      </c>
      <c r="H657" s="1" t="inlineStr">
        <is>
          <t>0,1</t>
        </is>
      </c>
      <c r="I657" s="1" t="inlineStr">
        <is>
          <t>96</t>
        </is>
      </c>
      <c r="L657" s="2">
        <f>_xlfn.CONCAT(IF(D657="數值",CONCATENATE(G657&amp;"("&amp;C657&amp;","&amp;
IF(ISERROR(SEARCH(",",H657,1)),(H657&amp;","&amp;H657),H657)&amp;
IF(ISBLANK(I657),"",IF(ISERROR(SEARCH(",",I657,1)),CONCATENATE(","&amp;I657&amp;","&amp;I657),CONCATENATE(","&amp;I657))&amp;
IF(ISBLANK(J657),"",IF(ISERROR(SEARCH(",",J657,1)),CONCATENATE(","&amp;J657&amp;","&amp;J657),CONCATENATE(","&amp;J657))&amp;
IF(ISBLANK(K657),"",IF(ISERROR(SEARCH(",",K657,1)),CONCATENATE(","&amp;K657&amp;","&amp;K657),CONCATENATE(","&amp;K657))))))&amp;
")","")&amp;" "&amp;F657)</f>
        <v/>
      </c>
    </row>
    <row r="658">
      <c r="A658" s="1" t="n">
        <v>757</v>
      </c>
      <c r="B658" s="1">
        <f>A658</f>
        <v/>
      </c>
      <c r="C658" s="1" t="inlineStr">
        <is>
          <t>vQ22m28</t>
        </is>
      </c>
      <c r="D658" s="1" t="inlineStr">
        <is>
          <t>數值</t>
        </is>
      </c>
      <c r="E658" s="9" t="n">
        <v>2</v>
      </c>
      <c r="G658" s="1" t="inlineStr">
        <is>
          <t>range</t>
        </is>
      </c>
      <c r="H658" s="1" t="inlineStr">
        <is>
          <t>0,1</t>
        </is>
      </c>
      <c r="I658" s="1" t="inlineStr">
        <is>
          <t>96</t>
        </is>
      </c>
      <c r="L658" s="2">
        <f>_xlfn.CONCAT(IF(D658="數值",CONCATENATE(G658&amp;"("&amp;C658&amp;","&amp;
IF(ISERROR(SEARCH(",",H658,1)),(H658&amp;","&amp;H658),H658)&amp;
IF(ISBLANK(I658),"",IF(ISERROR(SEARCH(",",I658,1)),CONCATENATE(","&amp;I658&amp;","&amp;I658),CONCATENATE(","&amp;I658))&amp;
IF(ISBLANK(J658),"",IF(ISERROR(SEARCH(",",J658,1)),CONCATENATE(","&amp;J658&amp;","&amp;J658),CONCATENATE(","&amp;J658))&amp;
IF(ISBLANK(K658),"",IF(ISERROR(SEARCH(",",K658,1)),CONCATENATE(","&amp;K658&amp;","&amp;K658),CONCATENATE(","&amp;K658))))))&amp;
")","")&amp;" "&amp;F658)</f>
        <v/>
      </c>
    </row>
    <row r="659">
      <c r="A659" s="1" t="n">
        <v>758</v>
      </c>
      <c r="B659" s="1">
        <f>A659</f>
        <v/>
      </c>
      <c r="C659" s="1" t="inlineStr">
        <is>
          <t>vQ22m29</t>
        </is>
      </c>
      <c r="D659" s="1" t="inlineStr">
        <is>
          <t>數值</t>
        </is>
      </c>
      <c r="E659" s="9" t="n">
        <v>2</v>
      </c>
      <c r="G659" s="1" t="inlineStr">
        <is>
          <t>range</t>
        </is>
      </c>
      <c r="H659" s="1" t="inlineStr">
        <is>
          <t>0,1</t>
        </is>
      </c>
      <c r="I659" s="1" t="inlineStr">
        <is>
          <t>96</t>
        </is>
      </c>
      <c r="L659" s="2">
        <f>_xlfn.CONCAT(IF(D659="數值",CONCATENATE(G659&amp;"("&amp;C659&amp;","&amp;
IF(ISERROR(SEARCH(",",H659,1)),(H659&amp;","&amp;H659),H659)&amp;
IF(ISBLANK(I659),"",IF(ISERROR(SEARCH(",",I659,1)),CONCATENATE(","&amp;I659&amp;","&amp;I659),CONCATENATE(","&amp;I659))&amp;
IF(ISBLANK(J659),"",IF(ISERROR(SEARCH(",",J659,1)),CONCATENATE(","&amp;J659&amp;","&amp;J659),CONCATENATE(","&amp;J659))&amp;
IF(ISBLANK(K659),"",IF(ISERROR(SEARCH(",",K659,1)),CONCATENATE(","&amp;K659&amp;","&amp;K659),CONCATENATE(","&amp;K659))))))&amp;
")","")&amp;" "&amp;F659)</f>
        <v/>
      </c>
    </row>
    <row r="660">
      <c r="A660" s="1" t="n">
        <v>759</v>
      </c>
      <c r="B660" s="1">
        <f>A660</f>
        <v/>
      </c>
      <c r="C660" s="1" t="inlineStr">
        <is>
          <t>vQ22m30</t>
        </is>
      </c>
      <c r="D660" s="1" t="inlineStr">
        <is>
          <t>數值</t>
        </is>
      </c>
      <c r="E660" s="9" t="n">
        <v>2</v>
      </c>
      <c r="G660" s="1" t="inlineStr">
        <is>
          <t>range</t>
        </is>
      </c>
      <c r="H660" s="1" t="inlineStr">
        <is>
          <t>0,1</t>
        </is>
      </c>
      <c r="I660" s="1" t="inlineStr">
        <is>
          <t>96</t>
        </is>
      </c>
      <c r="L660" s="2">
        <f>_xlfn.CONCAT(IF(D660="數值",CONCATENATE(G660&amp;"("&amp;C660&amp;","&amp;
IF(ISERROR(SEARCH(",",H660,1)),(H660&amp;","&amp;H660),H660)&amp;
IF(ISBLANK(I660),"",IF(ISERROR(SEARCH(",",I660,1)),CONCATENATE(","&amp;I660&amp;","&amp;I660),CONCATENATE(","&amp;I660))&amp;
IF(ISBLANK(J660),"",IF(ISERROR(SEARCH(",",J660,1)),CONCATENATE(","&amp;J660&amp;","&amp;J660),CONCATENATE(","&amp;J660))&amp;
IF(ISBLANK(K660),"",IF(ISERROR(SEARCH(",",K660,1)),CONCATENATE(","&amp;K660&amp;","&amp;K660),CONCATENATE(","&amp;K660))))))&amp;
")","")&amp;" "&amp;F660)</f>
        <v/>
      </c>
    </row>
    <row r="661">
      <c r="A661" s="1" t="n">
        <v>760</v>
      </c>
      <c r="B661" s="1">
        <f>A661</f>
        <v/>
      </c>
      <c r="C661" s="1" t="inlineStr">
        <is>
          <t>vQ22m31</t>
        </is>
      </c>
      <c r="D661" s="1" t="inlineStr">
        <is>
          <t>數值</t>
        </is>
      </c>
      <c r="E661" s="9" t="n">
        <v>2</v>
      </c>
      <c r="G661" s="1" t="inlineStr">
        <is>
          <t>range</t>
        </is>
      </c>
      <c r="H661" s="1" t="inlineStr">
        <is>
          <t>0,1</t>
        </is>
      </c>
      <c r="I661" s="1" t="inlineStr">
        <is>
          <t>96</t>
        </is>
      </c>
      <c r="L661" s="2">
        <f>_xlfn.CONCAT(IF(D661="數值",CONCATENATE(G661&amp;"("&amp;C661&amp;","&amp;
IF(ISERROR(SEARCH(",",H661,1)),(H661&amp;","&amp;H661),H661)&amp;
IF(ISBLANK(I661),"",IF(ISERROR(SEARCH(",",I661,1)),CONCATENATE(","&amp;I661&amp;","&amp;I661),CONCATENATE(","&amp;I661))&amp;
IF(ISBLANK(J661),"",IF(ISERROR(SEARCH(",",J661,1)),CONCATENATE(","&amp;J661&amp;","&amp;J661),CONCATENATE(","&amp;J661))&amp;
IF(ISBLANK(K661),"",IF(ISERROR(SEARCH(",",K661,1)),CONCATENATE(","&amp;K661&amp;","&amp;K661),CONCATENATE(","&amp;K661))))))&amp;
")","")&amp;" "&amp;F661)</f>
        <v/>
      </c>
    </row>
    <row r="662">
      <c r="A662" s="1" t="n">
        <v>761</v>
      </c>
      <c r="B662" s="1">
        <f>A662</f>
        <v/>
      </c>
      <c r="C662" s="1" t="inlineStr">
        <is>
          <t>vQ22m32</t>
        </is>
      </c>
      <c r="D662" s="1" t="inlineStr">
        <is>
          <t>數值</t>
        </is>
      </c>
      <c r="E662" s="9" t="n">
        <v>2</v>
      </c>
      <c r="G662" s="1" t="inlineStr">
        <is>
          <t>range</t>
        </is>
      </c>
      <c r="H662" s="1" t="inlineStr">
        <is>
          <t>0,1</t>
        </is>
      </c>
      <c r="I662" s="1" t="inlineStr">
        <is>
          <t>96</t>
        </is>
      </c>
      <c r="L662" s="2">
        <f>_xlfn.CONCAT(IF(D662="數值",CONCATENATE(G662&amp;"("&amp;C662&amp;","&amp;
IF(ISERROR(SEARCH(",",H662,1)),(H662&amp;","&amp;H662),H662)&amp;
IF(ISBLANK(I662),"",IF(ISERROR(SEARCH(",",I662,1)),CONCATENATE(","&amp;I662&amp;","&amp;I662),CONCATENATE(","&amp;I662))&amp;
IF(ISBLANK(J662),"",IF(ISERROR(SEARCH(",",J662,1)),CONCATENATE(","&amp;J662&amp;","&amp;J662),CONCATENATE(","&amp;J662))&amp;
IF(ISBLANK(K662),"",IF(ISERROR(SEARCH(",",K662,1)),CONCATENATE(","&amp;K662&amp;","&amp;K662),CONCATENATE(","&amp;K662))))))&amp;
")","")&amp;" "&amp;F662)</f>
        <v/>
      </c>
    </row>
    <row r="663">
      <c r="A663" s="1" t="n">
        <v>762</v>
      </c>
      <c r="B663" s="1">
        <f>A663</f>
        <v/>
      </c>
      <c r="C663" s="1" t="inlineStr">
        <is>
          <t>vQ22m33</t>
        </is>
      </c>
      <c r="D663" s="1" t="inlineStr">
        <is>
          <t>數值</t>
        </is>
      </c>
      <c r="E663" s="9" t="n">
        <v>2</v>
      </c>
      <c r="G663" s="1" t="inlineStr">
        <is>
          <t>range</t>
        </is>
      </c>
      <c r="H663" s="1" t="inlineStr">
        <is>
          <t>0,1</t>
        </is>
      </c>
      <c r="I663" s="1" t="inlineStr">
        <is>
          <t>96</t>
        </is>
      </c>
      <c r="L663" s="2">
        <f>_xlfn.CONCAT(IF(D663="數值",CONCATENATE(G663&amp;"("&amp;C663&amp;","&amp;
IF(ISERROR(SEARCH(",",H663,1)),(H663&amp;","&amp;H663),H663)&amp;
IF(ISBLANK(I663),"",IF(ISERROR(SEARCH(",",I663,1)),CONCATENATE(","&amp;I663&amp;","&amp;I663),CONCATENATE(","&amp;I663))&amp;
IF(ISBLANK(J663),"",IF(ISERROR(SEARCH(",",J663,1)),CONCATENATE(","&amp;J663&amp;","&amp;J663),CONCATENATE(","&amp;J663))&amp;
IF(ISBLANK(K663),"",IF(ISERROR(SEARCH(",",K663,1)),CONCATENATE(","&amp;K663&amp;","&amp;K663),CONCATENATE(","&amp;K663))))))&amp;
")","")&amp;" "&amp;F663)</f>
        <v/>
      </c>
    </row>
    <row r="664">
      <c r="A664" s="1" t="n">
        <v>763</v>
      </c>
      <c r="B664" s="1">
        <f>A664</f>
        <v/>
      </c>
      <c r="C664" s="1" t="inlineStr">
        <is>
          <t>vQ22m34</t>
        </is>
      </c>
      <c r="D664" s="1" t="inlineStr">
        <is>
          <t>數值</t>
        </is>
      </c>
      <c r="E664" s="9" t="n">
        <v>2</v>
      </c>
      <c r="G664" s="1" t="inlineStr">
        <is>
          <t>range</t>
        </is>
      </c>
      <c r="H664" s="1" t="inlineStr">
        <is>
          <t>0,1</t>
        </is>
      </c>
      <c r="I664" s="1" t="inlineStr">
        <is>
          <t>96</t>
        </is>
      </c>
      <c r="L664" s="2">
        <f>_xlfn.CONCAT(IF(D664="數值",CONCATENATE(G664&amp;"("&amp;C664&amp;","&amp;
IF(ISERROR(SEARCH(",",H664,1)),(H664&amp;","&amp;H664),H664)&amp;
IF(ISBLANK(I664),"",IF(ISERROR(SEARCH(",",I664,1)),CONCATENATE(","&amp;I664&amp;","&amp;I664),CONCATENATE(","&amp;I664))&amp;
IF(ISBLANK(J664),"",IF(ISERROR(SEARCH(",",J664,1)),CONCATENATE(","&amp;J664&amp;","&amp;J664),CONCATENATE(","&amp;J664))&amp;
IF(ISBLANK(K664),"",IF(ISERROR(SEARCH(",",K664,1)),CONCATENATE(","&amp;K664&amp;","&amp;K664),CONCATENATE(","&amp;K664))))))&amp;
")","")&amp;" "&amp;F664)</f>
        <v/>
      </c>
    </row>
    <row r="665">
      <c r="A665" s="1" t="n">
        <v>764</v>
      </c>
      <c r="B665" s="1">
        <f>A665</f>
        <v/>
      </c>
      <c r="C665" s="1" t="inlineStr">
        <is>
          <t>vQ22m35</t>
        </is>
      </c>
      <c r="D665" s="1" t="inlineStr">
        <is>
          <t>數值</t>
        </is>
      </c>
      <c r="E665" s="9" t="n">
        <v>2</v>
      </c>
      <c r="G665" s="1" t="inlineStr">
        <is>
          <t>range</t>
        </is>
      </c>
      <c r="H665" s="1" t="inlineStr">
        <is>
          <t>0,1</t>
        </is>
      </c>
      <c r="I665" s="1" t="inlineStr">
        <is>
          <t>96</t>
        </is>
      </c>
      <c r="L665" s="2">
        <f>_xlfn.CONCAT(IF(D665="數值",CONCATENATE(G665&amp;"("&amp;C665&amp;","&amp;
IF(ISERROR(SEARCH(",",H665,1)),(H665&amp;","&amp;H665),H665)&amp;
IF(ISBLANK(I665),"",IF(ISERROR(SEARCH(",",I665,1)),CONCATENATE(","&amp;I665&amp;","&amp;I665),CONCATENATE(","&amp;I665))&amp;
IF(ISBLANK(J665),"",IF(ISERROR(SEARCH(",",J665,1)),CONCATENATE(","&amp;J665&amp;","&amp;J665),CONCATENATE(","&amp;J665))&amp;
IF(ISBLANK(K665),"",IF(ISERROR(SEARCH(",",K665,1)),CONCATENATE(","&amp;K665&amp;","&amp;K665),CONCATENATE(","&amp;K665))))))&amp;
")","")&amp;" "&amp;F665)</f>
        <v/>
      </c>
    </row>
    <row r="666">
      <c r="A666" s="1" t="n">
        <v>765</v>
      </c>
      <c r="B666" s="1">
        <f>A666</f>
        <v/>
      </c>
      <c r="C666" s="1" t="inlineStr">
        <is>
          <t>vQ22m36</t>
        </is>
      </c>
      <c r="D666" s="1" t="inlineStr">
        <is>
          <t>數值</t>
        </is>
      </c>
      <c r="E666" s="9" t="n">
        <v>2</v>
      </c>
      <c r="G666" s="1" t="inlineStr">
        <is>
          <t>range</t>
        </is>
      </c>
      <c r="H666" s="1" t="inlineStr">
        <is>
          <t>0,1</t>
        </is>
      </c>
      <c r="I666" s="1" t="inlineStr">
        <is>
          <t>96</t>
        </is>
      </c>
      <c r="L666" s="2">
        <f>_xlfn.CONCAT(IF(D666="數值",CONCATENATE(G666&amp;"("&amp;C666&amp;","&amp;
IF(ISERROR(SEARCH(",",H666,1)),(H666&amp;","&amp;H666),H666)&amp;
IF(ISBLANK(I666),"",IF(ISERROR(SEARCH(",",I666,1)),CONCATENATE(","&amp;I666&amp;","&amp;I666),CONCATENATE(","&amp;I666))&amp;
IF(ISBLANK(J666),"",IF(ISERROR(SEARCH(",",J666,1)),CONCATENATE(","&amp;J666&amp;","&amp;J666),CONCATENATE(","&amp;J666))&amp;
IF(ISBLANK(K666),"",IF(ISERROR(SEARCH(",",K666,1)),CONCATENATE(","&amp;K666&amp;","&amp;K666),CONCATENATE(","&amp;K666))))))&amp;
")","")&amp;" "&amp;F666)</f>
        <v/>
      </c>
    </row>
    <row r="667">
      <c r="A667" s="1" t="n">
        <v>766</v>
      </c>
      <c r="B667" s="1">
        <f>A667</f>
        <v/>
      </c>
      <c r="C667" s="1" t="inlineStr">
        <is>
          <t>vQ22m37</t>
        </is>
      </c>
      <c r="D667" s="1" t="inlineStr">
        <is>
          <t>數值</t>
        </is>
      </c>
      <c r="E667" s="9" t="n">
        <v>2</v>
      </c>
      <c r="G667" s="1" t="inlineStr">
        <is>
          <t>range</t>
        </is>
      </c>
      <c r="H667" s="1" t="inlineStr">
        <is>
          <t>0,1</t>
        </is>
      </c>
      <c r="I667" s="1" t="inlineStr">
        <is>
          <t>96</t>
        </is>
      </c>
      <c r="L667" s="2">
        <f>_xlfn.CONCAT(IF(D667="數值",CONCATENATE(G667&amp;"("&amp;C667&amp;","&amp;
IF(ISERROR(SEARCH(",",H667,1)),(H667&amp;","&amp;H667),H667)&amp;
IF(ISBLANK(I667),"",IF(ISERROR(SEARCH(",",I667,1)),CONCATENATE(","&amp;I667&amp;","&amp;I667),CONCATENATE(","&amp;I667))&amp;
IF(ISBLANK(J667),"",IF(ISERROR(SEARCH(",",J667,1)),CONCATENATE(","&amp;J667&amp;","&amp;J667),CONCATENATE(","&amp;J667))&amp;
IF(ISBLANK(K667),"",IF(ISERROR(SEARCH(",",K667,1)),CONCATENATE(","&amp;K667&amp;","&amp;K667),CONCATENATE(","&amp;K667))))))&amp;
")","")&amp;" "&amp;F667)</f>
        <v/>
      </c>
    </row>
    <row r="668">
      <c r="A668" s="1" t="n">
        <v>767</v>
      </c>
      <c r="B668" s="1">
        <f>A668</f>
        <v/>
      </c>
      <c r="C668" s="1" t="inlineStr">
        <is>
          <t>vQ22m38</t>
        </is>
      </c>
      <c r="D668" s="1" t="inlineStr">
        <is>
          <t>數值</t>
        </is>
      </c>
      <c r="E668" s="9" t="n">
        <v>2</v>
      </c>
      <c r="G668" s="1" t="inlineStr">
        <is>
          <t>range</t>
        </is>
      </c>
      <c r="H668" s="1" t="inlineStr">
        <is>
          <t>0,1</t>
        </is>
      </c>
      <c r="I668" s="1" t="inlineStr">
        <is>
          <t>96</t>
        </is>
      </c>
      <c r="L668" s="2">
        <f>_xlfn.CONCAT(IF(D668="數值",CONCATENATE(G668&amp;"("&amp;C668&amp;","&amp;
IF(ISERROR(SEARCH(",",H668,1)),(H668&amp;","&amp;H668),H668)&amp;
IF(ISBLANK(I668),"",IF(ISERROR(SEARCH(",",I668,1)),CONCATENATE(","&amp;I668&amp;","&amp;I668),CONCATENATE(","&amp;I668))&amp;
IF(ISBLANK(J668),"",IF(ISERROR(SEARCH(",",J668,1)),CONCATENATE(","&amp;J668&amp;","&amp;J668),CONCATENATE(","&amp;J668))&amp;
IF(ISBLANK(K668),"",IF(ISERROR(SEARCH(",",K668,1)),CONCATENATE(","&amp;K668&amp;","&amp;K668),CONCATENATE(","&amp;K668))))))&amp;
")","")&amp;" "&amp;F668)</f>
        <v/>
      </c>
    </row>
    <row r="669">
      <c r="A669" s="1" t="n">
        <v>768</v>
      </c>
      <c r="B669" s="1">
        <f>A669</f>
        <v/>
      </c>
      <c r="C669" s="1" t="inlineStr">
        <is>
          <t>vQ22m39</t>
        </is>
      </c>
      <c r="D669" s="1" t="inlineStr">
        <is>
          <t>數值</t>
        </is>
      </c>
      <c r="E669" s="9" t="n">
        <v>2</v>
      </c>
      <c r="G669" s="1" t="inlineStr">
        <is>
          <t>range</t>
        </is>
      </c>
      <c r="H669" s="1" t="inlineStr">
        <is>
          <t>0,1</t>
        </is>
      </c>
      <c r="I669" s="1" t="inlineStr">
        <is>
          <t>96</t>
        </is>
      </c>
      <c r="L669" s="2">
        <f>_xlfn.CONCAT(IF(D669="數值",CONCATENATE(G669&amp;"("&amp;C669&amp;","&amp;
IF(ISERROR(SEARCH(",",H669,1)),(H669&amp;","&amp;H669),H669)&amp;
IF(ISBLANK(I669),"",IF(ISERROR(SEARCH(",",I669,1)),CONCATENATE(","&amp;I669&amp;","&amp;I669),CONCATENATE(","&amp;I669))&amp;
IF(ISBLANK(J669),"",IF(ISERROR(SEARCH(",",J669,1)),CONCATENATE(","&amp;J669&amp;","&amp;J669),CONCATENATE(","&amp;J669))&amp;
IF(ISBLANK(K669),"",IF(ISERROR(SEARCH(",",K669,1)),CONCATENATE(","&amp;K669&amp;","&amp;K669),CONCATENATE(","&amp;K669))))))&amp;
")","")&amp;" "&amp;F669)</f>
        <v/>
      </c>
    </row>
    <row r="670">
      <c r="A670" s="1" t="n">
        <v>769</v>
      </c>
      <c r="B670" s="1">
        <f>A670</f>
        <v/>
      </c>
      <c r="C670" s="1" t="inlineStr">
        <is>
          <t>vQ22m40</t>
        </is>
      </c>
      <c r="D670" s="1" t="inlineStr">
        <is>
          <t>數值</t>
        </is>
      </c>
      <c r="E670" s="9" t="n">
        <v>2</v>
      </c>
      <c r="G670" s="1" t="inlineStr">
        <is>
          <t>range</t>
        </is>
      </c>
      <c r="H670" s="1" t="inlineStr">
        <is>
          <t>0,1</t>
        </is>
      </c>
      <c r="I670" s="1" t="inlineStr">
        <is>
          <t>96</t>
        </is>
      </c>
      <c r="L670" s="2">
        <f>_xlfn.CONCAT(IF(D670="數值",CONCATENATE(G670&amp;"("&amp;C670&amp;","&amp;
IF(ISERROR(SEARCH(",",H670,1)),(H670&amp;","&amp;H670),H670)&amp;
IF(ISBLANK(I670),"",IF(ISERROR(SEARCH(",",I670,1)),CONCATENATE(","&amp;I670&amp;","&amp;I670),CONCATENATE(","&amp;I670))&amp;
IF(ISBLANK(J670),"",IF(ISERROR(SEARCH(",",J670,1)),CONCATENATE(","&amp;J670&amp;","&amp;J670),CONCATENATE(","&amp;J670))&amp;
IF(ISBLANK(K670),"",IF(ISERROR(SEARCH(",",K670,1)),CONCATENATE(","&amp;K670&amp;","&amp;K670),CONCATENATE(","&amp;K670))))))&amp;
")","")&amp;" "&amp;F670)</f>
        <v/>
      </c>
    </row>
    <row r="671">
      <c r="A671" s="1" t="n">
        <v>770</v>
      </c>
      <c r="B671" s="1">
        <f>A671</f>
        <v/>
      </c>
      <c r="C671" s="1" t="inlineStr">
        <is>
          <t>vQ22m88</t>
        </is>
      </c>
      <c r="D671" s="1" t="inlineStr">
        <is>
          <t>數值</t>
        </is>
      </c>
      <c r="E671" s="9" t="n">
        <v>2</v>
      </c>
      <c r="G671" s="1" t="inlineStr">
        <is>
          <t>range</t>
        </is>
      </c>
      <c r="H671" s="1" t="inlineStr">
        <is>
          <t>0,1</t>
        </is>
      </c>
      <c r="I671" s="1" t="inlineStr">
        <is>
          <t>96</t>
        </is>
      </c>
      <c r="L671" s="2">
        <f>_xlfn.CONCAT(IF(D671="數值",CONCATENATE(G671&amp;"("&amp;C671&amp;","&amp;
IF(ISERROR(SEARCH(",",H671,1)),(H671&amp;","&amp;H671),H671)&amp;
IF(ISBLANK(I671),"",IF(ISERROR(SEARCH(",",I671,1)),CONCATENATE(","&amp;I671&amp;","&amp;I671),CONCATENATE(","&amp;I671))&amp;
IF(ISBLANK(J671),"",IF(ISERROR(SEARCH(",",J671,1)),CONCATENATE(","&amp;J671&amp;","&amp;J671),CONCATENATE(","&amp;J671))&amp;
IF(ISBLANK(K671),"",IF(ISERROR(SEARCH(",",K671,1)),CONCATENATE(","&amp;K671&amp;","&amp;K671),CONCATENATE(","&amp;K671))))))&amp;
")","")&amp;" "&amp;F671)</f>
        <v/>
      </c>
    </row>
    <row r="672">
      <c r="A672" s="1" t="n">
        <v>771</v>
      </c>
      <c r="B672" s="1">
        <f>A672</f>
        <v/>
      </c>
      <c r="C672" s="1" t="inlineStr">
        <is>
          <t>vQ23m01</t>
        </is>
      </c>
      <c r="D672" s="1" t="inlineStr">
        <is>
          <t>數值</t>
        </is>
      </c>
      <c r="E672" s="9" t="n">
        <v>2</v>
      </c>
      <c r="G672" s="1" t="inlineStr">
        <is>
          <t>range</t>
        </is>
      </c>
      <c r="H672" s="1" t="inlineStr">
        <is>
          <t>0,1</t>
        </is>
      </c>
      <c r="L672" s="2">
        <f>_xlfn.CONCAT(IF(D672="數值",CONCATENATE(G672&amp;"("&amp;C672&amp;","&amp;
IF(ISERROR(SEARCH(",",H672,1)),(H672&amp;","&amp;H672),H672)&amp;
IF(ISBLANK(I672),"",IF(ISERROR(SEARCH(",",I672,1)),CONCATENATE(","&amp;I672&amp;","&amp;I672),CONCATENATE(","&amp;I672))&amp;
IF(ISBLANK(J672),"",IF(ISERROR(SEARCH(",",J672,1)),CONCATENATE(","&amp;J672&amp;","&amp;J672),CONCATENATE(","&amp;J672))&amp;
IF(ISBLANK(K672),"",IF(ISERROR(SEARCH(",",K672,1)),CONCATENATE(","&amp;K672&amp;","&amp;K672),CONCATENATE(","&amp;K672))))))&amp;
")","")&amp;" "&amp;F672)</f>
        <v/>
      </c>
    </row>
    <row r="673">
      <c r="A673" s="1" t="n">
        <v>772</v>
      </c>
      <c r="B673" s="1">
        <f>A673</f>
        <v/>
      </c>
      <c r="C673" s="1" t="inlineStr">
        <is>
          <t>vQ23m02</t>
        </is>
      </c>
      <c r="D673" s="1" t="inlineStr">
        <is>
          <t>數值</t>
        </is>
      </c>
      <c r="E673" s="9" t="n">
        <v>2</v>
      </c>
      <c r="G673" s="1" t="inlineStr">
        <is>
          <t>range</t>
        </is>
      </c>
      <c r="H673" s="1" t="inlineStr">
        <is>
          <t>0,1</t>
        </is>
      </c>
      <c r="L673" s="2">
        <f>_xlfn.CONCAT(IF(D673="數值",CONCATENATE(G673&amp;"("&amp;C673&amp;","&amp;
IF(ISERROR(SEARCH(",",H673,1)),(H673&amp;","&amp;H673),H673)&amp;
IF(ISBLANK(I673),"",IF(ISERROR(SEARCH(",",I673,1)),CONCATENATE(","&amp;I673&amp;","&amp;I673),CONCATENATE(","&amp;I673))&amp;
IF(ISBLANK(J673),"",IF(ISERROR(SEARCH(",",J673,1)),CONCATENATE(","&amp;J673&amp;","&amp;J673),CONCATENATE(","&amp;J673))&amp;
IF(ISBLANK(K673),"",IF(ISERROR(SEARCH(",",K673,1)),CONCATENATE(","&amp;K673&amp;","&amp;K673),CONCATENATE(","&amp;K673))))))&amp;
")","")&amp;" "&amp;F673)</f>
        <v/>
      </c>
    </row>
    <row r="674">
      <c r="A674" s="1" t="n">
        <v>773</v>
      </c>
      <c r="B674" s="1">
        <f>A674</f>
        <v/>
      </c>
      <c r="C674" s="1" t="inlineStr">
        <is>
          <t>vQ23m03</t>
        </is>
      </c>
      <c r="D674" s="1" t="inlineStr">
        <is>
          <t>數值</t>
        </is>
      </c>
      <c r="E674" s="9" t="n">
        <v>2</v>
      </c>
      <c r="G674" s="1" t="inlineStr">
        <is>
          <t>range</t>
        </is>
      </c>
      <c r="H674" s="1" t="inlineStr">
        <is>
          <t>0,1</t>
        </is>
      </c>
      <c r="L674" s="2">
        <f>_xlfn.CONCAT(IF(D674="數值",CONCATENATE(G674&amp;"("&amp;C674&amp;","&amp;
IF(ISERROR(SEARCH(",",H674,1)),(H674&amp;","&amp;H674),H674)&amp;
IF(ISBLANK(I674),"",IF(ISERROR(SEARCH(",",I674,1)),CONCATENATE(","&amp;I674&amp;","&amp;I674),CONCATENATE(","&amp;I674))&amp;
IF(ISBLANK(J674),"",IF(ISERROR(SEARCH(",",J674,1)),CONCATENATE(","&amp;J674&amp;","&amp;J674),CONCATENATE(","&amp;J674))&amp;
IF(ISBLANK(K674),"",IF(ISERROR(SEARCH(",",K674,1)),CONCATENATE(","&amp;K674&amp;","&amp;K674),CONCATENATE(","&amp;K674))))))&amp;
")","")&amp;" "&amp;F674)</f>
        <v/>
      </c>
    </row>
    <row r="675">
      <c r="A675" s="1" t="n">
        <v>774</v>
      </c>
      <c r="B675" s="1">
        <f>A675</f>
        <v/>
      </c>
      <c r="C675" s="1" t="inlineStr">
        <is>
          <t>vQ23m04</t>
        </is>
      </c>
      <c r="D675" s="1" t="inlineStr">
        <is>
          <t>數值</t>
        </is>
      </c>
      <c r="E675" s="9" t="n">
        <v>2</v>
      </c>
      <c r="G675" s="1" t="inlineStr">
        <is>
          <t>range</t>
        </is>
      </c>
      <c r="H675" s="1" t="inlineStr">
        <is>
          <t>0,1</t>
        </is>
      </c>
      <c r="L675" s="2">
        <f>_xlfn.CONCAT(IF(D675="數值",CONCATENATE(G675&amp;"("&amp;C675&amp;","&amp;
IF(ISERROR(SEARCH(",",H675,1)),(H675&amp;","&amp;H675),H675)&amp;
IF(ISBLANK(I675),"",IF(ISERROR(SEARCH(",",I675,1)),CONCATENATE(","&amp;I675&amp;","&amp;I675),CONCATENATE(","&amp;I675))&amp;
IF(ISBLANK(J675),"",IF(ISERROR(SEARCH(",",J675,1)),CONCATENATE(","&amp;J675&amp;","&amp;J675),CONCATENATE(","&amp;J675))&amp;
IF(ISBLANK(K675),"",IF(ISERROR(SEARCH(",",K675,1)),CONCATENATE(","&amp;K675&amp;","&amp;K675),CONCATENATE(","&amp;K675))))))&amp;
")","")&amp;" "&amp;F675)</f>
        <v/>
      </c>
    </row>
    <row r="676">
      <c r="A676" s="1" t="n">
        <v>775</v>
      </c>
      <c r="B676" s="1">
        <f>A676</f>
        <v/>
      </c>
      <c r="C676" s="1" t="inlineStr">
        <is>
          <t>vQ23m05</t>
        </is>
      </c>
      <c r="D676" s="1" t="inlineStr">
        <is>
          <t>數值</t>
        </is>
      </c>
      <c r="E676" s="9" t="n">
        <v>2</v>
      </c>
      <c r="G676" s="1" t="inlineStr">
        <is>
          <t>range</t>
        </is>
      </c>
      <c r="H676" s="1" t="inlineStr">
        <is>
          <t>0,1</t>
        </is>
      </c>
      <c r="L676" s="2">
        <f>_xlfn.CONCAT(IF(D676="數值",CONCATENATE(G676&amp;"("&amp;C676&amp;","&amp;
IF(ISERROR(SEARCH(",",H676,1)),(H676&amp;","&amp;H676),H676)&amp;
IF(ISBLANK(I676),"",IF(ISERROR(SEARCH(",",I676,1)),CONCATENATE(","&amp;I676&amp;","&amp;I676),CONCATENATE(","&amp;I676))&amp;
IF(ISBLANK(J676),"",IF(ISERROR(SEARCH(",",J676,1)),CONCATENATE(","&amp;J676&amp;","&amp;J676),CONCATENATE(","&amp;J676))&amp;
IF(ISBLANK(K676),"",IF(ISERROR(SEARCH(",",K676,1)),CONCATENATE(","&amp;K676&amp;","&amp;K676),CONCATENATE(","&amp;K676))))))&amp;
")","")&amp;" "&amp;F676)</f>
        <v/>
      </c>
    </row>
    <row r="677">
      <c r="A677" s="1" t="n">
        <v>776</v>
      </c>
      <c r="B677" s="1">
        <f>A677</f>
        <v/>
      </c>
      <c r="C677" s="1" t="inlineStr">
        <is>
          <t>vQ23m06</t>
        </is>
      </c>
      <c r="D677" s="1" t="inlineStr">
        <is>
          <t>數值</t>
        </is>
      </c>
      <c r="E677" s="9" t="n">
        <v>2</v>
      </c>
      <c r="G677" s="1" t="inlineStr">
        <is>
          <t>range</t>
        </is>
      </c>
      <c r="H677" s="1" t="inlineStr">
        <is>
          <t>0,1</t>
        </is>
      </c>
      <c r="L677" s="2">
        <f>_xlfn.CONCAT(IF(D677="數值",CONCATENATE(G677&amp;"("&amp;C677&amp;","&amp;
IF(ISERROR(SEARCH(",",H677,1)),(H677&amp;","&amp;H677),H677)&amp;
IF(ISBLANK(I677),"",IF(ISERROR(SEARCH(",",I677,1)),CONCATENATE(","&amp;I677&amp;","&amp;I677),CONCATENATE(","&amp;I677))&amp;
IF(ISBLANK(J677),"",IF(ISERROR(SEARCH(",",J677,1)),CONCATENATE(","&amp;J677&amp;","&amp;J677),CONCATENATE(","&amp;J677))&amp;
IF(ISBLANK(K677),"",IF(ISERROR(SEARCH(",",K677,1)),CONCATENATE(","&amp;K677&amp;","&amp;K677),CONCATENATE(","&amp;K677))))))&amp;
")","")&amp;" "&amp;F677)</f>
        <v/>
      </c>
    </row>
    <row r="678">
      <c r="A678" s="1" t="n">
        <v>777</v>
      </c>
      <c r="B678" s="1">
        <f>A678</f>
        <v/>
      </c>
      <c r="C678" s="1" t="inlineStr">
        <is>
          <t>vQ23m07</t>
        </is>
      </c>
      <c r="D678" s="1" t="inlineStr">
        <is>
          <t>數值</t>
        </is>
      </c>
      <c r="E678" s="9" t="n">
        <v>2</v>
      </c>
      <c r="G678" s="1" t="inlineStr">
        <is>
          <t>range</t>
        </is>
      </c>
      <c r="H678" s="1" t="inlineStr">
        <is>
          <t>0,1</t>
        </is>
      </c>
      <c r="L678" s="2">
        <f>_xlfn.CONCAT(IF(D678="數值",CONCATENATE(G678&amp;"("&amp;C678&amp;","&amp;
IF(ISERROR(SEARCH(",",H678,1)),(H678&amp;","&amp;H678),H678)&amp;
IF(ISBLANK(I678),"",IF(ISERROR(SEARCH(",",I678,1)),CONCATENATE(","&amp;I678&amp;","&amp;I678),CONCATENATE(","&amp;I678))&amp;
IF(ISBLANK(J678),"",IF(ISERROR(SEARCH(",",J678,1)),CONCATENATE(","&amp;J678&amp;","&amp;J678),CONCATENATE(","&amp;J678))&amp;
IF(ISBLANK(K678),"",IF(ISERROR(SEARCH(",",K678,1)),CONCATENATE(","&amp;K678&amp;","&amp;K678),CONCATENATE(","&amp;K678))))))&amp;
")","")&amp;" "&amp;F678)</f>
        <v/>
      </c>
    </row>
    <row r="679">
      <c r="A679" s="1" t="n">
        <v>778</v>
      </c>
      <c r="B679" s="1">
        <f>A679</f>
        <v/>
      </c>
      <c r="C679" s="1" t="inlineStr">
        <is>
          <t>vQ23m08</t>
        </is>
      </c>
      <c r="D679" s="1" t="inlineStr">
        <is>
          <t>數值</t>
        </is>
      </c>
      <c r="E679" s="9" t="n">
        <v>2</v>
      </c>
      <c r="G679" s="1" t="inlineStr">
        <is>
          <t>range</t>
        </is>
      </c>
      <c r="H679" s="1" t="inlineStr">
        <is>
          <t>0,1</t>
        </is>
      </c>
      <c r="L679" s="2">
        <f>_xlfn.CONCAT(IF(D679="數值",CONCATENATE(G679&amp;"("&amp;C679&amp;","&amp;
IF(ISERROR(SEARCH(",",H679,1)),(H679&amp;","&amp;H679),H679)&amp;
IF(ISBLANK(I679),"",IF(ISERROR(SEARCH(",",I679,1)),CONCATENATE(","&amp;I679&amp;","&amp;I679),CONCATENATE(","&amp;I679))&amp;
IF(ISBLANK(J679),"",IF(ISERROR(SEARCH(",",J679,1)),CONCATENATE(","&amp;J679&amp;","&amp;J679),CONCATENATE(","&amp;J679))&amp;
IF(ISBLANK(K679),"",IF(ISERROR(SEARCH(",",K679,1)),CONCATENATE(","&amp;K679&amp;","&amp;K679),CONCATENATE(","&amp;K679))))))&amp;
")","")&amp;" "&amp;F679)</f>
        <v/>
      </c>
    </row>
    <row r="680">
      <c r="A680" s="1" t="n">
        <v>779</v>
      </c>
      <c r="B680" s="1">
        <f>A680</f>
        <v/>
      </c>
      <c r="C680" s="1" t="inlineStr">
        <is>
          <t>vQ23m09</t>
        </is>
      </c>
      <c r="D680" s="1" t="inlineStr">
        <is>
          <t>數值</t>
        </is>
      </c>
      <c r="E680" s="9" t="n">
        <v>2</v>
      </c>
      <c r="G680" s="1" t="inlineStr">
        <is>
          <t>range</t>
        </is>
      </c>
      <c r="H680" s="1" t="inlineStr">
        <is>
          <t>0,1</t>
        </is>
      </c>
      <c r="L680" s="2">
        <f>_xlfn.CONCAT(IF(D680="數值",CONCATENATE(G680&amp;"("&amp;C680&amp;","&amp;
IF(ISERROR(SEARCH(",",H680,1)),(H680&amp;","&amp;H680),H680)&amp;
IF(ISBLANK(I680),"",IF(ISERROR(SEARCH(",",I680,1)),CONCATENATE(","&amp;I680&amp;","&amp;I680),CONCATENATE(","&amp;I680))&amp;
IF(ISBLANK(J680),"",IF(ISERROR(SEARCH(",",J680,1)),CONCATENATE(","&amp;J680&amp;","&amp;J680),CONCATENATE(","&amp;J680))&amp;
IF(ISBLANK(K680),"",IF(ISERROR(SEARCH(",",K680,1)),CONCATENATE(","&amp;K680&amp;","&amp;K680),CONCATENATE(","&amp;K680))))))&amp;
")","")&amp;" "&amp;F680)</f>
        <v/>
      </c>
    </row>
    <row r="681">
      <c r="A681" s="1" t="n">
        <v>780</v>
      </c>
      <c r="B681" s="1">
        <f>A681</f>
        <v/>
      </c>
      <c r="C681" s="1" t="inlineStr">
        <is>
          <t>vQ23m10</t>
        </is>
      </c>
      <c r="D681" s="1" t="inlineStr">
        <is>
          <t>數值</t>
        </is>
      </c>
      <c r="E681" s="9" t="n">
        <v>2</v>
      </c>
      <c r="G681" s="1" t="inlineStr">
        <is>
          <t>range</t>
        </is>
      </c>
      <c r="H681" s="1" t="inlineStr">
        <is>
          <t>0,1</t>
        </is>
      </c>
      <c r="I681" s="1" t="inlineStr">
        <is>
          <t>96</t>
        </is>
      </c>
      <c r="L681" s="2">
        <f>_xlfn.CONCAT(IF(D681="數值",CONCATENATE(G681&amp;"("&amp;C681&amp;","&amp;
IF(ISERROR(SEARCH(",",H681,1)),(H681&amp;","&amp;H681),H681)&amp;
IF(ISBLANK(I681),"",IF(ISERROR(SEARCH(",",I681,1)),CONCATENATE(","&amp;I681&amp;","&amp;I681),CONCATENATE(","&amp;I681))&amp;
IF(ISBLANK(J681),"",IF(ISERROR(SEARCH(",",J681,1)),CONCATENATE(","&amp;J681&amp;","&amp;J681),CONCATENATE(","&amp;J681))&amp;
IF(ISBLANK(K681),"",IF(ISERROR(SEARCH(",",K681,1)),CONCATENATE(","&amp;K681&amp;","&amp;K681),CONCATENATE(","&amp;K681))))))&amp;
")","")&amp;" "&amp;F681)</f>
        <v/>
      </c>
    </row>
    <row r="682">
      <c r="A682" s="1" t="n">
        <v>781</v>
      </c>
      <c r="B682" s="1">
        <f>A682</f>
        <v/>
      </c>
      <c r="C682" s="1" t="inlineStr">
        <is>
          <t>vQ23m11</t>
        </is>
      </c>
      <c r="D682" s="1" t="inlineStr">
        <is>
          <t>數值</t>
        </is>
      </c>
      <c r="E682" s="9" t="n">
        <v>2</v>
      </c>
      <c r="G682" s="1" t="inlineStr">
        <is>
          <t>range</t>
        </is>
      </c>
      <c r="H682" s="1" t="inlineStr">
        <is>
          <t>0,1</t>
        </is>
      </c>
      <c r="I682" s="1" t="inlineStr">
        <is>
          <t>96</t>
        </is>
      </c>
      <c r="L682" s="2">
        <f>_xlfn.CONCAT(IF(D682="數值",CONCATENATE(G682&amp;"("&amp;C682&amp;","&amp;
IF(ISERROR(SEARCH(",",H682,1)),(H682&amp;","&amp;H682),H682)&amp;
IF(ISBLANK(I682),"",IF(ISERROR(SEARCH(",",I682,1)),CONCATENATE(","&amp;I682&amp;","&amp;I682),CONCATENATE(","&amp;I682))&amp;
IF(ISBLANK(J682),"",IF(ISERROR(SEARCH(",",J682,1)),CONCATENATE(","&amp;J682&amp;","&amp;J682),CONCATENATE(","&amp;J682))&amp;
IF(ISBLANK(K682),"",IF(ISERROR(SEARCH(",",K682,1)),CONCATENATE(","&amp;K682&amp;","&amp;K682),CONCATENATE(","&amp;K682))))))&amp;
")","")&amp;" "&amp;F682)</f>
        <v/>
      </c>
    </row>
    <row r="683">
      <c r="A683" s="1" t="n">
        <v>782</v>
      </c>
      <c r="B683" s="1">
        <f>A683</f>
        <v/>
      </c>
      <c r="C683" s="1" t="inlineStr">
        <is>
          <t>vQ23m12</t>
        </is>
      </c>
      <c r="D683" s="1" t="inlineStr">
        <is>
          <t>數值</t>
        </is>
      </c>
      <c r="E683" s="9" t="n">
        <v>2</v>
      </c>
      <c r="G683" s="1" t="inlineStr">
        <is>
          <t>range</t>
        </is>
      </c>
      <c r="H683" s="1" t="inlineStr">
        <is>
          <t>0,1</t>
        </is>
      </c>
      <c r="I683" s="1" t="inlineStr">
        <is>
          <t>96</t>
        </is>
      </c>
      <c r="L683" s="2">
        <f>_xlfn.CONCAT(IF(D683="數值",CONCATENATE(G683&amp;"("&amp;C683&amp;","&amp;
IF(ISERROR(SEARCH(",",H683,1)),(H683&amp;","&amp;H683),H683)&amp;
IF(ISBLANK(I683),"",IF(ISERROR(SEARCH(",",I683,1)),CONCATENATE(","&amp;I683&amp;","&amp;I683),CONCATENATE(","&amp;I683))&amp;
IF(ISBLANK(J683),"",IF(ISERROR(SEARCH(",",J683,1)),CONCATENATE(","&amp;J683&amp;","&amp;J683),CONCATENATE(","&amp;J683))&amp;
IF(ISBLANK(K683),"",IF(ISERROR(SEARCH(",",K683,1)),CONCATENATE(","&amp;K683&amp;","&amp;K683),CONCATENATE(","&amp;K683))))))&amp;
")","")&amp;" "&amp;F683)</f>
        <v/>
      </c>
    </row>
    <row r="684">
      <c r="A684" s="1" t="n">
        <v>783</v>
      </c>
      <c r="B684" s="1">
        <f>A684</f>
        <v/>
      </c>
      <c r="C684" s="1" t="inlineStr">
        <is>
          <t>vQ23m13</t>
        </is>
      </c>
      <c r="D684" s="1" t="inlineStr">
        <is>
          <t>數值</t>
        </is>
      </c>
      <c r="E684" s="9" t="n">
        <v>2</v>
      </c>
      <c r="G684" s="1" t="inlineStr">
        <is>
          <t>range</t>
        </is>
      </c>
      <c r="H684" s="1" t="inlineStr">
        <is>
          <t>0,1</t>
        </is>
      </c>
      <c r="I684" s="1" t="inlineStr">
        <is>
          <t>96</t>
        </is>
      </c>
      <c r="L684" s="2">
        <f>_xlfn.CONCAT(IF(D684="數值",CONCATENATE(G684&amp;"("&amp;C684&amp;","&amp;
IF(ISERROR(SEARCH(",",H684,1)),(H684&amp;","&amp;H684),H684)&amp;
IF(ISBLANK(I684),"",IF(ISERROR(SEARCH(",",I684,1)),CONCATENATE(","&amp;I684&amp;","&amp;I684),CONCATENATE(","&amp;I684))&amp;
IF(ISBLANK(J684),"",IF(ISERROR(SEARCH(",",J684,1)),CONCATENATE(","&amp;J684&amp;","&amp;J684),CONCATENATE(","&amp;J684))&amp;
IF(ISBLANK(K684),"",IF(ISERROR(SEARCH(",",K684,1)),CONCATENATE(","&amp;K684&amp;","&amp;K684),CONCATENATE(","&amp;K684))))))&amp;
")","")&amp;" "&amp;F684)</f>
        <v/>
      </c>
    </row>
    <row r="685">
      <c r="A685" s="1" t="n">
        <v>784</v>
      </c>
      <c r="B685" s="1">
        <f>A685</f>
        <v/>
      </c>
      <c r="C685" s="1" t="inlineStr">
        <is>
          <t>vQ23m14</t>
        </is>
      </c>
      <c r="D685" s="1" t="inlineStr">
        <is>
          <t>數值</t>
        </is>
      </c>
      <c r="E685" s="9" t="n">
        <v>2</v>
      </c>
      <c r="G685" s="1" t="inlineStr">
        <is>
          <t>range</t>
        </is>
      </c>
      <c r="H685" s="1" t="inlineStr">
        <is>
          <t>0,1</t>
        </is>
      </c>
      <c r="I685" s="1" t="inlineStr">
        <is>
          <t>96</t>
        </is>
      </c>
      <c r="L685" s="2">
        <f>_xlfn.CONCAT(IF(D685="數值",CONCATENATE(G685&amp;"("&amp;C685&amp;","&amp;
IF(ISERROR(SEARCH(",",H685,1)),(H685&amp;","&amp;H685),H685)&amp;
IF(ISBLANK(I685),"",IF(ISERROR(SEARCH(",",I685,1)),CONCATENATE(","&amp;I685&amp;","&amp;I685),CONCATENATE(","&amp;I685))&amp;
IF(ISBLANK(J685),"",IF(ISERROR(SEARCH(",",J685,1)),CONCATENATE(","&amp;J685&amp;","&amp;J685),CONCATENATE(","&amp;J685))&amp;
IF(ISBLANK(K685),"",IF(ISERROR(SEARCH(",",K685,1)),CONCATENATE(","&amp;K685&amp;","&amp;K685),CONCATENATE(","&amp;K685))))))&amp;
")","")&amp;" "&amp;F685)</f>
        <v/>
      </c>
    </row>
    <row r="686">
      <c r="A686" s="1" t="n">
        <v>785</v>
      </c>
      <c r="B686" s="1">
        <f>A686</f>
        <v/>
      </c>
      <c r="C686" s="1" t="inlineStr">
        <is>
          <t>vQ23m15</t>
        </is>
      </c>
      <c r="D686" s="1" t="inlineStr">
        <is>
          <t>數值</t>
        </is>
      </c>
      <c r="E686" s="9" t="n">
        <v>2</v>
      </c>
      <c r="G686" s="1" t="inlineStr">
        <is>
          <t>range</t>
        </is>
      </c>
      <c r="H686" s="1" t="inlineStr">
        <is>
          <t>0,1</t>
        </is>
      </c>
      <c r="I686" s="1" t="inlineStr">
        <is>
          <t>96</t>
        </is>
      </c>
      <c r="L686" s="2">
        <f>_xlfn.CONCAT(IF(D686="數值",CONCATENATE(G686&amp;"("&amp;C686&amp;","&amp;
IF(ISERROR(SEARCH(",",H686,1)),(H686&amp;","&amp;H686),H686)&amp;
IF(ISBLANK(I686),"",IF(ISERROR(SEARCH(",",I686,1)),CONCATENATE(","&amp;I686&amp;","&amp;I686),CONCATENATE(","&amp;I686))&amp;
IF(ISBLANK(J686),"",IF(ISERROR(SEARCH(",",J686,1)),CONCATENATE(","&amp;J686&amp;","&amp;J686),CONCATENATE(","&amp;J686))&amp;
IF(ISBLANK(K686),"",IF(ISERROR(SEARCH(",",K686,1)),CONCATENATE(","&amp;K686&amp;","&amp;K686),CONCATENATE(","&amp;K686))))))&amp;
")","")&amp;" "&amp;F686)</f>
        <v/>
      </c>
    </row>
    <row r="687">
      <c r="A687" s="1" t="n">
        <v>786</v>
      </c>
      <c r="B687" s="1">
        <f>A687</f>
        <v/>
      </c>
      <c r="C687" s="1" t="inlineStr">
        <is>
          <t>vQ23m16</t>
        </is>
      </c>
      <c r="D687" s="1" t="inlineStr">
        <is>
          <t>數值</t>
        </is>
      </c>
      <c r="E687" s="9" t="n">
        <v>2</v>
      </c>
      <c r="G687" s="1" t="inlineStr">
        <is>
          <t>range</t>
        </is>
      </c>
      <c r="H687" s="1" t="inlineStr">
        <is>
          <t>0,1</t>
        </is>
      </c>
      <c r="I687" s="1" t="inlineStr">
        <is>
          <t>96</t>
        </is>
      </c>
      <c r="L687" s="2">
        <f>_xlfn.CONCAT(IF(D687="數值",CONCATENATE(G687&amp;"("&amp;C687&amp;","&amp;
IF(ISERROR(SEARCH(",",H687,1)),(H687&amp;","&amp;H687),H687)&amp;
IF(ISBLANK(I687),"",IF(ISERROR(SEARCH(",",I687,1)),CONCATENATE(","&amp;I687&amp;","&amp;I687),CONCATENATE(","&amp;I687))&amp;
IF(ISBLANK(J687),"",IF(ISERROR(SEARCH(",",J687,1)),CONCATENATE(","&amp;J687&amp;","&amp;J687),CONCATENATE(","&amp;J687))&amp;
IF(ISBLANK(K687),"",IF(ISERROR(SEARCH(",",K687,1)),CONCATENATE(","&amp;K687&amp;","&amp;K687),CONCATENATE(","&amp;K687))))))&amp;
")","")&amp;" "&amp;F687)</f>
        <v/>
      </c>
    </row>
    <row r="688">
      <c r="A688" s="1" t="n">
        <v>787</v>
      </c>
      <c r="B688" s="1">
        <f>A688</f>
        <v/>
      </c>
      <c r="C688" s="1" t="inlineStr">
        <is>
          <t>vQ23m17</t>
        </is>
      </c>
      <c r="D688" s="1" t="inlineStr">
        <is>
          <t>數值</t>
        </is>
      </c>
      <c r="E688" s="9" t="n">
        <v>2</v>
      </c>
      <c r="G688" s="1" t="inlineStr">
        <is>
          <t>range</t>
        </is>
      </c>
      <c r="H688" s="1" t="inlineStr">
        <is>
          <t>0,1</t>
        </is>
      </c>
      <c r="I688" s="1" t="inlineStr">
        <is>
          <t>96</t>
        </is>
      </c>
      <c r="L688" s="2">
        <f>_xlfn.CONCAT(IF(D688="數值",CONCATENATE(G688&amp;"("&amp;C688&amp;","&amp;
IF(ISERROR(SEARCH(",",H688,1)),(H688&amp;","&amp;H688),H688)&amp;
IF(ISBLANK(I688),"",IF(ISERROR(SEARCH(",",I688,1)),CONCATENATE(","&amp;I688&amp;","&amp;I688),CONCATENATE(","&amp;I688))&amp;
IF(ISBLANK(J688),"",IF(ISERROR(SEARCH(",",J688,1)),CONCATENATE(","&amp;J688&amp;","&amp;J688),CONCATENATE(","&amp;J688))&amp;
IF(ISBLANK(K688),"",IF(ISERROR(SEARCH(",",K688,1)),CONCATENATE(","&amp;K688&amp;","&amp;K688),CONCATENATE(","&amp;K688))))))&amp;
")","")&amp;" "&amp;F688)</f>
        <v/>
      </c>
    </row>
    <row r="689">
      <c r="A689" s="1" t="n">
        <v>788</v>
      </c>
      <c r="B689" s="1">
        <f>A689</f>
        <v/>
      </c>
      <c r="C689" s="1" t="inlineStr">
        <is>
          <t>vQ23m18</t>
        </is>
      </c>
      <c r="D689" s="1" t="inlineStr">
        <is>
          <t>數值</t>
        </is>
      </c>
      <c r="E689" s="9" t="n">
        <v>2</v>
      </c>
      <c r="G689" s="1" t="inlineStr">
        <is>
          <t>range</t>
        </is>
      </c>
      <c r="H689" s="1" t="inlineStr">
        <is>
          <t>0,1</t>
        </is>
      </c>
      <c r="I689" s="1" t="inlineStr">
        <is>
          <t>96</t>
        </is>
      </c>
      <c r="L689" s="2">
        <f>_xlfn.CONCAT(IF(D689="數值",CONCATENATE(G689&amp;"("&amp;C689&amp;","&amp;
IF(ISERROR(SEARCH(",",H689,1)),(H689&amp;","&amp;H689),H689)&amp;
IF(ISBLANK(I689),"",IF(ISERROR(SEARCH(",",I689,1)),CONCATENATE(","&amp;I689&amp;","&amp;I689),CONCATENATE(","&amp;I689))&amp;
IF(ISBLANK(J689),"",IF(ISERROR(SEARCH(",",J689,1)),CONCATENATE(","&amp;J689&amp;","&amp;J689),CONCATENATE(","&amp;J689))&amp;
IF(ISBLANK(K689),"",IF(ISERROR(SEARCH(",",K689,1)),CONCATENATE(","&amp;K689&amp;","&amp;K689),CONCATENATE(","&amp;K689))))))&amp;
")","")&amp;" "&amp;F689)</f>
        <v/>
      </c>
    </row>
    <row r="690">
      <c r="A690" s="1" t="n">
        <v>789</v>
      </c>
      <c r="B690" s="1">
        <f>A690</f>
        <v/>
      </c>
      <c r="C690" s="1" t="inlineStr">
        <is>
          <t>vQ23m19</t>
        </is>
      </c>
      <c r="D690" s="1" t="inlineStr">
        <is>
          <t>數值</t>
        </is>
      </c>
      <c r="E690" s="9" t="n">
        <v>2</v>
      </c>
      <c r="G690" s="1" t="inlineStr">
        <is>
          <t>range</t>
        </is>
      </c>
      <c r="H690" s="1" t="inlineStr">
        <is>
          <t>0,1</t>
        </is>
      </c>
      <c r="I690" s="1" t="inlineStr">
        <is>
          <t>96</t>
        </is>
      </c>
      <c r="L690" s="2">
        <f>_xlfn.CONCAT(IF(D690="數值",CONCATENATE(G690&amp;"("&amp;C690&amp;","&amp;
IF(ISERROR(SEARCH(",",H690,1)),(H690&amp;","&amp;H690),H690)&amp;
IF(ISBLANK(I690),"",IF(ISERROR(SEARCH(",",I690,1)),CONCATENATE(","&amp;I690&amp;","&amp;I690),CONCATENATE(","&amp;I690))&amp;
IF(ISBLANK(J690),"",IF(ISERROR(SEARCH(",",J690,1)),CONCATENATE(","&amp;J690&amp;","&amp;J690),CONCATENATE(","&amp;J690))&amp;
IF(ISBLANK(K690),"",IF(ISERROR(SEARCH(",",K690,1)),CONCATENATE(","&amp;K690&amp;","&amp;K690),CONCATENATE(","&amp;K690))))))&amp;
")","")&amp;" "&amp;F690)</f>
        <v/>
      </c>
    </row>
    <row r="691">
      <c r="A691" s="1" t="n">
        <v>790</v>
      </c>
      <c r="B691" s="1">
        <f>A691</f>
        <v/>
      </c>
      <c r="C691" s="1" t="inlineStr">
        <is>
          <t>vQ23m20</t>
        </is>
      </c>
      <c r="D691" s="1" t="inlineStr">
        <is>
          <t>數值</t>
        </is>
      </c>
      <c r="E691" s="9" t="n">
        <v>2</v>
      </c>
      <c r="G691" s="1" t="inlineStr">
        <is>
          <t>range</t>
        </is>
      </c>
      <c r="H691" s="1" t="inlineStr">
        <is>
          <t>0,1</t>
        </is>
      </c>
      <c r="I691" s="1" t="inlineStr">
        <is>
          <t>96</t>
        </is>
      </c>
      <c r="L691" s="2">
        <f>_xlfn.CONCAT(IF(D691="數值",CONCATENATE(G691&amp;"("&amp;C691&amp;","&amp;
IF(ISERROR(SEARCH(",",H691,1)),(H691&amp;","&amp;H691),H691)&amp;
IF(ISBLANK(I691),"",IF(ISERROR(SEARCH(",",I691,1)),CONCATENATE(","&amp;I691&amp;","&amp;I691),CONCATENATE(","&amp;I691))&amp;
IF(ISBLANK(J691),"",IF(ISERROR(SEARCH(",",J691,1)),CONCATENATE(","&amp;J691&amp;","&amp;J691),CONCATENATE(","&amp;J691))&amp;
IF(ISBLANK(K691),"",IF(ISERROR(SEARCH(",",K691,1)),CONCATENATE(","&amp;K691&amp;","&amp;K691),CONCATENATE(","&amp;K691))))))&amp;
")","")&amp;" "&amp;F691)</f>
        <v/>
      </c>
    </row>
    <row r="692">
      <c r="A692" s="1" t="n">
        <v>791</v>
      </c>
      <c r="B692" s="1">
        <f>A692</f>
        <v/>
      </c>
      <c r="C692" s="1" t="inlineStr">
        <is>
          <t>vQ23m21</t>
        </is>
      </c>
      <c r="D692" s="1" t="inlineStr">
        <is>
          <t>數值</t>
        </is>
      </c>
      <c r="E692" s="9" t="n">
        <v>2</v>
      </c>
      <c r="G692" s="1" t="inlineStr">
        <is>
          <t>range</t>
        </is>
      </c>
      <c r="H692" s="1" t="inlineStr">
        <is>
          <t>0,1</t>
        </is>
      </c>
      <c r="I692" s="1" t="inlineStr">
        <is>
          <t>96</t>
        </is>
      </c>
      <c r="L692" s="2">
        <f>_xlfn.CONCAT(IF(D692="數值",CONCATENATE(G692&amp;"("&amp;C692&amp;","&amp;
IF(ISERROR(SEARCH(",",H692,1)),(H692&amp;","&amp;H692),H692)&amp;
IF(ISBLANK(I692),"",IF(ISERROR(SEARCH(",",I692,1)),CONCATENATE(","&amp;I692&amp;","&amp;I692),CONCATENATE(","&amp;I692))&amp;
IF(ISBLANK(J692),"",IF(ISERROR(SEARCH(",",J692,1)),CONCATENATE(","&amp;J692&amp;","&amp;J692),CONCATENATE(","&amp;J692))&amp;
IF(ISBLANK(K692),"",IF(ISERROR(SEARCH(",",K692,1)),CONCATENATE(","&amp;K692&amp;","&amp;K692),CONCATENATE(","&amp;K692))))))&amp;
")","")&amp;" "&amp;F692)</f>
        <v/>
      </c>
    </row>
    <row r="693">
      <c r="A693" s="1" t="n">
        <v>792</v>
      </c>
      <c r="B693" s="1">
        <f>A693</f>
        <v/>
      </c>
      <c r="C693" s="1" t="inlineStr">
        <is>
          <t>vQ23m22</t>
        </is>
      </c>
      <c r="D693" s="1" t="inlineStr">
        <is>
          <t>數值</t>
        </is>
      </c>
      <c r="E693" s="9" t="n">
        <v>2</v>
      </c>
      <c r="G693" s="1" t="inlineStr">
        <is>
          <t>range</t>
        </is>
      </c>
      <c r="H693" s="1" t="inlineStr">
        <is>
          <t>0,1</t>
        </is>
      </c>
      <c r="I693" s="1" t="inlineStr">
        <is>
          <t>96</t>
        </is>
      </c>
      <c r="L693" s="2">
        <f>_xlfn.CONCAT(IF(D693="數值",CONCATENATE(G693&amp;"("&amp;C693&amp;","&amp;
IF(ISERROR(SEARCH(",",H693,1)),(H693&amp;","&amp;H693),H693)&amp;
IF(ISBLANK(I693),"",IF(ISERROR(SEARCH(",",I693,1)),CONCATENATE(","&amp;I693&amp;","&amp;I693),CONCATENATE(","&amp;I693))&amp;
IF(ISBLANK(J693),"",IF(ISERROR(SEARCH(",",J693,1)),CONCATENATE(","&amp;J693&amp;","&amp;J693),CONCATENATE(","&amp;J693))&amp;
IF(ISBLANK(K693),"",IF(ISERROR(SEARCH(",",K693,1)),CONCATENATE(","&amp;K693&amp;","&amp;K693),CONCATENATE(","&amp;K693))))))&amp;
")","")&amp;" "&amp;F693)</f>
        <v/>
      </c>
    </row>
    <row r="694">
      <c r="A694" s="1" t="n">
        <v>793</v>
      </c>
      <c r="B694" s="1">
        <f>A694</f>
        <v/>
      </c>
      <c r="C694" s="1" t="inlineStr">
        <is>
          <t>vQ23m23</t>
        </is>
      </c>
      <c r="D694" s="1" t="inlineStr">
        <is>
          <t>數值</t>
        </is>
      </c>
      <c r="E694" s="9" t="n">
        <v>2</v>
      </c>
      <c r="G694" s="1" t="inlineStr">
        <is>
          <t>range</t>
        </is>
      </c>
      <c r="H694" s="1" t="inlineStr">
        <is>
          <t>0,1</t>
        </is>
      </c>
      <c r="I694" s="1" t="inlineStr">
        <is>
          <t>96</t>
        </is>
      </c>
      <c r="L694" s="2">
        <f>_xlfn.CONCAT(IF(D694="數值",CONCATENATE(G694&amp;"("&amp;C694&amp;","&amp;
IF(ISERROR(SEARCH(",",H694,1)),(H694&amp;","&amp;H694),H694)&amp;
IF(ISBLANK(I694),"",IF(ISERROR(SEARCH(",",I694,1)),CONCATENATE(","&amp;I694&amp;","&amp;I694),CONCATENATE(","&amp;I694))&amp;
IF(ISBLANK(J694),"",IF(ISERROR(SEARCH(",",J694,1)),CONCATENATE(","&amp;J694&amp;","&amp;J694),CONCATENATE(","&amp;J694))&amp;
IF(ISBLANK(K694),"",IF(ISERROR(SEARCH(",",K694,1)),CONCATENATE(","&amp;K694&amp;","&amp;K694),CONCATENATE(","&amp;K694))))))&amp;
")","")&amp;" "&amp;F694)</f>
        <v/>
      </c>
    </row>
    <row r="695">
      <c r="A695" s="1" t="n">
        <v>794</v>
      </c>
      <c r="B695" s="1">
        <f>A695</f>
        <v/>
      </c>
      <c r="C695" s="1" t="inlineStr">
        <is>
          <t>vQ23m24</t>
        </is>
      </c>
      <c r="D695" s="1" t="inlineStr">
        <is>
          <t>數值</t>
        </is>
      </c>
      <c r="E695" s="9" t="n">
        <v>2</v>
      </c>
      <c r="G695" s="1" t="inlineStr">
        <is>
          <t>range</t>
        </is>
      </c>
      <c r="H695" s="1" t="inlineStr">
        <is>
          <t>0,1</t>
        </is>
      </c>
      <c r="I695" s="1" t="inlineStr">
        <is>
          <t>96</t>
        </is>
      </c>
      <c r="L695" s="2">
        <f>_xlfn.CONCAT(IF(D695="數值",CONCATENATE(G695&amp;"("&amp;C695&amp;","&amp;
IF(ISERROR(SEARCH(",",H695,1)),(H695&amp;","&amp;H695),H695)&amp;
IF(ISBLANK(I695),"",IF(ISERROR(SEARCH(",",I695,1)),CONCATENATE(","&amp;I695&amp;","&amp;I695),CONCATENATE(","&amp;I695))&amp;
IF(ISBLANK(J695),"",IF(ISERROR(SEARCH(",",J695,1)),CONCATENATE(","&amp;J695&amp;","&amp;J695),CONCATENATE(","&amp;J695))&amp;
IF(ISBLANK(K695),"",IF(ISERROR(SEARCH(",",K695,1)),CONCATENATE(","&amp;K695&amp;","&amp;K695),CONCATENATE(","&amp;K695))))))&amp;
")","")&amp;" "&amp;F695)</f>
        <v/>
      </c>
    </row>
    <row r="696">
      <c r="A696" s="1" t="n">
        <v>795</v>
      </c>
      <c r="B696" s="1">
        <f>A696</f>
        <v/>
      </c>
      <c r="C696" s="1" t="inlineStr">
        <is>
          <t>vQ23m25</t>
        </is>
      </c>
      <c r="D696" s="1" t="inlineStr">
        <is>
          <t>數值</t>
        </is>
      </c>
      <c r="E696" s="9" t="n">
        <v>2</v>
      </c>
      <c r="G696" s="1" t="inlineStr">
        <is>
          <t>range</t>
        </is>
      </c>
      <c r="H696" s="1" t="inlineStr">
        <is>
          <t>0,1</t>
        </is>
      </c>
      <c r="I696" s="1" t="inlineStr">
        <is>
          <t>96</t>
        </is>
      </c>
      <c r="L696" s="2">
        <f>_xlfn.CONCAT(IF(D696="數值",CONCATENATE(G696&amp;"("&amp;C696&amp;","&amp;
IF(ISERROR(SEARCH(",",H696,1)),(H696&amp;","&amp;H696),H696)&amp;
IF(ISBLANK(I696),"",IF(ISERROR(SEARCH(",",I696,1)),CONCATENATE(","&amp;I696&amp;","&amp;I696),CONCATENATE(","&amp;I696))&amp;
IF(ISBLANK(J696),"",IF(ISERROR(SEARCH(",",J696,1)),CONCATENATE(","&amp;J696&amp;","&amp;J696),CONCATENATE(","&amp;J696))&amp;
IF(ISBLANK(K696),"",IF(ISERROR(SEARCH(",",K696,1)),CONCATENATE(","&amp;K696&amp;","&amp;K696),CONCATENATE(","&amp;K696))))))&amp;
")","")&amp;" "&amp;F696)</f>
        <v/>
      </c>
    </row>
    <row r="697">
      <c r="A697" s="1" t="n">
        <v>796</v>
      </c>
      <c r="B697" s="1">
        <f>A697</f>
        <v/>
      </c>
      <c r="C697" s="1" t="inlineStr">
        <is>
          <t>vQ23m26</t>
        </is>
      </c>
      <c r="D697" s="1" t="inlineStr">
        <is>
          <t>數值</t>
        </is>
      </c>
      <c r="E697" s="9" t="n">
        <v>2</v>
      </c>
      <c r="G697" s="1" t="inlineStr">
        <is>
          <t>range</t>
        </is>
      </c>
      <c r="H697" s="1" t="inlineStr">
        <is>
          <t>0,1</t>
        </is>
      </c>
      <c r="I697" s="1" t="inlineStr">
        <is>
          <t>96</t>
        </is>
      </c>
      <c r="L697" s="2">
        <f>_xlfn.CONCAT(IF(D697="數值",CONCATENATE(G697&amp;"("&amp;C697&amp;","&amp;
IF(ISERROR(SEARCH(",",H697,1)),(H697&amp;","&amp;H697),H697)&amp;
IF(ISBLANK(I697),"",IF(ISERROR(SEARCH(",",I697,1)),CONCATENATE(","&amp;I697&amp;","&amp;I697),CONCATENATE(","&amp;I697))&amp;
IF(ISBLANK(J697),"",IF(ISERROR(SEARCH(",",J697,1)),CONCATENATE(","&amp;J697&amp;","&amp;J697),CONCATENATE(","&amp;J697))&amp;
IF(ISBLANK(K697),"",IF(ISERROR(SEARCH(",",K697,1)),CONCATENATE(","&amp;K697&amp;","&amp;K697),CONCATENATE(","&amp;K697))))))&amp;
")","")&amp;" "&amp;F697)</f>
        <v/>
      </c>
    </row>
    <row r="698">
      <c r="A698" s="1" t="n">
        <v>797</v>
      </c>
      <c r="B698" s="1">
        <f>A698</f>
        <v/>
      </c>
      <c r="C698" s="1" t="inlineStr">
        <is>
          <t>vQ23m27</t>
        </is>
      </c>
      <c r="D698" s="1" t="inlineStr">
        <is>
          <t>數值</t>
        </is>
      </c>
      <c r="E698" s="9" t="n">
        <v>2</v>
      </c>
      <c r="G698" s="1" t="inlineStr">
        <is>
          <t>range</t>
        </is>
      </c>
      <c r="H698" s="1" t="inlineStr">
        <is>
          <t>0,1</t>
        </is>
      </c>
      <c r="I698" s="1" t="inlineStr">
        <is>
          <t>96</t>
        </is>
      </c>
      <c r="L698" s="2">
        <f>_xlfn.CONCAT(IF(D698="數值",CONCATENATE(G698&amp;"("&amp;C698&amp;","&amp;
IF(ISERROR(SEARCH(",",H698,1)),(H698&amp;","&amp;H698),H698)&amp;
IF(ISBLANK(I698),"",IF(ISERROR(SEARCH(",",I698,1)),CONCATENATE(","&amp;I698&amp;","&amp;I698),CONCATENATE(","&amp;I698))&amp;
IF(ISBLANK(J698),"",IF(ISERROR(SEARCH(",",J698,1)),CONCATENATE(","&amp;J698&amp;","&amp;J698),CONCATENATE(","&amp;J698))&amp;
IF(ISBLANK(K698),"",IF(ISERROR(SEARCH(",",K698,1)),CONCATENATE(","&amp;K698&amp;","&amp;K698),CONCATENATE(","&amp;K698))))))&amp;
")","")&amp;" "&amp;F698)</f>
        <v/>
      </c>
    </row>
    <row r="699">
      <c r="A699" s="1" t="n">
        <v>798</v>
      </c>
      <c r="B699" s="1">
        <f>A699</f>
        <v/>
      </c>
      <c r="C699" s="1" t="inlineStr">
        <is>
          <t>vQ23m88</t>
        </is>
      </c>
      <c r="D699" s="1" t="inlineStr">
        <is>
          <t>數值</t>
        </is>
      </c>
      <c r="E699" s="9" t="n">
        <v>2</v>
      </c>
      <c r="G699" s="1" t="inlineStr">
        <is>
          <t>range</t>
        </is>
      </c>
      <c r="H699" s="1" t="inlineStr">
        <is>
          <t>0,1</t>
        </is>
      </c>
      <c r="I699" s="1" t="inlineStr">
        <is>
          <t>96</t>
        </is>
      </c>
      <c r="L699" s="2">
        <f>_xlfn.CONCAT(IF(D699="數值",CONCATENATE(G699&amp;"("&amp;C699&amp;","&amp;
IF(ISERROR(SEARCH(",",H699,1)),(H699&amp;","&amp;H699),H699)&amp;
IF(ISBLANK(I699),"",IF(ISERROR(SEARCH(",",I699,1)),CONCATENATE(","&amp;I699&amp;","&amp;I699),CONCATENATE(","&amp;I699))&amp;
IF(ISBLANK(J699),"",IF(ISERROR(SEARCH(",",J699,1)),CONCATENATE(","&amp;J699&amp;","&amp;J699),CONCATENATE(","&amp;J699))&amp;
IF(ISBLANK(K699),"",IF(ISERROR(SEARCH(",",K699,1)),CONCATENATE(","&amp;K699&amp;","&amp;K699),CONCATENATE(","&amp;K699))))))&amp;
")","")&amp;" "&amp;F699)</f>
        <v/>
      </c>
    </row>
    <row r="700">
      <c r="A700" s="1" t="n">
        <v>799</v>
      </c>
      <c r="B700" s="1">
        <f>A700</f>
        <v/>
      </c>
      <c r="C700" s="1" t="inlineStr">
        <is>
          <t>vQ26Ag1</t>
        </is>
      </c>
      <c r="D700" s="1" t="inlineStr">
        <is>
          <t>數值</t>
        </is>
      </c>
      <c r="E700" s="9" t="n">
        <v>4</v>
      </c>
      <c r="G700" s="1" t="inlineStr">
        <is>
          <t>range</t>
        </is>
      </c>
      <c r="H700" s="1" t="inlineStr">
        <is>
          <t>0,140</t>
        </is>
      </c>
      <c r="I700" s="1" t="inlineStr">
        <is>
          <t>997</t>
        </is>
      </c>
      <c r="J700" s="1" t="inlineStr">
        <is>
          <t>998</t>
        </is>
      </c>
      <c r="L700" s="2">
        <f>_xlfn.CONCAT(IF(D700="數值",CONCATENATE(G700&amp;"("&amp;C700&amp;","&amp;
IF(ISERROR(SEARCH(",",H700,1)),(H700&amp;","&amp;H700),H700)&amp;
IF(ISBLANK(I700),"",IF(ISERROR(SEARCH(",",I700,1)),CONCATENATE(","&amp;I700&amp;","&amp;I700),CONCATENATE(","&amp;I700))&amp;
IF(ISBLANK(J700),"",IF(ISERROR(SEARCH(",",J700,1)),CONCATENATE(","&amp;J700&amp;","&amp;J700),CONCATENATE(","&amp;J700))&amp;
IF(ISBLANK(K700),"",IF(ISERROR(SEARCH(",",K700,1)),CONCATENATE(","&amp;K700&amp;","&amp;K700),CONCATENATE(","&amp;K700))))))&amp;
")","")&amp;" "&amp;F700)</f>
        <v/>
      </c>
    </row>
    <row r="701">
      <c r="A701" s="1" t="n">
        <v>800</v>
      </c>
      <c r="B701" s="1">
        <f>A701</f>
        <v/>
      </c>
      <c r="C701" s="1" t="inlineStr">
        <is>
          <t>vQ26Ag2</t>
        </is>
      </c>
      <c r="D701" s="1" t="inlineStr">
        <is>
          <t>數值</t>
        </is>
      </c>
      <c r="E701" s="9" t="n">
        <v>3</v>
      </c>
      <c r="G701" s="1" t="inlineStr">
        <is>
          <t>range</t>
        </is>
      </c>
      <c r="H701" s="1" t="inlineStr">
        <is>
          <t>0,59</t>
        </is>
      </c>
      <c r="I701" s="1" t="inlineStr">
        <is>
          <t>97</t>
        </is>
      </c>
      <c r="J701" s="1" t="inlineStr">
        <is>
          <t>98</t>
        </is>
      </c>
      <c r="L701" s="2">
        <f>_xlfn.CONCAT(IF(D701="數值",CONCATENATE(G701&amp;"("&amp;C701&amp;","&amp;
IF(ISERROR(SEARCH(",",H701,1)),(H701&amp;","&amp;H701),H701)&amp;
IF(ISBLANK(I701),"",IF(ISERROR(SEARCH(",",I701,1)),CONCATENATE(","&amp;I701&amp;","&amp;I701),CONCATENATE(","&amp;I701))&amp;
IF(ISBLANK(J701),"",IF(ISERROR(SEARCH(",",J701,1)),CONCATENATE(","&amp;J701&amp;","&amp;J701),CONCATENATE(","&amp;J701))&amp;
IF(ISBLANK(K701),"",IF(ISERROR(SEARCH(",",K701,1)),CONCATENATE(","&amp;K701&amp;","&amp;K701),CONCATENATE(","&amp;K701))))))&amp;
")","")&amp;" "&amp;F701)</f>
        <v/>
      </c>
    </row>
    <row r="702">
      <c r="A702" s="1" t="n">
        <v>801</v>
      </c>
      <c r="B702" s="1">
        <f>A702</f>
        <v/>
      </c>
      <c r="C702" s="1" t="inlineStr">
        <is>
          <t>vCKQ26A</t>
        </is>
      </c>
      <c r="D702" s="1" t="inlineStr">
        <is>
          <t>數值</t>
        </is>
      </c>
      <c r="E702" s="9" t="n">
        <v>2</v>
      </c>
      <c r="G702" s="1" t="inlineStr">
        <is>
          <t>range</t>
        </is>
      </c>
      <c r="H702" s="1" t="inlineStr">
        <is>
          <t>1</t>
        </is>
      </c>
      <c r="L702" s="2">
        <f>_xlfn.CONCAT(IF(D702="數值",CONCATENATE(G702&amp;"("&amp;C702&amp;","&amp;
IF(ISERROR(SEARCH(",",H702,1)),(H702&amp;","&amp;H702),H702)&amp;
IF(ISBLANK(I702),"",IF(ISERROR(SEARCH(",",I702,1)),CONCATENATE(","&amp;I702&amp;","&amp;I702),CONCATENATE(","&amp;I702))&amp;
IF(ISBLANK(J702),"",IF(ISERROR(SEARCH(",",J702,1)),CONCATENATE(","&amp;J702&amp;","&amp;J702),CONCATENATE(","&amp;J702))&amp;
IF(ISBLANK(K702),"",IF(ISERROR(SEARCH(",",K702,1)),CONCATENATE(","&amp;K702&amp;","&amp;K702),CONCATENATE(","&amp;K702))))))&amp;
")","")&amp;" "&amp;F702)</f>
        <v/>
      </c>
    </row>
    <row r="703">
      <c r="A703" s="1" t="n">
        <v>802</v>
      </c>
      <c r="B703" s="1">
        <f>A703</f>
        <v/>
      </c>
      <c r="C703" s="1" t="inlineStr">
        <is>
          <t>vQ26m01</t>
        </is>
      </c>
      <c r="D703" s="1" t="inlineStr">
        <is>
          <t>數值</t>
        </is>
      </c>
      <c r="E703" s="9" t="n">
        <v>2</v>
      </c>
      <c r="G703" s="1" t="inlineStr">
        <is>
          <t>range</t>
        </is>
      </c>
      <c r="H703" s="1" t="inlineStr">
        <is>
          <t>0,1</t>
        </is>
      </c>
      <c r="L703" s="2">
        <f>_xlfn.CONCAT(IF(D703="數值",CONCATENATE(G703&amp;"("&amp;C703&amp;","&amp;
IF(ISERROR(SEARCH(",",H703,1)),(H703&amp;","&amp;H703),H703)&amp;
IF(ISBLANK(I703),"",IF(ISERROR(SEARCH(",",I703,1)),CONCATENATE(","&amp;I703&amp;","&amp;I703),CONCATENATE(","&amp;I703))&amp;
IF(ISBLANK(J703),"",IF(ISERROR(SEARCH(",",J703,1)),CONCATENATE(","&amp;J703&amp;","&amp;J703),CONCATENATE(","&amp;J703))&amp;
IF(ISBLANK(K703),"",IF(ISERROR(SEARCH(",",K703,1)),CONCATENATE(","&amp;K703&amp;","&amp;K703),CONCATENATE(","&amp;K703))))))&amp;
")","")&amp;" "&amp;F703)</f>
        <v/>
      </c>
    </row>
    <row r="704">
      <c r="A704" s="1" t="n">
        <v>803</v>
      </c>
      <c r="B704" s="1">
        <f>A704</f>
        <v/>
      </c>
      <c r="C704" s="1" t="inlineStr">
        <is>
          <t>vQ26m02</t>
        </is>
      </c>
      <c r="D704" s="1" t="inlineStr">
        <is>
          <t>數值</t>
        </is>
      </c>
      <c r="E704" s="9" t="n">
        <v>2</v>
      </c>
      <c r="G704" s="1" t="inlineStr">
        <is>
          <t>range</t>
        </is>
      </c>
      <c r="H704" s="1" t="inlineStr">
        <is>
          <t>0,1</t>
        </is>
      </c>
      <c r="L704" s="2">
        <f>_xlfn.CONCAT(IF(D704="數值",CONCATENATE(G704&amp;"("&amp;C704&amp;","&amp;
IF(ISERROR(SEARCH(",",H704,1)),(H704&amp;","&amp;H704),H704)&amp;
IF(ISBLANK(I704),"",IF(ISERROR(SEARCH(",",I704,1)),CONCATENATE(","&amp;I704&amp;","&amp;I704),CONCATENATE(","&amp;I704))&amp;
IF(ISBLANK(J704),"",IF(ISERROR(SEARCH(",",J704,1)),CONCATENATE(","&amp;J704&amp;","&amp;J704),CONCATENATE(","&amp;J704))&amp;
IF(ISBLANK(K704),"",IF(ISERROR(SEARCH(",",K704,1)),CONCATENATE(","&amp;K704&amp;","&amp;K704),CONCATENATE(","&amp;K704))))))&amp;
")","")&amp;" "&amp;F704)</f>
        <v/>
      </c>
    </row>
    <row r="705">
      <c r="A705" s="1" t="n">
        <v>804</v>
      </c>
      <c r="B705" s="1">
        <f>A705</f>
        <v/>
      </c>
      <c r="C705" s="1" t="inlineStr">
        <is>
          <t>vQ26m03</t>
        </is>
      </c>
      <c r="D705" s="1" t="inlineStr">
        <is>
          <t>數值</t>
        </is>
      </c>
      <c r="E705" s="9" t="n">
        <v>2</v>
      </c>
      <c r="G705" s="1" t="inlineStr">
        <is>
          <t>range</t>
        </is>
      </c>
      <c r="H705" s="1" t="inlineStr">
        <is>
          <t>0,1</t>
        </is>
      </c>
      <c r="L705" s="2">
        <f>_xlfn.CONCAT(IF(D705="數值",CONCATENATE(G705&amp;"("&amp;C705&amp;","&amp;
IF(ISERROR(SEARCH(",",H705,1)),(H705&amp;","&amp;H705),H705)&amp;
IF(ISBLANK(I705),"",IF(ISERROR(SEARCH(",",I705,1)),CONCATENATE(","&amp;I705&amp;","&amp;I705),CONCATENATE(","&amp;I705))&amp;
IF(ISBLANK(J705),"",IF(ISERROR(SEARCH(",",J705,1)),CONCATENATE(","&amp;J705&amp;","&amp;J705),CONCATENATE(","&amp;J705))&amp;
IF(ISBLANK(K705),"",IF(ISERROR(SEARCH(",",K705,1)),CONCATENATE(","&amp;K705&amp;","&amp;K705),CONCATENATE(","&amp;K705))))))&amp;
")","")&amp;" "&amp;F705)</f>
        <v/>
      </c>
    </row>
    <row r="706">
      <c r="A706" s="1" t="n">
        <v>805</v>
      </c>
      <c r="B706" s="1">
        <f>A706</f>
        <v/>
      </c>
      <c r="C706" s="1" t="inlineStr">
        <is>
          <t>vQ26m04</t>
        </is>
      </c>
      <c r="D706" s="1" t="inlineStr">
        <is>
          <t>數值</t>
        </is>
      </c>
      <c r="E706" s="9" t="n">
        <v>2</v>
      </c>
      <c r="G706" s="1" t="inlineStr">
        <is>
          <t>range</t>
        </is>
      </c>
      <c r="H706" s="1" t="inlineStr">
        <is>
          <t>0,1</t>
        </is>
      </c>
      <c r="L706" s="2">
        <f>_xlfn.CONCAT(IF(D706="數值",CONCATENATE(G706&amp;"("&amp;C706&amp;","&amp;
IF(ISERROR(SEARCH(",",H706,1)),(H706&amp;","&amp;H706),H706)&amp;
IF(ISBLANK(I706),"",IF(ISERROR(SEARCH(",",I706,1)),CONCATENATE(","&amp;I706&amp;","&amp;I706),CONCATENATE(","&amp;I706))&amp;
IF(ISBLANK(J706),"",IF(ISERROR(SEARCH(",",J706,1)),CONCATENATE(","&amp;J706&amp;","&amp;J706),CONCATENATE(","&amp;J706))&amp;
IF(ISBLANK(K706),"",IF(ISERROR(SEARCH(",",K706,1)),CONCATENATE(","&amp;K706&amp;","&amp;K706),CONCATENATE(","&amp;K706))))))&amp;
")","")&amp;" "&amp;F706)</f>
        <v/>
      </c>
    </row>
    <row r="707">
      <c r="A707" s="1" t="n">
        <v>806</v>
      </c>
      <c r="B707" s="1">
        <f>A707</f>
        <v/>
      </c>
      <c r="C707" s="1" t="inlineStr">
        <is>
          <t>vQ26m05</t>
        </is>
      </c>
      <c r="D707" s="1" t="inlineStr">
        <is>
          <t>數值</t>
        </is>
      </c>
      <c r="E707" s="9" t="n">
        <v>2</v>
      </c>
      <c r="G707" s="1" t="inlineStr">
        <is>
          <t>range</t>
        </is>
      </c>
      <c r="H707" s="1" t="inlineStr">
        <is>
          <t>0,1</t>
        </is>
      </c>
      <c r="L707" s="2">
        <f>_xlfn.CONCAT(IF(D707="數值",CONCATENATE(G707&amp;"("&amp;C707&amp;","&amp;
IF(ISERROR(SEARCH(",",H707,1)),(H707&amp;","&amp;H707),H707)&amp;
IF(ISBLANK(I707),"",IF(ISERROR(SEARCH(",",I707,1)),CONCATENATE(","&amp;I707&amp;","&amp;I707),CONCATENATE(","&amp;I707))&amp;
IF(ISBLANK(J707),"",IF(ISERROR(SEARCH(",",J707,1)),CONCATENATE(","&amp;J707&amp;","&amp;J707),CONCATENATE(","&amp;J707))&amp;
IF(ISBLANK(K707),"",IF(ISERROR(SEARCH(",",K707,1)),CONCATENATE(","&amp;K707&amp;","&amp;K707),CONCATENATE(","&amp;K707))))))&amp;
")","")&amp;" "&amp;F707)</f>
        <v/>
      </c>
    </row>
    <row r="708">
      <c r="A708" s="1" t="n">
        <v>807</v>
      </c>
      <c r="B708" s="1">
        <f>A708</f>
        <v/>
      </c>
      <c r="C708" s="1" t="inlineStr">
        <is>
          <t>vQ26m06</t>
        </is>
      </c>
      <c r="D708" s="1" t="inlineStr">
        <is>
          <t>數值</t>
        </is>
      </c>
      <c r="E708" s="9" t="n">
        <v>2</v>
      </c>
      <c r="G708" s="1" t="inlineStr">
        <is>
          <t>range</t>
        </is>
      </c>
      <c r="H708" s="1" t="inlineStr">
        <is>
          <t>0,1</t>
        </is>
      </c>
      <c r="L708" s="2">
        <f>_xlfn.CONCAT(IF(D708="數值",CONCATENATE(G708&amp;"("&amp;C708&amp;","&amp;
IF(ISERROR(SEARCH(",",H708,1)),(H708&amp;","&amp;H708),H708)&amp;
IF(ISBLANK(I708),"",IF(ISERROR(SEARCH(",",I708,1)),CONCATENATE(","&amp;I708&amp;","&amp;I708),CONCATENATE(","&amp;I708))&amp;
IF(ISBLANK(J708),"",IF(ISERROR(SEARCH(",",J708,1)),CONCATENATE(","&amp;J708&amp;","&amp;J708),CONCATENATE(","&amp;J708))&amp;
IF(ISBLANK(K708),"",IF(ISERROR(SEARCH(",",K708,1)),CONCATENATE(","&amp;K708&amp;","&amp;K708),CONCATENATE(","&amp;K708))))))&amp;
")","")&amp;" "&amp;F708)</f>
        <v/>
      </c>
    </row>
    <row r="709">
      <c r="A709" s="1" t="n">
        <v>808</v>
      </c>
      <c r="B709" s="1">
        <f>A709</f>
        <v/>
      </c>
      <c r="C709" s="1" t="inlineStr">
        <is>
          <t>vQ26m07</t>
        </is>
      </c>
      <c r="D709" s="1" t="inlineStr">
        <is>
          <t>數值</t>
        </is>
      </c>
      <c r="E709" s="9" t="n">
        <v>2</v>
      </c>
      <c r="G709" s="1" t="inlineStr">
        <is>
          <t>range</t>
        </is>
      </c>
      <c r="H709" s="1" t="inlineStr">
        <is>
          <t>0,1</t>
        </is>
      </c>
      <c r="L709" s="2">
        <f>_xlfn.CONCAT(IF(D709="數值",CONCATENATE(G709&amp;"("&amp;C709&amp;","&amp;
IF(ISERROR(SEARCH(",",H709,1)),(H709&amp;","&amp;H709),H709)&amp;
IF(ISBLANK(I709),"",IF(ISERROR(SEARCH(",",I709,1)),CONCATENATE(","&amp;I709&amp;","&amp;I709),CONCATENATE(","&amp;I709))&amp;
IF(ISBLANK(J709),"",IF(ISERROR(SEARCH(",",J709,1)),CONCATENATE(","&amp;J709&amp;","&amp;J709),CONCATENATE(","&amp;J709))&amp;
IF(ISBLANK(K709),"",IF(ISERROR(SEARCH(",",K709,1)),CONCATENATE(","&amp;K709&amp;","&amp;K709),CONCATENATE(","&amp;K709))))))&amp;
")","")&amp;" "&amp;F709)</f>
        <v/>
      </c>
    </row>
    <row r="710">
      <c r="A710" s="1" t="n">
        <v>809</v>
      </c>
      <c r="B710" s="1">
        <f>A710</f>
        <v/>
      </c>
      <c r="C710" s="1" t="inlineStr">
        <is>
          <t>vQ26m08</t>
        </is>
      </c>
      <c r="D710" s="1" t="inlineStr">
        <is>
          <t>數值</t>
        </is>
      </c>
      <c r="E710" s="9" t="n">
        <v>2</v>
      </c>
      <c r="G710" s="1" t="inlineStr">
        <is>
          <t>range</t>
        </is>
      </c>
      <c r="H710" s="1" t="inlineStr">
        <is>
          <t>0,1</t>
        </is>
      </c>
      <c r="L710" s="2">
        <f>_xlfn.CONCAT(IF(D710="數值",CONCATENATE(G710&amp;"("&amp;C710&amp;","&amp;
IF(ISERROR(SEARCH(",",H710,1)),(H710&amp;","&amp;H710),H710)&amp;
IF(ISBLANK(I710),"",IF(ISERROR(SEARCH(",",I710,1)),CONCATENATE(","&amp;I710&amp;","&amp;I710),CONCATENATE(","&amp;I710))&amp;
IF(ISBLANK(J710),"",IF(ISERROR(SEARCH(",",J710,1)),CONCATENATE(","&amp;J710&amp;","&amp;J710),CONCATENATE(","&amp;J710))&amp;
IF(ISBLANK(K710),"",IF(ISERROR(SEARCH(",",K710,1)),CONCATENATE(","&amp;K710&amp;","&amp;K710),CONCATENATE(","&amp;K710))))))&amp;
")","")&amp;" "&amp;F710)</f>
        <v/>
      </c>
    </row>
    <row r="711">
      <c r="A711" s="1" t="n">
        <v>810</v>
      </c>
      <c r="B711" s="1">
        <f>A711</f>
        <v/>
      </c>
      <c r="C711" s="1" t="inlineStr">
        <is>
          <t>vQ26m09</t>
        </is>
      </c>
      <c r="D711" s="1" t="inlineStr">
        <is>
          <t>數值</t>
        </is>
      </c>
      <c r="E711" s="9" t="n">
        <v>2</v>
      </c>
      <c r="G711" s="1" t="inlineStr">
        <is>
          <t>range</t>
        </is>
      </c>
      <c r="H711" s="1" t="inlineStr">
        <is>
          <t>0,1</t>
        </is>
      </c>
      <c r="L711" s="2">
        <f>_xlfn.CONCAT(IF(D711="數值",CONCATENATE(G711&amp;"("&amp;C711&amp;","&amp;
IF(ISERROR(SEARCH(",",H711,1)),(H711&amp;","&amp;H711),H711)&amp;
IF(ISBLANK(I711),"",IF(ISERROR(SEARCH(",",I711,1)),CONCATENATE(","&amp;I711&amp;","&amp;I711),CONCATENATE(","&amp;I711))&amp;
IF(ISBLANK(J711),"",IF(ISERROR(SEARCH(",",J711,1)),CONCATENATE(","&amp;J711&amp;","&amp;J711),CONCATENATE(","&amp;J711))&amp;
IF(ISBLANK(K711),"",IF(ISERROR(SEARCH(",",K711,1)),CONCATENATE(","&amp;K711&amp;","&amp;K711),CONCATENATE(","&amp;K711))))))&amp;
")","")&amp;" "&amp;F711)</f>
        <v/>
      </c>
    </row>
    <row r="712">
      <c r="A712" s="1" t="n">
        <v>811</v>
      </c>
      <c r="B712" s="1">
        <f>A712</f>
        <v/>
      </c>
      <c r="C712" s="1" t="inlineStr">
        <is>
          <t>vQ26m10</t>
        </is>
      </c>
      <c r="D712" s="1" t="inlineStr">
        <is>
          <t>數值</t>
        </is>
      </c>
      <c r="E712" s="9" t="n">
        <v>2</v>
      </c>
      <c r="G712" s="1" t="inlineStr">
        <is>
          <t>range</t>
        </is>
      </c>
      <c r="H712" s="1" t="inlineStr">
        <is>
          <t>0,1</t>
        </is>
      </c>
      <c r="I712" s="1" t="inlineStr">
        <is>
          <t>96</t>
        </is>
      </c>
      <c r="L712" s="2">
        <f>_xlfn.CONCAT(IF(D712="數值",CONCATENATE(G712&amp;"("&amp;C712&amp;","&amp;
IF(ISERROR(SEARCH(",",H712,1)),(H712&amp;","&amp;H712),H712)&amp;
IF(ISBLANK(I712),"",IF(ISERROR(SEARCH(",",I712,1)),CONCATENATE(","&amp;I712&amp;","&amp;I712),CONCATENATE(","&amp;I712))&amp;
IF(ISBLANK(J712),"",IF(ISERROR(SEARCH(",",J712,1)),CONCATENATE(","&amp;J712&amp;","&amp;J712),CONCATENATE(","&amp;J712))&amp;
IF(ISBLANK(K712),"",IF(ISERROR(SEARCH(",",K712,1)),CONCATENATE(","&amp;K712&amp;","&amp;K712),CONCATENATE(","&amp;K712))))))&amp;
")","")&amp;" "&amp;F712)</f>
        <v/>
      </c>
    </row>
    <row r="713">
      <c r="A713" s="1" t="n">
        <v>812</v>
      </c>
      <c r="B713" s="1">
        <f>A713</f>
        <v/>
      </c>
      <c r="C713" s="1" t="inlineStr">
        <is>
          <t>vQ26m11</t>
        </is>
      </c>
      <c r="D713" s="1" t="inlineStr">
        <is>
          <t>數值</t>
        </is>
      </c>
      <c r="E713" s="9" t="n">
        <v>2</v>
      </c>
      <c r="G713" s="1" t="inlineStr">
        <is>
          <t>range</t>
        </is>
      </c>
      <c r="H713" s="1" t="inlineStr">
        <is>
          <t>0,1</t>
        </is>
      </c>
      <c r="I713" s="1" t="inlineStr">
        <is>
          <t>96</t>
        </is>
      </c>
      <c r="L713" s="2">
        <f>_xlfn.CONCAT(IF(D713="數值",CONCATENATE(G713&amp;"("&amp;C713&amp;","&amp;
IF(ISERROR(SEARCH(",",H713,1)),(H713&amp;","&amp;H713),H713)&amp;
IF(ISBLANK(I713),"",IF(ISERROR(SEARCH(",",I713,1)),CONCATENATE(","&amp;I713&amp;","&amp;I713),CONCATENATE(","&amp;I713))&amp;
IF(ISBLANK(J713),"",IF(ISERROR(SEARCH(",",J713,1)),CONCATENATE(","&amp;J713&amp;","&amp;J713),CONCATENATE(","&amp;J713))&amp;
IF(ISBLANK(K713),"",IF(ISERROR(SEARCH(",",K713,1)),CONCATENATE(","&amp;K713&amp;","&amp;K713),CONCATENATE(","&amp;K713))))))&amp;
")","")&amp;" "&amp;F713)</f>
        <v/>
      </c>
    </row>
    <row r="714">
      <c r="A714" s="1" t="n">
        <v>813</v>
      </c>
      <c r="B714" s="1">
        <f>A714</f>
        <v/>
      </c>
      <c r="C714" s="1" t="inlineStr">
        <is>
          <t>vQ26m12</t>
        </is>
      </c>
      <c r="D714" s="1" t="inlineStr">
        <is>
          <t>數值</t>
        </is>
      </c>
      <c r="E714" s="9" t="n">
        <v>2</v>
      </c>
      <c r="G714" s="1" t="inlineStr">
        <is>
          <t>range</t>
        </is>
      </c>
      <c r="H714" s="1" t="inlineStr">
        <is>
          <t>0,1</t>
        </is>
      </c>
      <c r="I714" s="1" t="inlineStr">
        <is>
          <t>96</t>
        </is>
      </c>
      <c r="L714" s="2">
        <f>_xlfn.CONCAT(IF(D714="數值",CONCATENATE(G714&amp;"("&amp;C714&amp;","&amp;
IF(ISERROR(SEARCH(",",H714,1)),(H714&amp;","&amp;H714),H714)&amp;
IF(ISBLANK(I714),"",IF(ISERROR(SEARCH(",",I714,1)),CONCATENATE(","&amp;I714&amp;","&amp;I714),CONCATENATE(","&amp;I714))&amp;
IF(ISBLANK(J714),"",IF(ISERROR(SEARCH(",",J714,1)),CONCATENATE(","&amp;J714&amp;","&amp;J714),CONCATENATE(","&amp;J714))&amp;
IF(ISBLANK(K714),"",IF(ISERROR(SEARCH(",",K714,1)),CONCATENATE(","&amp;K714&amp;","&amp;K714),CONCATENATE(","&amp;K714))))))&amp;
")","")&amp;" "&amp;F714)</f>
        <v/>
      </c>
    </row>
    <row r="715">
      <c r="A715" s="1" t="n">
        <v>814</v>
      </c>
      <c r="B715" s="1">
        <f>A715</f>
        <v/>
      </c>
      <c r="C715" s="1" t="inlineStr">
        <is>
          <t>vQ26m13</t>
        </is>
      </c>
      <c r="D715" s="1" t="inlineStr">
        <is>
          <t>數值</t>
        </is>
      </c>
      <c r="E715" s="9" t="n">
        <v>2</v>
      </c>
      <c r="G715" s="1" t="inlineStr">
        <is>
          <t>range</t>
        </is>
      </c>
      <c r="H715" s="1" t="inlineStr">
        <is>
          <t>0,1</t>
        </is>
      </c>
      <c r="I715" s="1" t="inlineStr">
        <is>
          <t>96</t>
        </is>
      </c>
      <c r="L715" s="2">
        <f>_xlfn.CONCAT(IF(D715="數值",CONCATENATE(G715&amp;"("&amp;C715&amp;","&amp;
IF(ISERROR(SEARCH(",",H715,1)),(H715&amp;","&amp;H715),H715)&amp;
IF(ISBLANK(I715),"",IF(ISERROR(SEARCH(",",I715,1)),CONCATENATE(","&amp;I715&amp;","&amp;I715),CONCATENATE(","&amp;I715))&amp;
IF(ISBLANK(J715),"",IF(ISERROR(SEARCH(",",J715,1)),CONCATENATE(","&amp;J715&amp;","&amp;J715),CONCATENATE(","&amp;J715))&amp;
IF(ISBLANK(K715),"",IF(ISERROR(SEARCH(",",K715,1)),CONCATENATE(","&amp;K715&amp;","&amp;K715),CONCATENATE(","&amp;K715))))))&amp;
")","")&amp;" "&amp;F715)</f>
        <v/>
      </c>
    </row>
    <row r="716">
      <c r="A716" s="1" t="n">
        <v>815</v>
      </c>
      <c r="B716" s="1">
        <f>A716</f>
        <v/>
      </c>
      <c r="C716" s="1" t="inlineStr">
        <is>
          <t>vQ26m14</t>
        </is>
      </c>
      <c r="D716" s="1" t="inlineStr">
        <is>
          <t>數值</t>
        </is>
      </c>
      <c r="E716" s="9" t="n">
        <v>2</v>
      </c>
      <c r="G716" s="1" t="inlineStr">
        <is>
          <t>range</t>
        </is>
      </c>
      <c r="H716" s="1" t="inlineStr">
        <is>
          <t>0,1</t>
        </is>
      </c>
      <c r="I716" s="1" t="inlineStr">
        <is>
          <t>96</t>
        </is>
      </c>
      <c r="L716" s="2">
        <f>_xlfn.CONCAT(IF(D716="數值",CONCATENATE(G716&amp;"("&amp;C716&amp;","&amp;
IF(ISERROR(SEARCH(",",H716,1)),(H716&amp;","&amp;H716),H716)&amp;
IF(ISBLANK(I716),"",IF(ISERROR(SEARCH(",",I716,1)),CONCATENATE(","&amp;I716&amp;","&amp;I716),CONCATENATE(","&amp;I716))&amp;
IF(ISBLANK(J716),"",IF(ISERROR(SEARCH(",",J716,1)),CONCATENATE(","&amp;J716&amp;","&amp;J716),CONCATENATE(","&amp;J716))&amp;
IF(ISBLANK(K716),"",IF(ISERROR(SEARCH(",",K716,1)),CONCATENATE(","&amp;K716&amp;","&amp;K716),CONCATENATE(","&amp;K716))))))&amp;
")","")&amp;" "&amp;F716)</f>
        <v/>
      </c>
    </row>
    <row r="717">
      <c r="A717" s="1" t="n">
        <v>816</v>
      </c>
      <c r="B717" s="1">
        <f>A717</f>
        <v/>
      </c>
      <c r="C717" s="1" t="inlineStr">
        <is>
          <t>vQ26m15</t>
        </is>
      </c>
      <c r="D717" s="1" t="inlineStr">
        <is>
          <t>數值</t>
        </is>
      </c>
      <c r="E717" s="9" t="n">
        <v>2</v>
      </c>
      <c r="G717" s="1" t="inlineStr">
        <is>
          <t>range</t>
        </is>
      </c>
      <c r="H717" s="1" t="inlineStr">
        <is>
          <t>0,1</t>
        </is>
      </c>
      <c r="I717" s="1" t="inlineStr">
        <is>
          <t>96</t>
        </is>
      </c>
      <c r="L717" s="2">
        <f>_xlfn.CONCAT(IF(D717="數值",CONCATENATE(G717&amp;"("&amp;C717&amp;","&amp;
IF(ISERROR(SEARCH(",",H717,1)),(H717&amp;","&amp;H717),H717)&amp;
IF(ISBLANK(I717),"",IF(ISERROR(SEARCH(",",I717,1)),CONCATENATE(","&amp;I717&amp;","&amp;I717),CONCATENATE(","&amp;I717))&amp;
IF(ISBLANK(J717),"",IF(ISERROR(SEARCH(",",J717,1)),CONCATENATE(","&amp;J717&amp;","&amp;J717),CONCATENATE(","&amp;J717))&amp;
IF(ISBLANK(K717),"",IF(ISERROR(SEARCH(",",K717,1)),CONCATENATE(","&amp;K717&amp;","&amp;K717),CONCATENATE(","&amp;K717))))))&amp;
")","")&amp;" "&amp;F717)</f>
        <v/>
      </c>
    </row>
    <row r="718">
      <c r="A718" s="1" t="n">
        <v>817</v>
      </c>
      <c r="B718" s="1">
        <f>A718</f>
        <v/>
      </c>
      <c r="C718" s="1" t="inlineStr">
        <is>
          <t>vQ26m16</t>
        </is>
      </c>
      <c r="D718" s="1" t="inlineStr">
        <is>
          <t>數值</t>
        </is>
      </c>
      <c r="E718" s="9" t="n">
        <v>2</v>
      </c>
      <c r="G718" s="1" t="inlineStr">
        <is>
          <t>range</t>
        </is>
      </c>
      <c r="H718" s="1" t="inlineStr">
        <is>
          <t>0,1</t>
        </is>
      </c>
      <c r="I718" s="1" t="inlineStr">
        <is>
          <t>96</t>
        </is>
      </c>
      <c r="L718" s="2">
        <f>_xlfn.CONCAT(IF(D718="數值",CONCATENATE(G718&amp;"("&amp;C718&amp;","&amp;
IF(ISERROR(SEARCH(",",H718,1)),(H718&amp;","&amp;H718),H718)&amp;
IF(ISBLANK(I718),"",IF(ISERROR(SEARCH(",",I718,1)),CONCATENATE(","&amp;I718&amp;","&amp;I718),CONCATENATE(","&amp;I718))&amp;
IF(ISBLANK(J718),"",IF(ISERROR(SEARCH(",",J718,1)),CONCATENATE(","&amp;J718&amp;","&amp;J718),CONCATENATE(","&amp;J718))&amp;
IF(ISBLANK(K718),"",IF(ISERROR(SEARCH(",",K718,1)),CONCATENATE(","&amp;K718&amp;","&amp;K718),CONCATENATE(","&amp;K718))))))&amp;
")","")&amp;" "&amp;F718)</f>
        <v/>
      </c>
    </row>
    <row r="719">
      <c r="A719" s="1" t="n">
        <v>818</v>
      </c>
      <c r="B719" s="1">
        <f>A719</f>
        <v/>
      </c>
      <c r="C719" s="1" t="inlineStr">
        <is>
          <t>vQ26m17</t>
        </is>
      </c>
      <c r="D719" s="1" t="inlineStr">
        <is>
          <t>數值</t>
        </is>
      </c>
      <c r="E719" s="9" t="n">
        <v>2</v>
      </c>
      <c r="G719" s="1" t="inlineStr">
        <is>
          <t>range</t>
        </is>
      </c>
      <c r="H719" s="1" t="inlineStr">
        <is>
          <t>0,1</t>
        </is>
      </c>
      <c r="I719" s="1" t="inlineStr">
        <is>
          <t>96</t>
        </is>
      </c>
      <c r="L719" s="2">
        <f>_xlfn.CONCAT(IF(D719="數值",CONCATENATE(G719&amp;"("&amp;C719&amp;","&amp;
IF(ISERROR(SEARCH(",",H719,1)),(H719&amp;","&amp;H719),H719)&amp;
IF(ISBLANK(I719),"",IF(ISERROR(SEARCH(",",I719,1)),CONCATENATE(","&amp;I719&amp;","&amp;I719),CONCATENATE(","&amp;I719))&amp;
IF(ISBLANK(J719),"",IF(ISERROR(SEARCH(",",J719,1)),CONCATENATE(","&amp;J719&amp;","&amp;J719),CONCATENATE(","&amp;J719))&amp;
IF(ISBLANK(K719),"",IF(ISERROR(SEARCH(",",K719,1)),CONCATENATE(","&amp;K719&amp;","&amp;K719),CONCATENATE(","&amp;K719))))))&amp;
")","")&amp;" "&amp;F719)</f>
        <v/>
      </c>
    </row>
    <row r="720">
      <c r="A720" s="1" t="n">
        <v>819</v>
      </c>
      <c r="B720" s="1">
        <f>A720</f>
        <v/>
      </c>
      <c r="C720" s="1" t="inlineStr">
        <is>
          <t>vQ26m18</t>
        </is>
      </c>
      <c r="D720" s="1" t="inlineStr">
        <is>
          <t>數值</t>
        </is>
      </c>
      <c r="E720" s="9" t="n">
        <v>2</v>
      </c>
      <c r="G720" s="1" t="inlineStr">
        <is>
          <t>range</t>
        </is>
      </c>
      <c r="H720" s="1" t="inlineStr">
        <is>
          <t>0,1</t>
        </is>
      </c>
      <c r="I720" s="1" t="inlineStr">
        <is>
          <t>96</t>
        </is>
      </c>
      <c r="L720" s="2">
        <f>_xlfn.CONCAT(IF(D720="數值",CONCATENATE(G720&amp;"("&amp;C720&amp;","&amp;
IF(ISERROR(SEARCH(",",H720,1)),(H720&amp;","&amp;H720),H720)&amp;
IF(ISBLANK(I720),"",IF(ISERROR(SEARCH(",",I720,1)),CONCATENATE(","&amp;I720&amp;","&amp;I720),CONCATENATE(","&amp;I720))&amp;
IF(ISBLANK(J720),"",IF(ISERROR(SEARCH(",",J720,1)),CONCATENATE(","&amp;J720&amp;","&amp;J720),CONCATENATE(","&amp;J720))&amp;
IF(ISBLANK(K720),"",IF(ISERROR(SEARCH(",",K720,1)),CONCATENATE(","&amp;K720&amp;","&amp;K720),CONCATENATE(","&amp;K720))))))&amp;
")","")&amp;" "&amp;F720)</f>
        <v/>
      </c>
    </row>
    <row r="721">
      <c r="A721" s="1" t="n">
        <v>820</v>
      </c>
      <c r="B721" s="1">
        <f>A721</f>
        <v/>
      </c>
      <c r="C721" s="1" t="inlineStr">
        <is>
          <t>vQ26m19</t>
        </is>
      </c>
      <c r="D721" s="1" t="inlineStr">
        <is>
          <t>數值</t>
        </is>
      </c>
      <c r="E721" s="9" t="n">
        <v>2</v>
      </c>
      <c r="G721" s="1" t="inlineStr">
        <is>
          <t>range</t>
        </is>
      </c>
      <c r="H721" s="1" t="inlineStr">
        <is>
          <t>0,1</t>
        </is>
      </c>
      <c r="I721" s="1" t="inlineStr">
        <is>
          <t>96</t>
        </is>
      </c>
      <c r="L721" s="2">
        <f>_xlfn.CONCAT(IF(D721="數值",CONCATENATE(G721&amp;"("&amp;C721&amp;","&amp;
IF(ISERROR(SEARCH(",",H721,1)),(H721&amp;","&amp;H721),H721)&amp;
IF(ISBLANK(I721),"",IF(ISERROR(SEARCH(",",I721,1)),CONCATENATE(","&amp;I721&amp;","&amp;I721),CONCATENATE(","&amp;I721))&amp;
IF(ISBLANK(J721),"",IF(ISERROR(SEARCH(",",J721,1)),CONCATENATE(","&amp;J721&amp;","&amp;J721),CONCATENATE(","&amp;J721))&amp;
IF(ISBLANK(K721),"",IF(ISERROR(SEARCH(",",K721,1)),CONCATENATE(","&amp;K721&amp;","&amp;K721),CONCATENATE(","&amp;K721))))))&amp;
")","")&amp;" "&amp;F721)</f>
        <v/>
      </c>
    </row>
    <row r="722">
      <c r="A722" s="1" t="n">
        <v>821</v>
      </c>
      <c r="B722" s="1">
        <f>A722</f>
        <v/>
      </c>
      <c r="C722" s="1" t="inlineStr">
        <is>
          <t>vQ26m20</t>
        </is>
      </c>
      <c r="D722" s="1" t="inlineStr">
        <is>
          <t>數值</t>
        </is>
      </c>
      <c r="E722" s="9" t="n">
        <v>2</v>
      </c>
      <c r="G722" s="1" t="inlineStr">
        <is>
          <t>range</t>
        </is>
      </c>
      <c r="H722" s="1" t="inlineStr">
        <is>
          <t>0,1</t>
        </is>
      </c>
      <c r="I722" s="1" t="inlineStr">
        <is>
          <t>96</t>
        </is>
      </c>
      <c r="L722" s="2">
        <f>_xlfn.CONCAT(IF(D722="數值",CONCATENATE(G722&amp;"("&amp;C722&amp;","&amp;
IF(ISERROR(SEARCH(",",H722,1)),(H722&amp;","&amp;H722),H722)&amp;
IF(ISBLANK(I722),"",IF(ISERROR(SEARCH(",",I722,1)),CONCATENATE(","&amp;I722&amp;","&amp;I722),CONCATENATE(","&amp;I722))&amp;
IF(ISBLANK(J722),"",IF(ISERROR(SEARCH(",",J722,1)),CONCATENATE(","&amp;J722&amp;","&amp;J722),CONCATENATE(","&amp;J722))&amp;
IF(ISBLANK(K722),"",IF(ISERROR(SEARCH(",",K722,1)),CONCATENATE(","&amp;K722&amp;","&amp;K722),CONCATENATE(","&amp;K722))))))&amp;
")","")&amp;" "&amp;F722)</f>
        <v/>
      </c>
    </row>
    <row r="723">
      <c r="A723" s="1" t="n">
        <v>822</v>
      </c>
      <c r="B723" s="1">
        <f>A723</f>
        <v/>
      </c>
      <c r="C723" s="1" t="inlineStr">
        <is>
          <t>vQ26m21</t>
        </is>
      </c>
      <c r="D723" s="1" t="inlineStr">
        <is>
          <t>數值</t>
        </is>
      </c>
      <c r="E723" s="9" t="n">
        <v>2</v>
      </c>
      <c r="G723" s="1" t="inlineStr">
        <is>
          <t>range</t>
        </is>
      </c>
      <c r="H723" s="1" t="inlineStr">
        <is>
          <t>0,1</t>
        </is>
      </c>
      <c r="I723" s="1" t="inlineStr">
        <is>
          <t>96</t>
        </is>
      </c>
      <c r="L723" s="2">
        <f>_xlfn.CONCAT(IF(D723="數值",CONCATENATE(G723&amp;"("&amp;C723&amp;","&amp;
IF(ISERROR(SEARCH(",",H723,1)),(H723&amp;","&amp;H723),H723)&amp;
IF(ISBLANK(I723),"",IF(ISERROR(SEARCH(",",I723,1)),CONCATENATE(","&amp;I723&amp;","&amp;I723),CONCATENATE(","&amp;I723))&amp;
IF(ISBLANK(J723),"",IF(ISERROR(SEARCH(",",J723,1)),CONCATENATE(","&amp;J723&amp;","&amp;J723),CONCATENATE(","&amp;J723))&amp;
IF(ISBLANK(K723),"",IF(ISERROR(SEARCH(",",K723,1)),CONCATENATE(","&amp;K723&amp;","&amp;K723),CONCATENATE(","&amp;K723))))))&amp;
")","")&amp;" "&amp;F723)</f>
        <v/>
      </c>
    </row>
    <row r="724">
      <c r="A724" s="1" t="n">
        <v>823</v>
      </c>
      <c r="B724" s="1">
        <f>A724</f>
        <v/>
      </c>
      <c r="C724" s="1" t="inlineStr">
        <is>
          <t>vQ26m22</t>
        </is>
      </c>
      <c r="D724" s="1" t="inlineStr">
        <is>
          <t>數值</t>
        </is>
      </c>
      <c r="E724" s="9" t="n">
        <v>2</v>
      </c>
      <c r="G724" s="1" t="inlineStr">
        <is>
          <t>range</t>
        </is>
      </c>
      <c r="H724" s="1" t="inlineStr">
        <is>
          <t>0,1</t>
        </is>
      </c>
      <c r="I724" s="1" t="inlineStr">
        <is>
          <t>96</t>
        </is>
      </c>
      <c r="L724" s="2">
        <f>_xlfn.CONCAT(IF(D724="數值",CONCATENATE(G724&amp;"("&amp;C724&amp;","&amp;
IF(ISERROR(SEARCH(",",H724,1)),(H724&amp;","&amp;H724),H724)&amp;
IF(ISBLANK(I724),"",IF(ISERROR(SEARCH(",",I724,1)),CONCATENATE(","&amp;I724&amp;","&amp;I724),CONCATENATE(","&amp;I724))&amp;
IF(ISBLANK(J724),"",IF(ISERROR(SEARCH(",",J724,1)),CONCATENATE(","&amp;J724&amp;","&amp;J724),CONCATENATE(","&amp;J724))&amp;
IF(ISBLANK(K724),"",IF(ISERROR(SEARCH(",",K724,1)),CONCATENATE(","&amp;K724&amp;","&amp;K724),CONCATENATE(","&amp;K724))))))&amp;
")","")&amp;" "&amp;F724)</f>
        <v/>
      </c>
    </row>
    <row r="725">
      <c r="A725" s="1" t="n">
        <v>824</v>
      </c>
      <c r="B725" s="1">
        <f>A725</f>
        <v/>
      </c>
      <c r="C725" s="1" t="inlineStr">
        <is>
          <t>vQ26m23</t>
        </is>
      </c>
      <c r="D725" s="1" t="inlineStr">
        <is>
          <t>數值</t>
        </is>
      </c>
      <c r="E725" s="9" t="n">
        <v>2</v>
      </c>
      <c r="G725" s="1" t="inlineStr">
        <is>
          <t>range</t>
        </is>
      </c>
      <c r="H725" s="1" t="inlineStr">
        <is>
          <t>0,1</t>
        </is>
      </c>
      <c r="I725" s="1" t="inlineStr">
        <is>
          <t>96</t>
        </is>
      </c>
      <c r="L725" s="2">
        <f>_xlfn.CONCAT(IF(D725="數值",CONCATENATE(G725&amp;"("&amp;C725&amp;","&amp;
IF(ISERROR(SEARCH(",",H725,1)),(H725&amp;","&amp;H725),H725)&amp;
IF(ISBLANK(I725),"",IF(ISERROR(SEARCH(",",I725,1)),CONCATENATE(","&amp;I725&amp;","&amp;I725),CONCATENATE(","&amp;I725))&amp;
IF(ISBLANK(J725),"",IF(ISERROR(SEARCH(",",J725,1)),CONCATENATE(","&amp;J725&amp;","&amp;J725),CONCATENATE(","&amp;J725))&amp;
IF(ISBLANK(K725),"",IF(ISERROR(SEARCH(",",K725,1)),CONCATENATE(","&amp;K725&amp;","&amp;K725),CONCATENATE(","&amp;K725))))))&amp;
")","")&amp;" "&amp;F725)</f>
        <v/>
      </c>
    </row>
    <row r="726">
      <c r="A726" s="1" t="n">
        <v>825</v>
      </c>
      <c r="B726" s="1">
        <f>A726</f>
        <v/>
      </c>
      <c r="C726" s="1" t="inlineStr">
        <is>
          <t>vQ26m24</t>
        </is>
      </c>
      <c r="D726" s="1" t="inlineStr">
        <is>
          <t>數值</t>
        </is>
      </c>
      <c r="E726" s="9" t="n">
        <v>2</v>
      </c>
      <c r="G726" s="1" t="inlineStr">
        <is>
          <t>range</t>
        </is>
      </c>
      <c r="H726" s="1" t="inlineStr">
        <is>
          <t>0,1</t>
        </is>
      </c>
      <c r="I726" s="1" t="inlineStr">
        <is>
          <t>96</t>
        </is>
      </c>
      <c r="L726" s="2">
        <f>_xlfn.CONCAT(IF(D726="數值",CONCATENATE(G726&amp;"("&amp;C726&amp;","&amp;
IF(ISERROR(SEARCH(",",H726,1)),(H726&amp;","&amp;H726),H726)&amp;
IF(ISBLANK(I726),"",IF(ISERROR(SEARCH(",",I726,1)),CONCATENATE(","&amp;I726&amp;","&amp;I726),CONCATENATE(","&amp;I726))&amp;
IF(ISBLANK(J726),"",IF(ISERROR(SEARCH(",",J726,1)),CONCATENATE(","&amp;J726&amp;","&amp;J726),CONCATENATE(","&amp;J726))&amp;
IF(ISBLANK(K726),"",IF(ISERROR(SEARCH(",",K726,1)),CONCATENATE(","&amp;K726&amp;","&amp;K726),CONCATENATE(","&amp;K726))))))&amp;
")","")&amp;" "&amp;F726)</f>
        <v/>
      </c>
    </row>
    <row r="727">
      <c r="A727" s="1" t="n">
        <v>826</v>
      </c>
      <c r="B727" s="1">
        <f>A727</f>
        <v/>
      </c>
      <c r="C727" s="1" t="inlineStr">
        <is>
          <t>vQ26m25</t>
        </is>
      </c>
      <c r="D727" s="1" t="inlineStr">
        <is>
          <t>數值</t>
        </is>
      </c>
      <c r="E727" s="9" t="n">
        <v>2</v>
      </c>
      <c r="G727" s="1" t="inlineStr">
        <is>
          <t>range</t>
        </is>
      </c>
      <c r="H727" s="1" t="inlineStr">
        <is>
          <t>0,1</t>
        </is>
      </c>
      <c r="I727" s="1" t="inlineStr">
        <is>
          <t>96</t>
        </is>
      </c>
      <c r="L727" s="2">
        <f>_xlfn.CONCAT(IF(D727="數值",CONCATENATE(G727&amp;"("&amp;C727&amp;","&amp;
IF(ISERROR(SEARCH(",",H727,1)),(H727&amp;","&amp;H727),H727)&amp;
IF(ISBLANK(I727),"",IF(ISERROR(SEARCH(",",I727,1)),CONCATENATE(","&amp;I727&amp;","&amp;I727),CONCATENATE(","&amp;I727))&amp;
IF(ISBLANK(J727),"",IF(ISERROR(SEARCH(",",J727,1)),CONCATENATE(","&amp;J727&amp;","&amp;J727),CONCATENATE(","&amp;J727))&amp;
IF(ISBLANK(K727),"",IF(ISERROR(SEARCH(",",K727,1)),CONCATENATE(","&amp;K727&amp;","&amp;K727),CONCATENATE(","&amp;K727))))))&amp;
")","")&amp;" "&amp;F727)</f>
        <v/>
      </c>
    </row>
    <row r="728">
      <c r="A728" s="1" t="n">
        <v>827</v>
      </c>
      <c r="B728" s="1">
        <f>A728</f>
        <v/>
      </c>
      <c r="C728" s="1" t="inlineStr">
        <is>
          <t>vQ26m26</t>
        </is>
      </c>
      <c r="D728" s="1" t="inlineStr">
        <is>
          <t>數值</t>
        </is>
      </c>
      <c r="E728" s="9" t="n">
        <v>2</v>
      </c>
      <c r="G728" s="1" t="inlineStr">
        <is>
          <t>range</t>
        </is>
      </c>
      <c r="H728" s="1" t="inlineStr">
        <is>
          <t>0,1</t>
        </is>
      </c>
      <c r="I728" s="1" t="inlineStr">
        <is>
          <t>96</t>
        </is>
      </c>
      <c r="L728" s="2">
        <f>_xlfn.CONCAT(IF(D728="數值",CONCATENATE(G728&amp;"("&amp;C728&amp;","&amp;
IF(ISERROR(SEARCH(",",H728,1)),(H728&amp;","&amp;H728),H728)&amp;
IF(ISBLANK(I728),"",IF(ISERROR(SEARCH(",",I728,1)),CONCATENATE(","&amp;I728&amp;","&amp;I728),CONCATENATE(","&amp;I728))&amp;
IF(ISBLANK(J728),"",IF(ISERROR(SEARCH(",",J728,1)),CONCATENATE(","&amp;J728&amp;","&amp;J728),CONCATENATE(","&amp;J728))&amp;
IF(ISBLANK(K728),"",IF(ISERROR(SEARCH(",",K728,1)),CONCATENATE(","&amp;K728&amp;","&amp;K728),CONCATENATE(","&amp;K728))))))&amp;
")","")&amp;" "&amp;F728)</f>
        <v/>
      </c>
    </row>
    <row r="729">
      <c r="A729" s="1" t="n">
        <v>828</v>
      </c>
      <c r="B729" s="1">
        <f>A729</f>
        <v/>
      </c>
      <c r="C729" s="1" t="inlineStr">
        <is>
          <t>vQ26m27</t>
        </is>
      </c>
      <c r="D729" s="1" t="inlineStr">
        <is>
          <t>數值</t>
        </is>
      </c>
      <c r="E729" s="9" t="n">
        <v>2</v>
      </c>
      <c r="G729" s="1" t="inlineStr">
        <is>
          <t>range</t>
        </is>
      </c>
      <c r="H729" s="1" t="inlineStr">
        <is>
          <t>0,1</t>
        </is>
      </c>
      <c r="I729" s="1" t="inlineStr">
        <is>
          <t>96</t>
        </is>
      </c>
      <c r="L729" s="2">
        <f>_xlfn.CONCAT(IF(D729="數值",CONCATENATE(G729&amp;"("&amp;C729&amp;","&amp;
IF(ISERROR(SEARCH(",",H729,1)),(H729&amp;","&amp;H729),H729)&amp;
IF(ISBLANK(I729),"",IF(ISERROR(SEARCH(",",I729,1)),CONCATENATE(","&amp;I729&amp;","&amp;I729),CONCATENATE(","&amp;I729))&amp;
IF(ISBLANK(J729),"",IF(ISERROR(SEARCH(",",J729,1)),CONCATENATE(","&amp;J729&amp;","&amp;J729),CONCATENATE(","&amp;J729))&amp;
IF(ISBLANK(K729),"",IF(ISERROR(SEARCH(",",K729,1)),CONCATENATE(","&amp;K729&amp;","&amp;K729),CONCATENATE(","&amp;K729))))))&amp;
")","")&amp;" "&amp;F729)</f>
        <v/>
      </c>
    </row>
    <row r="730">
      <c r="A730" s="1" t="n">
        <v>829</v>
      </c>
      <c r="B730" s="1">
        <f>A730</f>
        <v/>
      </c>
      <c r="C730" s="1" t="inlineStr">
        <is>
          <t>vQ26m28</t>
        </is>
      </c>
      <c r="D730" s="1" t="inlineStr">
        <is>
          <t>數值</t>
        </is>
      </c>
      <c r="E730" s="9" t="n">
        <v>2</v>
      </c>
      <c r="G730" s="1" t="inlineStr">
        <is>
          <t>range</t>
        </is>
      </c>
      <c r="H730" s="1" t="inlineStr">
        <is>
          <t>0,1</t>
        </is>
      </c>
      <c r="I730" s="1" t="inlineStr">
        <is>
          <t>96</t>
        </is>
      </c>
      <c r="L730" s="2">
        <f>_xlfn.CONCAT(IF(D730="數值",CONCATENATE(G730&amp;"("&amp;C730&amp;","&amp;
IF(ISERROR(SEARCH(",",H730,1)),(H730&amp;","&amp;H730),H730)&amp;
IF(ISBLANK(I730),"",IF(ISERROR(SEARCH(",",I730,1)),CONCATENATE(","&amp;I730&amp;","&amp;I730),CONCATENATE(","&amp;I730))&amp;
IF(ISBLANK(J730),"",IF(ISERROR(SEARCH(",",J730,1)),CONCATENATE(","&amp;J730&amp;","&amp;J730),CONCATENATE(","&amp;J730))&amp;
IF(ISBLANK(K730),"",IF(ISERROR(SEARCH(",",K730,1)),CONCATENATE(","&amp;K730&amp;","&amp;K730),CONCATENATE(","&amp;K730))))))&amp;
")","")&amp;" "&amp;F730)</f>
        <v/>
      </c>
    </row>
    <row r="731">
      <c r="A731" s="1" t="n">
        <v>830</v>
      </c>
      <c r="B731" s="1">
        <f>A731</f>
        <v/>
      </c>
      <c r="C731" s="1" t="inlineStr">
        <is>
          <t>vQ26m29</t>
        </is>
      </c>
      <c r="D731" s="1" t="inlineStr">
        <is>
          <t>數值</t>
        </is>
      </c>
      <c r="E731" s="9" t="n">
        <v>2</v>
      </c>
      <c r="G731" s="1" t="inlineStr">
        <is>
          <t>range</t>
        </is>
      </c>
      <c r="H731" s="1" t="inlineStr">
        <is>
          <t>0,1</t>
        </is>
      </c>
      <c r="I731" s="1" t="inlineStr">
        <is>
          <t>96</t>
        </is>
      </c>
      <c r="L731" s="2">
        <f>_xlfn.CONCAT(IF(D731="數值",CONCATENATE(G731&amp;"("&amp;C731&amp;","&amp;
IF(ISERROR(SEARCH(",",H731,1)),(H731&amp;","&amp;H731),H731)&amp;
IF(ISBLANK(I731),"",IF(ISERROR(SEARCH(",",I731,1)),CONCATENATE(","&amp;I731&amp;","&amp;I731),CONCATENATE(","&amp;I731))&amp;
IF(ISBLANK(J731),"",IF(ISERROR(SEARCH(",",J731,1)),CONCATENATE(","&amp;J731&amp;","&amp;J731),CONCATENATE(","&amp;J731))&amp;
IF(ISBLANK(K731),"",IF(ISERROR(SEARCH(",",K731,1)),CONCATENATE(","&amp;K731&amp;","&amp;K731),CONCATENATE(","&amp;K731))))))&amp;
")","")&amp;" "&amp;F731)</f>
        <v/>
      </c>
    </row>
    <row r="732">
      <c r="A732" s="1" t="n">
        <v>831</v>
      </c>
      <c r="B732" s="1">
        <f>A732</f>
        <v/>
      </c>
      <c r="C732" s="1" t="inlineStr">
        <is>
          <t>vQ26m88</t>
        </is>
      </c>
      <c r="D732" s="1" t="inlineStr">
        <is>
          <t>數值</t>
        </is>
      </c>
      <c r="E732" s="9" t="n">
        <v>2</v>
      </c>
      <c r="G732" s="1" t="inlineStr">
        <is>
          <t>range</t>
        </is>
      </c>
      <c r="H732" s="1" t="inlineStr">
        <is>
          <t>0,1</t>
        </is>
      </c>
      <c r="I732" s="1" t="inlineStr">
        <is>
          <t>96</t>
        </is>
      </c>
      <c r="L732" s="2">
        <f>_xlfn.CONCAT(IF(D732="數值",CONCATENATE(G732&amp;"("&amp;C732&amp;","&amp;
IF(ISERROR(SEARCH(",",H732,1)),(H732&amp;","&amp;H732),H732)&amp;
IF(ISBLANK(I732),"",IF(ISERROR(SEARCH(",",I732,1)),CONCATENATE(","&amp;I732&amp;","&amp;I732),CONCATENATE(","&amp;I732))&amp;
IF(ISBLANK(J732),"",IF(ISERROR(SEARCH(",",J732,1)),CONCATENATE(","&amp;J732&amp;","&amp;J732),CONCATENATE(","&amp;J732))&amp;
IF(ISBLANK(K732),"",IF(ISERROR(SEARCH(",",K732,1)),CONCATENATE(","&amp;K732&amp;","&amp;K732),CONCATENATE(","&amp;K732))))))&amp;
")","")&amp;" "&amp;F732)</f>
        <v/>
      </c>
    </row>
    <row r="733">
      <c r="A733" s="1" t="n">
        <v>832</v>
      </c>
      <c r="B733" s="1">
        <f>A733</f>
        <v/>
      </c>
      <c r="C733" s="1" t="inlineStr">
        <is>
          <t>vQ27m01</t>
        </is>
      </c>
      <c r="D733" s="1" t="inlineStr">
        <is>
          <t>數值</t>
        </is>
      </c>
      <c r="E733" s="9" t="n">
        <v>2</v>
      </c>
      <c r="G733" s="1" t="inlineStr">
        <is>
          <t>range</t>
        </is>
      </c>
      <c r="H733" s="1" t="inlineStr">
        <is>
          <t>0,1</t>
        </is>
      </c>
      <c r="L733" s="2">
        <f>_xlfn.CONCAT(IF(D733="數值",CONCATENATE(G733&amp;"("&amp;C733&amp;","&amp;
IF(ISERROR(SEARCH(",",H733,1)),(H733&amp;","&amp;H733),H733)&amp;
IF(ISBLANK(I733),"",IF(ISERROR(SEARCH(",",I733,1)),CONCATENATE(","&amp;I733&amp;","&amp;I733),CONCATENATE(","&amp;I733))&amp;
IF(ISBLANK(J733),"",IF(ISERROR(SEARCH(",",J733,1)),CONCATENATE(","&amp;J733&amp;","&amp;J733),CONCATENATE(","&amp;J733))&amp;
IF(ISBLANK(K733),"",IF(ISERROR(SEARCH(",",K733,1)),CONCATENATE(","&amp;K733&amp;","&amp;K733),CONCATENATE(","&amp;K733))))))&amp;
")","")&amp;" "&amp;F733)</f>
        <v/>
      </c>
    </row>
    <row r="734">
      <c r="A734" s="1" t="n">
        <v>833</v>
      </c>
      <c r="B734" s="1">
        <f>A734</f>
        <v/>
      </c>
      <c r="C734" s="1" t="inlineStr">
        <is>
          <t>vQ27m02</t>
        </is>
      </c>
      <c r="D734" s="1" t="inlineStr">
        <is>
          <t>數值</t>
        </is>
      </c>
      <c r="E734" s="9" t="n">
        <v>2</v>
      </c>
      <c r="G734" s="1" t="inlineStr">
        <is>
          <t>range</t>
        </is>
      </c>
      <c r="H734" s="1" t="inlineStr">
        <is>
          <t>0,1</t>
        </is>
      </c>
      <c r="L734" s="2">
        <f>_xlfn.CONCAT(IF(D734="數值",CONCATENATE(G734&amp;"("&amp;C734&amp;","&amp;
IF(ISERROR(SEARCH(",",H734,1)),(H734&amp;","&amp;H734),H734)&amp;
IF(ISBLANK(I734),"",IF(ISERROR(SEARCH(",",I734,1)),CONCATENATE(","&amp;I734&amp;","&amp;I734),CONCATENATE(","&amp;I734))&amp;
IF(ISBLANK(J734),"",IF(ISERROR(SEARCH(",",J734,1)),CONCATENATE(","&amp;J734&amp;","&amp;J734),CONCATENATE(","&amp;J734))&amp;
IF(ISBLANK(K734),"",IF(ISERROR(SEARCH(",",K734,1)),CONCATENATE(","&amp;K734&amp;","&amp;K734),CONCATENATE(","&amp;K734))))))&amp;
")","")&amp;" "&amp;F734)</f>
        <v/>
      </c>
    </row>
    <row r="735">
      <c r="A735" s="1" t="n">
        <v>834</v>
      </c>
      <c r="B735" s="1">
        <f>A735</f>
        <v/>
      </c>
      <c r="C735" s="1" t="inlineStr">
        <is>
          <t>vQ27m03</t>
        </is>
      </c>
      <c r="D735" s="1" t="inlineStr">
        <is>
          <t>數值</t>
        </is>
      </c>
      <c r="E735" s="9" t="n">
        <v>2</v>
      </c>
      <c r="G735" s="1" t="inlineStr">
        <is>
          <t>range</t>
        </is>
      </c>
      <c r="H735" s="1" t="inlineStr">
        <is>
          <t>0,1</t>
        </is>
      </c>
      <c r="L735" s="2">
        <f>_xlfn.CONCAT(IF(D735="數值",CONCATENATE(G735&amp;"("&amp;C735&amp;","&amp;
IF(ISERROR(SEARCH(",",H735,1)),(H735&amp;","&amp;H735),H735)&amp;
IF(ISBLANK(I735),"",IF(ISERROR(SEARCH(",",I735,1)),CONCATENATE(","&amp;I735&amp;","&amp;I735),CONCATENATE(","&amp;I735))&amp;
IF(ISBLANK(J735),"",IF(ISERROR(SEARCH(",",J735,1)),CONCATENATE(","&amp;J735&amp;","&amp;J735),CONCATENATE(","&amp;J735))&amp;
IF(ISBLANK(K735),"",IF(ISERROR(SEARCH(",",K735,1)),CONCATENATE(","&amp;K735&amp;","&amp;K735),CONCATENATE(","&amp;K735))))))&amp;
")","")&amp;" "&amp;F735)</f>
        <v/>
      </c>
    </row>
    <row r="736">
      <c r="A736" s="1" t="n">
        <v>835</v>
      </c>
      <c r="B736" s="1">
        <f>A736</f>
        <v/>
      </c>
      <c r="C736" s="1" t="inlineStr">
        <is>
          <t>vQ27m04</t>
        </is>
      </c>
      <c r="D736" s="1" t="inlineStr">
        <is>
          <t>數值</t>
        </is>
      </c>
      <c r="E736" s="9" t="n">
        <v>2</v>
      </c>
      <c r="G736" s="1" t="inlineStr">
        <is>
          <t>range</t>
        </is>
      </c>
      <c r="H736" s="1" t="inlineStr">
        <is>
          <t>0,1</t>
        </is>
      </c>
      <c r="L736" s="2">
        <f>_xlfn.CONCAT(IF(D736="數值",CONCATENATE(G736&amp;"("&amp;C736&amp;","&amp;
IF(ISERROR(SEARCH(",",H736,1)),(H736&amp;","&amp;H736),H736)&amp;
IF(ISBLANK(I736),"",IF(ISERROR(SEARCH(",",I736,1)),CONCATENATE(","&amp;I736&amp;","&amp;I736),CONCATENATE(","&amp;I736))&amp;
IF(ISBLANK(J736),"",IF(ISERROR(SEARCH(",",J736,1)),CONCATENATE(","&amp;J736&amp;","&amp;J736),CONCATENATE(","&amp;J736))&amp;
IF(ISBLANK(K736),"",IF(ISERROR(SEARCH(",",K736,1)),CONCATENATE(","&amp;K736&amp;","&amp;K736),CONCATENATE(","&amp;K736))))))&amp;
")","")&amp;" "&amp;F736)</f>
        <v/>
      </c>
    </row>
    <row r="737">
      <c r="A737" s="1" t="n">
        <v>836</v>
      </c>
      <c r="B737" s="1">
        <f>A737</f>
        <v/>
      </c>
      <c r="C737" s="1" t="inlineStr">
        <is>
          <t>vQ27m05</t>
        </is>
      </c>
      <c r="D737" s="1" t="inlineStr">
        <is>
          <t>數值</t>
        </is>
      </c>
      <c r="E737" s="9" t="n">
        <v>2</v>
      </c>
      <c r="G737" s="1" t="inlineStr">
        <is>
          <t>range</t>
        </is>
      </c>
      <c r="H737" s="1" t="inlineStr">
        <is>
          <t>0,1</t>
        </is>
      </c>
      <c r="L737" s="2">
        <f>_xlfn.CONCAT(IF(D737="數值",CONCATENATE(G737&amp;"("&amp;C737&amp;","&amp;
IF(ISERROR(SEARCH(",",H737,1)),(H737&amp;","&amp;H737),H737)&amp;
IF(ISBLANK(I737),"",IF(ISERROR(SEARCH(",",I737,1)),CONCATENATE(","&amp;I737&amp;","&amp;I737),CONCATENATE(","&amp;I737))&amp;
IF(ISBLANK(J737),"",IF(ISERROR(SEARCH(",",J737,1)),CONCATENATE(","&amp;J737&amp;","&amp;J737),CONCATENATE(","&amp;J737))&amp;
IF(ISBLANK(K737),"",IF(ISERROR(SEARCH(",",K737,1)),CONCATENATE(","&amp;K737&amp;","&amp;K737),CONCATENATE(","&amp;K737))))))&amp;
")","")&amp;" "&amp;F737)</f>
        <v/>
      </c>
    </row>
    <row r="738">
      <c r="A738" s="1" t="n">
        <v>837</v>
      </c>
      <c r="B738" s="1">
        <f>A738</f>
        <v/>
      </c>
      <c r="C738" s="1" t="inlineStr">
        <is>
          <t>vQ27m06</t>
        </is>
      </c>
      <c r="D738" s="1" t="inlineStr">
        <is>
          <t>數值</t>
        </is>
      </c>
      <c r="E738" s="9" t="n">
        <v>2</v>
      </c>
      <c r="G738" s="1" t="inlineStr">
        <is>
          <t>range</t>
        </is>
      </c>
      <c r="H738" s="1" t="inlineStr">
        <is>
          <t>0,1</t>
        </is>
      </c>
      <c r="L738" s="2">
        <f>_xlfn.CONCAT(IF(D738="數值",CONCATENATE(G738&amp;"("&amp;C738&amp;","&amp;
IF(ISERROR(SEARCH(",",H738,1)),(H738&amp;","&amp;H738),H738)&amp;
IF(ISBLANK(I738),"",IF(ISERROR(SEARCH(",",I738,1)),CONCATENATE(","&amp;I738&amp;","&amp;I738),CONCATENATE(","&amp;I738))&amp;
IF(ISBLANK(J738),"",IF(ISERROR(SEARCH(",",J738,1)),CONCATENATE(","&amp;J738&amp;","&amp;J738),CONCATENATE(","&amp;J738))&amp;
IF(ISBLANK(K738),"",IF(ISERROR(SEARCH(",",K738,1)),CONCATENATE(","&amp;K738&amp;","&amp;K738),CONCATENATE(","&amp;K738))))))&amp;
")","")&amp;" "&amp;F738)</f>
        <v/>
      </c>
    </row>
    <row r="739">
      <c r="A739" s="1" t="n">
        <v>838</v>
      </c>
      <c r="B739" s="1">
        <f>A739</f>
        <v/>
      </c>
      <c r="C739" s="1" t="inlineStr">
        <is>
          <t>vQ27m07</t>
        </is>
      </c>
      <c r="D739" s="1" t="inlineStr">
        <is>
          <t>數值</t>
        </is>
      </c>
      <c r="E739" s="9" t="n">
        <v>2</v>
      </c>
      <c r="G739" s="1" t="inlineStr">
        <is>
          <t>range</t>
        </is>
      </c>
      <c r="H739" s="1" t="inlineStr">
        <is>
          <t>0,1</t>
        </is>
      </c>
      <c r="L739" s="2">
        <f>_xlfn.CONCAT(IF(D739="數值",CONCATENATE(G739&amp;"("&amp;C739&amp;","&amp;
IF(ISERROR(SEARCH(",",H739,1)),(H739&amp;","&amp;H739),H739)&amp;
IF(ISBLANK(I739),"",IF(ISERROR(SEARCH(",",I739,1)),CONCATENATE(","&amp;I739&amp;","&amp;I739),CONCATENATE(","&amp;I739))&amp;
IF(ISBLANK(J739),"",IF(ISERROR(SEARCH(",",J739,1)),CONCATENATE(","&amp;J739&amp;","&amp;J739),CONCATENATE(","&amp;J739))&amp;
IF(ISBLANK(K739),"",IF(ISERROR(SEARCH(",",K739,1)),CONCATENATE(","&amp;K739&amp;","&amp;K739),CONCATENATE(","&amp;K739))))))&amp;
")","")&amp;" "&amp;F739)</f>
        <v/>
      </c>
    </row>
    <row r="740">
      <c r="A740" s="1" t="n">
        <v>839</v>
      </c>
      <c r="B740" s="1">
        <f>A740</f>
        <v/>
      </c>
      <c r="C740" s="1" t="inlineStr">
        <is>
          <t>vQ27m88</t>
        </is>
      </c>
      <c r="D740" s="1" t="inlineStr">
        <is>
          <t>數值</t>
        </is>
      </c>
      <c r="E740" s="9" t="n">
        <v>2</v>
      </c>
      <c r="G740" s="1" t="inlineStr">
        <is>
          <t>range</t>
        </is>
      </c>
      <c r="H740" s="1" t="inlineStr">
        <is>
          <t>0,1</t>
        </is>
      </c>
      <c r="I740" s="1" t="inlineStr">
        <is>
          <t>96</t>
        </is>
      </c>
      <c r="L740" s="2">
        <f>_xlfn.CONCAT(IF(D740="數值",CONCATENATE(G740&amp;"("&amp;C740&amp;","&amp;
IF(ISERROR(SEARCH(",",H740,1)),(H740&amp;","&amp;H740),H740)&amp;
IF(ISBLANK(I740),"",IF(ISERROR(SEARCH(",",I740,1)),CONCATENATE(","&amp;I740&amp;","&amp;I740),CONCATENATE(","&amp;I740))&amp;
IF(ISBLANK(J740),"",IF(ISERROR(SEARCH(",",J740,1)),CONCATENATE(","&amp;J740&amp;","&amp;J740),CONCATENATE(","&amp;J740))&amp;
IF(ISBLANK(K740),"",IF(ISERROR(SEARCH(",",K740,1)),CONCATENATE(","&amp;K740&amp;","&amp;K740),CONCATENATE(","&amp;K740))))))&amp;
")","")&amp;" "&amp;F740)</f>
        <v/>
      </c>
    </row>
    <row r="741">
      <c r="A741" s="1" t="n">
        <v>840</v>
      </c>
      <c r="B741" s="1">
        <f>A741</f>
        <v/>
      </c>
      <c r="C741" s="1" t="inlineStr">
        <is>
          <t>vP3_4</t>
        </is>
      </c>
      <c r="D741" s="1" t="inlineStr">
        <is>
          <t>數值</t>
        </is>
      </c>
      <c r="E741" s="9" t="n">
        <v>2</v>
      </c>
      <c r="G741" s="1" t="inlineStr">
        <is>
          <t>range</t>
        </is>
      </c>
      <c r="H741" s="1" t="inlineStr">
        <is>
          <t>1,4</t>
        </is>
      </c>
      <c r="I741" s="1" t="inlineStr">
        <is>
          <t>97</t>
        </is>
      </c>
      <c r="J741" s="1" t="inlineStr">
        <is>
          <t>98</t>
        </is>
      </c>
      <c r="L741" s="2">
        <f>_xlfn.CONCAT(IF(D741="數值",CONCATENATE(G741&amp;"("&amp;C741&amp;","&amp;
IF(ISERROR(SEARCH(",",H741,1)),(H741&amp;","&amp;H741),H741)&amp;
IF(ISBLANK(I741),"",IF(ISERROR(SEARCH(",",I741,1)),CONCATENATE(","&amp;I741&amp;","&amp;I741),CONCATENATE(","&amp;I741))&amp;
IF(ISBLANK(J741),"",IF(ISERROR(SEARCH(",",J741,1)),CONCATENATE(","&amp;J741&amp;","&amp;J741),CONCATENATE(","&amp;J741))&amp;
IF(ISBLANK(K741),"",IF(ISERROR(SEARCH(",",K741,1)),CONCATENATE(","&amp;K741&amp;","&amp;K741),CONCATENATE(","&amp;K741))))))&amp;
")","")&amp;" "&amp;F741)</f>
        <v/>
      </c>
    </row>
    <row r="742">
      <c r="A742" s="1" t="n">
        <v>841</v>
      </c>
      <c r="B742" s="1">
        <f>A742</f>
        <v/>
      </c>
      <c r="C742" s="1" t="inlineStr">
        <is>
          <t>vCKP3_4</t>
        </is>
      </c>
      <c r="D742" s="1" t="inlineStr">
        <is>
          <t>數值</t>
        </is>
      </c>
      <c r="E742" s="9" t="n">
        <v>2</v>
      </c>
      <c r="G742" s="1" t="inlineStr">
        <is>
          <t>range</t>
        </is>
      </c>
      <c r="H742" s="1" t="inlineStr">
        <is>
          <t>1,4</t>
        </is>
      </c>
      <c r="L742" s="2">
        <f>_xlfn.CONCAT(IF(D742="數值",CONCATENATE(G742&amp;"("&amp;C742&amp;","&amp;
IF(ISERROR(SEARCH(",",H742,1)),(H742&amp;","&amp;H742),H742)&amp;
IF(ISBLANK(I742),"",IF(ISERROR(SEARCH(",",I742,1)),CONCATENATE(","&amp;I742&amp;","&amp;I742),CONCATENATE(","&amp;I742))&amp;
IF(ISBLANK(J742),"",IF(ISERROR(SEARCH(",",J742,1)),CONCATENATE(","&amp;J742&amp;","&amp;J742),CONCATENATE(","&amp;J742))&amp;
IF(ISBLANK(K742),"",IF(ISERROR(SEARCH(",",K742,1)),CONCATENATE(","&amp;K742&amp;","&amp;K742),CONCATENATE(","&amp;K742))))))&amp;
")","")&amp;" "&amp;F742)</f>
        <v/>
      </c>
    </row>
    <row r="743">
      <c r="A743" s="1" t="n">
        <v>842</v>
      </c>
      <c r="B743" s="1">
        <f>A743</f>
        <v/>
      </c>
      <c r="C743" s="1" t="inlineStr">
        <is>
          <t>vP3_5</t>
        </is>
      </c>
      <c r="D743" s="1" t="inlineStr">
        <is>
          <t>數值</t>
        </is>
      </c>
      <c r="E743" s="9" t="n">
        <v>2</v>
      </c>
      <c r="G743" s="1" t="inlineStr">
        <is>
          <t>range</t>
        </is>
      </c>
      <c r="H743" s="1" t="inlineStr">
        <is>
          <t>1,4</t>
        </is>
      </c>
      <c r="I743" s="1" t="inlineStr">
        <is>
          <t>90</t>
        </is>
      </c>
      <c r="J743" s="1" t="inlineStr">
        <is>
          <t>97</t>
        </is>
      </c>
      <c r="K743" s="1" t="inlineStr">
        <is>
          <t>98</t>
        </is>
      </c>
      <c r="L743" s="2">
        <f>_xlfn.CONCAT(IF(D743="數值",CONCATENATE(G743&amp;"("&amp;C743&amp;","&amp;
IF(ISERROR(SEARCH(",",H743,1)),(H743&amp;","&amp;H743),H743)&amp;
IF(ISBLANK(I743),"",IF(ISERROR(SEARCH(",",I743,1)),CONCATENATE(","&amp;I743&amp;","&amp;I743),CONCATENATE(","&amp;I743))&amp;
IF(ISBLANK(J743),"",IF(ISERROR(SEARCH(",",J743,1)),CONCATENATE(","&amp;J743&amp;","&amp;J743),CONCATENATE(","&amp;J743))&amp;
IF(ISBLANK(K743),"",IF(ISERROR(SEARCH(",",K743,1)),CONCATENATE(","&amp;K743&amp;","&amp;K743),CONCATENATE(","&amp;K743))))))&amp;
")","")&amp;" "&amp;F743)</f>
        <v/>
      </c>
    </row>
    <row r="744">
      <c r="A744" s="1" t="n">
        <v>843</v>
      </c>
      <c r="B744" s="1">
        <f>A744</f>
        <v/>
      </c>
      <c r="C744" s="1" t="inlineStr">
        <is>
          <t>vP3_6</t>
        </is>
      </c>
      <c r="D744" s="1" t="inlineStr">
        <is>
          <t>數值</t>
        </is>
      </c>
      <c r="E744" s="9" t="n">
        <v>2</v>
      </c>
      <c r="G744" s="1" t="inlineStr">
        <is>
          <t>range</t>
        </is>
      </c>
      <c r="H744" s="1" t="inlineStr">
        <is>
          <t>1,4</t>
        </is>
      </c>
      <c r="I744" s="1" t="inlineStr">
        <is>
          <t>97</t>
        </is>
      </c>
      <c r="J744" s="1" t="inlineStr">
        <is>
          <t>98</t>
        </is>
      </c>
      <c r="L744" s="2">
        <f>_xlfn.CONCAT(IF(D744="數值",CONCATENATE(G744&amp;"("&amp;C744&amp;","&amp;
IF(ISERROR(SEARCH(",",H744,1)),(H744&amp;","&amp;H744),H744)&amp;
IF(ISBLANK(I744),"",IF(ISERROR(SEARCH(",",I744,1)),CONCATENATE(","&amp;I744&amp;","&amp;I744),CONCATENATE(","&amp;I744))&amp;
IF(ISBLANK(J744),"",IF(ISERROR(SEARCH(",",J744,1)),CONCATENATE(","&amp;J744&amp;","&amp;J744),CONCATENATE(","&amp;J744))&amp;
IF(ISBLANK(K744),"",IF(ISERROR(SEARCH(",",K744,1)),CONCATENATE(","&amp;K744&amp;","&amp;K744),CONCATENATE(","&amp;K744))))))&amp;
")","")&amp;" "&amp;F744)</f>
        <v/>
      </c>
    </row>
    <row r="745">
      <c r="A745" s="1" t="n">
        <v>844</v>
      </c>
      <c r="B745" s="1">
        <f>A745</f>
        <v/>
      </c>
      <c r="C745" s="1" t="inlineStr">
        <is>
          <t>vP5_3R</t>
        </is>
      </c>
      <c r="D745" s="1" t="inlineStr">
        <is>
          <t>數值</t>
        </is>
      </c>
      <c r="E745" s="9" t="n">
        <v>2</v>
      </c>
      <c r="G745" s="1" t="inlineStr">
        <is>
          <t>range</t>
        </is>
      </c>
      <c r="H745" s="1" t="inlineStr">
        <is>
          <t>1,4</t>
        </is>
      </c>
      <c r="I745" s="1" t="inlineStr">
        <is>
          <t>97</t>
        </is>
      </c>
      <c r="J745" s="1" t="inlineStr">
        <is>
          <t>98</t>
        </is>
      </c>
      <c r="L745" s="2">
        <f>_xlfn.CONCAT(IF(D745="數值",CONCATENATE(G745&amp;"("&amp;C745&amp;","&amp;
IF(ISERROR(SEARCH(",",H745,1)),(H745&amp;","&amp;H745),H745)&amp;
IF(ISBLANK(I745),"",IF(ISERROR(SEARCH(",",I745,1)),CONCATENATE(","&amp;I745&amp;","&amp;I745),CONCATENATE(","&amp;I745))&amp;
IF(ISBLANK(J745),"",IF(ISERROR(SEARCH(",",J745,1)),CONCATENATE(","&amp;J745&amp;","&amp;J745),CONCATENATE(","&amp;J745))&amp;
IF(ISBLANK(K745),"",IF(ISERROR(SEARCH(",",K745,1)),CONCATENATE(","&amp;K745&amp;","&amp;K745),CONCATENATE(","&amp;K745))))))&amp;
")","")&amp;" "&amp;F745)</f>
        <v/>
      </c>
    </row>
    <row r="746">
      <c r="A746" s="1" t="n">
        <v>845</v>
      </c>
      <c r="B746" s="1">
        <f>A746</f>
        <v/>
      </c>
      <c r="C746" s="1" t="inlineStr">
        <is>
          <t>vP5_4R</t>
        </is>
      </c>
      <c r="D746" s="1" t="inlineStr">
        <is>
          <t>數值</t>
        </is>
      </c>
      <c r="E746" s="9" t="n">
        <v>2</v>
      </c>
      <c r="G746" s="1" t="inlineStr">
        <is>
          <t>range</t>
        </is>
      </c>
      <c r="H746" s="1" t="inlineStr">
        <is>
          <t>1,4</t>
        </is>
      </c>
      <c r="I746" s="1" t="inlineStr">
        <is>
          <t>97</t>
        </is>
      </c>
      <c r="J746" s="1" t="inlineStr">
        <is>
          <t>98</t>
        </is>
      </c>
      <c r="L746" s="2">
        <f>_xlfn.CONCAT(IF(D746="數值",CONCATENATE(G746&amp;"("&amp;C746&amp;","&amp;
IF(ISERROR(SEARCH(",",H746,1)),(H746&amp;","&amp;H746),H746)&amp;
IF(ISBLANK(I746),"",IF(ISERROR(SEARCH(",",I746,1)),CONCATENATE(","&amp;I746&amp;","&amp;I746),CONCATENATE(","&amp;I746))&amp;
IF(ISBLANK(J746),"",IF(ISERROR(SEARCH(",",J746,1)),CONCATENATE(","&amp;J746&amp;","&amp;J746),CONCATENATE(","&amp;J746))&amp;
IF(ISBLANK(K746),"",IF(ISERROR(SEARCH(",",K746,1)),CONCATENATE(","&amp;K746&amp;","&amp;K746),CONCATENATE(","&amp;K746))))))&amp;
")","")&amp;" "&amp;F746)</f>
        <v/>
      </c>
    </row>
    <row r="747">
      <c r="A747" s="1" t="n">
        <v>846</v>
      </c>
      <c r="B747" s="1">
        <f>A747</f>
        <v/>
      </c>
      <c r="C747" s="1" t="inlineStr">
        <is>
          <t>vP5_5</t>
        </is>
      </c>
      <c r="D747" s="1" t="inlineStr">
        <is>
          <t>數值</t>
        </is>
      </c>
      <c r="E747" s="9" t="n">
        <v>2</v>
      </c>
      <c r="G747" s="1" t="inlineStr">
        <is>
          <t>range</t>
        </is>
      </c>
      <c r="H747" s="1" t="inlineStr">
        <is>
          <t>1,5</t>
        </is>
      </c>
      <c r="I747" s="1" t="inlineStr">
        <is>
          <t>97</t>
        </is>
      </c>
      <c r="J747" s="1" t="inlineStr">
        <is>
          <t>98</t>
        </is>
      </c>
      <c r="L747" s="2">
        <f>_xlfn.CONCAT(IF(D747="數值",CONCATENATE(G747&amp;"("&amp;C747&amp;","&amp;
IF(ISERROR(SEARCH(",",H747,1)),(H747&amp;","&amp;H747),H747)&amp;
IF(ISBLANK(I747),"",IF(ISERROR(SEARCH(",",I747,1)),CONCATENATE(","&amp;I747&amp;","&amp;I747),CONCATENATE(","&amp;I747))&amp;
IF(ISBLANK(J747),"",IF(ISERROR(SEARCH(",",J747,1)),CONCATENATE(","&amp;J747&amp;","&amp;J747),CONCATENATE(","&amp;J747))&amp;
IF(ISBLANK(K747),"",IF(ISERROR(SEARCH(",",K747,1)),CONCATENATE(","&amp;K747&amp;","&amp;K747),CONCATENATE(","&amp;K747))))))&amp;
")","")&amp;" "&amp;F747)</f>
        <v/>
      </c>
    </row>
    <row r="748">
      <c r="A748" s="1" t="n">
        <v>847</v>
      </c>
      <c r="B748" s="1">
        <f>A748</f>
        <v/>
      </c>
      <c r="C748" s="1" t="inlineStr">
        <is>
          <t>vQ28</t>
        </is>
      </c>
      <c r="D748" s="1" t="inlineStr">
        <is>
          <t>數值</t>
        </is>
      </c>
      <c r="E748" s="9" t="n">
        <v>4</v>
      </c>
      <c r="G748" s="1" t="inlineStr">
        <is>
          <t>range</t>
        </is>
      </c>
      <c r="H748" s="14" t="inlineStr">
        <is>
          <t>0,500</t>
        </is>
      </c>
      <c r="I748" s="11" t="inlineStr">
        <is>
          <t>991</t>
        </is>
      </c>
      <c r="J748" t="inlineStr">
        <is>
          <t>997</t>
        </is>
      </c>
      <c r="K748" t="inlineStr">
        <is>
          <t>998</t>
        </is>
      </c>
      <c r="L748" s="2">
        <f>_xlfn.CONCAT(IF(D748="數值",CONCATENATE(G748&amp;"("&amp;C748&amp;","&amp;
IF(ISERROR(SEARCH(",",H748,1)),(H748&amp;","&amp;H748),H748)&amp;
IF(ISBLANK(I748),"",IF(ISERROR(SEARCH(",",I748,1)),CONCATENATE(","&amp;I748&amp;","&amp;I748),CONCATENATE(","&amp;I748))&amp;
IF(ISBLANK(J748),"",IF(ISERROR(SEARCH(",",J748,1)),CONCATENATE(","&amp;J748&amp;","&amp;J748),CONCATENATE(","&amp;J748))&amp;
IF(ISBLANK(K748),"",IF(ISERROR(SEARCH(",",K748,1)),CONCATENATE(","&amp;K748&amp;","&amp;K748),CONCATENATE(","&amp;K748))))))&amp;
")","")&amp;" "&amp;F748)</f>
        <v/>
      </c>
    </row>
    <row r="749">
      <c r="A749" s="1" t="n">
        <v>848</v>
      </c>
      <c r="B749" s="1">
        <f>A749</f>
        <v/>
      </c>
      <c r="C749" s="1" t="inlineStr">
        <is>
          <t>vQ30m01</t>
        </is>
      </c>
      <c r="D749" s="1" t="inlineStr">
        <is>
          <t>數值</t>
        </is>
      </c>
      <c r="E749" s="9" t="n">
        <v>2</v>
      </c>
      <c r="G749" s="1" t="inlineStr">
        <is>
          <t>range</t>
        </is>
      </c>
      <c r="H749" s="1" t="inlineStr">
        <is>
          <t>0,1</t>
        </is>
      </c>
      <c r="L749" s="2">
        <f>_xlfn.CONCAT(IF(D749="數值",CONCATENATE(G749&amp;"("&amp;C749&amp;","&amp;
IF(ISERROR(SEARCH(",",H749,1)),(H749&amp;","&amp;H749),H749)&amp;
IF(ISBLANK(I749),"",IF(ISERROR(SEARCH(",",I749,1)),CONCATENATE(","&amp;I749&amp;","&amp;I749),CONCATENATE(","&amp;I749))&amp;
IF(ISBLANK(J749),"",IF(ISERROR(SEARCH(",",J749,1)),CONCATENATE(","&amp;J749&amp;","&amp;J749),CONCATENATE(","&amp;J749))&amp;
IF(ISBLANK(K749),"",IF(ISERROR(SEARCH(",",K749,1)),CONCATENATE(","&amp;K749&amp;","&amp;K749),CONCATENATE(","&amp;K749))))))&amp;
")","")&amp;" "&amp;F749)</f>
        <v/>
      </c>
    </row>
    <row r="750">
      <c r="A750" s="1" t="n">
        <v>849</v>
      </c>
      <c r="B750" s="1">
        <f>A750</f>
        <v/>
      </c>
      <c r="C750" s="1" t="inlineStr">
        <is>
          <t>vQ30m02</t>
        </is>
      </c>
      <c r="D750" s="1" t="inlineStr">
        <is>
          <t>數值</t>
        </is>
      </c>
      <c r="E750" s="9" t="n">
        <v>2</v>
      </c>
      <c r="G750" s="1" t="inlineStr">
        <is>
          <t>range</t>
        </is>
      </c>
      <c r="H750" s="1" t="inlineStr">
        <is>
          <t>0,1</t>
        </is>
      </c>
      <c r="L750" s="2">
        <f>_xlfn.CONCAT(IF(D750="數值",CONCATENATE(G750&amp;"("&amp;C750&amp;","&amp;
IF(ISERROR(SEARCH(",",H750,1)),(H750&amp;","&amp;H750),H750)&amp;
IF(ISBLANK(I750),"",IF(ISERROR(SEARCH(",",I750,1)),CONCATENATE(","&amp;I750&amp;","&amp;I750),CONCATENATE(","&amp;I750))&amp;
IF(ISBLANK(J750),"",IF(ISERROR(SEARCH(",",J750,1)),CONCATENATE(","&amp;J750&amp;","&amp;J750),CONCATENATE(","&amp;J750))&amp;
IF(ISBLANK(K750),"",IF(ISERROR(SEARCH(",",K750,1)),CONCATENATE(","&amp;K750&amp;","&amp;K750),CONCATENATE(","&amp;K750))))))&amp;
")","")&amp;" "&amp;F750)</f>
        <v/>
      </c>
    </row>
    <row r="751">
      <c r="A751" s="1" t="n">
        <v>850</v>
      </c>
      <c r="B751" s="1">
        <f>A751</f>
        <v/>
      </c>
      <c r="C751" s="1" t="inlineStr">
        <is>
          <t>vQ30m03</t>
        </is>
      </c>
      <c r="D751" s="1" t="inlineStr">
        <is>
          <t>數值</t>
        </is>
      </c>
      <c r="E751" s="9" t="n">
        <v>2</v>
      </c>
      <c r="G751" s="1" t="inlineStr">
        <is>
          <t>range</t>
        </is>
      </c>
      <c r="H751" s="1" t="inlineStr">
        <is>
          <t>0,1</t>
        </is>
      </c>
      <c r="L751" s="2">
        <f>_xlfn.CONCAT(IF(D751="數值",CONCATENATE(G751&amp;"("&amp;C751&amp;","&amp;
IF(ISERROR(SEARCH(",",H751,1)),(H751&amp;","&amp;H751),H751)&amp;
IF(ISBLANK(I751),"",IF(ISERROR(SEARCH(",",I751,1)),CONCATENATE(","&amp;I751&amp;","&amp;I751),CONCATENATE(","&amp;I751))&amp;
IF(ISBLANK(J751),"",IF(ISERROR(SEARCH(",",J751,1)),CONCATENATE(","&amp;J751&amp;","&amp;J751),CONCATENATE(","&amp;J751))&amp;
IF(ISBLANK(K751),"",IF(ISERROR(SEARCH(",",K751,1)),CONCATENATE(","&amp;K751&amp;","&amp;K751),CONCATENATE(","&amp;K751))))))&amp;
")","")&amp;" "&amp;F751)</f>
        <v/>
      </c>
    </row>
    <row r="752">
      <c r="A752" s="1" t="n">
        <v>851</v>
      </c>
      <c r="B752" s="1">
        <f>A752</f>
        <v/>
      </c>
      <c r="C752" s="1" t="inlineStr">
        <is>
          <t>vQ30m04</t>
        </is>
      </c>
      <c r="D752" s="1" t="inlineStr">
        <is>
          <t>數值</t>
        </is>
      </c>
      <c r="E752" s="9" t="n">
        <v>2</v>
      </c>
      <c r="G752" s="1" t="inlineStr">
        <is>
          <t>range</t>
        </is>
      </c>
      <c r="H752" s="1" t="inlineStr">
        <is>
          <t>0,1</t>
        </is>
      </c>
      <c r="L752" s="2">
        <f>_xlfn.CONCAT(IF(D752="數值",CONCATENATE(G752&amp;"("&amp;C752&amp;","&amp;
IF(ISERROR(SEARCH(",",H752,1)),(H752&amp;","&amp;H752),H752)&amp;
IF(ISBLANK(I752),"",IF(ISERROR(SEARCH(",",I752,1)),CONCATENATE(","&amp;I752&amp;","&amp;I752),CONCATENATE(","&amp;I752))&amp;
IF(ISBLANK(J752),"",IF(ISERROR(SEARCH(",",J752,1)),CONCATENATE(","&amp;J752&amp;","&amp;J752),CONCATENATE(","&amp;J752))&amp;
IF(ISBLANK(K752),"",IF(ISERROR(SEARCH(",",K752,1)),CONCATENATE(","&amp;K752&amp;","&amp;K752),CONCATENATE(","&amp;K752))))))&amp;
")","")&amp;" "&amp;F752)</f>
        <v/>
      </c>
    </row>
    <row r="753">
      <c r="A753" s="1" t="n">
        <v>852</v>
      </c>
      <c r="B753" s="1">
        <f>A753</f>
        <v/>
      </c>
      <c r="C753" s="1" t="inlineStr">
        <is>
          <t>vQ30m05</t>
        </is>
      </c>
      <c r="D753" s="1" t="inlineStr">
        <is>
          <t>數值</t>
        </is>
      </c>
      <c r="E753" s="9" t="n">
        <v>2</v>
      </c>
      <c r="G753" s="1" t="inlineStr">
        <is>
          <t>range</t>
        </is>
      </c>
      <c r="H753" s="1" t="inlineStr">
        <is>
          <t>0,1</t>
        </is>
      </c>
      <c r="L753" s="2">
        <f>_xlfn.CONCAT(IF(D753="數值",CONCATENATE(G753&amp;"("&amp;C753&amp;","&amp;
IF(ISERROR(SEARCH(",",H753,1)),(H753&amp;","&amp;H753),H753)&amp;
IF(ISBLANK(I753),"",IF(ISERROR(SEARCH(",",I753,1)),CONCATENATE(","&amp;I753&amp;","&amp;I753),CONCATENATE(","&amp;I753))&amp;
IF(ISBLANK(J753),"",IF(ISERROR(SEARCH(",",J753,1)),CONCATENATE(","&amp;J753&amp;","&amp;J753),CONCATENATE(","&amp;J753))&amp;
IF(ISBLANK(K753),"",IF(ISERROR(SEARCH(",",K753,1)),CONCATENATE(","&amp;K753&amp;","&amp;K753),CONCATENATE(","&amp;K753))))))&amp;
")","")&amp;" "&amp;F753)</f>
        <v/>
      </c>
    </row>
    <row r="754">
      <c r="A754" s="1" t="n">
        <v>853</v>
      </c>
      <c r="B754" s="1">
        <f>A754</f>
        <v/>
      </c>
      <c r="C754" s="1" t="inlineStr">
        <is>
          <t>vQ30m06</t>
        </is>
      </c>
      <c r="D754" s="1" t="inlineStr">
        <is>
          <t>數值</t>
        </is>
      </c>
      <c r="E754" s="9" t="n">
        <v>2</v>
      </c>
      <c r="G754" s="1" t="inlineStr">
        <is>
          <t>range</t>
        </is>
      </c>
      <c r="H754" s="1" t="inlineStr">
        <is>
          <t>0,1</t>
        </is>
      </c>
      <c r="L754" s="2">
        <f>_xlfn.CONCAT(IF(D754="數值",CONCATENATE(G754&amp;"("&amp;C754&amp;","&amp;
IF(ISERROR(SEARCH(",",H754,1)),(H754&amp;","&amp;H754),H754)&amp;
IF(ISBLANK(I754),"",IF(ISERROR(SEARCH(",",I754,1)),CONCATENATE(","&amp;I754&amp;","&amp;I754),CONCATENATE(","&amp;I754))&amp;
IF(ISBLANK(J754),"",IF(ISERROR(SEARCH(",",J754,1)),CONCATENATE(","&amp;J754&amp;","&amp;J754),CONCATENATE(","&amp;J754))&amp;
IF(ISBLANK(K754),"",IF(ISERROR(SEARCH(",",K754,1)),CONCATENATE(","&amp;K754&amp;","&amp;K754),CONCATENATE(","&amp;K754))))))&amp;
")","")&amp;" "&amp;F754)</f>
        <v/>
      </c>
    </row>
    <row r="755">
      <c r="A755" s="1" t="n">
        <v>854</v>
      </c>
      <c r="B755" s="1">
        <f>A755</f>
        <v/>
      </c>
      <c r="C755" s="1" t="inlineStr">
        <is>
          <t>vQ30m07</t>
        </is>
      </c>
      <c r="D755" s="1" t="inlineStr">
        <is>
          <t>數值</t>
        </is>
      </c>
      <c r="E755" s="9" t="n">
        <v>2</v>
      </c>
      <c r="G755" s="1" t="inlineStr">
        <is>
          <t>range</t>
        </is>
      </c>
      <c r="H755" s="1" t="inlineStr">
        <is>
          <t>0,1</t>
        </is>
      </c>
      <c r="L755" s="2">
        <f>_xlfn.CONCAT(IF(D755="數值",CONCATENATE(G755&amp;"("&amp;C755&amp;","&amp;
IF(ISERROR(SEARCH(",",H755,1)),(H755&amp;","&amp;H755),H755)&amp;
IF(ISBLANK(I755),"",IF(ISERROR(SEARCH(",",I755,1)),CONCATENATE(","&amp;I755&amp;","&amp;I755),CONCATENATE(","&amp;I755))&amp;
IF(ISBLANK(J755),"",IF(ISERROR(SEARCH(",",J755,1)),CONCATENATE(","&amp;J755&amp;","&amp;J755),CONCATENATE(","&amp;J755))&amp;
IF(ISBLANK(K755),"",IF(ISERROR(SEARCH(",",K755,1)),CONCATENATE(","&amp;K755&amp;","&amp;K755),CONCATENATE(","&amp;K755))))))&amp;
")","")&amp;" "&amp;F755)</f>
        <v/>
      </c>
    </row>
    <row r="756">
      <c r="A756" s="1" t="n">
        <v>855</v>
      </c>
      <c r="B756" s="1">
        <f>A756</f>
        <v/>
      </c>
      <c r="C756" s="1" t="inlineStr">
        <is>
          <t>vQ30m08</t>
        </is>
      </c>
      <c r="D756" s="1" t="inlineStr">
        <is>
          <t>數值</t>
        </is>
      </c>
      <c r="E756" s="9" t="n">
        <v>2</v>
      </c>
      <c r="G756" s="1" t="inlineStr">
        <is>
          <t>range</t>
        </is>
      </c>
      <c r="H756" s="1" t="inlineStr">
        <is>
          <t>0,1</t>
        </is>
      </c>
      <c r="L756" s="2">
        <f>_xlfn.CONCAT(IF(D756="數值",CONCATENATE(G756&amp;"("&amp;C756&amp;","&amp;
IF(ISERROR(SEARCH(",",H756,1)),(H756&amp;","&amp;H756),H756)&amp;
IF(ISBLANK(I756),"",IF(ISERROR(SEARCH(",",I756,1)),CONCATENATE(","&amp;I756&amp;","&amp;I756),CONCATENATE(","&amp;I756))&amp;
IF(ISBLANK(J756),"",IF(ISERROR(SEARCH(",",J756,1)),CONCATENATE(","&amp;J756&amp;","&amp;J756),CONCATENATE(","&amp;J756))&amp;
IF(ISBLANK(K756),"",IF(ISERROR(SEARCH(",",K756,1)),CONCATENATE(","&amp;K756&amp;","&amp;K756),CONCATENATE(","&amp;K756))))))&amp;
")","")&amp;" "&amp;F756)</f>
        <v/>
      </c>
    </row>
    <row r="757">
      <c r="A757" s="1" t="n">
        <v>856</v>
      </c>
      <c r="B757" s="1">
        <f>A757</f>
        <v/>
      </c>
      <c r="C757" s="1" t="inlineStr">
        <is>
          <t>vQ30m90</t>
        </is>
      </c>
      <c r="D757" s="1" t="inlineStr">
        <is>
          <t>數值</t>
        </is>
      </c>
      <c r="E757" s="9" t="n">
        <v>2</v>
      </c>
      <c r="G757" s="1" t="inlineStr">
        <is>
          <t>range</t>
        </is>
      </c>
      <c r="H757" s="1" t="inlineStr">
        <is>
          <t>0,1</t>
        </is>
      </c>
      <c r="I757" s="1" t="inlineStr">
        <is>
          <t>96</t>
        </is>
      </c>
      <c r="L757" s="2">
        <f>_xlfn.CONCAT(IF(D757="數值",CONCATENATE(G757&amp;"("&amp;C757&amp;","&amp;
IF(ISERROR(SEARCH(",",H757,1)),(H757&amp;","&amp;H757),H757)&amp;
IF(ISBLANK(I757),"",IF(ISERROR(SEARCH(",",I757,1)),CONCATENATE(","&amp;I757&amp;","&amp;I757),CONCATENATE(","&amp;I757))&amp;
IF(ISBLANK(J757),"",IF(ISERROR(SEARCH(",",J757,1)),CONCATENATE(","&amp;J757&amp;","&amp;J757),CONCATENATE(","&amp;J757))&amp;
IF(ISBLANK(K757),"",IF(ISERROR(SEARCH(",",K757,1)),CONCATENATE(","&amp;K757&amp;","&amp;K757),CONCATENATE(","&amp;K757))))))&amp;
")","")&amp;" "&amp;F757)</f>
        <v/>
      </c>
    </row>
    <row r="758">
      <c r="A758" s="1" t="n">
        <v>857</v>
      </c>
      <c r="B758" s="1">
        <f>A758</f>
        <v/>
      </c>
      <c r="C758" s="1" t="inlineStr">
        <is>
          <t>vQ31m01</t>
        </is>
      </c>
      <c r="D758" s="1" t="inlineStr">
        <is>
          <t>數值</t>
        </is>
      </c>
      <c r="E758" s="9" t="n">
        <v>2</v>
      </c>
      <c r="G758" s="1" t="inlineStr">
        <is>
          <t>range</t>
        </is>
      </c>
      <c r="H758" s="1" t="inlineStr">
        <is>
          <t>0,1</t>
        </is>
      </c>
      <c r="L758" s="2">
        <f>_xlfn.CONCAT(IF(D758="數值",CONCATENATE(G758&amp;"("&amp;C758&amp;","&amp;
IF(ISERROR(SEARCH(",",H758,1)),(H758&amp;","&amp;H758),H758)&amp;
IF(ISBLANK(I758),"",IF(ISERROR(SEARCH(",",I758,1)),CONCATENATE(","&amp;I758&amp;","&amp;I758),CONCATENATE(","&amp;I758))&amp;
IF(ISBLANK(J758),"",IF(ISERROR(SEARCH(",",J758,1)),CONCATENATE(","&amp;J758&amp;","&amp;J758),CONCATENATE(","&amp;J758))&amp;
IF(ISBLANK(K758),"",IF(ISERROR(SEARCH(",",K758,1)),CONCATENATE(","&amp;K758&amp;","&amp;K758),CONCATENATE(","&amp;K758))))))&amp;
")","")&amp;" "&amp;F758)</f>
        <v/>
      </c>
    </row>
    <row r="759">
      <c r="A759" s="1" t="n">
        <v>858</v>
      </c>
      <c r="B759" s="1">
        <f>A759</f>
        <v/>
      </c>
      <c r="C759" s="1" t="inlineStr">
        <is>
          <t>vQ31m02</t>
        </is>
      </c>
      <c r="D759" s="1" t="inlineStr">
        <is>
          <t>數值</t>
        </is>
      </c>
      <c r="E759" s="9" t="n">
        <v>2</v>
      </c>
      <c r="G759" s="1" t="inlineStr">
        <is>
          <t>range</t>
        </is>
      </c>
      <c r="H759" s="1" t="inlineStr">
        <is>
          <t>0,1</t>
        </is>
      </c>
      <c r="L759" s="2">
        <f>_xlfn.CONCAT(IF(D759="數值",CONCATENATE(G759&amp;"("&amp;C759&amp;","&amp;
IF(ISERROR(SEARCH(",",H759,1)),(H759&amp;","&amp;H759),H759)&amp;
IF(ISBLANK(I759),"",IF(ISERROR(SEARCH(",",I759,1)),CONCATENATE(","&amp;I759&amp;","&amp;I759),CONCATENATE(","&amp;I759))&amp;
IF(ISBLANK(J759),"",IF(ISERROR(SEARCH(",",J759,1)),CONCATENATE(","&amp;J759&amp;","&amp;J759),CONCATENATE(","&amp;J759))&amp;
IF(ISBLANK(K759),"",IF(ISERROR(SEARCH(",",K759,1)),CONCATENATE(","&amp;K759&amp;","&amp;K759),CONCATENATE(","&amp;K759))))))&amp;
")","")&amp;" "&amp;F759)</f>
        <v/>
      </c>
    </row>
    <row r="760">
      <c r="A760" s="1" t="n">
        <v>859</v>
      </c>
      <c r="B760" s="1">
        <f>A760</f>
        <v/>
      </c>
      <c r="C760" s="1" t="inlineStr">
        <is>
          <t>vQ31m03</t>
        </is>
      </c>
      <c r="D760" s="1" t="inlineStr">
        <is>
          <t>數值</t>
        </is>
      </c>
      <c r="E760" s="9" t="n">
        <v>2</v>
      </c>
      <c r="G760" s="1" t="inlineStr">
        <is>
          <t>range</t>
        </is>
      </c>
      <c r="H760" s="1" t="inlineStr">
        <is>
          <t>0,1</t>
        </is>
      </c>
      <c r="L760" s="2">
        <f>_xlfn.CONCAT(IF(D760="數值",CONCATENATE(G760&amp;"("&amp;C760&amp;","&amp;
IF(ISERROR(SEARCH(",",H760,1)),(H760&amp;","&amp;H760),H760)&amp;
IF(ISBLANK(I760),"",IF(ISERROR(SEARCH(",",I760,1)),CONCATENATE(","&amp;I760&amp;","&amp;I760),CONCATENATE(","&amp;I760))&amp;
IF(ISBLANK(J760),"",IF(ISERROR(SEARCH(",",J760,1)),CONCATENATE(","&amp;J760&amp;","&amp;J760),CONCATENATE(","&amp;J760))&amp;
IF(ISBLANK(K760),"",IF(ISERROR(SEARCH(",",K760,1)),CONCATENATE(","&amp;K760&amp;","&amp;K760),CONCATENATE(","&amp;K760))))))&amp;
")","")&amp;" "&amp;F760)</f>
        <v/>
      </c>
    </row>
    <row r="761">
      <c r="A761" s="1" t="n">
        <v>860</v>
      </c>
      <c r="B761" s="1">
        <f>A761</f>
        <v/>
      </c>
      <c r="C761" s="1" t="inlineStr">
        <is>
          <t>vQ31m04</t>
        </is>
      </c>
      <c r="D761" s="1" t="inlineStr">
        <is>
          <t>數值</t>
        </is>
      </c>
      <c r="E761" s="9" t="n">
        <v>2</v>
      </c>
      <c r="G761" s="1" t="inlineStr">
        <is>
          <t>range</t>
        </is>
      </c>
      <c r="H761" s="1" t="inlineStr">
        <is>
          <t>0,1</t>
        </is>
      </c>
      <c r="L761" s="2">
        <f>_xlfn.CONCAT(IF(D761="數值",CONCATENATE(G761&amp;"("&amp;C761&amp;","&amp;
IF(ISERROR(SEARCH(",",H761,1)),(H761&amp;","&amp;H761),H761)&amp;
IF(ISBLANK(I761),"",IF(ISERROR(SEARCH(",",I761,1)),CONCATENATE(","&amp;I761&amp;","&amp;I761),CONCATENATE(","&amp;I761))&amp;
IF(ISBLANK(J761),"",IF(ISERROR(SEARCH(",",J761,1)),CONCATENATE(","&amp;J761&amp;","&amp;J761),CONCATENATE(","&amp;J761))&amp;
IF(ISBLANK(K761),"",IF(ISERROR(SEARCH(",",K761,1)),CONCATENATE(","&amp;K761&amp;","&amp;K761),CONCATENATE(","&amp;K761))))))&amp;
")","")&amp;" "&amp;F761)</f>
        <v/>
      </c>
    </row>
    <row r="762">
      <c r="A762" s="1" t="n">
        <v>861</v>
      </c>
      <c r="B762" s="1">
        <f>A762</f>
        <v/>
      </c>
      <c r="C762" s="1" t="inlineStr">
        <is>
          <t>vQ31m05</t>
        </is>
      </c>
      <c r="D762" s="1" t="inlineStr">
        <is>
          <t>數值</t>
        </is>
      </c>
      <c r="E762" s="9" t="n">
        <v>2</v>
      </c>
      <c r="G762" s="1" t="inlineStr">
        <is>
          <t>range</t>
        </is>
      </c>
      <c r="H762" s="1" t="inlineStr">
        <is>
          <t>0,1</t>
        </is>
      </c>
      <c r="L762" s="2">
        <f>_xlfn.CONCAT(IF(D762="數值",CONCATENATE(G762&amp;"("&amp;C762&amp;","&amp;
IF(ISERROR(SEARCH(",",H762,1)),(H762&amp;","&amp;H762),H762)&amp;
IF(ISBLANK(I762),"",IF(ISERROR(SEARCH(",",I762,1)),CONCATENATE(","&amp;I762&amp;","&amp;I762),CONCATENATE(","&amp;I762))&amp;
IF(ISBLANK(J762),"",IF(ISERROR(SEARCH(",",J762,1)),CONCATENATE(","&amp;J762&amp;","&amp;J762),CONCATENATE(","&amp;J762))&amp;
IF(ISBLANK(K762),"",IF(ISERROR(SEARCH(",",K762,1)),CONCATENATE(","&amp;K762&amp;","&amp;K762),CONCATENATE(","&amp;K762))))))&amp;
")","")&amp;" "&amp;F762)</f>
        <v/>
      </c>
    </row>
    <row r="763">
      <c r="A763" s="1" t="n">
        <v>862</v>
      </c>
      <c r="B763" s="1">
        <f>A763</f>
        <v/>
      </c>
      <c r="C763" s="1" t="inlineStr">
        <is>
          <t>vQ31m06</t>
        </is>
      </c>
      <c r="D763" s="1" t="inlineStr">
        <is>
          <t>數值</t>
        </is>
      </c>
      <c r="E763" s="9" t="n">
        <v>2</v>
      </c>
      <c r="G763" s="1" t="inlineStr">
        <is>
          <t>range</t>
        </is>
      </c>
      <c r="H763" s="1" t="inlineStr">
        <is>
          <t>0,1</t>
        </is>
      </c>
      <c r="L763" s="2">
        <f>_xlfn.CONCAT(IF(D763="數值",CONCATENATE(G763&amp;"("&amp;C763&amp;","&amp;
IF(ISERROR(SEARCH(",",H763,1)),(H763&amp;","&amp;H763),H763)&amp;
IF(ISBLANK(I763),"",IF(ISERROR(SEARCH(",",I763,1)),CONCATENATE(","&amp;I763&amp;","&amp;I763),CONCATENATE(","&amp;I763))&amp;
IF(ISBLANK(J763),"",IF(ISERROR(SEARCH(",",J763,1)),CONCATENATE(","&amp;J763&amp;","&amp;J763),CONCATENATE(","&amp;J763))&amp;
IF(ISBLANK(K763),"",IF(ISERROR(SEARCH(",",K763,1)),CONCATENATE(","&amp;K763&amp;","&amp;K763),CONCATENATE(","&amp;K763))))))&amp;
")","")&amp;" "&amp;F763)</f>
        <v/>
      </c>
    </row>
    <row r="764">
      <c r="A764" s="1" t="n">
        <v>863</v>
      </c>
      <c r="B764" s="1">
        <f>A764</f>
        <v/>
      </c>
      <c r="C764" s="1" t="inlineStr">
        <is>
          <t>vQ31m07</t>
        </is>
      </c>
      <c r="D764" s="1" t="inlineStr">
        <is>
          <t>數值</t>
        </is>
      </c>
      <c r="E764" s="9" t="n">
        <v>2</v>
      </c>
      <c r="G764" s="1" t="inlineStr">
        <is>
          <t>range</t>
        </is>
      </c>
      <c r="H764" s="1" t="inlineStr">
        <is>
          <t>0,1</t>
        </is>
      </c>
      <c r="L764" s="2">
        <f>_xlfn.CONCAT(IF(D764="數值",CONCATENATE(G764&amp;"("&amp;C764&amp;","&amp;
IF(ISERROR(SEARCH(",",H764,1)),(H764&amp;","&amp;H764),H764)&amp;
IF(ISBLANK(I764),"",IF(ISERROR(SEARCH(",",I764,1)),CONCATENATE(","&amp;I764&amp;","&amp;I764),CONCATENATE(","&amp;I764))&amp;
IF(ISBLANK(J764),"",IF(ISERROR(SEARCH(",",J764,1)),CONCATENATE(","&amp;J764&amp;","&amp;J764),CONCATENATE(","&amp;J764))&amp;
IF(ISBLANK(K764),"",IF(ISERROR(SEARCH(",",K764,1)),CONCATENATE(","&amp;K764&amp;","&amp;K764),CONCATENATE(","&amp;K764))))))&amp;
")","")&amp;" "&amp;F764)</f>
        <v/>
      </c>
    </row>
    <row r="765">
      <c r="A765" s="1" t="n">
        <v>864</v>
      </c>
      <c r="B765" s="1">
        <f>A765</f>
        <v/>
      </c>
      <c r="C765" s="1" t="inlineStr">
        <is>
          <t>vQ31m08</t>
        </is>
      </c>
      <c r="D765" s="1" t="inlineStr">
        <is>
          <t>數值</t>
        </is>
      </c>
      <c r="E765" s="9" t="n">
        <v>2</v>
      </c>
      <c r="G765" s="1" t="inlineStr">
        <is>
          <t>range</t>
        </is>
      </c>
      <c r="H765" s="1" t="inlineStr">
        <is>
          <t>0,1</t>
        </is>
      </c>
      <c r="L765" s="2">
        <f>_xlfn.CONCAT(IF(D765="數值",CONCATENATE(G765&amp;"("&amp;C765&amp;","&amp;
IF(ISERROR(SEARCH(",",H765,1)),(H765&amp;","&amp;H765),H765)&amp;
IF(ISBLANK(I765),"",IF(ISERROR(SEARCH(",",I765,1)),CONCATENATE(","&amp;I765&amp;","&amp;I765),CONCATENATE(","&amp;I765))&amp;
IF(ISBLANK(J765),"",IF(ISERROR(SEARCH(",",J765,1)),CONCATENATE(","&amp;J765&amp;","&amp;J765),CONCATENATE(","&amp;J765))&amp;
IF(ISBLANK(K765),"",IF(ISERROR(SEARCH(",",K765,1)),CONCATENATE(","&amp;K765&amp;","&amp;K765),CONCATENATE(","&amp;K765))))))&amp;
")","")&amp;" "&amp;F765)</f>
        <v/>
      </c>
    </row>
    <row r="766">
      <c r="A766" s="1" t="n">
        <v>865</v>
      </c>
      <c r="B766" s="1">
        <f>A766</f>
        <v/>
      </c>
      <c r="C766" s="1" t="inlineStr">
        <is>
          <t>vQ31m90</t>
        </is>
      </c>
      <c r="D766" s="1" t="inlineStr">
        <is>
          <t>數值</t>
        </is>
      </c>
      <c r="E766" s="9" t="n">
        <v>2</v>
      </c>
      <c r="G766" s="1" t="inlineStr">
        <is>
          <t>range</t>
        </is>
      </c>
      <c r="H766" s="1" t="inlineStr">
        <is>
          <t>0,1</t>
        </is>
      </c>
      <c r="I766" s="1" t="inlineStr">
        <is>
          <t>96</t>
        </is>
      </c>
      <c r="L766" s="2">
        <f>_xlfn.CONCAT(IF(D766="數值",CONCATENATE(G766&amp;"("&amp;C766&amp;","&amp;
IF(ISERROR(SEARCH(",",H766,1)),(H766&amp;","&amp;H766),H766)&amp;
IF(ISBLANK(I766),"",IF(ISERROR(SEARCH(",",I766,1)),CONCATENATE(","&amp;I766&amp;","&amp;I766),CONCATENATE(","&amp;I766))&amp;
IF(ISBLANK(J766),"",IF(ISERROR(SEARCH(",",J766,1)),CONCATENATE(","&amp;J766&amp;","&amp;J766),CONCATENATE(","&amp;J766))&amp;
IF(ISBLANK(K766),"",IF(ISERROR(SEARCH(",",K766,1)),CONCATENATE(","&amp;K766&amp;","&amp;K766),CONCATENATE(","&amp;K766))))))&amp;
")","")&amp;" "&amp;F766)</f>
        <v/>
      </c>
    </row>
    <row r="767">
      <c r="A767" s="1" t="n">
        <v>866</v>
      </c>
      <c r="B767" s="1">
        <f>A767</f>
        <v/>
      </c>
      <c r="C767" s="1" t="inlineStr">
        <is>
          <t>vQ32sQ32</t>
        </is>
      </c>
      <c r="D767" s="1" t="inlineStr">
        <is>
          <t>數值</t>
        </is>
      </c>
      <c r="E767" s="9" t="n">
        <v>2</v>
      </c>
      <c r="G767" s="1" t="inlineStr">
        <is>
          <t>range</t>
        </is>
      </c>
      <c r="H767" s="1" t="inlineStr">
        <is>
          <t>1,5</t>
        </is>
      </c>
      <c r="I767" s="1" t="inlineStr">
        <is>
          <t>97</t>
        </is>
      </c>
      <c r="J767" s="1" t="inlineStr">
        <is>
          <t>98</t>
        </is>
      </c>
      <c r="L767" s="2">
        <f>_xlfn.CONCAT(IF(D767="數值",CONCATENATE(G767&amp;"("&amp;C767&amp;","&amp;
IF(ISERROR(SEARCH(",",H767,1)),(H767&amp;","&amp;H767),H767)&amp;
IF(ISBLANK(I767),"",IF(ISERROR(SEARCH(",",I767,1)),CONCATENATE(","&amp;I767&amp;","&amp;I767),CONCATENATE(","&amp;I767))&amp;
IF(ISBLANK(J767),"",IF(ISERROR(SEARCH(",",J767,1)),CONCATENATE(","&amp;J767&amp;","&amp;J767),CONCATENATE(","&amp;J767))&amp;
IF(ISBLANK(K767),"",IF(ISERROR(SEARCH(",",K767,1)),CONCATENATE(","&amp;K767&amp;","&amp;K767),CONCATENATE(","&amp;K767))))))&amp;
")","")&amp;" "&amp;F767)</f>
        <v/>
      </c>
    </row>
    <row r="768">
      <c r="A768" s="1" t="n">
        <v>867</v>
      </c>
      <c r="B768" s="1">
        <f>A768</f>
        <v/>
      </c>
      <c r="C768" s="1" t="inlineStr">
        <is>
          <t>vQ32sQ33</t>
        </is>
      </c>
      <c r="D768" s="1" t="inlineStr">
        <is>
          <t>數值</t>
        </is>
      </c>
      <c r="E768" s="9" t="n">
        <v>2</v>
      </c>
      <c r="G768" s="1" t="inlineStr">
        <is>
          <t>range</t>
        </is>
      </c>
      <c r="H768" s="1" t="inlineStr">
        <is>
          <t>1,5</t>
        </is>
      </c>
      <c r="I768" s="1" t="inlineStr">
        <is>
          <t>97</t>
        </is>
      </c>
      <c r="J768" s="1" t="inlineStr">
        <is>
          <t>98</t>
        </is>
      </c>
      <c r="L768" s="2">
        <f>_xlfn.CONCAT(IF(D768="數值",CONCATENATE(G768&amp;"("&amp;C768&amp;","&amp;
IF(ISERROR(SEARCH(",",H768,1)),(H768&amp;","&amp;H768),H768)&amp;
IF(ISBLANK(I768),"",IF(ISERROR(SEARCH(",",I768,1)),CONCATENATE(","&amp;I768&amp;","&amp;I768),CONCATENATE(","&amp;I768))&amp;
IF(ISBLANK(J768),"",IF(ISERROR(SEARCH(",",J768,1)),CONCATENATE(","&amp;J768&amp;","&amp;J768),CONCATENATE(","&amp;J768))&amp;
IF(ISBLANK(K768),"",IF(ISERROR(SEARCH(",",K768,1)),CONCATENATE(","&amp;K768&amp;","&amp;K768),CONCATENATE(","&amp;K768))))))&amp;
")","")&amp;" "&amp;F768)</f>
        <v/>
      </c>
    </row>
    <row r="769">
      <c r="A769" s="1" t="n">
        <v>868</v>
      </c>
      <c r="B769" s="1">
        <f>A769</f>
        <v/>
      </c>
      <c r="C769" s="1" t="inlineStr">
        <is>
          <t>vQ32sQ34</t>
        </is>
      </c>
      <c r="D769" s="1" t="inlineStr">
        <is>
          <t>數值</t>
        </is>
      </c>
      <c r="E769" s="9" t="n">
        <v>2</v>
      </c>
      <c r="G769" s="1" t="inlineStr">
        <is>
          <t>range</t>
        </is>
      </c>
      <c r="H769" s="1" t="inlineStr">
        <is>
          <t>1,5</t>
        </is>
      </c>
      <c r="I769" s="1" t="inlineStr">
        <is>
          <t>97</t>
        </is>
      </c>
      <c r="J769" s="1" t="inlineStr">
        <is>
          <t>98</t>
        </is>
      </c>
      <c r="L769" s="2">
        <f>_xlfn.CONCAT(IF(D769="數值",CONCATENATE(G769&amp;"("&amp;C769&amp;","&amp;
IF(ISERROR(SEARCH(",",H769,1)),(H769&amp;","&amp;H769),H769)&amp;
IF(ISBLANK(I769),"",IF(ISERROR(SEARCH(",",I769,1)),CONCATENATE(","&amp;I769&amp;","&amp;I769),CONCATENATE(","&amp;I769))&amp;
IF(ISBLANK(J769),"",IF(ISERROR(SEARCH(",",J769,1)),CONCATENATE(","&amp;J769&amp;","&amp;J769),CONCATENATE(","&amp;J769))&amp;
IF(ISBLANK(K769),"",IF(ISERROR(SEARCH(",",K769,1)),CONCATENATE(","&amp;K769&amp;","&amp;K769),CONCATENATE(","&amp;K769))))))&amp;
")","")&amp;" "&amp;F769)</f>
        <v/>
      </c>
    </row>
    <row r="770">
      <c r="A770" s="1" t="n">
        <v>869</v>
      </c>
      <c r="B770" s="1">
        <f>A770</f>
        <v/>
      </c>
      <c r="C770" s="1" t="inlineStr">
        <is>
          <t>vQ58s58</t>
        </is>
      </c>
      <c r="D770" s="1" t="inlineStr">
        <is>
          <t>數值</t>
        </is>
      </c>
      <c r="E770" s="9" t="n">
        <v>2</v>
      </c>
      <c r="G770" s="1" t="inlineStr">
        <is>
          <t>range</t>
        </is>
      </c>
      <c r="H770" s="1" t="inlineStr">
        <is>
          <t>1,5</t>
        </is>
      </c>
      <c r="I770" s="1" t="inlineStr">
        <is>
          <t>97</t>
        </is>
      </c>
      <c r="J770" s="1" t="inlineStr">
        <is>
          <t>98</t>
        </is>
      </c>
      <c r="L770" s="2">
        <f>_xlfn.CONCAT(IF(D770="數值",CONCATENATE(G770&amp;"("&amp;C770&amp;","&amp;
IF(ISERROR(SEARCH(",",H770,1)),(H770&amp;","&amp;H770),H770)&amp;
IF(ISBLANK(I770),"",IF(ISERROR(SEARCH(",",I770,1)),CONCATENATE(","&amp;I770&amp;","&amp;I770),CONCATENATE(","&amp;I770))&amp;
IF(ISBLANK(J770),"",IF(ISERROR(SEARCH(",",J770,1)),CONCATENATE(","&amp;J770&amp;","&amp;J770),CONCATENATE(","&amp;J770))&amp;
IF(ISBLANK(K770),"",IF(ISERROR(SEARCH(",",K770,1)),CONCATENATE(","&amp;K770&amp;","&amp;K770),CONCATENATE(","&amp;K770))))))&amp;
")","")&amp;" "&amp;F770)</f>
        <v/>
      </c>
    </row>
    <row r="771">
      <c r="A771" s="1" t="n">
        <v>870</v>
      </c>
      <c r="B771" s="1">
        <f>A771</f>
        <v/>
      </c>
      <c r="C771" s="1" t="inlineStr">
        <is>
          <t>vQ58s59</t>
        </is>
      </c>
      <c r="D771" s="1" t="inlineStr">
        <is>
          <t>數值</t>
        </is>
      </c>
      <c r="E771" s="9" t="n">
        <v>2</v>
      </c>
      <c r="G771" s="1" t="inlineStr">
        <is>
          <t>range</t>
        </is>
      </c>
      <c r="H771" s="1" t="inlineStr">
        <is>
          <t>1,5</t>
        </is>
      </c>
      <c r="I771" s="1" t="inlineStr">
        <is>
          <t>97</t>
        </is>
      </c>
      <c r="J771" s="1" t="inlineStr">
        <is>
          <t>98</t>
        </is>
      </c>
      <c r="L771" s="2">
        <f>_xlfn.CONCAT(IF(D771="數值",CONCATENATE(G771&amp;"("&amp;C771&amp;","&amp;
IF(ISERROR(SEARCH(",",H771,1)),(H771&amp;","&amp;H771),H771)&amp;
IF(ISBLANK(I771),"",IF(ISERROR(SEARCH(",",I771,1)),CONCATENATE(","&amp;I771&amp;","&amp;I771),CONCATENATE(","&amp;I771))&amp;
IF(ISBLANK(J771),"",IF(ISERROR(SEARCH(",",J771,1)),CONCATENATE(","&amp;J771&amp;","&amp;J771),CONCATENATE(","&amp;J771))&amp;
IF(ISBLANK(K771),"",IF(ISERROR(SEARCH(",",K771,1)),CONCATENATE(","&amp;K771&amp;","&amp;K771),CONCATENATE(","&amp;K771))))))&amp;
")","")&amp;" "&amp;F771)</f>
        <v/>
      </c>
    </row>
    <row r="772">
      <c r="A772" s="1" t="n">
        <v>871</v>
      </c>
      <c r="B772" s="1">
        <f>A772</f>
        <v/>
      </c>
      <c r="C772" s="1" t="inlineStr">
        <is>
          <t>vQ58s60</t>
        </is>
      </c>
      <c r="D772" s="1" t="inlineStr">
        <is>
          <t>數值</t>
        </is>
      </c>
      <c r="E772" s="9" t="n">
        <v>2</v>
      </c>
      <c r="G772" s="1" t="inlineStr">
        <is>
          <t>range</t>
        </is>
      </c>
      <c r="H772" s="1" t="inlineStr">
        <is>
          <t>1,5</t>
        </is>
      </c>
      <c r="I772" s="1" t="inlineStr">
        <is>
          <t>97</t>
        </is>
      </c>
      <c r="J772" s="1" t="inlineStr">
        <is>
          <t>98</t>
        </is>
      </c>
      <c r="L772" s="2">
        <f>_xlfn.CONCAT(IF(D772="數值",CONCATENATE(G772&amp;"("&amp;C772&amp;","&amp;
IF(ISERROR(SEARCH(",",H772,1)),(H772&amp;","&amp;H772),H772)&amp;
IF(ISBLANK(I772),"",IF(ISERROR(SEARCH(",",I772,1)),CONCATENATE(","&amp;I772&amp;","&amp;I772),CONCATENATE(","&amp;I772))&amp;
IF(ISBLANK(J772),"",IF(ISERROR(SEARCH(",",J772,1)),CONCATENATE(","&amp;J772&amp;","&amp;J772),CONCATENATE(","&amp;J772))&amp;
IF(ISBLANK(K772),"",IF(ISERROR(SEARCH(",",K772,1)),CONCATENATE(","&amp;K772&amp;","&amp;K772),CONCATENATE(","&amp;K772))))))&amp;
")","")&amp;" "&amp;F772)</f>
        <v/>
      </c>
    </row>
    <row r="773">
      <c r="A773" s="1" t="n">
        <v>872</v>
      </c>
      <c r="B773" s="1">
        <f>A773</f>
        <v/>
      </c>
      <c r="C773" s="1" t="inlineStr">
        <is>
          <t>vQ58s61</t>
        </is>
      </c>
      <c r="D773" s="1" t="inlineStr">
        <is>
          <t>數值</t>
        </is>
      </c>
      <c r="E773" s="9" t="n">
        <v>2</v>
      </c>
      <c r="G773" s="1" t="inlineStr">
        <is>
          <t>range</t>
        </is>
      </c>
      <c r="H773" s="1" t="inlineStr">
        <is>
          <t>1,5</t>
        </is>
      </c>
      <c r="I773" s="1" t="inlineStr">
        <is>
          <t>97</t>
        </is>
      </c>
      <c r="J773" s="1" t="inlineStr">
        <is>
          <t>98</t>
        </is>
      </c>
      <c r="L773" s="2">
        <f>_xlfn.CONCAT(IF(D773="數值",CONCATENATE(G773&amp;"("&amp;C773&amp;","&amp;
IF(ISERROR(SEARCH(",",H773,1)),(H773&amp;","&amp;H773),H773)&amp;
IF(ISBLANK(I773),"",IF(ISERROR(SEARCH(",",I773,1)),CONCATENATE(","&amp;I773&amp;","&amp;I773),CONCATENATE(","&amp;I773))&amp;
IF(ISBLANK(J773),"",IF(ISERROR(SEARCH(",",J773,1)),CONCATENATE(","&amp;J773&amp;","&amp;J773),CONCATENATE(","&amp;J773))&amp;
IF(ISBLANK(K773),"",IF(ISERROR(SEARCH(",",K773,1)),CONCATENATE(","&amp;K773&amp;","&amp;K773),CONCATENATE(","&amp;K773))))))&amp;
")","")&amp;" "&amp;F773)</f>
        <v/>
      </c>
    </row>
    <row r="774">
      <c r="A774" s="1" t="n">
        <v>873</v>
      </c>
      <c r="B774" s="1">
        <f>A774</f>
        <v/>
      </c>
      <c r="C774" s="1" t="inlineStr">
        <is>
          <t>vQ46</t>
        </is>
      </c>
      <c r="D774" s="1" t="inlineStr">
        <is>
          <t>數值</t>
        </is>
      </c>
      <c r="E774" s="9" t="n">
        <v>2</v>
      </c>
      <c r="G774" s="1" t="inlineStr">
        <is>
          <t>range</t>
        </is>
      </c>
      <c r="H774" s="1" t="inlineStr">
        <is>
          <t>1,5</t>
        </is>
      </c>
      <c r="I774" s="1" t="inlineStr">
        <is>
          <t>97</t>
        </is>
      </c>
      <c r="J774" s="1" t="inlineStr">
        <is>
          <t>98</t>
        </is>
      </c>
      <c r="L774" s="2">
        <f>_xlfn.CONCAT(IF(D774="數值",CONCATENATE(G774&amp;"("&amp;C774&amp;","&amp;
IF(ISERROR(SEARCH(",",H774,1)),(H774&amp;","&amp;H774),H774)&amp;
IF(ISBLANK(I774),"",IF(ISERROR(SEARCH(",",I774,1)),CONCATENATE(","&amp;I774&amp;","&amp;I774),CONCATENATE(","&amp;I774))&amp;
IF(ISBLANK(J774),"",IF(ISERROR(SEARCH(",",J774,1)),CONCATENATE(","&amp;J774&amp;","&amp;J774),CONCATENATE(","&amp;J774))&amp;
IF(ISBLANK(K774),"",IF(ISERROR(SEARCH(",",K774,1)),CONCATENATE(","&amp;K774&amp;","&amp;K774),CONCATENATE(","&amp;K774))))))&amp;
")","")&amp;" "&amp;F774)</f>
        <v/>
      </c>
    </row>
    <row r="775">
      <c r="A775" s="1" t="n">
        <v>874</v>
      </c>
      <c r="B775" s="1">
        <f>A775</f>
        <v/>
      </c>
      <c r="C775" s="1" t="inlineStr">
        <is>
          <t>vP3_2</t>
        </is>
      </c>
      <c r="D775" s="1" t="inlineStr">
        <is>
          <t>數值</t>
        </is>
      </c>
      <c r="E775" s="9" t="n">
        <v>2</v>
      </c>
      <c r="G775" s="1" t="inlineStr">
        <is>
          <t>range</t>
        </is>
      </c>
      <c r="H775" s="1" t="inlineStr">
        <is>
          <t>1,5</t>
        </is>
      </c>
      <c r="I775" s="1" t="inlineStr">
        <is>
          <t>97</t>
        </is>
      </c>
      <c r="J775" s="1" t="inlineStr">
        <is>
          <t>98</t>
        </is>
      </c>
      <c r="L775" s="2">
        <f>_xlfn.CONCAT(IF(D775="數值",CONCATENATE(G775&amp;"("&amp;C775&amp;","&amp;
IF(ISERROR(SEARCH(",",H775,1)),(H775&amp;","&amp;H775),H775)&amp;
IF(ISBLANK(I775),"",IF(ISERROR(SEARCH(",",I775,1)),CONCATENATE(","&amp;I775&amp;","&amp;I775),CONCATENATE(","&amp;I775))&amp;
IF(ISBLANK(J775),"",IF(ISERROR(SEARCH(",",J775,1)),CONCATENATE(","&amp;J775&amp;","&amp;J775),CONCATENATE(","&amp;J775))&amp;
IF(ISBLANK(K775),"",IF(ISERROR(SEARCH(",",K775,1)),CONCATENATE(","&amp;K775&amp;","&amp;K775),CONCATENATE(","&amp;K775))))))&amp;
")","")&amp;" "&amp;F775)</f>
        <v/>
      </c>
    </row>
    <row r="776">
      <c r="A776" s="1" t="n">
        <v>875</v>
      </c>
      <c r="B776" s="1">
        <f>A776</f>
        <v/>
      </c>
      <c r="C776" s="1" t="inlineStr">
        <is>
          <t>vP3_3</t>
        </is>
      </c>
      <c r="D776" s="1" t="inlineStr">
        <is>
          <t>數值</t>
        </is>
      </c>
      <c r="E776" s="9" t="n">
        <v>2</v>
      </c>
      <c r="G776" s="1" t="inlineStr">
        <is>
          <t>range</t>
        </is>
      </c>
      <c r="H776" s="1" t="inlineStr">
        <is>
          <t>1,5</t>
        </is>
      </c>
      <c r="I776" s="1" t="inlineStr">
        <is>
          <t>97</t>
        </is>
      </c>
      <c r="J776" s="1" t="inlineStr">
        <is>
          <t>98</t>
        </is>
      </c>
      <c r="L776" s="2">
        <f>_xlfn.CONCAT(IF(D776="數值",CONCATENATE(G776&amp;"("&amp;C776&amp;","&amp;
IF(ISERROR(SEARCH(",",H776,1)),(H776&amp;","&amp;H776),H776)&amp;
IF(ISBLANK(I776),"",IF(ISERROR(SEARCH(",",I776,1)),CONCATENATE(","&amp;I776&amp;","&amp;I776),CONCATENATE(","&amp;I776))&amp;
IF(ISBLANK(J776),"",IF(ISERROR(SEARCH(",",J776,1)),CONCATENATE(","&amp;J776&amp;","&amp;J776),CONCATENATE(","&amp;J776))&amp;
IF(ISBLANK(K776),"",IF(ISERROR(SEARCH(",",K776,1)),CONCATENATE(","&amp;K776&amp;","&amp;K776),CONCATENATE(","&amp;K776))))))&amp;
")","")&amp;" "&amp;F776)</f>
        <v/>
      </c>
    </row>
    <row r="777">
      <c r="A777" s="1" t="n">
        <v>876</v>
      </c>
      <c r="B777" s="1">
        <f>A777</f>
        <v/>
      </c>
      <c r="C777" s="1" t="inlineStr">
        <is>
          <t>vP2_1</t>
        </is>
      </c>
      <c r="D777" s="1" t="inlineStr">
        <is>
          <t>數值</t>
        </is>
      </c>
      <c r="E777" s="9" t="n">
        <v>2</v>
      </c>
      <c r="G777" s="1" t="inlineStr">
        <is>
          <t>range</t>
        </is>
      </c>
      <c r="H777" s="1" t="inlineStr">
        <is>
          <t>1,4</t>
        </is>
      </c>
      <c r="I777" s="1" t="inlineStr">
        <is>
          <t>97</t>
        </is>
      </c>
      <c r="J777" s="1" t="inlineStr">
        <is>
          <t>98</t>
        </is>
      </c>
      <c r="L777" s="2">
        <f>_xlfn.CONCAT(IF(D777="數值",CONCATENATE(G777&amp;"("&amp;C777&amp;","&amp;
IF(ISERROR(SEARCH(",",H777,1)),(H777&amp;","&amp;H777),H777)&amp;
IF(ISBLANK(I777),"",IF(ISERROR(SEARCH(",",I777,1)),CONCATENATE(","&amp;I777&amp;","&amp;I777),CONCATENATE(","&amp;I777))&amp;
IF(ISBLANK(J777),"",IF(ISERROR(SEARCH(",",J777,1)),CONCATENATE(","&amp;J777&amp;","&amp;J777),CONCATENATE(","&amp;J777))&amp;
IF(ISBLANK(K777),"",IF(ISERROR(SEARCH(",",K777,1)),CONCATENATE(","&amp;K777&amp;","&amp;K777),CONCATENATE(","&amp;K777))))))&amp;
")","")&amp;" "&amp;F777)</f>
        <v/>
      </c>
    </row>
    <row r="778">
      <c r="A778" s="1" t="n">
        <v>877</v>
      </c>
      <c r="B778" s="1">
        <f>A778</f>
        <v/>
      </c>
      <c r="C778" s="1" t="inlineStr">
        <is>
          <t>vP2_2</t>
        </is>
      </c>
      <c r="D778" s="1" t="inlineStr">
        <is>
          <t>數值</t>
        </is>
      </c>
      <c r="E778" s="9" t="n">
        <v>2</v>
      </c>
      <c r="G778" s="1" t="inlineStr">
        <is>
          <t>range</t>
        </is>
      </c>
      <c r="H778" s="1" t="inlineStr">
        <is>
          <t>1,4</t>
        </is>
      </c>
      <c r="I778" s="1" t="inlineStr">
        <is>
          <t>97</t>
        </is>
      </c>
      <c r="J778" s="1" t="inlineStr">
        <is>
          <t>98</t>
        </is>
      </c>
      <c r="L778" s="2">
        <f>_xlfn.CONCAT(IF(D778="數值",CONCATENATE(G778&amp;"("&amp;C778&amp;","&amp;
IF(ISERROR(SEARCH(",",H778,1)),(H778&amp;","&amp;H778),H778)&amp;
IF(ISBLANK(I778),"",IF(ISERROR(SEARCH(",",I778,1)),CONCATENATE(","&amp;I778&amp;","&amp;I778),CONCATENATE(","&amp;I778))&amp;
IF(ISBLANK(J778),"",IF(ISERROR(SEARCH(",",J778,1)),CONCATENATE(","&amp;J778&amp;","&amp;J778),CONCATENATE(","&amp;J778))&amp;
IF(ISBLANK(K778),"",IF(ISERROR(SEARCH(",",K778,1)),CONCATENATE(","&amp;K778&amp;","&amp;K778),CONCATENATE(","&amp;K778))))))&amp;
")","")&amp;" "&amp;F778)</f>
        <v/>
      </c>
    </row>
    <row r="779">
      <c r="A779" s="1" t="n">
        <v>878</v>
      </c>
      <c r="B779" s="1">
        <f>A779</f>
        <v/>
      </c>
      <c r="C779" s="1" t="inlineStr">
        <is>
          <t>vP2_3</t>
        </is>
      </c>
      <c r="D779" s="1" t="inlineStr">
        <is>
          <t>數值</t>
        </is>
      </c>
      <c r="E779" s="9" t="n">
        <v>2</v>
      </c>
      <c r="G779" s="1" t="inlineStr">
        <is>
          <t>range</t>
        </is>
      </c>
      <c r="H779" s="1" t="inlineStr">
        <is>
          <t>1,4</t>
        </is>
      </c>
      <c r="I779" s="1" t="inlineStr">
        <is>
          <t>97</t>
        </is>
      </c>
      <c r="J779" s="1" t="inlineStr">
        <is>
          <t>98</t>
        </is>
      </c>
      <c r="L779" s="2">
        <f>_xlfn.CONCAT(IF(D779="數值",CONCATENATE(G779&amp;"("&amp;C779&amp;","&amp;
IF(ISERROR(SEARCH(",",H779,1)),(H779&amp;","&amp;H779),H779)&amp;
IF(ISBLANK(I779),"",IF(ISERROR(SEARCH(",",I779,1)),CONCATENATE(","&amp;I779&amp;","&amp;I779),CONCATENATE(","&amp;I779))&amp;
IF(ISBLANK(J779),"",IF(ISERROR(SEARCH(",",J779,1)),CONCATENATE(","&amp;J779&amp;","&amp;J779),CONCATENATE(","&amp;J779))&amp;
IF(ISBLANK(K779),"",IF(ISERROR(SEARCH(",",K779,1)),CONCATENATE(","&amp;K779&amp;","&amp;K779),CONCATENATE(","&amp;K779))))))&amp;
")","")&amp;" "&amp;F779)</f>
        <v/>
      </c>
    </row>
    <row r="780">
      <c r="A780" s="1" t="n">
        <v>879</v>
      </c>
      <c r="B780" s="1">
        <f>A780</f>
        <v/>
      </c>
      <c r="C780" s="1" t="inlineStr">
        <is>
          <t>vP2_4</t>
        </is>
      </c>
      <c r="D780" s="1" t="inlineStr">
        <is>
          <t>數值</t>
        </is>
      </c>
      <c r="E780" s="9" t="n">
        <v>2</v>
      </c>
      <c r="G780" s="1" t="inlineStr">
        <is>
          <t>range</t>
        </is>
      </c>
      <c r="H780" s="1" t="inlineStr">
        <is>
          <t>1,5</t>
        </is>
      </c>
      <c r="I780" s="1" t="inlineStr">
        <is>
          <t>97</t>
        </is>
      </c>
      <c r="J780" s="1" t="inlineStr">
        <is>
          <t>98</t>
        </is>
      </c>
      <c r="L780" s="2">
        <f>_xlfn.CONCAT(IF(D780="數值",CONCATENATE(G780&amp;"("&amp;C780&amp;","&amp;
IF(ISERROR(SEARCH(",",H780,1)),(H780&amp;","&amp;H780),H780)&amp;
IF(ISBLANK(I780),"",IF(ISERROR(SEARCH(",",I780,1)),CONCATENATE(","&amp;I780&amp;","&amp;I780),CONCATENATE(","&amp;I780))&amp;
IF(ISBLANK(J780),"",IF(ISERROR(SEARCH(",",J780,1)),CONCATENATE(","&amp;J780&amp;","&amp;J780),CONCATENATE(","&amp;J780))&amp;
IF(ISBLANK(K780),"",IF(ISERROR(SEARCH(",",K780,1)),CONCATENATE(","&amp;K780&amp;","&amp;K780),CONCATENATE(","&amp;K780))))))&amp;
")","")&amp;" "&amp;F780)</f>
        <v/>
      </c>
    </row>
    <row r="781">
      <c r="A781" s="1" t="n">
        <v>880</v>
      </c>
      <c r="B781" s="1">
        <f>A781</f>
        <v/>
      </c>
      <c r="C781" s="1" t="inlineStr">
        <is>
          <t>vP2_5</t>
        </is>
      </c>
      <c r="D781" s="1" t="inlineStr">
        <is>
          <t>數值</t>
        </is>
      </c>
      <c r="E781" s="9" t="n">
        <v>2</v>
      </c>
      <c r="G781" s="1" t="inlineStr">
        <is>
          <t>range</t>
        </is>
      </c>
      <c r="H781" s="1" t="inlineStr">
        <is>
          <t>1,5</t>
        </is>
      </c>
      <c r="I781" s="1" t="inlineStr">
        <is>
          <t>97</t>
        </is>
      </c>
      <c r="J781" s="1" t="inlineStr">
        <is>
          <t>98</t>
        </is>
      </c>
      <c r="L781" s="2">
        <f>_xlfn.CONCAT(IF(D781="數值",CONCATENATE(G781&amp;"("&amp;C781&amp;","&amp;
IF(ISERROR(SEARCH(",",H781,1)),(H781&amp;","&amp;H781),H781)&amp;
IF(ISBLANK(I781),"",IF(ISERROR(SEARCH(",",I781,1)),CONCATENATE(","&amp;I781&amp;","&amp;I781),CONCATENATE(","&amp;I781))&amp;
IF(ISBLANK(J781),"",IF(ISERROR(SEARCH(",",J781,1)),CONCATENATE(","&amp;J781&amp;","&amp;J781),CONCATENATE(","&amp;J781))&amp;
IF(ISBLANK(K781),"",IF(ISERROR(SEARCH(",",K781,1)),CONCATENATE(","&amp;K781&amp;","&amp;K781),CONCATENATE(","&amp;K781))))))&amp;
")","")&amp;" "&amp;F781)</f>
        <v/>
      </c>
    </row>
    <row r="782">
      <c r="A782" s="1" t="n">
        <v>881</v>
      </c>
      <c r="B782" s="1">
        <f>A782</f>
        <v/>
      </c>
      <c r="C782" s="1" t="inlineStr">
        <is>
          <t>vP2_6</t>
        </is>
      </c>
      <c r="D782" s="1" t="inlineStr">
        <is>
          <t>數值</t>
        </is>
      </c>
      <c r="E782" s="9" t="n">
        <v>2</v>
      </c>
      <c r="G782" s="1" t="inlineStr">
        <is>
          <t>range</t>
        </is>
      </c>
      <c r="H782" s="1" t="inlineStr">
        <is>
          <t>1,5</t>
        </is>
      </c>
      <c r="I782" s="1" t="inlineStr">
        <is>
          <t>97</t>
        </is>
      </c>
      <c r="J782" s="1" t="inlineStr">
        <is>
          <t>98</t>
        </is>
      </c>
      <c r="L782" s="2">
        <f>_xlfn.CONCAT(IF(D782="數值",CONCATENATE(G782&amp;"("&amp;C782&amp;","&amp;
IF(ISERROR(SEARCH(",",H782,1)),(H782&amp;","&amp;H782),H782)&amp;
IF(ISBLANK(I782),"",IF(ISERROR(SEARCH(",",I782,1)),CONCATENATE(","&amp;I782&amp;","&amp;I782),CONCATENATE(","&amp;I782))&amp;
IF(ISBLANK(J782),"",IF(ISERROR(SEARCH(",",J782,1)),CONCATENATE(","&amp;J782&amp;","&amp;J782),CONCATENATE(","&amp;J782))&amp;
IF(ISBLANK(K782),"",IF(ISERROR(SEARCH(",",K782,1)),CONCATENATE(","&amp;K782&amp;","&amp;K782),CONCATENATE(","&amp;K782))))))&amp;
")","")&amp;" "&amp;F782)</f>
        <v/>
      </c>
    </row>
    <row r="783">
      <c r="A783" s="1" t="n">
        <v>882</v>
      </c>
      <c r="B783" s="1">
        <f>A783</f>
        <v/>
      </c>
      <c r="C783" s="1" t="inlineStr">
        <is>
          <t>vQ43</t>
        </is>
      </c>
      <c r="D783" s="1" t="inlineStr">
        <is>
          <t>數值</t>
        </is>
      </c>
      <c r="E783" s="9" t="n">
        <v>2</v>
      </c>
      <c r="G783" s="1" t="inlineStr">
        <is>
          <t>range</t>
        </is>
      </c>
      <c r="H783" s="1" t="inlineStr">
        <is>
          <t>1,8</t>
        </is>
      </c>
      <c r="I783" s="1" t="inlineStr">
        <is>
          <t>97</t>
        </is>
      </c>
      <c r="J783" s="1" t="inlineStr">
        <is>
          <t>98</t>
        </is>
      </c>
      <c r="L783" s="2">
        <f>_xlfn.CONCAT(IF(D783="數值",CONCATENATE(G783&amp;"("&amp;C783&amp;","&amp;
IF(ISERROR(SEARCH(",",H783,1)),(H783&amp;","&amp;H783),H783)&amp;
IF(ISBLANK(I783),"",IF(ISERROR(SEARCH(",",I783,1)),CONCATENATE(","&amp;I783&amp;","&amp;I783),CONCATENATE(","&amp;I783))&amp;
IF(ISBLANK(J783),"",IF(ISERROR(SEARCH(",",J783,1)),CONCATENATE(","&amp;J783&amp;","&amp;J783),CONCATENATE(","&amp;J783))&amp;
IF(ISBLANK(K783),"",IF(ISERROR(SEARCH(",",K783,1)),CONCATENATE(","&amp;K783&amp;","&amp;K783),CONCATENATE(","&amp;K783))))))&amp;
")","")&amp;" "&amp;F783)</f>
        <v/>
      </c>
    </row>
    <row r="784">
      <c r="A784" s="1" t="n">
        <v>883</v>
      </c>
      <c r="B784" s="1">
        <f>A784</f>
        <v/>
      </c>
      <c r="C784" s="1" t="inlineStr">
        <is>
          <t>vQ44</t>
        </is>
      </c>
      <c r="D784" s="1" t="inlineStr">
        <is>
          <t>數值</t>
        </is>
      </c>
      <c r="E784" s="9" t="n">
        <v>2</v>
      </c>
      <c r="G784" s="1" t="inlineStr">
        <is>
          <t>range</t>
        </is>
      </c>
      <c r="H784" s="1" t="inlineStr">
        <is>
          <t>1,89</t>
        </is>
      </c>
      <c r="I784" s="1" t="inlineStr">
        <is>
          <t>90</t>
        </is>
      </c>
      <c r="J784" s="1" t="inlineStr">
        <is>
          <t>91</t>
        </is>
      </c>
      <c r="K784" s="1" t="inlineStr">
        <is>
          <t>92</t>
        </is>
      </c>
      <c r="L784" s="2">
        <f>_xlfn.CONCAT(IF(D784="數值",CONCATENATE(G784&amp;"("&amp;C784&amp;","&amp;
IF(ISERROR(SEARCH(",",H784,1)),(H784&amp;","&amp;H784),H784)&amp;
IF(ISBLANK(I784),"",IF(ISERROR(SEARCH(",",I784,1)),CONCATENATE(","&amp;I784&amp;","&amp;I784),CONCATENATE(","&amp;I784))&amp;
IF(ISBLANK(J784),"",IF(ISERROR(SEARCH(",",J784,1)),CONCATENATE(","&amp;J784&amp;","&amp;J784),CONCATENATE(","&amp;J784))&amp;
IF(ISBLANK(K784),"",IF(ISERROR(SEARCH(",",K784,1)),CONCATENATE(","&amp;K784&amp;","&amp;K784),CONCATENATE(","&amp;K784))))))&amp;
")","")&amp;" "&amp;F784)</f>
        <v/>
      </c>
    </row>
    <row r="785">
      <c r="A785" s="1" t="n">
        <v>884</v>
      </c>
      <c r="B785" s="1">
        <f>A785</f>
        <v/>
      </c>
      <c r="C785" s="1" t="inlineStr">
        <is>
          <t>vQ45</t>
        </is>
      </c>
      <c r="D785" s="1" t="inlineStr">
        <is>
          <t>數值</t>
        </is>
      </c>
      <c r="E785" s="9" t="n">
        <v>2</v>
      </c>
      <c r="G785" s="1" t="inlineStr">
        <is>
          <t>range</t>
        </is>
      </c>
      <c r="H785" s="1" t="inlineStr">
        <is>
          <t>1,89</t>
        </is>
      </c>
      <c r="I785" s="1" t="inlineStr">
        <is>
          <t>90</t>
        </is>
      </c>
      <c r="J785" s="1" t="inlineStr">
        <is>
          <t>91</t>
        </is>
      </c>
      <c r="K785" s="1" t="inlineStr">
        <is>
          <t>92</t>
        </is>
      </c>
      <c r="L785" s="2">
        <f>_xlfn.CONCAT(IF(D785="數值",CONCATENATE(G785&amp;"("&amp;C785&amp;","&amp;
IF(ISERROR(SEARCH(",",H785,1)),(H785&amp;","&amp;H785),H785)&amp;
IF(ISBLANK(I785),"",IF(ISERROR(SEARCH(",",I785,1)),CONCATENATE(","&amp;I785&amp;","&amp;I785),CONCATENATE(","&amp;I785))&amp;
IF(ISBLANK(J785),"",IF(ISERROR(SEARCH(",",J785,1)),CONCATENATE(","&amp;J785&amp;","&amp;J785),CONCATENATE(","&amp;J785))&amp;
IF(ISBLANK(K785),"",IF(ISERROR(SEARCH(",",K785,1)),CONCATENATE(","&amp;K785&amp;","&amp;K785),CONCATENATE(","&amp;K785))))))&amp;
")","")&amp;" "&amp;F785)</f>
        <v/>
      </c>
    </row>
    <row r="786">
      <c r="A786" s="1" t="n">
        <v>885</v>
      </c>
      <c r="B786" s="1">
        <f>A786</f>
        <v/>
      </c>
      <c r="C786" s="1" t="inlineStr">
        <is>
          <t>vQ47</t>
        </is>
      </c>
      <c r="D786" s="1" t="inlineStr">
        <is>
          <t>數值</t>
        </is>
      </c>
      <c r="E786" s="9" t="n">
        <v>4</v>
      </c>
      <c r="G786" s="1" t="inlineStr">
        <is>
          <t>range</t>
        </is>
      </c>
      <c r="H786" s="1" t="inlineStr">
        <is>
          <t>997</t>
        </is>
      </c>
      <c r="I786" s="1" t="inlineStr">
        <is>
          <t>998</t>
        </is>
      </c>
      <c r="L786" s="2">
        <f>_xlfn.CONCAT(IF(D786="數值",CONCATENATE(G786&amp;"("&amp;C786&amp;","&amp;
IF(ISERROR(SEARCH(",",H786,1)),(H786&amp;","&amp;H786),H786)&amp;
IF(ISBLANK(I786),"",IF(ISERROR(SEARCH(",",I786,1)),CONCATENATE(","&amp;I786&amp;","&amp;I786),CONCATENATE(","&amp;I786))&amp;
IF(ISBLANK(J786),"",IF(ISERROR(SEARCH(",",J786,1)),CONCATENATE(","&amp;J786&amp;","&amp;J786),CONCATENATE(","&amp;J786))&amp;
IF(ISBLANK(K786),"",IF(ISERROR(SEARCH(",",K786,1)),CONCATENATE(","&amp;K786&amp;","&amp;K786),CONCATENATE(","&amp;K786))))))&amp;
")","")&amp;" "&amp;F786)</f>
        <v/>
      </c>
    </row>
    <row r="787">
      <c r="A787" s="1" t="n">
        <v>886</v>
      </c>
      <c r="B787" s="1">
        <f>A787</f>
        <v/>
      </c>
      <c r="C787" s="1" t="inlineStr">
        <is>
          <t>vQ48</t>
        </is>
      </c>
      <c r="D787" s="1" t="inlineStr">
        <is>
          <t>數值</t>
        </is>
      </c>
      <c r="E787" s="9" t="n">
        <v>4</v>
      </c>
      <c r="G787" s="1" t="inlineStr">
        <is>
          <t>range</t>
        </is>
      </c>
      <c r="H787" s="1" t="inlineStr">
        <is>
          <t>997</t>
        </is>
      </c>
      <c r="I787" s="1" t="inlineStr">
        <is>
          <t>998</t>
        </is>
      </c>
      <c r="L787" s="2">
        <f>_xlfn.CONCAT(IF(D787="數值",CONCATENATE(G787&amp;"("&amp;C787&amp;","&amp;
IF(ISERROR(SEARCH(",",H787,1)),(H787&amp;","&amp;H787),H787)&amp;
IF(ISBLANK(I787),"",IF(ISERROR(SEARCH(",",I787,1)),CONCATENATE(","&amp;I787&amp;","&amp;I787),CONCATENATE(","&amp;I787))&amp;
IF(ISBLANK(J787),"",IF(ISERROR(SEARCH(",",J787,1)),CONCATENATE(","&amp;J787&amp;","&amp;J787),CONCATENATE(","&amp;J787))&amp;
IF(ISBLANK(K787),"",IF(ISERROR(SEARCH(",",K787,1)),CONCATENATE(","&amp;K787&amp;","&amp;K787),CONCATENATE(","&amp;K787))))))&amp;
")","")&amp;" "&amp;F787)</f>
        <v/>
      </c>
    </row>
    <row r="788">
      <c r="A788" s="1" t="n">
        <v>887</v>
      </c>
      <c r="B788" s="1">
        <f>A788</f>
        <v/>
      </c>
      <c r="C788" s="1" t="inlineStr">
        <is>
          <t>vQ62</t>
        </is>
      </c>
      <c r="D788" s="1" t="inlineStr">
        <is>
          <t>數值</t>
        </is>
      </c>
      <c r="E788" s="9" t="n">
        <v>4</v>
      </c>
      <c r="G788" s="1" t="inlineStr">
        <is>
          <t>range</t>
        </is>
      </c>
      <c r="H788" s="1" t="inlineStr">
        <is>
          <t>997</t>
        </is>
      </c>
      <c r="I788" s="1" t="inlineStr">
        <is>
          <t>998</t>
        </is>
      </c>
      <c r="L788" s="2">
        <f>_xlfn.CONCAT(IF(D788="數值",CONCATENATE(G788&amp;"("&amp;C788&amp;","&amp;
IF(ISERROR(SEARCH(",",H788,1)),(H788&amp;","&amp;H788),H788)&amp;
IF(ISBLANK(I788),"",IF(ISERROR(SEARCH(",",I788,1)),CONCATENATE(","&amp;I788&amp;","&amp;I788),CONCATENATE(","&amp;I788))&amp;
IF(ISBLANK(J788),"",IF(ISERROR(SEARCH(",",J788,1)),CONCATENATE(","&amp;J788&amp;","&amp;J788),CONCATENATE(","&amp;J788))&amp;
IF(ISBLANK(K788),"",IF(ISERROR(SEARCH(",",K788,1)),CONCATENATE(","&amp;K788&amp;","&amp;K788),CONCATENATE(","&amp;K788))))))&amp;
")","")&amp;" "&amp;F788)</f>
        <v/>
      </c>
    </row>
    <row r="789">
      <c r="A789" s="1" t="n">
        <v>888</v>
      </c>
      <c r="B789" s="1">
        <f>A789</f>
        <v/>
      </c>
      <c r="C789" s="1" t="inlineStr">
        <is>
          <t>vQ49</t>
        </is>
      </c>
      <c r="D789" s="1" t="inlineStr">
        <is>
          <t>數值</t>
        </is>
      </c>
      <c r="E789" s="9" t="n">
        <v>2</v>
      </c>
      <c r="G789" s="1" t="inlineStr">
        <is>
          <t>range</t>
        </is>
      </c>
      <c r="H789" s="1" t="inlineStr">
        <is>
          <t>1,2</t>
        </is>
      </c>
      <c r="I789" s="1" t="inlineStr">
        <is>
          <t>97</t>
        </is>
      </c>
      <c r="J789" s="1" t="inlineStr">
        <is>
          <t>98</t>
        </is>
      </c>
      <c r="L789" s="2">
        <f>_xlfn.CONCAT(IF(D789="數值",CONCATENATE(G789&amp;"("&amp;C789&amp;","&amp;
IF(ISERROR(SEARCH(",",H789,1)),(H789&amp;","&amp;H789),H789)&amp;
IF(ISBLANK(I789),"",IF(ISERROR(SEARCH(",",I789,1)),CONCATENATE(","&amp;I789&amp;","&amp;I789),CONCATENATE(","&amp;I789))&amp;
IF(ISBLANK(J789),"",IF(ISERROR(SEARCH(",",J789,1)),CONCATENATE(","&amp;J789&amp;","&amp;J789),CONCATENATE(","&amp;J789))&amp;
IF(ISBLANK(K789),"",IF(ISERROR(SEARCH(",",K789,1)),CONCATENATE(","&amp;K789&amp;","&amp;K789),CONCATENATE(","&amp;K789))))))&amp;
")","")&amp;" "&amp;F789)</f>
        <v/>
      </c>
    </row>
    <row r="790">
      <c r="A790" s="1" t="n">
        <v>889</v>
      </c>
      <c r="B790" s="1">
        <f>A790</f>
        <v/>
      </c>
      <c r="C790" s="1" t="inlineStr">
        <is>
          <t>vQ50</t>
        </is>
      </c>
      <c r="D790" s="1" t="inlineStr">
        <is>
          <t>數值</t>
        </is>
      </c>
      <c r="E790" s="9" t="n">
        <v>2</v>
      </c>
      <c r="G790" s="1" t="inlineStr">
        <is>
          <t>range</t>
        </is>
      </c>
      <c r="H790" s="1" t="inlineStr">
        <is>
          <t>2</t>
        </is>
      </c>
      <c r="I790" s="1" t="inlineStr">
        <is>
          <t>97</t>
        </is>
      </c>
      <c r="J790" s="1" t="inlineStr">
        <is>
          <t>98</t>
        </is>
      </c>
      <c r="L790" s="2">
        <f>_xlfn.CONCAT(IF(D790="數值",CONCATENATE(G790&amp;"("&amp;C790&amp;","&amp;
IF(ISERROR(SEARCH(",",H790,1)),(H790&amp;","&amp;H790),H790)&amp;
IF(ISBLANK(I790),"",IF(ISERROR(SEARCH(",",I790,1)),CONCATENATE(","&amp;I790&amp;","&amp;I790),CONCATENATE(","&amp;I790))&amp;
IF(ISBLANK(J790),"",IF(ISERROR(SEARCH(",",J790,1)),CONCATENATE(","&amp;J790&amp;","&amp;J790),CONCATENATE(","&amp;J790))&amp;
IF(ISBLANK(K790),"",IF(ISERROR(SEARCH(",",K790,1)),CONCATENATE(","&amp;K790&amp;","&amp;K790),CONCATENATE(","&amp;K790))))))&amp;
")","")&amp;" "&amp;F790)</f>
        <v/>
      </c>
    </row>
    <row r="791">
      <c r="A791" s="1" t="n">
        <v>890</v>
      </c>
      <c r="B791" s="1">
        <f>A791</f>
        <v/>
      </c>
      <c r="C791" s="1" t="inlineStr">
        <is>
          <t>vQ51</t>
        </is>
      </c>
      <c r="D791" s="1" t="inlineStr">
        <is>
          <t>數值</t>
        </is>
      </c>
      <c r="E791" s="9" t="n">
        <v>2</v>
      </c>
      <c r="G791" s="1" t="inlineStr">
        <is>
          <t>range</t>
        </is>
      </c>
      <c r="H791" s="1" t="inlineStr">
        <is>
          <t>1,88</t>
        </is>
      </c>
      <c r="L791" s="2">
        <f>_xlfn.CONCAT(IF(D791="數值",CONCATENATE(G791&amp;"("&amp;C791&amp;","&amp;
IF(ISERROR(SEARCH(",",H791,1)),(H791&amp;","&amp;H791),H791)&amp;
IF(ISBLANK(I791),"",IF(ISERROR(SEARCH(",",I791,1)),CONCATENATE(","&amp;I791&amp;","&amp;I791),CONCATENATE(","&amp;I791))&amp;
IF(ISBLANK(J791),"",IF(ISERROR(SEARCH(",",J791,1)),CONCATENATE(","&amp;J791&amp;","&amp;J791),CONCATENATE(","&amp;J791))&amp;
IF(ISBLANK(K791),"",IF(ISERROR(SEARCH(",",K791,1)),CONCATENATE(","&amp;K791&amp;","&amp;K791),CONCATENATE(","&amp;K791))))))&amp;
")","")&amp;" "&amp;F791)</f>
        <v/>
      </c>
    </row>
    <row r="792">
      <c r="A792" s="1" t="n">
        <v>891</v>
      </c>
      <c r="B792" s="1">
        <f>A792</f>
        <v/>
      </c>
      <c r="C792" s="1" t="inlineStr">
        <is>
          <t>vQ52</t>
        </is>
      </c>
      <c r="D792" s="1" t="inlineStr">
        <is>
          <t>數值</t>
        </is>
      </c>
      <c r="E792" s="9" t="n">
        <v>2</v>
      </c>
      <c r="G792" s="1" t="inlineStr">
        <is>
          <t>range</t>
        </is>
      </c>
      <c r="H792" s="1" t="inlineStr">
        <is>
          <t>1,88</t>
        </is>
      </c>
      <c r="L792" s="2">
        <f>_xlfn.CONCAT(IF(D792="數值",CONCATENATE(G792&amp;"("&amp;C792&amp;","&amp;
IF(ISERROR(SEARCH(",",H792,1)),(H792&amp;","&amp;H792),H792)&amp;
IF(ISBLANK(I792),"",IF(ISERROR(SEARCH(",",I792,1)),CONCATENATE(","&amp;I792&amp;","&amp;I792),CONCATENATE(","&amp;I792))&amp;
IF(ISBLANK(J792),"",IF(ISERROR(SEARCH(",",J792,1)),CONCATENATE(","&amp;J792&amp;","&amp;J792),CONCATENATE(","&amp;J792))&amp;
IF(ISBLANK(K792),"",IF(ISERROR(SEARCH(",",K792,1)),CONCATENATE(","&amp;K792&amp;","&amp;K792),CONCATENATE(","&amp;K792))))))&amp;
")","")&amp;" "&amp;F792)</f>
        <v/>
      </c>
    </row>
    <row r="793">
      <c r="A793" s="1" t="n">
        <v>892</v>
      </c>
      <c r="B793" s="1">
        <f>A793</f>
        <v/>
      </c>
      <c r="C793" s="1" t="inlineStr">
        <is>
          <t>vQ53</t>
        </is>
      </c>
      <c r="D793" s="1" t="inlineStr">
        <is>
          <t>數值</t>
        </is>
      </c>
      <c r="E793" s="9" t="n">
        <v>2</v>
      </c>
      <c r="G793" s="1" t="inlineStr">
        <is>
          <t>range</t>
        </is>
      </c>
      <c r="H793" s="1" t="inlineStr">
        <is>
          <t>1,88</t>
        </is>
      </c>
      <c r="I793" s="1" t="inlineStr">
        <is>
          <t>93</t>
        </is>
      </c>
      <c r="J793" s="1" t="inlineStr">
        <is>
          <t>95</t>
        </is>
      </c>
      <c r="K793" s="1" t="inlineStr">
        <is>
          <t>97</t>
        </is>
      </c>
      <c r="L793" s="2">
        <f>_xlfn.CONCAT(IF(D793="數值",CONCATENATE(G793&amp;"("&amp;C793&amp;","&amp;
IF(ISERROR(SEARCH(",",H793,1)),(H793&amp;","&amp;H793),H793)&amp;
IF(ISBLANK(I793),"",IF(ISERROR(SEARCH(",",I793,1)),CONCATENATE(","&amp;I793&amp;","&amp;I793),CONCATENATE(","&amp;I793))&amp;
IF(ISBLANK(J793),"",IF(ISERROR(SEARCH(",",J793,1)),CONCATENATE(","&amp;J793&amp;","&amp;J793),CONCATENATE(","&amp;J793))&amp;
IF(ISBLANK(K793),"",IF(ISERROR(SEARCH(",",K793,1)),CONCATENATE(","&amp;K793&amp;","&amp;K793),CONCATENATE(","&amp;K793))))))&amp;
")","")&amp;" "&amp;F793)</f>
        <v/>
      </c>
    </row>
    <row r="794">
      <c r="A794" s="1" t="n">
        <v>893</v>
      </c>
      <c r="B794" s="1">
        <f>A794</f>
        <v/>
      </c>
      <c r="C794" s="1" t="inlineStr">
        <is>
          <t>vP3_1</t>
        </is>
      </c>
      <c r="D794" s="1" t="inlineStr">
        <is>
          <t>數值</t>
        </is>
      </c>
      <c r="E794" s="9" t="n">
        <v>3</v>
      </c>
      <c r="G794" s="1" t="inlineStr">
        <is>
          <t>range</t>
        </is>
      </c>
      <c r="H794" s="1" t="inlineStr">
        <is>
          <t>97</t>
        </is>
      </c>
      <c r="I794" s="1" t="inlineStr">
        <is>
          <t>98</t>
        </is>
      </c>
      <c r="L794" s="2">
        <f>_xlfn.CONCAT(IF(D794="數值",CONCATENATE(G794&amp;"("&amp;C794&amp;","&amp;
IF(ISERROR(SEARCH(",",H794,1)),(H794&amp;","&amp;H794),H794)&amp;
IF(ISBLANK(I794),"",IF(ISERROR(SEARCH(",",I794,1)),CONCATENATE(","&amp;I794&amp;","&amp;I794),CONCATENATE(","&amp;I794))&amp;
IF(ISBLANK(J794),"",IF(ISERROR(SEARCH(",",J794,1)),CONCATENATE(","&amp;J794&amp;","&amp;J794),CONCATENATE(","&amp;J794))&amp;
IF(ISBLANK(K794),"",IF(ISERROR(SEARCH(",",K794,1)),CONCATENATE(","&amp;K794&amp;","&amp;K794),CONCATENATE(","&amp;K794))))))&amp;
")","")&amp;" "&amp;F794)</f>
        <v/>
      </c>
    </row>
    <row r="795">
      <c r="A795" s="1" t="n">
        <v>894</v>
      </c>
      <c r="B795" s="1">
        <f>A795</f>
        <v/>
      </c>
      <c r="C795" s="1" t="inlineStr">
        <is>
          <t>vQ54</t>
        </is>
      </c>
      <c r="D795" s="1" t="inlineStr">
        <is>
          <t>數值</t>
        </is>
      </c>
      <c r="E795" s="9" t="n">
        <v>2</v>
      </c>
      <c r="G795" s="1" t="inlineStr">
        <is>
          <t>range</t>
        </is>
      </c>
      <c r="H795" s="1" t="inlineStr">
        <is>
          <t>1,88</t>
        </is>
      </c>
      <c r="I795" s="1" t="inlineStr">
        <is>
          <t>97</t>
        </is>
      </c>
      <c r="J795" s="1" t="inlineStr">
        <is>
          <t>98</t>
        </is>
      </c>
      <c r="L795" s="2">
        <f>_xlfn.CONCAT(IF(D795="數值",CONCATENATE(G795&amp;"("&amp;C795&amp;","&amp;
IF(ISERROR(SEARCH(",",H795,1)),(H795&amp;","&amp;H795),H795)&amp;
IF(ISBLANK(I795),"",IF(ISERROR(SEARCH(",",I795,1)),CONCATENATE(","&amp;I795&amp;","&amp;I795),CONCATENATE(","&amp;I795))&amp;
IF(ISBLANK(J795),"",IF(ISERROR(SEARCH(",",J795,1)),CONCATENATE(","&amp;J795&amp;","&amp;J795),CONCATENATE(","&amp;J795))&amp;
IF(ISBLANK(K795),"",IF(ISERROR(SEARCH(",",K795,1)),CONCATENATE(","&amp;K795&amp;","&amp;K795),CONCATENATE(","&amp;K795))))))&amp;
")","")&amp;" "&amp;F795)</f>
        <v/>
      </c>
    </row>
    <row r="796">
      <c r="A796" s="1" t="n">
        <v>895</v>
      </c>
      <c r="B796" s="1">
        <f>A796</f>
        <v/>
      </c>
      <c r="C796" s="1" t="inlineStr">
        <is>
          <t>vP5_6</t>
        </is>
      </c>
      <c r="D796" s="1" t="inlineStr">
        <is>
          <t>數值</t>
        </is>
      </c>
      <c r="E796" s="9" t="n">
        <v>2</v>
      </c>
      <c r="G796" s="1" t="inlineStr">
        <is>
          <t>range</t>
        </is>
      </c>
      <c r="H796" s="1" t="inlineStr">
        <is>
          <t>0,10</t>
        </is>
      </c>
      <c r="I796" s="1" t="inlineStr">
        <is>
          <t>97</t>
        </is>
      </c>
      <c r="J796" s="1" t="inlineStr">
        <is>
          <t>98</t>
        </is>
      </c>
      <c r="L796" s="2">
        <f>_xlfn.CONCAT(IF(D796="數值",CONCATENATE(G796&amp;"("&amp;C796&amp;","&amp;
IF(ISERROR(SEARCH(",",H796,1)),(H796&amp;","&amp;H796),H796)&amp;
IF(ISBLANK(I796),"",IF(ISERROR(SEARCH(",",I796,1)),CONCATENATE(","&amp;I796&amp;","&amp;I796),CONCATENATE(","&amp;I796))&amp;
IF(ISBLANK(J796),"",IF(ISERROR(SEARCH(",",J796,1)),CONCATENATE(","&amp;J796&amp;","&amp;J796),CONCATENATE(","&amp;J796))&amp;
IF(ISBLANK(K796),"",IF(ISERROR(SEARCH(",",K796,1)),CONCATENATE(","&amp;K796&amp;","&amp;K796),CONCATENATE(","&amp;K796))))))&amp;
")","")&amp;" "&amp;F796)</f>
        <v/>
      </c>
    </row>
    <row r="797">
      <c r="A797" s="1" t="n">
        <v>896</v>
      </c>
      <c r="B797" s="1">
        <f>A797</f>
        <v/>
      </c>
      <c r="C797" s="1" t="inlineStr">
        <is>
          <t>vQ55</t>
        </is>
      </c>
      <c r="D797" s="1" t="inlineStr">
        <is>
          <t>數值</t>
        </is>
      </c>
      <c r="E797" s="9" t="n">
        <v>2</v>
      </c>
      <c r="G797" s="1" t="inlineStr">
        <is>
          <t>range</t>
        </is>
      </c>
      <c r="H797" s="1" t="inlineStr">
        <is>
          <t>1,4</t>
        </is>
      </c>
      <c r="I797" s="1" t="inlineStr">
        <is>
          <t>97</t>
        </is>
      </c>
      <c r="J797" s="1" t="inlineStr">
        <is>
          <t>98</t>
        </is>
      </c>
      <c r="L797" s="2">
        <f>_xlfn.CONCAT(IF(D797="數值",CONCATENATE(G797&amp;"("&amp;C797&amp;","&amp;
IF(ISERROR(SEARCH(",",H797,1)),(H797&amp;","&amp;H797),H797)&amp;
IF(ISBLANK(I797),"",IF(ISERROR(SEARCH(",",I797,1)),CONCATENATE(","&amp;I797&amp;","&amp;I797),CONCATENATE(","&amp;I797))&amp;
IF(ISBLANK(J797),"",IF(ISERROR(SEARCH(",",J797,1)),CONCATENATE(","&amp;J797&amp;","&amp;J797),CONCATENATE(","&amp;J797))&amp;
IF(ISBLANK(K797),"",IF(ISERROR(SEARCH(",",K797,1)),CONCATENATE(","&amp;K797&amp;","&amp;K797),CONCATENATE(","&amp;K797))))))&amp;
")","")&amp;" "&amp;F797)</f>
        <v/>
      </c>
    </row>
    <row r="798">
      <c r="A798" s="1" t="n">
        <v>897</v>
      </c>
      <c r="B798" s="1">
        <f>A798</f>
        <v/>
      </c>
      <c r="C798" s="1" t="inlineStr">
        <is>
          <t>vQ56</t>
        </is>
      </c>
      <c r="D798" s="1" t="inlineStr">
        <is>
          <t>數值</t>
        </is>
      </c>
      <c r="E798" s="9" t="n">
        <v>2</v>
      </c>
      <c r="G798" s="1" t="inlineStr">
        <is>
          <t>range</t>
        </is>
      </c>
      <c r="H798" s="1" t="inlineStr">
        <is>
          <t>1,4</t>
        </is>
      </c>
      <c r="I798" s="1" t="inlineStr">
        <is>
          <t>97</t>
        </is>
      </c>
      <c r="J798" s="1" t="inlineStr">
        <is>
          <t>98</t>
        </is>
      </c>
      <c r="L798" s="2">
        <f>_xlfn.CONCAT(IF(D798="數值",CONCATENATE(G798&amp;"("&amp;C798&amp;","&amp;
IF(ISERROR(SEARCH(",",H798,1)),(H798&amp;","&amp;H798),H798)&amp;
IF(ISBLANK(I798),"",IF(ISERROR(SEARCH(",",I798,1)),CONCATENATE(","&amp;I798&amp;","&amp;I798),CONCATENATE(","&amp;I798))&amp;
IF(ISBLANK(J798),"",IF(ISERROR(SEARCH(",",J798,1)),CONCATENATE(","&amp;J798&amp;","&amp;J798),CONCATENATE(","&amp;J798))&amp;
IF(ISBLANK(K798),"",IF(ISERROR(SEARCH(",",K798,1)),CONCATENATE(","&amp;K798&amp;","&amp;K798),CONCATENATE(","&amp;K798))))))&amp;
")","")&amp;" "&amp;F798)</f>
        <v/>
      </c>
    </row>
    <row r="799">
      <c r="A799" s="1" t="n">
        <v>898</v>
      </c>
      <c r="B799" s="1">
        <f>A799</f>
        <v/>
      </c>
      <c r="C799" s="1" t="inlineStr">
        <is>
          <t>vQ57</t>
        </is>
      </c>
      <c r="D799" s="1" t="inlineStr">
        <is>
          <t>數值</t>
        </is>
      </c>
      <c r="E799" s="9" t="n">
        <v>2</v>
      </c>
      <c r="G799" s="1" t="inlineStr">
        <is>
          <t>range</t>
        </is>
      </c>
      <c r="H799" s="1" t="inlineStr">
        <is>
          <t>1,4</t>
        </is>
      </c>
      <c r="I799" s="1" t="inlineStr">
        <is>
          <t>97</t>
        </is>
      </c>
      <c r="J799" s="1" t="inlineStr">
        <is>
          <t>98</t>
        </is>
      </c>
      <c r="L799" s="2">
        <f>_xlfn.CONCAT(IF(D799="數值",CONCATENATE(G799&amp;"("&amp;C799&amp;","&amp;
IF(ISERROR(SEARCH(",",H799,1)),(H799&amp;","&amp;H799),H799)&amp;
IF(ISBLANK(I799),"",IF(ISERROR(SEARCH(",",I799,1)),CONCATENATE(","&amp;I799&amp;","&amp;I799),CONCATENATE(","&amp;I799))&amp;
IF(ISBLANK(J799),"",IF(ISERROR(SEARCH(",",J799,1)),CONCATENATE(","&amp;J799&amp;","&amp;J799),CONCATENATE(","&amp;J799))&amp;
IF(ISBLANK(K799),"",IF(ISERROR(SEARCH(",",K799,1)),CONCATENATE(","&amp;K799&amp;","&amp;K799),CONCATENATE(","&amp;K799))))))&amp;
")","")&amp;" "&amp;F799)</f>
        <v/>
      </c>
    </row>
    <row r="800">
      <c r="A800" s="1" t="n">
        <v>899</v>
      </c>
      <c r="B800" s="1">
        <f>A800</f>
        <v/>
      </c>
      <c r="C800" s="1" t="inlineStr">
        <is>
          <t>vZ2_1g1</t>
        </is>
      </c>
      <c r="D800" s="1" t="inlineStr">
        <is>
          <t>數值</t>
        </is>
      </c>
      <c r="E800" s="9" t="n">
        <v>11</v>
      </c>
      <c r="G800" s="1" t="inlineStr">
        <is>
          <t>range</t>
        </is>
      </c>
      <c r="H800" s="1" t="inlineStr">
        <is>
          <t>98</t>
        </is>
      </c>
      <c r="L800" s="2">
        <f>_xlfn.CONCAT(IF(D800="數值",CONCATENATE(G800&amp;"("&amp;C800&amp;","&amp;
IF(ISERROR(SEARCH(",",H800,1)),(H800&amp;","&amp;H800),H800)&amp;
IF(ISBLANK(I800),"",IF(ISERROR(SEARCH(",",I800,1)),CONCATENATE(","&amp;I800&amp;","&amp;I800),CONCATENATE(","&amp;I800))&amp;
IF(ISBLANK(J800),"",IF(ISERROR(SEARCH(",",J800,1)),CONCATENATE(","&amp;J800&amp;","&amp;J800),CONCATENATE(","&amp;J800))&amp;
IF(ISBLANK(K800),"",IF(ISERROR(SEARCH(",",K800,1)),CONCATENATE(","&amp;K800&amp;","&amp;K800),CONCATENATE(","&amp;K800))))))&amp;
")","")&amp;" "&amp;F800)</f>
        <v/>
      </c>
    </row>
    <row r="801">
      <c r="A801" s="1" t="n">
        <v>900</v>
      </c>
      <c r="B801" s="1">
        <f>A801</f>
        <v/>
      </c>
      <c r="C801" s="1" t="inlineStr">
        <is>
          <t>vZ2_1g2</t>
        </is>
      </c>
      <c r="D801" s="1" t="inlineStr">
        <is>
          <t>數值</t>
        </is>
      </c>
      <c r="E801" s="9" t="n">
        <v>9</v>
      </c>
      <c r="G801" s="1" t="inlineStr">
        <is>
          <t>range</t>
        </is>
      </c>
      <c r="H801" s="1" t="inlineStr">
        <is>
          <t>98</t>
        </is>
      </c>
      <c r="L801" s="2">
        <f>_xlfn.CONCAT(IF(D801="數值",CONCATENATE(G801&amp;"("&amp;C801&amp;","&amp;
IF(ISERROR(SEARCH(",",H801,1)),(H801&amp;","&amp;H801),H801)&amp;
IF(ISBLANK(I801),"",IF(ISERROR(SEARCH(",",I801,1)),CONCATENATE(","&amp;I801&amp;","&amp;I801),CONCATENATE(","&amp;I801))&amp;
IF(ISBLANK(J801),"",IF(ISERROR(SEARCH(",",J801,1)),CONCATENATE(","&amp;J801&amp;","&amp;J801),CONCATENATE(","&amp;J801))&amp;
IF(ISBLANK(K801),"",IF(ISERROR(SEARCH(",",K801,1)),CONCATENATE(","&amp;K801&amp;","&amp;K801),CONCATENATE(","&amp;K801))))))&amp;
")","")&amp;" "&amp;F801)</f>
        <v/>
      </c>
    </row>
    <row r="802">
      <c r="A802" s="1" t="n">
        <v>901</v>
      </c>
      <c r="B802" s="1">
        <f>A802</f>
        <v/>
      </c>
      <c r="C802" s="1" t="inlineStr">
        <is>
          <t>vZ2_2</t>
        </is>
      </c>
      <c r="D802" s="1" t="inlineStr">
        <is>
          <t>數值</t>
        </is>
      </c>
      <c r="E802" s="9" t="n">
        <v>11</v>
      </c>
      <c r="G802" s="1" t="inlineStr">
        <is>
          <t>range</t>
        </is>
      </c>
      <c r="H802" s="1" t="inlineStr">
        <is>
          <t>3</t>
        </is>
      </c>
      <c r="I802" s="1" t="inlineStr">
        <is>
          <t>98</t>
        </is>
      </c>
      <c r="L802" s="2">
        <f>_xlfn.CONCAT(IF(D802="數值",CONCATENATE(G802&amp;"("&amp;C802&amp;","&amp;
IF(ISERROR(SEARCH(",",H802,1)),(H802&amp;","&amp;H802),H802)&amp;
IF(ISBLANK(I802),"",IF(ISERROR(SEARCH(",",I802,1)),CONCATENATE(","&amp;I802&amp;","&amp;I802),CONCATENATE(","&amp;I802))&amp;
IF(ISBLANK(J802),"",IF(ISERROR(SEARCH(",",J802,1)),CONCATENATE(","&amp;J802&amp;","&amp;J802),CONCATENATE(","&amp;J802))&amp;
IF(ISBLANK(K802),"",IF(ISERROR(SEARCH(",",K802,1)),CONCATENATE(","&amp;K802&amp;","&amp;K802),CONCATENATE(","&amp;K802))))))&amp;
")","")&amp;" "&amp;F802)</f>
        <v/>
      </c>
    </row>
    <row r="803">
      <c r="A803" s="1" t="n">
        <v>902</v>
      </c>
      <c r="B803" s="1">
        <f>A803</f>
        <v/>
      </c>
      <c r="C803" s="1" t="inlineStr">
        <is>
          <t>vZE1</t>
        </is>
      </c>
      <c r="D803" s="1" t="inlineStr">
        <is>
          <t>數值</t>
        </is>
      </c>
      <c r="E803" s="9" t="n">
        <v>2</v>
      </c>
      <c r="G803" s="1" t="inlineStr">
        <is>
          <t>range</t>
        </is>
      </c>
      <c r="H803" s="1" t="inlineStr">
        <is>
          <t>1,4</t>
        </is>
      </c>
      <c r="L803" s="2">
        <f>_xlfn.CONCAT(IF(D803="數值",CONCATENATE(G803&amp;"("&amp;C803&amp;","&amp;
IF(ISERROR(SEARCH(",",H803,1)),(H803&amp;","&amp;H803),H803)&amp;
IF(ISBLANK(I803),"",IF(ISERROR(SEARCH(",",I803,1)),CONCATENATE(","&amp;I803&amp;","&amp;I803),CONCATENATE(","&amp;I803))&amp;
IF(ISBLANK(J803),"",IF(ISERROR(SEARCH(",",J803,1)),CONCATENATE(","&amp;J803&amp;","&amp;J803),CONCATENATE(","&amp;J803))&amp;
IF(ISBLANK(K803),"",IF(ISERROR(SEARCH(",",K803,1)),CONCATENATE(","&amp;K803&amp;","&amp;K803),CONCATENATE(","&amp;K803))))))&amp;
")","")&amp;" "&amp;F803)</f>
        <v/>
      </c>
    </row>
    <row r="804">
      <c r="A804" s="1" t="n">
        <v>903</v>
      </c>
      <c r="B804" s="1">
        <f>A804</f>
        <v/>
      </c>
      <c r="C804" s="1" t="inlineStr">
        <is>
          <t>vCkZE1</t>
        </is>
      </c>
      <c r="D804" s="1" t="inlineStr">
        <is>
          <t>數值</t>
        </is>
      </c>
      <c r="E804" s="9" t="n">
        <v>14</v>
      </c>
      <c r="G804" s="1" t="inlineStr">
        <is>
          <t>range</t>
        </is>
      </c>
      <c r="H804" s="1" t="inlineStr">
        <is>
          <t>20260615000000,20260915000000</t>
        </is>
      </c>
      <c r="L804" s="2">
        <f>_xlfn.CONCAT(IF(D804="數值",CONCATENATE(G804&amp;"("&amp;C804&amp;","&amp;
IF(ISERROR(SEARCH(",",H804,1)),(H804&amp;","&amp;H804),H804)&amp;
IF(ISBLANK(I804),"",IF(ISERROR(SEARCH(",",I804,1)),CONCATENATE(","&amp;I804&amp;","&amp;I804),CONCATENATE(","&amp;I804))&amp;
IF(ISBLANK(J804),"",IF(ISERROR(SEARCH(",",J804,1)),CONCATENATE(","&amp;J804&amp;","&amp;J804),CONCATENATE(","&amp;J804))&amp;
IF(ISBLANK(K804),"",IF(ISERROR(SEARCH(",",K804,1)),CONCATENATE(","&amp;K804&amp;","&amp;K804),CONCATENATE(","&amp;K804))))))&amp;
")","")&amp;" "&amp;F804)</f>
        <v/>
      </c>
    </row>
    <row r="805">
      <c r="A805" s="1" t="n">
        <v>904</v>
      </c>
      <c r="B805" s="1">
        <f>A805</f>
        <v/>
      </c>
      <c r="C805" s="1" t="inlineStr">
        <is>
          <t>vZE2m01</t>
        </is>
      </c>
      <c r="D805" s="1" t="inlineStr">
        <is>
          <t>數值</t>
        </is>
      </c>
      <c r="E805" s="9" t="n">
        <v>2</v>
      </c>
      <c r="G805" s="1" t="inlineStr">
        <is>
          <t>range</t>
        </is>
      </c>
      <c r="H805" s="1" t="inlineStr">
        <is>
          <t>0,1</t>
        </is>
      </c>
      <c r="L805" s="2">
        <f>_xlfn.CONCAT(IF(D805="數值",CONCATENATE(G805&amp;"("&amp;C805&amp;","&amp;
IF(ISERROR(SEARCH(",",H805,1)),(H805&amp;","&amp;H805),H805)&amp;
IF(ISBLANK(I805),"",IF(ISERROR(SEARCH(",",I805,1)),CONCATENATE(","&amp;I805&amp;","&amp;I805),CONCATENATE(","&amp;I805))&amp;
IF(ISBLANK(J805),"",IF(ISERROR(SEARCH(",",J805,1)),CONCATENATE(","&amp;J805&amp;","&amp;J805),CONCATENATE(","&amp;J805))&amp;
IF(ISBLANK(K805),"",IF(ISERROR(SEARCH(",",K805,1)),CONCATENATE(","&amp;K805&amp;","&amp;K805),CONCATENATE(","&amp;K805))))))&amp;
")","")&amp;" "&amp;F805)</f>
        <v/>
      </c>
    </row>
    <row r="806">
      <c r="A806" s="1" t="n">
        <v>905</v>
      </c>
      <c r="B806" s="1">
        <f>A806</f>
        <v/>
      </c>
      <c r="C806" s="1" t="inlineStr">
        <is>
          <t>vZE2m02</t>
        </is>
      </c>
      <c r="D806" s="1" t="inlineStr">
        <is>
          <t>數值</t>
        </is>
      </c>
      <c r="E806" s="9" t="n">
        <v>2</v>
      </c>
      <c r="G806" s="1" t="inlineStr">
        <is>
          <t>range</t>
        </is>
      </c>
      <c r="H806" s="1" t="inlineStr">
        <is>
          <t>0,1</t>
        </is>
      </c>
      <c r="L806" s="2">
        <f>_xlfn.CONCAT(IF(D806="數值",CONCATENATE(G806&amp;"("&amp;C806&amp;","&amp;
IF(ISERROR(SEARCH(",",H806,1)),(H806&amp;","&amp;H806),H806)&amp;
IF(ISBLANK(I806),"",IF(ISERROR(SEARCH(",",I806,1)),CONCATENATE(","&amp;I806&amp;","&amp;I806),CONCATENATE(","&amp;I806))&amp;
IF(ISBLANK(J806),"",IF(ISERROR(SEARCH(",",J806,1)),CONCATENATE(","&amp;J806&amp;","&amp;J806),CONCATENATE(","&amp;J806))&amp;
IF(ISBLANK(K806),"",IF(ISERROR(SEARCH(",",K806,1)),CONCATENATE(","&amp;K806&amp;","&amp;K806),CONCATENATE(","&amp;K806))))))&amp;
")","")&amp;" "&amp;F806)</f>
        <v/>
      </c>
    </row>
    <row r="807">
      <c r="A807" s="1" t="n">
        <v>906</v>
      </c>
      <c r="B807" s="1">
        <f>A807</f>
        <v/>
      </c>
      <c r="C807" s="1" t="inlineStr">
        <is>
          <t>vZE2m03</t>
        </is>
      </c>
      <c r="D807" s="1" t="inlineStr">
        <is>
          <t>數值</t>
        </is>
      </c>
      <c r="E807" s="9" t="n">
        <v>2</v>
      </c>
      <c r="G807" s="1" t="inlineStr">
        <is>
          <t>range</t>
        </is>
      </c>
      <c r="H807" s="1" t="inlineStr">
        <is>
          <t>0,1</t>
        </is>
      </c>
      <c r="L807" s="2">
        <f>_xlfn.CONCAT(IF(D807="數值",CONCATENATE(G807&amp;"("&amp;C807&amp;","&amp;
IF(ISERROR(SEARCH(",",H807,1)),(H807&amp;","&amp;H807),H807)&amp;
IF(ISBLANK(I807),"",IF(ISERROR(SEARCH(",",I807,1)),CONCATENATE(","&amp;I807&amp;","&amp;I807),CONCATENATE(","&amp;I807))&amp;
IF(ISBLANK(J807),"",IF(ISERROR(SEARCH(",",J807,1)),CONCATENATE(","&amp;J807&amp;","&amp;J807),CONCATENATE(","&amp;J807))&amp;
IF(ISBLANK(K807),"",IF(ISERROR(SEARCH(",",K807,1)),CONCATENATE(","&amp;K807&amp;","&amp;K807),CONCATENATE(","&amp;K807))))))&amp;
")","")&amp;" "&amp;F807)</f>
        <v/>
      </c>
    </row>
    <row r="808">
      <c r="A808" s="1" t="n">
        <v>907</v>
      </c>
      <c r="B808" s="1">
        <f>A808</f>
        <v/>
      </c>
      <c r="C808" s="1" t="inlineStr">
        <is>
          <t>vvckend</t>
        </is>
      </c>
      <c r="D808" s="1" t="inlineStr">
        <is>
          <t>數值</t>
        </is>
      </c>
      <c r="E808" s="9" t="n">
        <v>14</v>
      </c>
      <c r="G808" s="1" t="inlineStr">
        <is>
          <t>range</t>
        </is>
      </c>
      <c r="H808" s="1" t="inlineStr">
        <is>
          <t>20260615000000,20260915000000</t>
        </is>
      </c>
      <c r="L808" s="2">
        <f>_xlfn.CONCAT(IF(D808="數值",CONCATENATE(G808&amp;"("&amp;C808&amp;","&amp;
IF(ISERROR(SEARCH(",",H808,1)),(H808&amp;","&amp;H808),H808)&amp;
IF(ISBLANK(I808),"",IF(ISERROR(SEARCH(",",I808,1)),CONCATENATE(","&amp;I808&amp;","&amp;I808),CONCATENATE(","&amp;I808))&amp;
IF(ISBLANK(J808),"",IF(ISERROR(SEARCH(",",J808,1)),CONCATENATE(","&amp;J808&amp;","&amp;J808),CONCATENATE(","&amp;J808))&amp;
IF(ISBLANK(K808),"",IF(ISERROR(SEARCH(",",K808,1)),CONCATENATE(","&amp;K808&amp;","&amp;K808),CONCATENATE(","&amp;K808))))))&amp;
")","")&amp;" "&amp;F808)</f>
        <v/>
      </c>
    </row>
  </sheetData>
  <autoFilter ref="A1:L808"/>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L58"/>
  <sheetViews>
    <sheetView zoomScale="110" zoomScaleNormal="110" workbookViewId="0">
      <selection activeCell="G1" sqref="G1:L1"/>
    </sheetView>
  </sheetViews>
  <sheetFormatPr baseColWidth="8" defaultColWidth="8.875" defaultRowHeight="16.5"/>
  <cols>
    <col width="12.875" customWidth="1" style="1" min="1" max="1"/>
    <col width="8.875" customWidth="1" style="1" min="2" max="2"/>
    <col width="20" customWidth="1" style="1" min="3" max="3"/>
    <col width="8.875" customWidth="1" style="1" min="4" max="6"/>
    <col width="15.375" customWidth="1" style="1" min="7" max="7"/>
    <col width="16" customWidth="1" style="3" min="8" max="8"/>
    <col width="11.375" customWidth="1" style="1" min="9" max="9"/>
    <col width="10.625" customWidth="1" style="1" min="10" max="10"/>
    <col width="10.5" bestFit="1" customWidth="1" style="9" min="11" max="11"/>
    <col width="16.5" customWidth="1" style="9" min="12" max="12"/>
    <col width="8.875" customWidth="1" style="1" min="13" max="16"/>
    <col width="8.875" customWidth="1" style="1" min="17" max="16384"/>
  </cols>
  <sheetData>
    <row r="1">
      <c r="A1" s="1" t="inlineStr">
        <is>
          <t>m</t>
        </is>
      </c>
      <c r="B1" s="1" t="inlineStr">
        <is>
          <t>p</t>
        </is>
      </c>
      <c r="C1" s="1" t="inlineStr">
        <is>
          <t>var</t>
        </is>
      </c>
      <c r="D1" s="1" t="inlineStr">
        <is>
          <t>變項屬性</t>
        </is>
      </c>
      <c r="E1" s="1" t="inlineStr">
        <is>
          <t>寬度</t>
        </is>
      </c>
      <c r="F1" s="5" t="inlineStr">
        <is>
          <t>是否複選</t>
        </is>
      </c>
      <c r="G1" s="1" t="inlineStr">
        <is>
          <t>題號</t>
        </is>
      </c>
      <c r="H1" s="3" t="inlineStr">
        <is>
          <t>題號變項名稱</t>
        </is>
      </c>
      <c r="I1" s="1" t="inlineStr">
        <is>
          <t>選項數值</t>
        </is>
      </c>
      <c r="J1" s="6" t="inlineStr">
        <is>
          <t>var2_new</t>
        </is>
      </c>
      <c r="K1" s="7" t="inlineStr">
        <is>
          <t>range_new</t>
        </is>
      </c>
      <c r="L1" s="7" t="inlineStr">
        <is>
          <t>n</t>
        </is>
      </c>
    </row>
    <row r="2">
      <c r="A2" s="1" t="n">
        <v>1000</v>
      </c>
      <c r="B2" s="1">
        <f>A2</f>
        <v/>
      </c>
      <c r="C2" s="1" t="inlineStr">
        <is>
          <t>vZAo03</t>
        </is>
      </c>
      <c r="D2" s="1" t="inlineStr">
        <is>
          <t>字串</t>
        </is>
      </c>
      <c r="E2" s="1" t="n">
        <v>150</v>
      </c>
      <c r="F2" s="1" t="n">
        <v>0</v>
      </c>
      <c r="G2" s="1">
        <f>IF(ISERROR(SEARCH("_oth",C2,1)),MID($C2,1,SEARCH("o",C2,1)-1),MID($C2,1,SEARCH("_oth",C2,1)-1))</f>
        <v/>
      </c>
      <c r="H2" s="4">
        <f>IF(
  ISNUMBER(SEARCH("oth", $C2, 1)),
  MID($C2, 1, SEARCH("_", $C2, 1) - 1),
  IF(
    AND($C2 &lt;&gt; "vZ0city_oth", $F2 = 0),
    VALUE(MID($C2, SEARCH("o", $C2, 1) + 1, LEN($C2) - SEARCH("o", $C2, 1))),
    _xlfn.CONCAT(MID($C2, 1, SEARCH("o", $C2, 1) - 1), "m", I2)
  )
)</f>
        <v/>
      </c>
      <c r="I2" s="1">
        <f>MID($C2,LEN($G2)+2,2)</f>
        <v/>
      </c>
      <c r="J2" s="1">
        <f>IF(F2=0,G2,H2)</f>
        <v/>
      </c>
      <c r="K2" s="9">
        <f>IF(F2=0,H2,1)</f>
        <v/>
      </c>
      <c r="L2" s="9">
        <f>IF(LEN(K2)=1,LEN(K2)+1,LEN(K2))</f>
        <v/>
      </c>
    </row>
    <row r="3">
      <c r="A3" s="1" t="n">
        <v>1001</v>
      </c>
      <c r="B3" s="1">
        <f>A3</f>
        <v/>
      </c>
      <c r="C3" s="1" t="inlineStr">
        <is>
          <t>vA3o88</t>
        </is>
      </c>
      <c r="D3" s="1" t="inlineStr">
        <is>
          <t>字串</t>
        </is>
      </c>
      <c r="E3" s="1" t="n">
        <v>150</v>
      </c>
      <c r="F3" s="1" t="n">
        <v>0</v>
      </c>
      <c r="G3" s="1">
        <f>IF(ISERROR(SEARCH("_oth",C3,1)),MID($C3,1,SEARCH("o",C3,1)-1),MID($C3,1,SEARCH("_oth",C3,1)-1))</f>
        <v/>
      </c>
      <c r="H3" s="4">
        <f>IF(
  ISNUMBER(SEARCH("oth", $C3, 1)),
  MID($C3, 1, SEARCH("_", $C3, 1) - 1),
  IF(
    AND($C3 &lt;&gt; "vZ0city_oth", $F3 = 0),
    VALUE(MID($C3, SEARCH("o", $C3, 1) + 1, LEN($C3) - SEARCH("o", $C3, 1))),
    _xlfn.CONCAT(MID($C3, 1, SEARCH("o", $C3, 1) - 1), "m", I3)
  )
)</f>
        <v/>
      </c>
      <c r="I3" s="1">
        <f>MID($C3,LEN($G3)+2,2)</f>
        <v/>
      </c>
      <c r="J3" s="1">
        <f>IF(F3=0,G3,H3)</f>
        <v/>
      </c>
      <c r="K3" s="9">
        <f>IF(F3=0,H3,1)</f>
        <v/>
      </c>
      <c r="L3" s="9">
        <f>IF(LEN(K3)=1,LEN(K3)+1,LEN(K3))</f>
        <v/>
      </c>
    </row>
    <row r="4">
      <c r="A4" s="1" t="n">
        <v>1002</v>
      </c>
      <c r="B4" s="1">
        <f>A4</f>
        <v/>
      </c>
      <c r="C4" s="1" t="inlineStr">
        <is>
          <t>vA5city_oth</t>
        </is>
      </c>
      <c r="D4" s="1" t="inlineStr">
        <is>
          <t>字串</t>
        </is>
      </c>
      <c r="E4" s="1" t="n">
        <v>150</v>
      </c>
      <c r="F4" s="1" t="n">
        <v>0</v>
      </c>
      <c r="G4" s="1">
        <f>IF(ISERROR(SEARCH("_oth",C4,1)),MID($C4,1,SEARCH("o",C4,1)-1),MID($C4,1,SEARCH("_oth",C4,1)-1))</f>
        <v/>
      </c>
      <c r="H4" s="4">
        <f>IF(
ISNUMBER(SEARCH("oth", $C4, 1)),
MID($C4, 1, SEARCH("_", $C4, 1) - 1),
IF(
AND($C4 &lt;&gt; "vZ0city_oth", $F4 = 0),
VALUE(MID($C4, SEARCH("o", $C4, 1) + 1, LEN($C4) - SEARCH("o", $C4, 1))),
_xlfn.CONCAT(MID($C4, 1, SEARCH("o", $C4, 1) - 1), "m", I4)
)
)</f>
        <v/>
      </c>
      <c r="I4" s="1">
        <f>MID($C4,LEN($G4)+2,2)</f>
        <v/>
      </c>
      <c r="J4" s="1">
        <f>IF(F4=0,G4,H4)</f>
        <v/>
      </c>
      <c r="K4" s="9">
        <f>IF(F4=0,H4,1)</f>
        <v/>
      </c>
      <c r="L4" s="9">
        <f>IF(LEN(K4)=1,LEN(K4)+1,LEN(K4))</f>
        <v/>
      </c>
    </row>
    <row r="5">
      <c r="A5" s="1" t="n">
        <v>1003</v>
      </c>
      <c r="B5" s="1">
        <f>A5</f>
        <v/>
      </c>
      <c r="C5" s="1" t="inlineStr">
        <is>
          <t>vA6o88</t>
        </is>
      </c>
      <c r="D5" s="1" t="inlineStr">
        <is>
          <t>字串</t>
        </is>
      </c>
      <c r="E5" s="1" t="n">
        <v>150</v>
      </c>
      <c r="F5" s="1" t="n">
        <v>0</v>
      </c>
      <c r="G5" s="1">
        <f>IF(ISERROR(SEARCH("_oth",C5,1)),MID($C5,1,SEARCH("o",C5,1)-1),MID($C5,1,SEARCH("_oth",C5,1)-1))</f>
        <v/>
      </c>
      <c r="H5" s="4">
        <f>IF(
ISNUMBER(SEARCH("oth", $C5, 1)),
MID($C5, 1, SEARCH("_", $C5, 1) - 1),
IF(
AND($C5 &lt;&gt; "vZ0city_oth", $F5 = 0),
VALUE(MID($C5, SEARCH("o", $C5, 1) + 1, LEN($C5) - SEARCH("o", $C5, 1))),
_xlfn.CONCAT(MID($C5, 1, SEARCH("o", $C5, 1) - 1), "m", I5)
)
)</f>
        <v/>
      </c>
      <c r="I5" s="1">
        <f>MID($C5,LEN($G5)+2,2)</f>
        <v/>
      </c>
      <c r="J5" s="1">
        <f>IF(F5=0,G5,H5)</f>
        <v/>
      </c>
      <c r="K5" s="9">
        <f>IF(F5=0,H5,1)</f>
        <v/>
      </c>
      <c r="L5" s="9">
        <f>IF(LEN(K5)=1,LEN(K5)+1,LEN(K5))</f>
        <v/>
      </c>
    </row>
    <row r="6">
      <c r="A6" s="1" t="n">
        <v>1004</v>
      </c>
      <c r="B6" s="1">
        <f>A6</f>
        <v/>
      </c>
      <c r="C6" s="1" t="inlineStr">
        <is>
          <t>vA7o88</t>
        </is>
      </c>
      <c r="D6" s="1" t="inlineStr">
        <is>
          <t>字串</t>
        </is>
      </c>
      <c r="E6" s="1" t="n">
        <v>150</v>
      </c>
      <c r="F6" s="1" t="n">
        <v>0</v>
      </c>
      <c r="G6" s="1">
        <f>IF(ISERROR(SEARCH("_oth",C6,1)),MID($C6,1,SEARCH("o",C6,1)-1),MID($C6,1,SEARCH("_oth",C6,1)-1))</f>
        <v/>
      </c>
      <c r="H6" s="4">
        <f>IF(
ISNUMBER(SEARCH("oth", $C6, 1)),
MID($C6, 1, SEARCH("_", $C6, 1) - 1),
IF(
AND($C6 &lt;&gt; "vZ0city_oth", $F6 = 0),
VALUE(MID($C6, SEARCH("o", $C6, 1) + 1, LEN($C6) - SEARCH("o", $C6, 1))),
_xlfn.CONCAT(MID($C6, 1, SEARCH("o", $C6, 1) - 1), "m", I6)
)
)</f>
        <v/>
      </c>
      <c r="I6" s="1">
        <f>MID($C6,LEN($G6)+2,2)</f>
        <v/>
      </c>
      <c r="J6" s="1">
        <f>IF(F6=0,G6,H6)</f>
        <v/>
      </c>
      <c r="K6" s="9">
        <f>IF(F6=0,H6,1)</f>
        <v/>
      </c>
      <c r="L6" s="9">
        <f>IF(LEN(K6)=1,LEN(K6)+1,LEN(K6))</f>
        <v/>
      </c>
    </row>
    <row r="7">
      <c r="A7" s="1" t="n">
        <v>1005</v>
      </c>
      <c r="B7" s="1">
        <f>A7</f>
        <v/>
      </c>
      <c r="C7" s="1" t="inlineStr">
        <is>
          <t>vA8o88</t>
        </is>
      </c>
      <c r="D7" s="1" t="inlineStr">
        <is>
          <t>字串</t>
        </is>
      </c>
      <c r="E7" s="1" t="n">
        <v>150</v>
      </c>
      <c r="F7" s="1" t="n">
        <v>0</v>
      </c>
      <c r="G7" s="1">
        <f>IF(ISERROR(SEARCH("_oth",C7,1)),MID($C7,1,SEARCH("o",C7,1)-1),MID($C7,1,SEARCH("_oth",C7,1)-1))</f>
        <v/>
      </c>
      <c r="H7" s="4">
        <f>IF(
ISNUMBER(SEARCH("oth", $C7, 1)),
MID($C7, 1, SEARCH("_", $C7, 1) - 1),
IF(
AND($C7 &lt;&gt; "vZ0city_oth", $F7 = 0),
VALUE(MID($C7, SEARCH("o", $C7, 1) + 1, LEN($C7) - SEARCH("o", $C7, 1))),
_xlfn.CONCAT(MID($C7, 1, SEARCH("o", $C7, 1) - 1), "m", I7)
)
)</f>
        <v/>
      </c>
      <c r="I7" s="1">
        <f>MID($C7,LEN($G7)+2,2)</f>
        <v/>
      </c>
      <c r="J7" s="1">
        <f>IF(F7=0,G7,H7)</f>
        <v/>
      </c>
      <c r="K7" s="9">
        <f>IF(F7=0,H7,1)</f>
        <v/>
      </c>
      <c r="L7" s="9">
        <f>IF(LEN(K7)=1,LEN(K7)+1,LEN(K7))</f>
        <v/>
      </c>
    </row>
    <row r="8">
      <c r="A8" s="1" t="n">
        <v>1006</v>
      </c>
      <c r="B8" s="1">
        <f>A8</f>
        <v/>
      </c>
      <c r="C8" s="1" t="inlineStr">
        <is>
          <t>vA9o88</t>
        </is>
      </c>
      <c r="D8" s="1" t="inlineStr">
        <is>
          <t>字串</t>
        </is>
      </c>
      <c r="E8" s="1" t="n">
        <v>150</v>
      </c>
      <c r="F8" s="1" t="n">
        <v>0</v>
      </c>
      <c r="G8" s="1">
        <f>IF(ISERROR(SEARCH("_oth",C8,1)),MID($C8,1,SEARCH("o",C8,1)-1),MID($C8,1,SEARCH("_oth",C8,1)-1))</f>
        <v/>
      </c>
      <c r="H8" s="4">
        <f>IF(
ISNUMBER(SEARCH("oth", $C8, 1)),
MID($C8, 1, SEARCH("_", $C8, 1) - 1),
IF(
AND($C8 &lt;&gt; "vZ0city_oth", $F8 = 0),
VALUE(MID($C8, SEARCH("o", $C8, 1) + 1, LEN($C8) - SEARCH("o", $C8, 1))),
_xlfn.CONCAT(MID($C8, 1, SEARCH("o", $C8, 1) - 1), "m", I8)
)
)</f>
        <v/>
      </c>
      <c r="I8" s="1">
        <f>MID($C8,LEN($G8)+2,2)</f>
        <v/>
      </c>
      <c r="J8" s="1">
        <f>IF(F8=0,G8,H8)</f>
        <v/>
      </c>
      <c r="K8" s="9">
        <f>IF(F8=0,H8,1)</f>
        <v/>
      </c>
      <c r="L8" s="9">
        <f>IF(LEN(K8)=1,LEN(K8)+1,LEN(K8))</f>
        <v/>
      </c>
    </row>
    <row r="9">
      <c r="A9" s="1" t="n">
        <v>1007</v>
      </c>
      <c r="B9" s="1">
        <f>A9</f>
        <v/>
      </c>
      <c r="C9" s="1" t="inlineStr">
        <is>
          <t>vO1_1o88</t>
        </is>
      </c>
      <c r="D9" s="1" t="inlineStr">
        <is>
          <t>字串</t>
        </is>
      </c>
      <c r="E9" s="1" t="n">
        <v>150</v>
      </c>
      <c r="F9" s="1" t="n">
        <v>1</v>
      </c>
      <c r="G9" s="1">
        <f>IF(ISERROR(SEARCH("_oth",C9,1)),MID($C9,1,SEARCH("o",C9,1)-1),MID($C9,1,SEARCH("_oth",C9,1)-1))</f>
        <v/>
      </c>
      <c r="H9" s="4">
        <f>IF(
ISNUMBER(SEARCH("oth", $C9, 1)),
MID($C9, 1, SEARCH("_", $C9, 1) - 1),
IF(
AND($C9 &lt;&gt; "vZ0city_oth", $F9 = 0),
VALUE(MID($C9, SEARCH("o", $C9, 1) + 1, LEN($C9) - SEARCH("o", $C9, 1))),
_xlfn.CONCAT(MID($C9, 1, SEARCH("o", $C9, 1) - 1), "m", I9)
)
)</f>
        <v/>
      </c>
      <c r="I9" s="1">
        <f>MID($C9,LEN($G9)+2,2)</f>
        <v/>
      </c>
      <c r="J9" s="1">
        <f>IF(F9=0,G9,H9)</f>
        <v/>
      </c>
      <c r="K9" s="9">
        <f>IF(F9=0,H9,1)</f>
        <v/>
      </c>
      <c r="L9" s="9">
        <f>IF(LEN(K9)=1,LEN(K9)+1,LEN(K9))</f>
        <v/>
      </c>
    </row>
    <row r="10">
      <c r="A10" s="1" t="n">
        <v>1008</v>
      </c>
      <c r="B10" s="1">
        <f>A10</f>
        <v/>
      </c>
      <c r="C10" s="1" t="inlineStr">
        <is>
          <t>vO1o88</t>
        </is>
      </c>
      <c r="D10" s="1" t="inlineStr">
        <is>
          <t>字串</t>
        </is>
      </c>
      <c r="E10" s="1" t="n">
        <v>150</v>
      </c>
      <c r="F10" s="1" t="n">
        <v>1</v>
      </c>
      <c r="G10" s="1">
        <f>IF(ISERROR(SEARCH("_oth",C10,1)),MID($C10,1,SEARCH("o",C10,1)-1),MID($C10,1,SEARCH("_oth",C10,1)-1))</f>
        <v/>
      </c>
      <c r="H10" s="4">
        <f>IF(
ISNUMBER(SEARCH("oth", $C10, 1)),
MID($C10, 1, SEARCH("_", $C10, 1) - 1),
IF(
AND($C10 &lt;&gt; "vZ0city_oth", $F10 = 0),
VALUE(MID($C10, SEARCH("o", $C10, 1) + 1, LEN($C10) - SEARCH("o", $C10, 1))),
_xlfn.CONCAT(MID($C10, 1, SEARCH("o", $C10, 1) - 1), "m", I10)
)
)</f>
        <v/>
      </c>
      <c r="I10" s="1">
        <f>MID($C10,LEN($G10)+2,2)</f>
        <v/>
      </c>
      <c r="J10" s="1">
        <f>IF(F10=0,G10,H10)</f>
        <v/>
      </c>
      <c r="K10" s="9">
        <f>IF(F10=0,H10,1)</f>
        <v/>
      </c>
      <c r="L10" s="9">
        <f>IF(LEN(K10)=1,LEN(K10)+1,LEN(K10))</f>
        <v/>
      </c>
    </row>
    <row r="11">
      <c r="A11" s="1" t="n">
        <v>1009</v>
      </c>
      <c r="B11" s="1">
        <f>A11</f>
        <v/>
      </c>
      <c r="C11" s="1" t="inlineStr">
        <is>
          <t>vO2o88</t>
        </is>
      </c>
      <c r="D11" s="1" t="inlineStr">
        <is>
          <t>字串</t>
        </is>
      </c>
      <c r="E11" s="1" t="n">
        <v>150</v>
      </c>
      <c r="F11" s="1" t="n">
        <v>1</v>
      </c>
      <c r="G11" s="1">
        <f>IF(ISERROR(SEARCH("_oth",C11,1)),MID($C11,1,SEARCH("o",C11,1)-1),MID($C11,1,SEARCH("_oth",C11,1)-1))</f>
        <v/>
      </c>
      <c r="H11" s="4">
        <f>IF(
ISNUMBER(SEARCH("oth", $C11, 1)),
MID($C11, 1, SEARCH("_", $C11, 1) - 1),
IF(
AND($C11 &lt;&gt; "vZ0city_oth", $F11 = 0),
VALUE(MID($C11, SEARCH("o", $C11, 1) + 1, LEN($C11) - SEARCH("o", $C11, 1))),
_xlfn.CONCAT(MID($C11, 1, SEARCH("o", $C11, 1) - 1), "m", I11)
)
)</f>
        <v/>
      </c>
      <c r="I11" s="1">
        <f>MID($C11,LEN($G11)+2,2)</f>
        <v/>
      </c>
      <c r="J11" s="1" t="inlineStr">
        <is>
          <t>v45o06</t>
        </is>
      </c>
      <c r="K11" s="9">
        <f>IF(F11=0,H11,1)</f>
        <v/>
      </c>
      <c r="L11" s="9">
        <f>IF(LEN(K11)=1,LEN(K11)+1,LEN(K11))</f>
        <v/>
      </c>
    </row>
    <row r="12">
      <c r="A12" s="1" t="n">
        <v>1010</v>
      </c>
      <c r="B12" s="1">
        <f>A12</f>
        <v/>
      </c>
      <c r="C12" s="1" t="inlineStr">
        <is>
          <t>vO3o88</t>
        </is>
      </c>
      <c r="D12" s="1" t="inlineStr">
        <is>
          <t>字串</t>
        </is>
      </c>
      <c r="E12" s="1" t="n">
        <v>150</v>
      </c>
      <c r="F12" s="1" t="n">
        <v>1</v>
      </c>
      <c r="G12" s="1">
        <f>IF(ISERROR(SEARCH("_oth",C12,1)),MID($C12,1,SEARCH("o",C12,1)-1),MID($C12,1,SEARCH("_oth",C12,1)-1))</f>
        <v/>
      </c>
      <c r="H12" s="4">
        <f>IF(
ISNUMBER(SEARCH("oth", $C12, 1)),
MID($C12, 1, SEARCH("_", $C12, 1) - 1),
IF(
AND($C12 &lt;&gt; "vZ0city_oth", $F12 = 0),
VALUE(MID($C12, SEARCH("o", $C12, 1) + 1, LEN($C12) - SEARCH("o", $C12, 1))),
_xlfn.CONCAT(MID($C12, 1, SEARCH("o", $C12, 1) - 1), "m", I12)
)
)</f>
        <v/>
      </c>
      <c r="I12" s="1">
        <f>MID($C12,LEN($G12)+2,2)</f>
        <v/>
      </c>
      <c r="J12" s="1">
        <f>IF(F12=0,G12,H12)</f>
        <v/>
      </c>
      <c r="K12" s="9">
        <f>IF(F12=0,H12,1)</f>
        <v/>
      </c>
      <c r="L12" s="9">
        <f>IF(LEN(K12)=1,LEN(K12)+1,LEN(K12))</f>
        <v/>
      </c>
    </row>
    <row r="13">
      <c r="A13" s="1" t="n">
        <v>1011</v>
      </c>
      <c r="B13" s="1">
        <f>A13</f>
        <v/>
      </c>
      <c r="C13" s="1" t="inlineStr">
        <is>
          <t>vK1o88</t>
        </is>
      </c>
      <c r="D13" s="1" t="inlineStr">
        <is>
          <t>字串</t>
        </is>
      </c>
      <c r="E13" s="1" t="n">
        <v>150</v>
      </c>
      <c r="F13" s="1" t="n">
        <v>0</v>
      </c>
      <c r="G13" s="1">
        <f>IF(ISERROR(SEARCH("_oth",C13,1)),MID($C13,1,SEARCH("o",C13,1)-1),MID($C13,1,SEARCH("_oth",C13,1)-1))</f>
        <v/>
      </c>
      <c r="H13" s="4">
        <f>IF(
ISNUMBER(SEARCH("oth", $C13, 1)),
MID($C13, 1, SEARCH("_", $C13, 1) - 1),
IF(
AND($C13 &lt;&gt; "vZ0city_oth", $F13 = 0),
VALUE(MID($C13, SEARCH("o", $C13, 1) + 1, LEN($C13) - SEARCH("o", $C13, 1))),
_xlfn.CONCAT(MID($C13, 1, SEARCH("o", $C13, 1) - 1), "m", I13)
)
)</f>
        <v/>
      </c>
      <c r="I13" s="1">
        <f>MID($C13,LEN($G13)+2,2)</f>
        <v/>
      </c>
      <c r="J13" s="1">
        <f>IF(F13=0,G13,H13)</f>
        <v/>
      </c>
      <c r="K13" s="9">
        <f>IF(F13=0,H13,1)</f>
        <v/>
      </c>
      <c r="L13" s="9">
        <f>IF(LEN(K13)=1,LEN(K13)+1,LEN(K13))</f>
        <v/>
      </c>
    </row>
    <row r="14">
      <c r="A14" s="1" t="n">
        <v>1012</v>
      </c>
      <c r="B14" s="1">
        <f>A14</f>
        <v/>
      </c>
      <c r="C14" s="1" t="inlineStr">
        <is>
          <t>vK2o88</t>
        </is>
      </c>
      <c r="D14" s="1" t="inlineStr">
        <is>
          <t>字串</t>
        </is>
      </c>
      <c r="E14" s="1" t="n">
        <v>150</v>
      </c>
      <c r="F14" s="1" t="n">
        <v>0</v>
      </c>
      <c r="G14" s="1">
        <f>IF(ISERROR(SEARCH("_oth",C14,1)),MID($C14,1,SEARCH("o",C14,1)-1),MID($C14,1,SEARCH("_oth",C14,1)-1))</f>
        <v/>
      </c>
      <c r="H14" s="4">
        <f>IF(
ISNUMBER(SEARCH("oth", $C14, 1)),
MID($C14, 1, SEARCH("_", $C14, 1) - 1),
IF(
AND($C14 &lt;&gt; "vZ0city_oth", $F14 = 0),
VALUE(MID($C14, SEARCH("o", $C14, 1) + 1, LEN($C14) - SEARCH("o", $C14, 1))),
_xlfn.CONCAT(MID($C14, 1, SEARCH("o", $C14, 1) - 1), "m", I14)
)
)</f>
        <v/>
      </c>
      <c r="I14" s="1">
        <f>MID($C14,LEN($G14)+2,2)</f>
        <v/>
      </c>
      <c r="J14" s="1">
        <f>IF(F14=0,G14,H14)</f>
        <v/>
      </c>
      <c r="K14" s="9">
        <f>IF(F14=0,H14,1)</f>
        <v/>
      </c>
      <c r="L14" s="9">
        <f>IF(LEN(K14)=1,LEN(K14)+1,LEN(K14))</f>
        <v/>
      </c>
    </row>
    <row r="15">
      <c r="A15" s="1" t="n">
        <v>1013</v>
      </c>
      <c r="B15" s="1">
        <f>A15</f>
        <v/>
      </c>
      <c r="C15" s="1" t="inlineStr">
        <is>
          <t>vE17o88</t>
        </is>
      </c>
      <c r="D15" s="1" t="inlineStr">
        <is>
          <t>字串</t>
        </is>
      </c>
      <c r="E15" s="1" t="n">
        <v>150</v>
      </c>
      <c r="F15" s="1" t="n">
        <v>0</v>
      </c>
      <c r="G15" s="1">
        <f>IF(ISERROR(SEARCH("_oth",C15,1)),MID($C15,1,SEARCH("o",C15,1)-1),MID($C15,1,SEARCH("_oth",C15,1)-1))</f>
        <v/>
      </c>
      <c r="H15" s="4">
        <f>IF(
ISNUMBER(SEARCH("oth", $C15, 1)),
MID($C15, 1, SEARCH("_", $C15, 1) - 1),
IF(
AND($C15 &lt;&gt; "vZ0city_oth", $F15 = 0),
VALUE(MID($C15, SEARCH("o", $C15, 1) + 1, LEN($C15) - SEARCH("o", $C15, 1))),
_xlfn.CONCAT(MID($C15, 1, SEARCH("o", $C15, 1) - 1), "m", I15)
)
)</f>
        <v/>
      </c>
      <c r="I15" s="1">
        <f>MID($C15,LEN($G15)+2,2)</f>
        <v/>
      </c>
      <c r="J15" s="1">
        <f>IF(F15=0,G15,H15)</f>
        <v/>
      </c>
      <c r="K15" s="9">
        <f>IF(F15=0,H15,1)</f>
        <v/>
      </c>
      <c r="L15" s="9">
        <f>IF(LEN(K15)=1,LEN(K15)+1,LEN(K15))</f>
        <v/>
      </c>
    </row>
    <row r="16">
      <c r="A16" s="1" t="n">
        <v>1014</v>
      </c>
      <c r="B16" s="1">
        <f>A16</f>
        <v/>
      </c>
      <c r="C16" s="1" t="inlineStr">
        <is>
          <t>vKFB3o88</t>
        </is>
      </c>
      <c r="D16" s="1" t="inlineStr">
        <is>
          <t>字串</t>
        </is>
      </c>
      <c r="E16" s="1" t="n">
        <v>150</v>
      </c>
      <c r="F16" s="1" t="n">
        <v>0</v>
      </c>
      <c r="G16" s="1">
        <f>IF(ISERROR(SEARCH("_oth",C16,1)),MID($C16,1,SEARCH("o",C16,1)-1),MID($C16,1,SEARCH("_oth",C16,1)-1))</f>
        <v/>
      </c>
      <c r="H16" s="4">
        <f>IF(
ISNUMBER(SEARCH("oth", $C16, 1)),
MID($C16, 1, SEARCH("_", $C16, 1) - 1),
IF(
AND($C16 &lt;&gt; "vZ0city_oth", $F16 = 0),
VALUE(MID($C16, SEARCH("o", $C16, 1) + 1, LEN($C16) - SEARCH("o", $C16, 1))),
_xlfn.CONCAT(MID($C16, 1, SEARCH("o", $C16, 1) - 1), "m", I16)
)
)</f>
        <v/>
      </c>
      <c r="I16" s="1">
        <f>MID($C16,LEN($G16)+2,2)</f>
        <v/>
      </c>
      <c r="J16" s="1">
        <f>IF(F16=0,G16,H16)</f>
        <v/>
      </c>
      <c r="K16" s="9">
        <f>IF(F16=0,H16,1)</f>
        <v/>
      </c>
      <c r="L16" s="9">
        <f>IF(LEN(K16)=1,LEN(K16)+1,LEN(K16))</f>
        <v/>
      </c>
    </row>
    <row r="17">
      <c r="A17" s="1" t="n">
        <v>1015</v>
      </c>
      <c r="B17" s="1">
        <f>A17</f>
        <v/>
      </c>
      <c r="C17" s="1" t="inlineStr">
        <is>
          <t>vKFB4o88</t>
        </is>
      </c>
      <c r="D17" s="1" t="inlineStr">
        <is>
          <t>字串</t>
        </is>
      </c>
      <c r="E17" s="1" t="n">
        <v>150</v>
      </c>
      <c r="F17" s="1" t="n">
        <v>0</v>
      </c>
      <c r="G17" s="1">
        <f>IF(ISERROR(SEARCH("_oth",C17,1)),MID($C17,1,SEARCH("o",C17,1)-1),MID($C17,1,SEARCH("_oth",C17,1)-1))</f>
        <v/>
      </c>
      <c r="H17" s="4">
        <f>IF(
ISNUMBER(SEARCH("oth", $C17, 1)),
MID($C17, 1, SEARCH("_", $C17, 1) - 1),
IF(
AND($C17 &lt;&gt; "vZ0city_oth", $F17 = 0),
VALUE(MID($C17, SEARCH("o", $C17, 1) + 1, LEN($C17) - SEARCH("o", $C17, 1))),
_xlfn.CONCAT(MID($C17, 1, SEARCH("o", $C17, 1) - 1), "m", I17)
)
)</f>
        <v/>
      </c>
      <c r="I17" s="1">
        <f>MID($C17,LEN($G17)+2,2)</f>
        <v/>
      </c>
      <c r="J17" s="1">
        <f>IF(F17=0,G17,H17)</f>
        <v/>
      </c>
      <c r="K17" s="9">
        <f>IF(F17=0,H17,1)</f>
        <v/>
      </c>
      <c r="L17" s="9">
        <f>IF(LEN(K17)=1,LEN(K17)+1,LEN(K17))</f>
        <v/>
      </c>
    </row>
    <row r="18">
      <c r="A18" s="1" t="n">
        <v>1016</v>
      </c>
      <c r="B18" s="1">
        <f>A18</f>
        <v/>
      </c>
      <c r="C18" s="1" t="inlineStr">
        <is>
          <t>vKIG3o88</t>
        </is>
      </c>
      <c r="D18" s="1" t="inlineStr">
        <is>
          <t>字串</t>
        </is>
      </c>
      <c r="E18" s="1" t="n">
        <v>150</v>
      </c>
      <c r="F18" s="1" t="n">
        <v>0</v>
      </c>
      <c r="G18" s="1">
        <f>IF(ISERROR(SEARCH("_oth",C18,1)),MID($C18,1,SEARCH("o",C18,1)-1),MID($C18,1,SEARCH("_oth",C18,1)-1))</f>
        <v/>
      </c>
      <c r="H18" s="4">
        <f>IF(
ISNUMBER(SEARCH("oth", $C18, 1)),
MID($C18, 1, SEARCH("_", $C18, 1) - 1),
IF(
AND($C18 &lt;&gt; "vZ0city_oth", $F18 = 0),
VALUE(MID($C18, SEARCH("o", $C18, 1) + 1, LEN($C18) - SEARCH("o", $C18, 1))),
_xlfn.CONCAT(MID($C18, 1, SEARCH("o", $C18, 1) - 1), "m", I18)
)
)</f>
        <v/>
      </c>
      <c r="I18" s="1">
        <f>MID($C18,LEN($G18)+2,2)</f>
        <v/>
      </c>
      <c r="J18" s="1">
        <f>IF(F18=0,G18,H18)</f>
        <v/>
      </c>
      <c r="K18" s="9">
        <f>IF(F18=0,H18,1)</f>
        <v/>
      </c>
      <c r="L18" s="9">
        <f>IF(LEN(K18)=1,LEN(K18)+1,LEN(K18))</f>
        <v/>
      </c>
    </row>
    <row r="19">
      <c r="A19" s="1" t="n">
        <v>1017</v>
      </c>
      <c r="B19" s="1">
        <f>A19</f>
        <v/>
      </c>
      <c r="C19" s="1" t="inlineStr">
        <is>
          <t>vKIG4o88</t>
        </is>
      </c>
      <c r="D19" s="1" t="inlineStr">
        <is>
          <t>字串</t>
        </is>
      </c>
      <c r="E19" s="1" t="n">
        <v>150</v>
      </c>
      <c r="F19" s="1" t="n">
        <v>0</v>
      </c>
      <c r="G19" s="1">
        <f>IF(ISERROR(SEARCH("_oth",C19,1)),MID($C19,1,SEARCH("o",C19,1)-1),MID($C19,1,SEARCH("_oth",C19,1)-1))</f>
        <v/>
      </c>
      <c r="H19" s="4">
        <f>IF(
ISNUMBER(SEARCH("oth", $C19, 1)),
MID($C19, 1, SEARCH("_", $C19, 1) - 1),
IF(
AND($C19 &lt;&gt; "vZ0city_oth", $F19 = 0),
VALUE(MID($C19, SEARCH("o", $C19, 1) + 1, LEN($C19) - SEARCH("o", $C19, 1))),
_xlfn.CONCAT(MID($C19, 1, SEARCH("o", $C19, 1) - 1), "m", I19)
)
)</f>
        <v/>
      </c>
      <c r="I19" s="1">
        <f>MID($C19,LEN($G19)+2,2)</f>
        <v/>
      </c>
      <c r="J19" s="1">
        <f>IF(F19=0,G19,H19)</f>
        <v/>
      </c>
      <c r="K19" s="9">
        <f>IF(F19=0,H19,1)</f>
        <v/>
      </c>
      <c r="L19" s="9">
        <f>IF(LEN(K19)=1,LEN(K19)+1,LEN(K19))</f>
        <v/>
      </c>
    </row>
    <row r="20">
      <c r="A20" s="1" t="n">
        <v>1018</v>
      </c>
      <c r="B20" s="1">
        <f>A20</f>
        <v/>
      </c>
      <c r="C20" s="1" t="inlineStr">
        <is>
          <t>vKTT3o88</t>
        </is>
      </c>
      <c r="D20" s="1" t="inlineStr">
        <is>
          <t>字串</t>
        </is>
      </c>
      <c r="E20" s="1" t="n">
        <v>150</v>
      </c>
      <c r="F20" s="1" t="n">
        <v>0</v>
      </c>
      <c r="G20" s="1">
        <f>IF(ISERROR(SEARCH("_oth",C20,1)),MID($C20,1,SEARCH("o",C20,1)-1),MID($C20,1,SEARCH("_oth",C20,1)-1))</f>
        <v/>
      </c>
      <c r="H20" s="4">
        <f>IF(
ISNUMBER(SEARCH("oth", $C20, 1)),
MID($C20, 1, SEARCH("_", $C20, 1) - 1),
IF(
AND($C20 &lt;&gt; "vZ0city_oth", $F20 = 0),
VALUE(MID($C20, SEARCH("o", $C20, 1) + 1, LEN($C20) - SEARCH("o", $C20, 1))),
_xlfn.CONCAT(MID($C20, 1, SEARCH("o", $C20, 1) - 1), "m", I20)
)
)</f>
        <v/>
      </c>
      <c r="I20" s="1">
        <f>MID($C20,LEN($G20)+2,2)</f>
        <v/>
      </c>
      <c r="J20" s="1">
        <f>IF(F20=0,G20,H20)</f>
        <v/>
      </c>
      <c r="K20" s="9">
        <f>IF(F20=0,H20,1)</f>
        <v/>
      </c>
      <c r="L20" s="9">
        <f>IF(LEN(K20)=1,LEN(K20)+1,LEN(K20))</f>
        <v/>
      </c>
    </row>
    <row r="21">
      <c r="A21" s="1" t="n">
        <v>1019</v>
      </c>
      <c r="B21" s="1">
        <f>A21</f>
        <v/>
      </c>
      <c r="C21" s="1" t="inlineStr">
        <is>
          <t>vKTT4o88</t>
        </is>
      </c>
      <c r="D21" s="1" t="inlineStr">
        <is>
          <t>字串</t>
        </is>
      </c>
      <c r="E21" s="1" t="n">
        <v>150</v>
      </c>
      <c r="F21" s="1" t="n">
        <v>0</v>
      </c>
      <c r="G21" s="1">
        <f>IF(ISERROR(SEARCH("_oth",C21,1)),MID($C21,1,SEARCH("o",C21,1)-1),MID($C21,1,SEARCH("_oth",C21,1)-1))</f>
        <v/>
      </c>
      <c r="H21" s="4">
        <f>IF(
ISNUMBER(SEARCH("oth", $C21, 1)),
MID($C21, 1, SEARCH("_", $C21, 1) - 1),
IF(
AND($C21 &lt;&gt; "vZ0city_oth", $F21 = 0),
VALUE(MID($C21, SEARCH("o", $C21, 1) + 1, LEN($C21) - SEARCH("o", $C21, 1))),
_xlfn.CONCAT(MID($C21, 1, SEARCH("o", $C21, 1) - 1), "m", I21)
)
)</f>
        <v/>
      </c>
      <c r="I21" s="1">
        <f>MID($C21,LEN($G21)+2,2)</f>
        <v/>
      </c>
      <c r="J21" s="1" t="inlineStr">
        <is>
          <t>v71_2s1</t>
        </is>
      </c>
      <c r="K21" s="9">
        <f>IF(F21=0,H21,1)</f>
        <v/>
      </c>
      <c r="L21" s="9">
        <f>IF(LEN(K21)=1,LEN(K21)+1,LEN(K21))</f>
        <v/>
      </c>
    </row>
    <row r="22">
      <c r="A22" s="1" t="n">
        <v>1020</v>
      </c>
      <c r="B22" s="1">
        <f>A22</f>
        <v/>
      </c>
      <c r="C22" s="1" t="inlineStr">
        <is>
          <t>vKTT5o88</t>
        </is>
      </c>
      <c r="D22" s="1" t="inlineStr">
        <is>
          <t>字串</t>
        </is>
      </c>
      <c r="E22" s="1" t="n">
        <v>150</v>
      </c>
      <c r="F22" s="1" t="n">
        <v>0</v>
      </c>
      <c r="G22" s="1">
        <f>IF(ISERROR(SEARCH("_oth",C22,1)),MID($C22,1,SEARCH("o",C22,1)-1),MID($C22,1,SEARCH("_oth",C22,1)-1))</f>
        <v/>
      </c>
      <c r="H22" s="4">
        <f>IF(
ISNUMBER(SEARCH("oth", $C22, 1)),
MID($C22, 1, SEARCH("_", $C22, 1) - 1),
IF(
AND($C22 &lt;&gt; "vZ0city_oth", $F22 = 0),
VALUE(MID($C22, SEARCH("o", $C22, 1) + 1, LEN($C22) - SEARCH("o", $C22, 1))),
_xlfn.CONCAT(MID($C22, 1, SEARCH("o", $C22, 1) - 1), "m", I22)
)
)</f>
        <v/>
      </c>
      <c r="I22" s="1">
        <f>MID($C22,LEN($G22)+2,2)</f>
        <v/>
      </c>
      <c r="J22" s="1" t="inlineStr">
        <is>
          <t>v71_2s2</t>
        </is>
      </c>
      <c r="K22" s="9">
        <f>IF(F22=0,H22,1)</f>
        <v/>
      </c>
      <c r="L22" s="9">
        <f>IF(LEN(K22)=1,LEN(K22)+1,LEN(K22))</f>
        <v/>
      </c>
    </row>
    <row r="23">
      <c r="A23" s="1" t="n">
        <v>1021</v>
      </c>
      <c r="B23" s="1">
        <f>A23</f>
        <v/>
      </c>
      <c r="C23" s="1" t="inlineStr">
        <is>
          <t>vK3o88</t>
        </is>
      </c>
      <c r="D23" s="1" t="inlineStr">
        <is>
          <t>字串</t>
        </is>
      </c>
      <c r="E23" s="1" t="n">
        <v>150</v>
      </c>
      <c r="F23" s="1" t="n">
        <v>0</v>
      </c>
      <c r="G23" s="1">
        <f>IF(ISERROR(SEARCH("_oth",C23,1)),MID($C23,1,SEARCH("o",C23,1)-1),MID($C23,1,SEARCH("_oth",C23,1)-1))</f>
        <v/>
      </c>
      <c r="H23" s="4">
        <f>IF(
ISNUMBER(SEARCH("oth", $C23, 1)),
MID($C23, 1, SEARCH("_", $C23, 1) - 1),
IF(
AND($C23 &lt;&gt; "vZ0city_oth", $F23 = 0),
VALUE(MID($C23, SEARCH("o", $C23, 1) + 1, LEN($C23) - SEARCH("o", $C23, 1))),
_xlfn.CONCAT(MID($C23, 1, SEARCH("o", $C23, 1) - 1), "m", I23)
)
)</f>
        <v/>
      </c>
      <c r="I23" s="1">
        <f>MID($C23,LEN($G23)+2,2)</f>
        <v/>
      </c>
      <c r="J23" s="1" t="inlineStr">
        <is>
          <t>v71_2s3</t>
        </is>
      </c>
      <c r="K23" s="9">
        <f>IF(F23=0,H23,1)</f>
        <v/>
      </c>
      <c r="L23" s="9">
        <f>IF(LEN(K23)=1,LEN(K23)+1,LEN(K23))</f>
        <v/>
      </c>
    </row>
    <row r="24">
      <c r="A24" s="1" t="n">
        <v>1022</v>
      </c>
      <c r="B24" s="1">
        <f>A24</f>
        <v/>
      </c>
      <c r="C24" s="1" t="inlineStr">
        <is>
          <t>vE18o88</t>
        </is>
      </c>
      <c r="D24" s="1" t="inlineStr">
        <is>
          <t>字串</t>
        </is>
      </c>
      <c r="E24" s="1" t="n">
        <v>150</v>
      </c>
      <c r="F24" s="1" t="n">
        <v>0</v>
      </c>
      <c r="G24" s="1">
        <f>IF(ISERROR(SEARCH("_oth",C24,1)),MID($C24,1,SEARCH("o",C24,1)-1),MID($C24,1,SEARCH("_oth",C24,1)-1))</f>
        <v/>
      </c>
      <c r="H24" s="4">
        <f>IF(
ISNUMBER(SEARCH("oth", $C24, 1)),
MID($C24, 1, SEARCH("_", $C24, 1) - 1),
IF(
AND($C24 &lt;&gt; "vZ0city_oth", $F24 = 0),
VALUE(MID($C24, SEARCH("o", $C24, 1) + 1, LEN($C24) - SEARCH("o", $C24, 1))),
_xlfn.CONCAT(MID($C24, 1, SEARCH("o", $C24, 1) - 1), "m", I24)
)
)</f>
        <v/>
      </c>
      <c r="I24" s="1">
        <f>MID($C24,LEN($G24)+2,2)</f>
        <v/>
      </c>
      <c r="J24" s="1" t="inlineStr">
        <is>
          <t>v71_2s4</t>
        </is>
      </c>
      <c r="K24" s="9">
        <f>IF(F24=0,H24,1)</f>
        <v/>
      </c>
      <c r="L24" s="9">
        <f>IF(LEN(K24)=1,LEN(K24)+1,LEN(K24))</f>
        <v/>
      </c>
    </row>
    <row r="25">
      <c r="A25" s="1" t="n">
        <v>1023</v>
      </c>
      <c r="B25" s="1">
        <f>A25</f>
        <v/>
      </c>
      <c r="C25" s="1" t="inlineStr">
        <is>
          <t>vE2o88</t>
        </is>
      </c>
      <c r="D25" s="1" t="inlineStr">
        <is>
          <t>字串</t>
        </is>
      </c>
      <c r="E25" s="1" t="n">
        <v>150</v>
      </c>
      <c r="F25" s="1" t="n">
        <v>0</v>
      </c>
      <c r="G25" s="1">
        <f>IF(ISERROR(SEARCH("_oth",C25,1)),MID($C25,1,SEARCH("o",C25,1)-1),MID($C25,1,SEARCH("_oth",C25,1)-1))</f>
        <v/>
      </c>
      <c r="H25" s="4">
        <f>IF(
ISNUMBER(SEARCH("oth", $C25, 1)),
MID($C25, 1, SEARCH("_", $C25, 1) - 1),
IF(
AND($C25 &lt;&gt; "vZ0city_oth", $F25 = 0),
VALUE(MID($C25, SEARCH("o", $C25, 1) + 1, LEN($C25) - SEARCH("o", $C25, 1))),
_xlfn.CONCAT(MID($C25, 1, SEARCH("o", $C25, 1) - 1), "m", I25)
)
)</f>
        <v/>
      </c>
      <c r="I25" s="1">
        <f>MID($C25,LEN($G25)+2,2)</f>
        <v/>
      </c>
      <c r="J25" s="1">
        <f>IF(F25=0,G25,H25)</f>
        <v/>
      </c>
      <c r="K25" s="9">
        <f>IF(F25=0,H25,1)</f>
        <v/>
      </c>
      <c r="L25" s="9">
        <f>IF(LEN(K25)=1,LEN(K25)+1,LEN(K25))</f>
        <v/>
      </c>
    </row>
    <row r="26">
      <c r="A26" s="1" t="n">
        <v>1024</v>
      </c>
      <c r="B26" s="1">
        <f>A26</f>
        <v/>
      </c>
      <c r="C26" s="1" t="inlineStr">
        <is>
          <t>vE3_1</t>
        </is>
      </c>
      <c r="D26" s="1" t="inlineStr">
        <is>
          <t>字串</t>
        </is>
      </c>
      <c r="E26" s="1" t="n">
        <v>6000</v>
      </c>
      <c r="F26" s="1" t="n">
        <v>0</v>
      </c>
      <c r="G26" s="1">
        <f>IF(ISERROR(SEARCH("_oth",C26,1)),MID($C26,1,SEARCH("o",C26,1)-1),MID($C26,1,SEARCH("_oth",C26,1)-1))</f>
        <v/>
      </c>
      <c r="H26" s="4">
        <f>IF(
ISNUMBER(SEARCH("oth", $C26, 1)),
MID($C26, 1, SEARCH("_", $C26, 1) - 1),
IF(
AND($C26 &lt;&gt; "vZ0city_oth", $F26 = 0),
VALUE(MID($C26, SEARCH("o", $C26, 1) + 1, LEN($C26) - SEARCH("o", $C26, 1))),
_xlfn.CONCAT(MID($C26, 1, SEARCH("o", $C26, 1) - 1), "m", I26)
)
)</f>
        <v/>
      </c>
      <c r="I26" s="1">
        <f>MID($C26,LEN($G26)+2,2)</f>
        <v/>
      </c>
      <c r="J26" s="1">
        <f>IF(F26=0,G26,H26)</f>
        <v/>
      </c>
      <c r="K26" s="9">
        <f>IF(F26=0,H26,1)</f>
        <v/>
      </c>
      <c r="L26" s="9">
        <f>IF(LEN(K26)=1,LEN(K26)+1,LEN(K26))</f>
        <v/>
      </c>
    </row>
    <row r="27">
      <c r="A27" s="1" t="n">
        <v>1025</v>
      </c>
      <c r="B27" s="1">
        <f>A27</f>
        <v/>
      </c>
      <c r="C27" s="1" t="inlineStr">
        <is>
          <t>vE13o88</t>
        </is>
      </c>
      <c r="D27" s="1" t="inlineStr">
        <is>
          <t>字串</t>
        </is>
      </c>
      <c r="E27" s="1" t="n">
        <v>150</v>
      </c>
      <c r="F27" s="1" t="n">
        <v>0</v>
      </c>
      <c r="G27" s="1">
        <f>IF(ISERROR(SEARCH("_oth",C27,1)),MID($C27,1,SEARCH("o",C27,1)-1),MID($C27,1,SEARCH("_oth",C27,1)-1))</f>
        <v/>
      </c>
      <c r="H27" s="4">
        <f>IF(
ISNUMBER(SEARCH("oth", $C27, 1)),
MID($C27, 1, SEARCH("_", $C27, 1) - 1),
IF(
AND($C27 &lt;&gt; "vZ0city_oth", $F27 = 0),
VALUE(MID($C27, SEARCH("o", $C27, 1) + 1, LEN($C27) - SEARCH("o", $C27, 1))),
_xlfn.CONCAT(MID($C27, 1, SEARCH("o", $C27, 1) - 1), "m", I27)
)
)</f>
        <v/>
      </c>
      <c r="I27" s="1">
        <f>MID($C27,LEN($G27)+2,2)</f>
        <v/>
      </c>
      <c r="J27" s="1">
        <f>IF(F27=0,G27,H27)</f>
        <v/>
      </c>
      <c r="K27" s="9">
        <f>IF(F27=0,H27,1)</f>
        <v/>
      </c>
      <c r="L27" s="9">
        <f>IF(LEN(K27)=1,LEN(K27)+1,LEN(K27))</f>
        <v/>
      </c>
    </row>
    <row r="28">
      <c r="A28" s="1" t="n">
        <v>1026</v>
      </c>
      <c r="B28" s="1">
        <f>A28</f>
        <v/>
      </c>
      <c r="C28" s="1" t="inlineStr">
        <is>
          <t>vG7o88</t>
        </is>
      </c>
      <c r="D28" s="1" t="inlineStr">
        <is>
          <t>字串</t>
        </is>
      </c>
      <c r="E28" s="1" t="n">
        <v>150</v>
      </c>
      <c r="F28" s="1" t="n">
        <v>0</v>
      </c>
      <c r="G28" s="1">
        <f>IF(ISERROR(SEARCH("_oth",C28,1)),MID($C28,1,SEARCH("o",C28,1)-1),MID($C28,1,SEARCH("_oth",C28,1)-1))</f>
        <v/>
      </c>
      <c r="H28" s="4">
        <f>IF(
ISNUMBER(SEARCH("oth", $C28, 1)),
MID($C28, 1, SEARCH("_", $C28, 1) - 1),
IF(
AND($C28 &lt;&gt; "vZ0city_oth", $F28 = 0),
VALUE(MID($C28, SEARCH("o", $C28, 1) + 1, LEN($C28) - SEARCH("o", $C28, 1))),
_xlfn.CONCAT(MID($C28, 1, SEARCH("o", $C28, 1) - 1), "m", I28)
)
)</f>
        <v/>
      </c>
      <c r="I28" s="1">
        <f>MID($C28,LEN($G28)+2,2)</f>
        <v/>
      </c>
      <c r="J28" s="1">
        <f>IF(F28=0,G28,H28)</f>
        <v/>
      </c>
      <c r="K28" s="9">
        <f>IF(F28=0,H28,1)</f>
        <v/>
      </c>
      <c r="L28" s="9">
        <f>IF(LEN(K28)=1,LEN(K28)+1,LEN(K28))</f>
        <v/>
      </c>
    </row>
    <row r="29">
      <c r="A29" s="1" t="n">
        <v>1027</v>
      </c>
      <c r="B29" s="1">
        <f>A29</f>
        <v/>
      </c>
      <c r="C29" s="1" t="inlineStr">
        <is>
          <t>vG8o88</t>
        </is>
      </c>
      <c r="D29" s="1" t="inlineStr">
        <is>
          <t>字串</t>
        </is>
      </c>
      <c r="E29" s="1" t="n">
        <v>150</v>
      </c>
      <c r="F29" s="1" t="n">
        <v>0</v>
      </c>
      <c r="G29" s="1">
        <f>IF(ISERROR(SEARCH("_oth",C29,1)),MID($C29,1,SEARCH("o",C29,1)-1),MID($C29,1,SEARCH("_oth",C29,1)-1))</f>
        <v/>
      </c>
      <c r="H29" s="4">
        <f>IF(
ISNUMBER(SEARCH("oth", $C29, 1)),
MID($C29, 1, SEARCH("_", $C29, 1) - 1),
IF(
AND($C29 &lt;&gt; "vZ0city_oth", $F29 = 0),
VALUE(MID($C29, SEARCH("o", $C29, 1) + 1, LEN($C29) - SEARCH("o", $C29, 1))),
_xlfn.CONCAT(MID($C29, 1, SEARCH("o", $C29, 1) - 1), "m", I29)
)
)</f>
        <v/>
      </c>
      <c r="I29" s="1">
        <f>MID($C29,LEN($G29)+2,2)</f>
        <v/>
      </c>
      <c r="J29" s="1">
        <f>IF(F29=0,G29,H29)</f>
        <v/>
      </c>
      <c r="K29" s="9">
        <f>IF(F29=0,H29,1)</f>
        <v/>
      </c>
      <c r="L29" s="9">
        <f>IF(LEN(K29)=1,LEN(K29)+1,LEN(K29))</f>
        <v/>
      </c>
    </row>
    <row r="30">
      <c r="A30" s="1" t="n">
        <v>1028</v>
      </c>
      <c r="B30" s="1">
        <f>A30</f>
        <v/>
      </c>
      <c r="C30" s="1" t="inlineStr">
        <is>
          <t>vG9o88</t>
        </is>
      </c>
      <c r="D30" s="1" t="inlineStr">
        <is>
          <t>字串</t>
        </is>
      </c>
      <c r="E30" s="1" t="n">
        <v>150</v>
      </c>
      <c r="F30" s="1" t="n">
        <v>1</v>
      </c>
      <c r="G30" s="1">
        <f>IF(ISERROR(SEARCH("_oth",C30,1)),MID($C30,1,SEARCH("o",C30,1)-1),MID($C30,1,SEARCH("_oth",C30,1)-1))</f>
        <v/>
      </c>
      <c r="H30" s="4">
        <f>IF(
ISNUMBER(SEARCH("oth", $C30, 1)),
MID($C30, 1, SEARCH("_", $C30, 1) - 1),
IF(
AND($C30 &lt;&gt; "vZ0city_oth", $F30 = 0),
VALUE(MID($C30, SEARCH("o", $C30, 1) + 1, LEN($C30) - SEARCH("o", $C30, 1))),
_xlfn.CONCAT(MID($C30, 1, SEARCH("o", $C30, 1) - 1), "m", I30)
)
)</f>
        <v/>
      </c>
      <c r="I30" s="1">
        <f>MID($C30,LEN($G30)+2,2)</f>
        <v/>
      </c>
      <c r="J30" s="1">
        <f>IF(F30=0,G30,H30)</f>
        <v/>
      </c>
      <c r="K30" s="9">
        <f>IF(F30=0,H30,1)</f>
        <v/>
      </c>
      <c r="L30" s="9">
        <f>IF(LEN(K30)=1,LEN(K30)+1,LEN(K30))</f>
        <v/>
      </c>
    </row>
    <row r="31">
      <c r="A31" s="1" t="n">
        <v>1029</v>
      </c>
      <c r="B31" s="1">
        <f>A31</f>
        <v/>
      </c>
      <c r="C31" s="1" t="inlineStr">
        <is>
          <t>vG10o88</t>
        </is>
      </c>
      <c r="D31" s="1" t="inlineStr">
        <is>
          <t>字串</t>
        </is>
      </c>
      <c r="E31" s="1" t="n">
        <v>150</v>
      </c>
      <c r="F31" s="1" t="n">
        <v>2</v>
      </c>
      <c r="G31" s="1">
        <f>IF(ISERROR(SEARCH("_oth",C31,1)),MID($C31,1,SEARCH("o",C31,1)-1),MID($C31,1,SEARCH("_oth",C31,1)-1))</f>
        <v/>
      </c>
      <c r="H31" s="4">
        <f>IF(
ISNUMBER(SEARCH("oth", $C31, 1)),
MID($C31, 1, SEARCH("_", $C31, 1) - 1),
IF(
AND($C31 &lt;&gt; "vZ0city_oth", $F31 = 0),
VALUE(MID($C31, SEARCH("o", $C31, 1) + 1, LEN($C31) - SEARCH("o", $C31, 1))),
_xlfn.CONCAT(MID($C31, 1, SEARCH("o", $C31, 1) - 1), "m", I31)
)
)</f>
        <v/>
      </c>
      <c r="I31" s="1">
        <f>MID($C31,LEN($G31)+2,2)</f>
        <v/>
      </c>
      <c r="J31" s="1">
        <f>IF(F31=0,G31,H31)</f>
        <v/>
      </c>
      <c r="K31" s="9">
        <f>IF(F31=0,H31,1)</f>
        <v/>
      </c>
      <c r="L31" s="9">
        <f>IF(LEN(K31)=1,LEN(K31)+1,LEN(K31))</f>
        <v/>
      </c>
    </row>
    <row r="32">
      <c r="A32" s="1" t="n">
        <v>1030</v>
      </c>
      <c r="B32" s="1">
        <f>A32</f>
        <v/>
      </c>
      <c r="C32" s="1" t="inlineStr">
        <is>
          <t>vG11o88</t>
        </is>
      </c>
      <c r="D32" s="1" t="inlineStr">
        <is>
          <t>字串</t>
        </is>
      </c>
      <c r="E32" s="1" t="n">
        <v>150</v>
      </c>
      <c r="F32" s="1" t="n">
        <v>3</v>
      </c>
      <c r="G32" s="1">
        <f>IF(ISERROR(SEARCH("_oth",C32,1)),MID($C32,1,SEARCH("o",C32,1)-1),MID($C32,1,SEARCH("_oth",C32,1)-1))</f>
        <v/>
      </c>
      <c r="H32" s="4">
        <f>IF(
ISNUMBER(SEARCH("oth", $C32, 1)),
MID($C32, 1, SEARCH("_", $C32, 1) - 1),
IF(
AND($C32 &lt;&gt; "vZ0city_oth", $F32 = 0),
VALUE(MID($C32, SEARCH("o", $C32, 1) + 1, LEN($C32) - SEARCH("o", $C32, 1))),
_xlfn.CONCAT(MID($C32, 1, SEARCH("o", $C32, 1) - 1), "m", I32)
)
)</f>
        <v/>
      </c>
      <c r="I32" s="1">
        <f>MID($C32,LEN($G32)+2,2)</f>
        <v/>
      </c>
      <c r="J32" s="1">
        <f>IF(F32=0,G32,H32)</f>
        <v/>
      </c>
      <c r="K32" s="9">
        <f>IF(F32=0,H32,1)</f>
        <v/>
      </c>
      <c r="L32" s="9">
        <f>IF(LEN(K32)=1,LEN(K32)+1,LEN(K32))</f>
        <v/>
      </c>
    </row>
    <row r="33">
      <c r="A33" s="1" t="n">
        <v>1031</v>
      </c>
      <c r="B33" s="1">
        <f>A33</f>
        <v/>
      </c>
      <c r="C33" s="1" t="inlineStr">
        <is>
          <t>vB7ao88</t>
        </is>
      </c>
      <c r="D33" s="1" t="inlineStr">
        <is>
          <t>字串</t>
        </is>
      </c>
      <c r="E33" s="1" t="n">
        <v>150</v>
      </c>
      <c r="F33" s="1" t="n">
        <v>4</v>
      </c>
      <c r="G33" s="1">
        <f>IF(ISERROR(SEARCH("_oth",C33,1)),MID($C33,1,SEARCH("o",C33,1)-1),MID($C33,1,SEARCH("_oth",C33,1)-1))</f>
        <v/>
      </c>
      <c r="H33" s="4">
        <f>IF(
ISNUMBER(SEARCH("oth", $C33, 1)),
MID($C33, 1, SEARCH("_", $C33, 1) - 1),
IF(
AND($C33 &lt;&gt; "vZ0city_oth", $F33 = 0),
VALUE(MID($C33, SEARCH("o", $C33, 1) + 1, LEN($C33) - SEARCH("o", $C33, 1))),
_xlfn.CONCAT(MID($C33, 1, SEARCH("o", $C33, 1) - 1), "m", I33)
)
)</f>
        <v/>
      </c>
      <c r="I33" s="1">
        <f>MID($C33,LEN($G33)+2,2)</f>
        <v/>
      </c>
      <c r="J33" s="1">
        <f>IF(F33=0,G33,H33)</f>
        <v/>
      </c>
      <c r="K33" s="9">
        <f>IF(F33=0,H33,1)</f>
        <v/>
      </c>
      <c r="L33" s="9">
        <f>IF(LEN(K33)=1,LEN(K33)+1,LEN(K33))</f>
        <v/>
      </c>
    </row>
    <row r="34">
      <c r="A34" s="1" t="n">
        <v>1032</v>
      </c>
      <c r="B34" s="1">
        <f>A34</f>
        <v/>
      </c>
      <c r="C34" s="1" t="inlineStr">
        <is>
          <t>vB7o88</t>
        </is>
      </c>
      <c r="D34" s="1" t="inlineStr">
        <is>
          <t>字串</t>
        </is>
      </c>
      <c r="E34" s="1" t="n">
        <v>150</v>
      </c>
      <c r="F34" s="1" t="n">
        <v>5</v>
      </c>
      <c r="G34" s="1">
        <f>IF(ISERROR(SEARCH("_oth",C34,1)),MID($C34,1,SEARCH("o",C34,1)-1),MID($C34,1,SEARCH("_oth",C34,1)-1))</f>
        <v/>
      </c>
      <c r="H34" s="4">
        <f>IF(
ISNUMBER(SEARCH("oth", $C34, 1)),
MID($C34, 1, SEARCH("_", $C34, 1) - 1),
IF(
AND($C34 &lt;&gt; "vZ0city_oth", $F34 = 0),
VALUE(MID($C34, SEARCH("o", $C34, 1) + 1, LEN($C34) - SEARCH("o", $C34, 1))),
_xlfn.CONCAT(MID($C34, 1, SEARCH("o", $C34, 1) - 1), "m", I34)
)
)</f>
        <v/>
      </c>
      <c r="I34" s="1">
        <f>MID($C34,LEN($G34)+2,2)</f>
        <v/>
      </c>
      <c r="J34" s="1">
        <f>IF(F34=0,G34,H34)</f>
        <v/>
      </c>
      <c r="K34" s="9">
        <f>IF(F34=0,H34,1)</f>
        <v/>
      </c>
      <c r="L34" s="9">
        <f>IF(LEN(K34)=1,LEN(K34)+1,LEN(K34))</f>
        <v/>
      </c>
    </row>
    <row r="35">
      <c r="A35" s="1" t="n">
        <v>1033</v>
      </c>
      <c r="B35" s="1">
        <f>A35</f>
        <v/>
      </c>
      <c r="C35" s="1" t="inlineStr">
        <is>
          <t>vB8o88</t>
        </is>
      </c>
      <c r="D35" s="1" t="inlineStr">
        <is>
          <t>字串</t>
        </is>
      </c>
      <c r="E35" s="1" t="n">
        <v>150</v>
      </c>
      <c r="F35" s="1" t="n">
        <v>6</v>
      </c>
      <c r="G35" s="1">
        <f>IF(ISERROR(SEARCH("_oth",C35,1)),MID($C35,1,SEARCH("o",C35,1)-1),MID($C35,1,SEARCH("_oth",C35,1)-1))</f>
        <v/>
      </c>
      <c r="H35" s="4">
        <f>IF(
ISNUMBER(SEARCH("oth", $C35, 1)),
MID($C35, 1, SEARCH("_", $C35, 1) - 1),
IF(
AND($C35 &lt;&gt; "vZ0city_oth", $F35 = 0),
VALUE(MID($C35, SEARCH("o", $C35, 1) + 1, LEN($C35) - SEARCH("o", $C35, 1))),
_xlfn.CONCAT(MID($C35, 1, SEARCH("o", $C35, 1) - 1), "m", I35)
)
)</f>
        <v/>
      </c>
      <c r="I35" s="1">
        <f>MID($C35,LEN($G35)+2,2)</f>
        <v/>
      </c>
      <c r="J35" s="1">
        <f>IF(F35=0,G35,H35)</f>
        <v/>
      </c>
      <c r="K35" s="9">
        <f>IF(F35=0,H35,1)</f>
        <v/>
      </c>
      <c r="L35" s="9">
        <f>IF(LEN(K35)=1,LEN(K35)+1,LEN(K35))</f>
        <v/>
      </c>
    </row>
    <row r="36">
      <c r="A36" s="1" t="n">
        <v>1034</v>
      </c>
      <c r="B36" s="1">
        <f>A36</f>
        <v/>
      </c>
      <c r="C36" s="1" t="inlineStr">
        <is>
          <t>vG3o88</t>
        </is>
      </c>
      <c r="D36" s="1" t="inlineStr">
        <is>
          <t>字串</t>
        </is>
      </c>
      <c r="E36" s="1" t="n">
        <v>150</v>
      </c>
      <c r="F36" s="1" t="n">
        <v>7</v>
      </c>
      <c r="G36" s="1">
        <f>IF(ISERROR(SEARCH("_oth",C36,1)),MID($C36,1,SEARCH("o",C36,1)-1),MID($C36,1,SEARCH("_oth",C36,1)-1))</f>
        <v/>
      </c>
      <c r="H36" s="4">
        <f>IF(
ISNUMBER(SEARCH("oth", $C36, 1)),
MID($C36, 1, SEARCH("_", $C36, 1) - 1),
IF(
AND($C36 &lt;&gt; "vZ0city_oth", $F36 = 0),
VALUE(MID($C36, SEARCH("o", $C36, 1) + 1, LEN($C36) - SEARCH("o", $C36, 1))),
_xlfn.CONCAT(MID($C36, 1, SEARCH("o", $C36, 1) - 1), "m", I36)
)
)</f>
        <v/>
      </c>
      <c r="I36" s="1">
        <f>MID($C36,LEN($G36)+2,2)</f>
        <v/>
      </c>
      <c r="J36" s="1">
        <f>IF(F36=0,G36,H36)</f>
        <v/>
      </c>
      <c r="K36" s="9">
        <f>IF(F36=0,H36,1)</f>
        <v/>
      </c>
      <c r="L36" s="9">
        <f>IF(LEN(K36)=1,LEN(K36)+1,LEN(K36))</f>
        <v/>
      </c>
    </row>
    <row r="37">
      <c r="A37" s="1" t="n">
        <v>1035</v>
      </c>
      <c r="B37" s="1">
        <f>A37</f>
        <v/>
      </c>
      <c r="C37" s="1" t="inlineStr">
        <is>
          <t>vF5o88</t>
        </is>
      </c>
      <c r="D37" s="1" t="inlineStr">
        <is>
          <t>字串</t>
        </is>
      </c>
      <c r="E37" s="1" t="n">
        <v>150</v>
      </c>
      <c r="F37" s="1" t="n">
        <v>8</v>
      </c>
      <c r="G37" s="1">
        <f>IF(ISERROR(SEARCH("_oth",C37,1)),MID($C37,1,SEARCH("o",C37,1)-1),MID($C37,1,SEARCH("_oth",C37,1)-1))</f>
        <v/>
      </c>
      <c r="H37" s="4">
        <f>IF(
ISNUMBER(SEARCH("oth", $C37, 1)),
MID($C37, 1, SEARCH("_", $C37, 1) - 1),
IF(
AND($C37 &lt;&gt; "vZ0city_oth", $F37 = 0),
VALUE(MID($C37, SEARCH("o", $C37, 1) + 1, LEN($C37) - SEARCH("o", $C37, 1))),
_xlfn.CONCAT(MID($C37, 1, SEARCH("o", $C37, 1) - 1), "m", I37)
)
)</f>
        <v/>
      </c>
      <c r="I37" s="1">
        <f>MID($C37,LEN($G37)+2,2)</f>
        <v/>
      </c>
      <c r="J37" s="1">
        <f>IF(F37=0,G37,H37)</f>
        <v/>
      </c>
      <c r="K37" s="9">
        <f>IF(F37=0,H37,1)</f>
        <v/>
      </c>
      <c r="L37" s="9">
        <f>IF(LEN(K37)=1,LEN(K37)+1,LEN(K37))</f>
        <v/>
      </c>
    </row>
    <row r="38">
      <c r="A38" s="1" t="n">
        <v>1036</v>
      </c>
      <c r="B38" s="1">
        <f>A38</f>
        <v/>
      </c>
      <c r="C38" s="1" t="inlineStr">
        <is>
          <t>vC3o88</t>
        </is>
      </c>
      <c r="D38" s="1" t="inlineStr">
        <is>
          <t>字串</t>
        </is>
      </c>
      <c r="E38" s="1" t="n">
        <v>150</v>
      </c>
      <c r="F38" s="1" t="n">
        <v>9</v>
      </c>
      <c r="G38" s="1">
        <f>IF(ISERROR(SEARCH("_oth",C38,1)),MID($C38,1,SEARCH("o",C38,1)-1),MID($C38,1,SEARCH("_oth",C38,1)-1))</f>
        <v/>
      </c>
      <c r="H38" s="4">
        <f>IF(
ISNUMBER(SEARCH("oth", $C38, 1)),
MID($C38, 1, SEARCH("_", $C38, 1) - 1),
IF(
AND($C38 &lt;&gt; "vZ0city_oth", $F38 = 0),
VALUE(MID($C38, SEARCH("o", $C38, 1) + 1, LEN($C38) - SEARCH("o", $C38, 1))),
_xlfn.CONCAT(MID($C38, 1, SEARCH("o", $C38, 1) - 1), "m", I38)
)
)</f>
        <v/>
      </c>
      <c r="I38" s="1">
        <f>MID($C38,LEN($G38)+2,2)</f>
        <v/>
      </c>
      <c r="J38" s="1">
        <f>IF(F38=0,G38,H38)</f>
        <v/>
      </c>
      <c r="K38" s="9">
        <f>IF(F38=0,H38,1)</f>
        <v/>
      </c>
      <c r="L38" s="9">
        <f>IF(LEN(K38)=1,LEN(K38)+1,LEN(K38))</f>
        <v/>
      </c>
    </row>
    <row r="39">
      <c r="A39" s="1" t="n">
        <v>1037</v>
      </c>
      <c r="B39" s="1">
        <f>A39</f>
        <v/>
      </c>
      <c r="C39" s="1" t="inlineStr">
        <is>
          <t>vJB1o88</t>
        </is>
      </c>
      <c r="D39" s="1" t="inlineStr">
        <is>
          <t>字串</t>
        </is>
      </c>
      <c r="E39" s="1" t="n">
        <v>150</v>
      </c>
      <c r="F39" s="1" t="n">
        <v>10</v>
      </c>
      <c r="G39" s="1">
        <f>IF(ISERROR(SEARCH("_oth",C39,1)),MID($C39,1,SEARCH("o",C39,1)-1),MID($C39,1,SEARCH("_oth",C39,1)-1))</f>
        <v/>
      </c>
      <c r="H39" s="4">
        <f>IF(
ISNUMBER(SEARCH("oth", $C39, 1)),
MID($C39, 1, SEARCH("_", $C39, 1) - 1),
IF(
AND($C39 &lt;&gt; "vZ0city_oth", $F39 = 0),
VALUE(MID($C39, SEARCH("o", $C39, 1) + 1, LEN($C39) - SEARCH("o", $C39, 1))),
_xlfn.CONCAT(MID($C39, 1, SEARCH("o", $C39, 1) - 1), "m", I39)
)
)</f>
        <v/>
      </c>
      <c r="I39" s="1">
        <f>MID($C39,LEN($G39)+2,2)</f>
        <v/>
      </c>
      <c r="J39" s="1">
        <f>IF(F39=0,G39,H39)</f>
        <v/>
      </c>
      <c r="K39" s="9">
        <f>IF(F39=0,H39,1)</f>
        <v/>
      </c>
      <c r="L39" s="9">
        <f>IF(LEN(K39)=1,LEN(K39)+1,LEN(K39))</f>
        <v/>
      </c>
    </row>
    <row r="40">
      <c r="A40" s="1" t="n">
        <v>1038</v>
      </c>
      <c r="B40" s="1">
        <f>A40</f>
        <v/>
      </c>
      <c r="C40" s="1" t="inlineStr">
        <is>
          <t>vJB2o88</t>
        </is>
      </c>
      <c r="D40" s="1" t="inlineStr">
        <is>
          <t>字串</t>
        </is>
      </c>
      <c r="E40" s="1" t="n">
        <v>150</v>
      </c>
      <c r="F40" s="1" t="n">
        <v>11</v>
      </c>
      <c r="G40" s="1">
        <f>IF(ISERROR(SEARCH("_oth",C40,1)),MID($C40,1,SEARCH("o",C40,1)-1),MID($C40,1,SEARCH("_oth",C40,1)-1))</f>
        <v/>
      </c>
      <c r="H40" s="4">
        <f>IF(
ISNUMBER(SEARCH("oth", $C40, 1)),
MID($C40, 1, SEARCH("_", $C40, 1) - 1),
IF(
AND($C40 &lt;&gt; "vZ0city_oth", $F40 = 0),
VALUE(MID($C40, SEARCH("o", $C40, 1) + 1, LEN($C40) - SEARCH("o", $C40, 1))),
_xlfn.CONCAT(MID($C40, 1, SEARCH("o", $C40, 1) - 1), "m", I40)
)
)</f>
        <v/>
      </c>
      <c r="I40" s="1">
        <f>MID($C40,LEN($G40)+2,2)</f>
        <v/>
      </c>
      <c r="J40" s="1">
        <f>IF(F40=0,G40,H40)</f>
        <v/>
      </c>
      <c r="K40" s="9">
        <f>IF(F40=0,H40,1)</f>
        <v/>
      </c>
      <c r="L40" s="9">
        <f>IF(LEN(K40)=1,LEN(K40)+1,LEN(K40))</f>
        <v/>
      </c>
    </row>
    <row r="41">
      <c r="A41" s="1" t="n">
        <v>1039</v>
      </c>
      <c r="B41" s="1">
        <f>A41</f>
        <v/>
      </c>
      <c r="C41" s="1" t="inlineStr">
        <is>
          <t>vM2o88</t>
        </is>
      </c>
      <c r="D41" s="1" t="inlineStr">
        <is>
          <t>字串</t>
        </is>
      </c>
      <c r="E41" s="1" t="n">
        <v>150</v>
      </c>
      <c r="F41" s="1" t="n">
        <v>12</v>
      </c>
      <c r="G41" s="1">
        <f>IF(ISERROR(SEARCH("_oth",C41,1)),MID($C41,1,SEARCH("o",C41,1)-1),MID($C41,1,SEARCH("_oth",C41,1)-1))</f>
        <v/>
      </c>
      <c r="H41" s="4">
        <f>IF(
ISNUMBER(SEARCH("oth", $C41, 1)),
MID($C41, 1, SEARCH("_", $C41, 1) - 1),
IF(
AND($C41 &lt;&gt; "vZ0city_oth", $F41 = 0),
VALUE(MID($C41, SEARCH("o", $C41, 1) + 1, LEN($C41) - SEARCH("o", $C41, 1))),
_xlfn.CONCAT(MID($C41, 1, SEARCH("o", $C41, 1) - 1), "m", I41)
)
)</f>
        <v/>
      </c>
      <c r="I41" s="1">
        <f>MID($C41,LEN($G41)+2,2)</f>
        <v/>
      </c>
      <c r="J41" s="1">
        <f>IF(F41=0,G41,H41)</f>
        <v/>
      </c>
      <c r="K41" s="9">
        <f>IF(F41=0,H41,1)</f>
        <v/>
      </c>
      <c r="L41" s="9">
        <f>IF(LEN(K41)=1,LEN(K41)+1,LEN(K41))</f>
        <v/>
      </c>
    </row>
    <row r="42">
      <c r="A42" s="1" t="n">
        <v>1040</v>
      </c>
      <c r="B42" s="1">
        <f>A42</f>
        <v/>
      </c>
      <c r="C42" s="1" t="inlineStr">
        <is>
          <t>vM3o88</t>
        </is>
      </c>
      <c r="D42" s="1" t="inlineStr">
        <is>
          <t>字串</t>
        </is>
      </c>
      <c r="E42" s="1" t="n">
        <v>150</v>
      </c>
      <c r="F42" s="1" t="n">
        <v>13</v>
      </c>
      <c r="G42" s="1">
        <f>IF(ISERROR(SEARCH("_oth",C42,1)),MID($C42,1,SEARCH("o",C42,1)-1),MID($C42,1,SEARCH("_oth",C42,1)-1))</f>
        <v/>
      </c>
      <c r="H42" s="4">
        <f>IF(
ISNUMBER(SEARCH("oth", $C42, 1)),
MID($C42, 1, SEARCH("_", $C42, 1) - 1),
IF(
AND($C42 &lt;&gt; "vZ0city_oth", $F42 = 0),
VALUE(MID($C42, SEARCH("o", $C42, 1) + 1, LEN($C42) - SEARCH("o", $C42, 1))),
_xlfn.CONCAT(MID($C42, 1, SEARCH("o", $C42, 1) - 1), "m", I42)
)
)</f>
        <v/>
      </c>
      <c r="I42" s="1">
        <f>MID($C42,LEN($G42)+2,2)</f>
        <v/>
      </c>
      <c r="J42" s="1">
        <f>IF(F42=0,G42,H42)</f>
        <v/>
      </c>
      <c r="K42" s="9">
        <f>IF(F42=0,H42,1)</f>
        <v/>
      </c>
      <c r="L42" s="9">
        <f>IF(LEN(K42)=1,LEN(K42)+1,LEN(K42))</f>
        <v/>
      </c>
    </row>
    <row r="43">
      <c r="A43" s="1" t="n">
        <v>1041</v>
      </c>
      <c r="B43" s="1">
        <f>A43</f>
        <v/>
      </c>
      <c r="C43" s="1" t="inlineStr">
        <is>
          <t>vQ20o88</t>
        </is>
      </c>
      <c r="D43" s="1" t="inlineStr">
        <is>
          <t>字串</t>
        </is>
      </c>
      <c r="E43" s="1" t="n">
        <v>150</v>
      </c>
      <c r="F43" s="1" t="n">
        <v>14</v>
      </c>
      <c r="G43" s="1">
        <f>IF(ISERROR(SEARCH("_oth",C43,1)),MID($C43,1,SEARCH("o",C43,1)-1),MID($C43,1,SEARCH("_oth",C43,1)-1))</f>
        <v/>
      </c>
      <c r="H43" s="4">
        <f>IF(
ISNUMBER(SEARCH("oth", $C43, 1)),
MID($C43, 1, SEARCH("_", $C43, 1) - 1),
IF(
AND($C43 &lt;&gt; "vZ0city_oth", $F43 = 0),
VALUE(MID($C43, SEARCH("o", $C43, 1) + 1, LEN($C43) - SEARCH("o", $C43, 1))),
_xlfn.CONCAT(MID($C43, 1, SEARCH("o", $C43, 1) - 1), "m", I43)
)
)</f>
        <v/>
      </c>
      <c r="I43" s="1">
        <f>MID($C43,LEN($G43)+2,2)</f>
        <v/>
      </c>
      <c r="J43" s="1">
        <f>IF(F43=0,G43,H43)</f>
        <v/>
      </c>
      <c r="K43" s="9">
        <f>IF(F43=0,H43,1)</f>
        <v/>
      </c>
      <c r="L43" s="9">
        <f>IF(LEN(K43)=1,LEN(K43)+1,LEN(K43))</f>
        <v/>
      </c>
    </row>
    <row r="44">
      <c r="A44" s="1" t="n">
        <v>1042</v>
      </c>
      <c r="B44" s="1">
        <f>A44</f>
        <v/>
      </c>
      <c r="C44" s="1" t="inlineStr">
        <is>
          <t>vQ25o88</t>
        </is>
      </c>
      <c r="D44" s="1" t="inlineStr">
        <is>
          <t>字串</t>
        </is>
      </c>
      <c r="E44" s="1" t="n">
        <v>150</v>
      </c>
      <c r="F44" s="1" t="n">
        <v>15</v>
      </c>
      <c r="G44" s="1">
        <f>IF(ISERROR(SEARCH("_oth",C44,1)),MID($C44,1,SEARCH("o",C44,1)-1),MID($C44,1,SEARCH("_oth",C44,1)-1))</f>
        <v/>
      </c>
      <c r="H44" s="4">
        <f>IF(
ISNUMBER(SEARCH("oth", $C44, 1)),
MID($C44, 1, SEARCH("_", $C44, 1) - 1),
IF(
AND($C44 &lt;&gt; "vZ0city_oth", $F44 = 0),
VALUE(MID($C44, SEARCH("o", $C44, 1) + 1, LEN($C44) - SEARCH("o", $C44, 1))),
_xlfn.CONCAT(MID($C44, 1, SEARCH("o", $C44, 1) - 1), "m", I44)
)
)</f>
        <v/>
      </c>
      <c r="I44" s="1">
        <f>MID($C44,LEN($G44)+2,2)</f>
        <v/>
      </c>
      <c r="J44" s="1">
        <f>IF(F44=0,G44,H44)</f>
        <v/>
      </c>
      <c r="K44" s="9">
        <f>IF(F44=0,H44,1)</f>
        <v/>
      </c>
      <c r="L44" s="9">
        <f>IF(LEN(K44)=1,LEN(K44)+1,LEN(K44))</f>
        <v/>
      </c>
    </row>
    <row r="45">
      <c r="A45" s="1" t="n">
        <v>1043</v>
      </c>
      <c r="B45" s="1">
        <f>A45</f>
        <v/>
      </c>
      <c r="C45" s="1" t="inlineStr">
        <is>
          <t>vQ22o88</t>
        </is>
      </c>
      <c r="D45" s="1" t="inlineStr">
        <is>
          <t>字串</t>
        </is>
      </c>
      <c r="E45" s="1" t="n">
        <v>150</v>
      </c>
      <c r="F45" s="1" t="n">
        <v>16</v>
      </c>
      <c r="G45" s="1">
        <f>IF(ISERROR(SEARCH("_oth",C45,1)),MID($C45,1,SEARCH("o",C45,1)-1),MID($C45,1,SEARCH("_oth",C45,1)-1))</f>
        <v/>
      </c>
      <c r="H45" s="4">
        <f>IF(
ISNUMBER(SEARCH("oth", $C45, 1)),
MID($C45, 1, SEARCH("_", $C45, 1) - 1),
IF(
AND($C45 &lt;&gt; "vZ0city_oth", $F45 = 0),
VALUE(MID($C45, SEARCH("o", $C45, 1) + 1, LEN($C45) - SEARCH("o", $C45, 1))),
_xlfn.CONCAT(MID($C45, 1, SEARCH("o", $C45, 1) - 1), "m", I45)
)
)</f>
        <v/>
      </c>
      <c r="I45" s="1">
        <f>MID($C45,LEN($G45)+2,2)</f>
        <v/>
      </c>
      <c r="J45" s="1">
        <f>IF(F45=0,G45,H45)</f>
        <v/>
      </c>
      <c r="K45" s="9">
        <f>IF(F45=0,H45,1)</f>
        <v/>
      </c>
      <c r="L45" s="9">
        <f>IF(LEN(K45)=1,LEN(K45)+1,LEN(K45))</f>
        <v/>
      </c>
    </row>
    <row r="46">
      <c r="A46" s="1" t="n">
        <v>1044</v>
      </c>
      <c r="B46" s="1">
        <f>A46</f>
        <v/>
      </c>
      <c r="C46" s="1" t="inlineStr">
        <is>
          <t>vQ23o88</t>
        </is>
      </c>
      <c r="D46" s="1" t="inlineStr">
        <is>
          <t>字串</t>
        </is>
      </c>
      <c r="E46" s="1" t="n">
        <v>150</v>
      </c>
      <c r="F46" s="1" t="n">
        <v>17</v>
      </c>
      <c r="G46" s="1">
        <f>IF(ISERROR(SEARCH("_oth",C46,1)),MID($C46,1,SEARCH("o",C46,1)-1),MID($C46,1,SEARCH("_oth",C46,1)-1))</f>
        <v/>
      </c>
      <c r="H46" s="4">
        <f>IF(
ISNUMBER(SEARCH("oth", $C46, 1)),
MID($C46, 1, SEARCH("_", $C46, 1) - 1),
IF(
AND($C46 &lt;&gt; "vZ0city_oth", $F46 = 0),
VALUE(MID($C46, SEARCH("o", $C46, 1) + 1, LEN($C46) - SEARCH("o", $C46, 1))),
_xlfn.CONCAT(MID($C46, 1, SEARCH("o", $C46, 1) - 1), "m", I46)
)
)</f>
        <v/>
      </c>
      <c r="I46" s="1">
        <f>MID($C46,LEN($G46)+2,2)</f>
        <v/>
      </c>
      <c r="J46" s="1">
        <f>IF(F46=0,G46,H46)</f>
        <v/>
      </c>
      <c r="K46" s="9">
        <f>IF(F46=0,H46,1)</f>
        <v/>
      </c>
      <c r="L46" s="9">
        <f>IF(LEN(K46)=1,LEN(K46)+1,LEN(K46))</f>
        <v/>
      </c>
    </row>
    <row r="47">
      <c r="A47" s="1" t="n">
        <v>1045</v>
      </c>
      <c r="B47" s="1">
        <f>A47</f>
        <v/>
      </c>
      <c r="C47" s="1" t="inlineStr">
        <is>
          <t>vQ26o88</t>
        </is>
      </c>
      <c r="D47" s="1" t="inlineStr">
        <is>
          <t>字串</t>
        </is>
      </c>
      <c r="E47" s="1" t="n">
        <v>150</v>
      </c>
      <c r="F47" s="1" t="n">
        <v>18</v>
      </c>
      <c r="G47" s="1">
        <f>IF(ISERROR(SEARCH("_oth",C47,1)),MID($C47,1,SEARCH("o",C47,1)-1),MID($C47,1,SEARCH("_oth",C47,1)-1))</f>
        <v/>
      </c>
      <c r="H47" s="4">
        <f>IF(
ISNUMBER(SEARCH("oth", $C47, 1)),
MID($C47, 1, SEARCH("_", $C47, 1) - 1),
IF(
AND($C47 &lt;&gt; "vZ0city_oth", $F47 = 0),
VALUE(MID($C47, SEARCH("o", $C47, 1) + 1, LEN($C47) - SEARCH("o", $C47, 1))),
_xlfn.CONCAT(MID($C47, 1, SEARCH("o", $C47, 1) - 1), "m", I47)
)
)</f>
        <v/>
      </c>
      <c r="I47" s="1">
        <f>MID($C47,LEN($G47)+2,2)</f>
        <v/>
      </c>
      <c r="J47" s="1">
        <f>IF(F47=0,G47,H47)</f>
        <v/>
      </c>
      <c r="K47" s="9">
        <f>IF(F47=0,H47,1)</f>
        <v/>
      </c>
      <c r="L47" s="9">
        <f>IF(LEN(K47)=1,LEN(K47)+1,LEN(K47))</f>
        <v/>
      </c>
    </row>
    <row r="48">
      <c r="A48" s="1" t="n">
        <v>1046</v>
      </c>
      <c r="B48" s="1">
        <f>A48</f>
        <v/>
      </c>
      <c r="C48" s="1" t="inlineStr">
        <is>
          <t>vQ27o88</t>
        </is>
      </c>
      <c r="D48" s="1" t="inlineStr">
        <is>
          <t>字串</t>
        </is>
      </c>
      <c r="E48" s="1" t="n">
        <v>150</v>
      </c>
      <c r="F48" s="1" t="n">
        <v>19</v>
      </c>
      <c r="G48" s="1">
        <f>IF(ISERROR(SEARCH("_oth",C48,1)),MID($C48,1,SEARCH("o",C48,1)-1),MID($C48,1,SEARCH("_oth",C48,1)-1))</f>
        <v/>
      </c>
      <c r="H48" s="4">
        <f>IF(
ISNUMBER(SEARCH("oth", $C48, 1)),
MID($C48, 1, SEARCH("_", $C48, 1) - 1),
IF(
AND($C48 &lt;&gt; "vZ0city_oth", $F48 = 0),
VALUE(MID($C48, SEARCH("o", $C48, 1) + 1, LEN($C48) - SEARCH("o", $C48, 1))),
_xlfn.CONCAT(MID($C48, 1, SEARCH("o", $C48, 1) - 1), "m", I48)
)
)</f>
        <v/>
      </c>
      <c r="I48" s="1">
        <f>MID($C48,LEN($G48)+2,2)</f>
        <v/>
      </c>
      <c r="J48" s="1">
        <f>IF(F48=0,G48,H48)</f>
        <v/>
      </c>
      <c r="K48" s="9">
        <f>IF(F48=0,H48,1)</f>
        <v/>
      </c>
      <c r="L48" s="9">
        <f>IF(LEN(K48)=1,LEN(K48)+1,LEN(K48))</f>
        <v/>
      </c>
    </row>
    <row r="49">
      <c r="A49" s="1" t="n">
        <v>1047</v>
      </c>
      <c r="B49" s="1">
        <f>A49</f>
        <v/>
      </c>
      <c r="C49" s="1" t="inlineStr">
        <is>
          <t>vQ44o88</t>
        </is>
      </c>
      <c r="D49" s="1" t="inlineStr">
        <is>
          <t>字串</t>
        </is>
      </c>
      <c r="E49" s="1" t="n">
        <v>150</v>
      </c>
      <c r="F49" s="1" t="n">
        <v>20</v>
      </c>
      <c r="G49" s="1">
        <f>IF(ISERROR(SEARCH("_oth",C49,1)),MID($C49,1,SEARCH("o",C49,1)-1),MID($C49,1,SEARCH("_oth",C49,1)-1))</f>
        <v/>
      </c>
      <c r="H49" s="4">
        <f>IF(
ISNUMBER(SEARCH("oth", $C49, 1)),
MID($C49, 1, SEARCH("_", $C49, 1) - 1),
IF(
AND($C49 &lt;&gt; "vZ0city_oth", $F49 = 0),
VALUE(MID($C49, SEARCH("o", $C49, 1) + 1, LEN($C49) - SEARCH("o", $C49, 1))),
_xlfn.CONCAT(MID($C49, 1, SEARCH("o", $C49, 1) - 1), "m", I49)
)
)</f>
        <v/>
      </c>
      <c r="I49" s="1">
        <f>MID($C49,LEN($G49)+2,2)</f>
        <v/>
      </c>
      <c r="J49" s="1">
        <f>IF(F49=0,G49,H49)</f>
        <v/>
      </c>
      <c r="K49" s="9">
        <f>IF(F49=0,H49,1)</f>
        <v/>
      </c>
      <c r="L49" s="9">
        <f>IF(LEN(K49)=1,LEN(K49)+1,LEN(K49))</f>
        <v/>
      </c>
    </row>
    <row r="50">
      <c r="A50" s="1" t="n">
        <v>1048</v>
      </c>
      <c r="B50" s="1">
        <f>A50</f>
        <v/>
      </c>
      <c r="C50" s="1" t="inlineStr">
        <is>
          <t>vQ45o88</t>
        </is>
      </c>
      <c r="D50" s="1" t="inlineStr">
        <is>
          <t>字串</t>
        </is>
      </c>
      <c r="E50" s="1" t="n">
        <v>150</v>
      </c>
      <c r="F50" s="1" t="n">
        <v>21</v>
      </c>
      <c r="G50" s="1">
        <f>IF(ISERROR(SEARCH("_oth",C50,1)),MID($C50,1,SEARCH("o",C50,1)-1),MID($C50,1,SEARCH("_oth",C50,1)-1))</f>
        <v/>
      </c>
      <c r="H50" s="4">
        <f>IF(
ISNUMBER(SEARCH("oth", $C50, 1)),
MID($C50, 1, SEARCH("_", $C50, 1) - 1),
IF(
AND($C50 &lt;&gt; "vZ0city_oth", $F50 = 0),
VALUE(MID($C50, SEARCH("o", $C50, 1) + 1, LEN($C50) - SEARCH("o", $C50, 1))),
_xlfn.CONCAT(MID($C50, 1, SEARCH("o", $C50, 1) - 1), "m", I50)
)
)</f>
        <v/>
      </c>
      <c r="I50" s="1">
        <f>MID($C50,LEN($G50)+2,2)</f>
        <v/>
      </c>
      <c r="J50" s="1">
        <f>IF(F50=0,G50,H50)</f>
        <v/>
      </c>
      <c r="K50" s="9">
        <f>IF(F50=0,H50,1)</f>
        <v/>
      </c>
      <c r="L50" s="9">
        <f>IF(LEN(K50)=1,LEN(K50)+1,LEN(K50))</f>
        <v/>
      </c>
    </row>
    <row r="51">
      <c r="A51" s="1" t="n">
        <v>1049</v>
      </c>
      <c r="B51" s="1">
        <f>A51</f>
        <v/>
      </c>
      <c r="C51" s="1" t="inlineStr">
        <is>
          <t>vQ51o88</t>
        </is>
      </c>
      <c r="D51" s="1" t="inlineStr">
        <is>
          <t>字串</t>
        </is>
      </c>
      <c r="E51" s="1" t="n">
        <v>150</v>
      </c>
      <c r="F51" s="1" t="n">
        <v>22</v>
      </c>
      <c r="G51" s="1">
        <f>IF(ISERROR(SEARCH("_oth",C51,1)),MID($C51,1,SEARCH("o",C51,1)-1),MID($C51,1,SEARCH("_oth",C51,1)-1))</f>
        <v/>
      </c>
      <c r="H51" s="4">
        <f>IF(
ISNUMBER(SEARCH("oth", $C51, 1)),
MID($C51, 1, SEARCH("_", $C51, 1) - 1),
IF(
AND($C51 &lt;&gt; "vZ0city_oth", $F51 = 0),
VALUE(MID($C51, SEARCH("o", $C51, 1) + 1, LEN($C51) - SEARCH("o", $C51, 1))),
_xlfn.CONCAT(MID($C51, 1, SEARCH("o", $C51, 1) - 1), "m", I51)
)
)</f>
        <v/>
      </c>
      <c r="I51" s="1">
        <f>MID($C51,LEN($G51)+2,2)</f>
        <v/>
      </c>
      <c r="J51" s="1">
        <f>IF(F51=0,G51,H51)</f>
        <v/>
      </c>
      <c r="K51" s="9">
        <f>IF(F51=0,H51,1)</f>
        <v/>
      </c>
      <c r="L51" s="9">
        <f>IF(LEN(K51)=1,LEN(K51)+1,LEN(K51))</f>
        <v/>
      </c>
    </row>
    <row r="52">
      <c r="A52" s="1" t="n">
        <v>1050</v>
      </c>
      <c r="B52" s="1">
        <f>A52</f>
        <v/>
      </c>
      <c r="C52" s="1" t="inlineStr">
        <is>
          <t>vQ53o88</t>
        </is>
      </c>
      <c r="D52" s="1" t="inlineStr">
        <is>
          <t>字串</t>
        </is>
      </c>
      <c r="E52" s="1" t="n">
        <v>150</v>
      </c>
      <c r="F52" s="1" t="n">
        <v>23</v>
      </c>
      <c r="G52" s="1">
        <f>IF(ISERROR(SEARCH("_oth",C52,1)),MID($C52,1,SEARCH("o",C52,1)-1),MID($C52,1,SEARCH("_oth",C52,1)-1))</f>
        <v/>
      </c>
      <c r="H52" s="4">
        <f>IF(
ISNUMBER(SEARCH("oth", $C52, 1)),
MID($C52, 1, SEARCH("_", $C52, 1) - 1),
IF(
AND($C52 &lt;&gt; "vZ0city_oth", $F52 = 0),
VALUE(MID($C52, SEARCH("o", $C52, 1) + 1, LEN($C52) - SEARCH("o", $C52, 1))),
_xlfn.CONCAT(MID($C52, 1, SEARCH("o", $C52, 1) - 1), "m", I52)
)
)</f>
        <v/>
      </c>
      <c r="I52" s="1">
        <f>MID($C52,LEN($G52)+2,2)</f>
        <v/>
      </c>
      <c r="J52" s="1">
        <f>IF(F52=0,G52,H52)</f>
        <v/>
      </c>
      <c r="K52" s="9">
        <f>IF(F52=0,H52,1)</f>
        <v/>
      </c>
      <c r="L52" s="9">
        <f>IF(LEN(K52)=1,LEN(K52)+1,LEN(K52))</f>
        <v/>
      </c>
    </row>
    <row r="53">
      <c r="A53" s="1" t="n">
        <v>1051</v>
      </c>
      <c r="B53" s="1">
        <f>A53</f>
        <v/>
      </c>
      <c r="C53" s="1" t="inlineStr">
        <is>
          <t>vQ54o88</t>
        </is>
      </c>
      <c r="D53" s="1" t="inlineStr">
        <is>
          <t>字串</t>
        </is>
      </c>
      <c r="E53" s="1" t="n">
        <v>150</v>
      </c>
      <c r="F53" s="1" t="n">
        <v>24</v>
      </c>
      <c r="G53" s="1">
        <f>IF(ISERROR(SEARCH("_oth",C53,1)),MID($C53,1,SEARCH("o",C53,1)-1),MID($C53,1,SEARCH("_oth",C53,1)-1))</f>
        <v/>
      </c>
      <c r="H53" s="4">
        <f>IF(
ISNUMBER(SEARCH("oth", $C53, 1)),
MID($C53, 1, SEARCH("_", $C53, 1) - 1),
IF(
AND($C53 &lt;&gt; "vZ0city_oth", $F53 = 0),
VALUE(MID($C53, SEARCH("o", $C53, 1) + 1, LEN($C53) - SEARCH("o", $C53, 1))),
_xlfn.CONCAT(MID($C53, 1, SEARCH("o", $C53, 1) - 1), "m", I53)
)
)</f>
        <v/>
      </c>
      <c r="I53" s="1">
        <f>MID($C53,LEN($G53)+2,2)</f>
        <v/>
      </c>
      <c r="J53" s="1">
        <f>IF(F53=0,G53,H53)</f>
        <v/>
      </c>
      <c r="K53" s="9">
        <f>IF(F53=0,H53,1)</f>
        <v/>
      </c>
      <c r="L53" s="9">
        <f>IF(LEN(K53)=1,LEN(K53)+1,LEN(K53))</f>
        <v/>
      </c>
    </row>
    <row r="54">
      <c r="A54" s="1" t="n">
        <v>1052</v>
      </c>
      <c r="B54" s="1">
        <f>A54</f>
        <v/>
      </c>
      <c r="C54" s="1" t="inlineStr">
        <is>
          <t>vZE1o03</t>
        </is>
      </c>
      <c r="D54" s="1" t="inlineStr">
        <is>
          <t>字串</t>
        </is>
      </c>
      <c r="E54" s="1" t="n">
        <v>150</v>
      </c>
      <c r="F54" s="1" t="n">
        <v>25</v>
      </c>
      <c r="G54" s="1">
        <f>IF(ISERROR(SEARCH("_oth",C54,1)),MID($C54,1,SEARCH("o",C54,1)-1),MID($C54,1,SEARCH("_oth",C54,1)-1))</f>
        <v/>
      </c>
      <c r="H54" s="4">
        <f>IF(
ISNUMBER(SEARCH("oth", $C54, 1)),
MID($C54, 1, SEARCH("_", $C54, 1) - 1),
IF(
AND($C54 &lt;&gt; "vZ0city_oth", $F54 = 0),
VALUE(MID($C54, SEARCH("o", $C54, 1) + 1, LEN($C54) - SEARCH("o", $C54, 1))),
_xlfn.CONCAT(MID($C54, 1, SEARCH("o", $C54, 1) - 1), "m", I54)
)
)</f>
        <v/>
      </c>
      <c r="I54" s="1">
        <f>MID($C54,LEN($G54)+2,2)</f>
        <v/>
      </c>
      <c r="J54" s="1">
        <f>IF(F54=0,G54,H54)</f>
        <v/>
      </c>
      <c r="K54" s="9">
        <f>IF(F54=0,H54,1)</f>
        <v/>
      </c>
      <c r="L54" s="9">
        <f>IF(LEN(K54)=1,LEN(K54)+1,LEN(K54))</f>
        <v/>
      </c>
    </row>
    <row r="55">
      <c r="A55" s="1" t="n">
        <v>1053</v>
      </c>
      <c r="B55" s="1">
        <f>A55</f>
        <v/>
      </c>
      <c r="C55" s="1" t="inlineStr">
        <is>
          <t>vZE1o04</t>
        </is>
      </c>
      <c r="D55" s="1" t="inlineStr">
        <is>
          <t>字串</t>
        </is>
      </c>
      <c r="E55" s="1" t="n">
        <v>150</v>
      </c>
      <c r="F55" s="1" t="n">
        <v>26</v>
      </c>
      <c r="G55" s="1">
        <f>IF(ISERROR(SEARCH("_oth",C55,1)),MID($C55,1,SEARCH("o",C55,1)-1),MID($C55,1,SEARCH("_oth",C55,1)-1))</f>
        <v/>
      </c>
      <c r="H55" s="4">
        <f>IF(
ISNUMBER(SEARCH("oth", $C55, 1)),
MID($C55, 1, SEARCH("_", $C55, 1) - 1),
IF(
AND($C55 &lt;&gt; "vZ0city_oth", $F55 = 0),
VALUE(MID($C55, SEARCH("o", $C55, 1) + 1, LEN($C55) - SEARCH("o", $C55, 1))),
_xlfn.CONCAT(MID($C55, 1, SEARCH("o", $C55, 1) - 1), "m", I55)
)
)</f>
        <v/>
      </c>
      <c r="I55" s="1">
        <f>MID($C55,LEN($G55)+2,2)</f>
        <v/>
      </c>
      <c r="J55" s="1">
        <f>IF(F55=0,G55,H55)</f>
        <v/>
      </c>
      <c r="K55" s="9">
        <f>IF(F55=0,H55,1)</f>
        <v/>
      </c>
      <c r="L55" s="9">
        <f>IF(LEN(K55)=1,LEN(K55)+1,LEN(K55))</f>
        <v/>
      </c>
    </row>
    <row r="56">
      <c r="A56" s="1" t="n">
        <v>1054</v>
      </c>
      <c r="B56" s="1">
        <f>A56</f>
        <v/>
      </c>
      <c r="C56" s="1" t="inlineStr">
        <is>
          <t>vZE2_1</t>
        </is>
      </c>
      <c r="D56" s="1" t="inlineStr">
        <is>
          <t>字串</t>
        </is>
      </c>
      <c r="E56" s="1" t="n">
        <v>30</v>
      </c>
      <c r="F56" s="1" t="n">
        <v>27</v>
      </c>
      <c r="G56" s="1">
        <f>IF(ISERROR(SEARCH("_oth",C56,1)),MID($C56,1,SEARCH("o",C56,1)-1),MID($C56,1,SEARCH("_oth",C56,1)-1))</f>
        <v/>
      </c>
      <c r="H56" s="4">
        <f>IF(
ISNUMBER(SEARCH("oth", $C56, 1)),
MID($C56, 1, SEARCH("_", $C56, 1) - 1),
IF(
AND($C56 &lt;&gt; "vZ0city_oth", $F56 = 0),
VALUE(MID($C56, SEARCH("o", $C56, 1) + 1, LEN($C56) - SEARCH("o", $C56, 1))),
_xlfn.CONCAT(MID($C56, 1, SEARCH("o", $C56, 1) - 1), "m", I56)
)
)</f>
        <v/>
      </c>
      <c r="I56" s="1">
        <f>MID($C56,LEN($G56)+2,2)</f>
        <v/>
      </c>
      <c r="J56" s="1">
        <f>IF(F56=0,G56,H56)</f>
        <v/>
      </c>
      <c r="K56" s="9">
        <f>IF(F56=0,H56,1)</f>
        <v/>
      </c>
      <c r="L56" s="9">
        <f>IF(LEN(K56)=1,LEN(K56)+1,LEN(K56))</f>
        <v/>
      </c>
    </row>
    <row r="57">
      <c r="A57" s="1" t="n">
        <v>1055</v>
      </c>
      <c r="B57" s="1">
        <f>A57</f>
        <v/>
      </c>
      <c r="C57" s="1" t="inlineStr">
        <is>
          <t>vZE2_2</t>
        </is>
      </c>
      <c r="D57" s="1" t="inlineStr">
        <is>
          <t>字串</t>
        </is>
      </c>
      <c r="E57" s="1" t="n">
        <v>30</v>
      </c>
      <c r="F57" s="1" t="n">
        <v>28</v>
      </c>
      <c r="G57" s="1">
        <f>IF(ISERROR(SEARCH("_oth",C57,1)),MID($C57,1,SEARCH("o",C57,1)-1),MID($C57,1,SEARCH("_oth",C57,1)-1))</f>
        <v/>
      </c>
      <c r="H57" s="4">
        <f>IF(
ISNUMBER(SEARCH("oth", $C57, 1)),
MID($C57, 1, SEARCH("_", $C57, 1) - 1),
IF(
AND($C57 &lt;&gt; "vZ0city_oth", $F57 = 0),
VALUE(MID($C57, SEARCH("o", $C57, 1) + 1, LEN($C57) - SEARCH("o", $C57, 1))),
_xlfn.CONCAT(MID($C57, 1, SEARCH("o", $C57, 1) - 1), "m", I57)
)
)</f>
        <v/>
      </c>
      <c r="I57" s="1">
        <f>MID($C57,LEN($G57)+2,2)</f>
        <v/>
      </c>
      <c r="J57" s="1">
        <f>IF(F57=0,G57,H57)</f>
        <v/>
      </c>
      <c r="K57" s="9">
        <f>IF(F57=0,H57,1)</f>
        <v/>
      </c>
      <c r="L57" s="9">
        <f>IF(LEN(K57)=1,LEN(K57)+1,LEN(K57))</f>
        <v/>
      </c>
    </row>
    <row r="58">
      <c r="A58" s="1" t="n">
        <v>1056</v>
      </c>
      <c r="B58" s="1">
        <f>A58</f>
        <v/>
      </c>
      <c r="C58" s="1" t="inlineStr">
        <is>
          <t>vZE2_3</t>
        </is>
      </c>
      <c r="D58" s="1" t="inlineStr">
        <is>
          <t>字串</t>
        </is>
      </c>
      <c r="E58" s="1" t="n">
        <v>900</v>
      </c>
      <c r="F58" s="1" t="n">
        <v>29</v>
      </c>
      <c r="G58" s="1">
        <f>IF(ISERROR(SEARCH("_oth",C58,1)),MID($C58,1,SEARCH("o",C58,1)-1),MID($C58,1,SEARCH("_oth",C58,1)-1))</f>
        <v/>
      </c>
      <c r="H58" s="4">
        <f>IF(
ISNUMBER(SEARCH("oth", $C58, 1)),
MID($C58, 1, SEARCH("_", $C58, 1) - 1),
IF(
AND($C58 &lt;&gt; "vZ0city_oth", $F58 = 0),
VALUE(MID($C58, SEARCH("o", $C58, 1) + 1, LEN($C58) - SEARCH("o", $C58, 1))),
_xlfn.CONCAT(MID($C58, 1, SEARCH("o", $C58, 1) - 1), "m", I58)
)
)</f>
        <v/>
      </c>
      <c r="I58" s="1">
        <f>MID($C58,LEN($G58)+2,2)</f>
        <v/>
      </c>
      <c r="J58" s="1">
        <f>IF(F58=0,G58,H58)</f>
        <v/>
      </c>
      <c r="K58" s="9">
        <f>IF(F58=0,H58,1)</f>
        <v/>
      </c>
      <c r="L58" s="9">
        <f>IF(LEN(K58)=1,LEN(K58)+1,LEN(K58))</f>
        <v/>
      </c>
    </row>
  </sheetData>
  <autoFilter ref="A1:I5"/>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V36"/>
  <sheetViews>
    <sheetView workbookViewId="0">
      <pane xSplit="4" ySplit="1" topLeftCell="Q2" activePane="bottomRight" state="frozen"/>
      <selection pane="topRight" activeCell="E1" sqref="E1"/>
      <selection pane="bottomLeft" activeCell="A2" sqref="A2"/>
      <selection pane="bottomRight" activeCell="V1" sqref="Q1:V1"/>
    </sheetView>
  </sheetViews>
  <sheetFormatPr baseColWidth="8" defaultRowHeight="16.5"/>
  <cols>
    <col width="5.5" bestFit="1" customWidth="1" style="21" min="1" max="2"/>
    <col width="8.25" bestFit="1" customWidth="1" style="1" min="3" max="3"/>
    <col width="8.25" customWidth="1" style="9" min="4" max="4"/>
    <col width="17.5" customWidth="1" style="11" min="5" max="5"/>
    <col width="18" customWidth="1" style="11" min="6" max="6"/>
    <col width="12.625" bestFit="1" customWidth="1" style="9" min="7" max="7"/>
    <col width="16.25" customWidth="1" style="11" min="8" max="8"/>
    <col width="19.75" customWidth="1" style="14" min="9" max="9"/>
    <col width="13.25" customWidth="1" style="11" min="10" max="10"/>
    <col width="14.375" customWidth="1" style="9" min="11" max="11"/>
    <col width="12.125" customWidth="1" style="9" min="12" max="16"/>
    <col width="36.5" customWidth="1" style="21" min="17" max="17"/>
    <col width="37.625" customWidth="1" style="21" min="18" max="18"/>
    <col width="37.25" customWidth="1" style="21" min="19" max="19"/>
    <col width="38" customWidth="1" style="21" min="20" max="20"/>
    <col width="29.5" customWidth="1" style="21" min="21" max="21"/>
    <col width="29.5" customWidth="1" style="1" min="22" max="22"/>
  </cols>
  <sheetData>
    <row r="1" customFormat="1" s="1">
      <c r="A1" s="1" t="inlineStr">
        <is>
          <t>m</t>
        </is>
      </c>
      <c r="B1" s="1" t="inlineStr">
        <is>
          <t>p</t>
        </is>
      </c>
      <c r="C1" s="5" t="inlineStr">
        <is>
          <t>題號</t>
        </is>
      </c>
      <c r="D1" s="12" t="inlineStr">
        <is>
          <t>寬度</t>
        </is>
      </c>
      <c r="E1" s="13" t="inlineStr">
        <is>
          <t>選項編號_起</t>
        </is>
      </c>
      <c r="F1" s="13" t="inlineStr">
        <is>
          <t>選項編號_迄</t>
        </is>
      </c>
      <c r="G1" s="12" t="inlineStr">
        <is>
          <t>選項數量</t>
        </is>
      </c>
      <c r="H1" s="13" t="inlineStr">
        <is>
          <t>不可選擇數量</t>
        </is>
      </c>
      <c r="I1" s="16" t="inlineStr">
        <is>
          <t>全部無反應選項</t>
        </is>
      </c>
      <c r="J1" s="13" t="inlineStr">
        <is>
          <t>互斥選項</t>
        </is>
      </c>
      <c r="K1" s="15" t="inlineStr">
        <is>
          <t>迴圈進行次數</t>
        </is>
      </c>
      <c r="L1" s="15" t="inlineStr">
        <is>
          <t>無反應選項1</t>
        </is>
      </c>
      <c r="M1" s="15" t="inlineStr">
        <is>
          <t>無反應選項2</t>
        </is>
      </c>
      <c r="N1" s="15" t="inlineStr">
        <is>
          <t>無反應選項3</t>
        </is>
      </c>
      <c r="O1" s="15" t="inlineStr">
        <is>
          <t>無反應選項4</t>
        </is>
      </c>
      <c r="P1" s="15" t="inlineStr">
        <is>
          <t>無反應選項5</t>
        </is>
      </c>
      <c r="Q1" s="6" t="inlineStr">
        <is>
          <t>程式1</t>
        </is>
      </c>
      <c r="R1" s="7" t="inlineStr">
        <is>
          <t>程式2</t>
        </is>
      </c>
      <c r="S1" s="7" t="inlineStr">
        <is>
          <t>程式3</t>
        </is>
      </c>
      <c r="T1" s="6" t="inlineStr">
        <is>
          <t>程式4</t>
        </is>
      </c>
      <c r="U1" s="7" t="inlineStr">
        <is>
          <t>程式5</t>
        </is>
      </c>
      <c r="V1" s="7" t="inlineStr">
        <is>
          <t>加總程式</t>
        </is>
      </c>
    </row>
    <row r="2" customFormat="1" s="1">
      <c r="A2" s="1" t="n">
        <v>1101</v>
      </c>
      <c r="B2" s="1">
        <f>A2</f>
        <v/>
      </c>
      <c r="C2" s="1" t="inlineStr">
        <is>
          <t>vK1</t>
        </is>
      </c>
      <c r="D2" s="9" t="inlineStr">
        <is>
          <t>2</t>
        </is>
      </c>
      <c r="E2" s="11" t="inlineStr">
        <is>
          <t>1</t>
        </is>
      </c>
      <c r="F2" s="11" t="inlineStr">
        <is>
          <t>88</t>
        </is>
      </c>
      <c r="G2" s="9" t="inlineStr">
        <is>
          <t>15</t>
        </is>
      </c>
      <c r="H2" s="11" t="inlineStr">
        <is>
          <t>1</t>
        </is>
      </c>
      <c r="I2" s="14" t="inlineStr">
        <is>
          <t>90</t>
        </is>
      </c>
      <c r="J2" s="11" t="inlineStr">
        <is>
          <t>90</t>
        </is>
      </c>
      <c r="K2" s="9" t="inlineStr">
        <is>
          <t>14</t>
        </is>
      </c>
      <c r="L2" s="9" t="inlineStr">
        <is>
          <t>90</t>
        </is>
      </c>
      <c r="M2" s="9" t="n"/>
      <c r="N2" s="9" t="n"/>
      <c r="O2" s="9" t="n"/>
      <c r="P2" s="9" t="n"/>
      <c r="Q2" s="1">
        <f>IF(L2&lt;&gt;""," | (any(a(#i),"&amp;L2&amp;") and not any(a(#i+1),"&amp;L2&amp;")) ","")</f>
        <v/>
      </c>
      <c r="R2" s="1">
        <f>IF(M2&lt;&gt;""," | (any(a(#i),"&amp;M2&amp;") and not any(a(#i+1),"&amp;M2&amp;")) ","")</f>
        <v/>
      </c>
      <c r="S2" s="1">
        <f>IF(N2&lt;&gt;""," | (any(a(#i),"&amp;N2&amp;") and not any(a(#i+1),"&amp;N2&amp;")) ","")</f>
        <v/>
      </c>
      <c r="T2" s="1">
        <f>IF(O2&lt;&gt;""," | (any(a(#i),"&amp;O2&amp;") and not any(a(#i+1),"&amp;O2&amp;")) ","")</f>
        <v/>
      </c>
      <c r="U2" s="1">
        <f>IF(P2&lt;&gt;""," | (any(a(#i),"&amp;P2&amp;") and not any(a(#i+1),"&amp;P2&amp;")) ","")</f>
        <v/>
      </c>
      <c r="V2" s="1">
        <f>"  | (v"&amp;C2&amp;"m"&amp;E2&amp;" to v"&amp;C2&amp;"m"&amp;F2&amp;")"&amp;H2</f>
        <v/>
      </c>
    </row>
    <row r="3">
      <c r="A3" s="1" t="n">
        <v>1102</v>
      </c>
      <c r="B3" s="1">
        <f>A3</f>
        <v/>
      </c>
      <c r="C3" s="1" t="inlineStr">
        <is>
          <t>vK2</t>
        </is>
      </c>
      <c r="D3" s="1" t="inlineStr">
        <is>
          <t>2</t>
        </is>
      </c>
      <c r="E3" s="1" t="inlineStr">
        <is>
          <t>1</t>
        </is>
      </c>
      <c r="F3" s="1" t="inlineStr">
        <is>
          <t>88</t>
        </is>
      </c>
      <c r="G3" s="1" t="inlineStr">
        <is>
          <t>14</t>
        </is>
      </c>
      <c r="H3" s="1" t="inlineStr">
        <is>
          <t>1</t>
        </is>
      </c>
      <c r="I3" s="1" t="inlineStr">
        <is>
          <t>90</t>
        </is>
      </c>
      <c r="J3" s="1" t="inlineStr">
        <is>
          <t>90</t>
        </is>
      </c>
      <c r="K3" s="1" t="inlineStr">
        <is>
          <t>13</t>
        </is>
      </c>
      <c r="L3" s="1" t="inlineStr">
        <is>
          <t>90</t>
        </is>
      </c>
      <c r="Q3" s="1">
        <f>IF(L3&lt;&gt;""," | (any(a(#i),"&amp;L3&amp;") and not any(a(#i+1),"&amp;L3&amp;")) ","")</f>
        <v/>
      </c>
      <c r="R3" s="1">
        <f>IF(M3&lt;&gt;""," | (any(a(#i),"&amp;M3&amp;") and not any(a(#i+1),"&amp;M3&amp;")) ","")</f>
        <v/>
      </c>
      <c r="S3" s="1">
        <f>IF(N3&lt;&gt;""," | (any(a(#i),"&amp;N3&amp;") and not any(a(#i+1),"&amp;N3&amp;")) ","")</f>
        <v/>
      </c>
      <c r="T3" s="1">
        <f>IF(O3&lt;&gt;""," | (any(a(#i),"&amp;O3&amp;") and not any(a(#i+1),"&amp;O3&amp;")) ","")</f>
        <v/>
      </c>
      <c r="U3" s="1">
        <f>IF(P3&lt;&gt;""," | (any(a(#i),"&amp;P3&amp;") and not any(a(#i+1),"&amp;P3&amp;")) ","")</f>
        <v/>
      </c>
      <c r="V3" s="1">
        <f>"  | (v"&amp;C3&amp;"m"&amp;E3&amp;" to v"&amp;C3&amp;"m"&amp;F3&amp;")"&amp;H3</f>
        <v/>
      </c>
    </row>
    <row r="4">
      <c r="A4" s="1" t="n">
        <v>1103</v>
      </c>
      <c r="B4" s="1">
        <f>A4</f>
        <v/>
      </c>
      <c r="C4" s="1" t="inlineStr">
        <is>
          <t>vKFB3</t>
        </is>
      </c>
      <c r="D4" s="1" t="inlineStr">
        <is>
          <t>2</t>
        </is>
      </c>
      <c r="E4" s="1" t="inlineStr">
        <is>
          <t>1</t>
        </is>
      </c>
      <c r="F4" s="1" t="inlineStr">
        <is>
          <t>88</t>
        </is>
      </c>
      <c r="G4" s="1" t="inlineStr">
        <is>
          <t>18</t>
        </is>
      </c>
      <c r="H4" s="1" t="inlineStr">
        <is>
          <t>0</t>
        </is>
      </c>
      <c r="K4" s="1" t="inlineStr">
        <is>
          <t>17</t>
        </is>
      </c>
      <c r="Q4" s="1">
        <f>IF(L4&lt;&gt;""," | (any(a(#i),"&amp;L4&amp;") and not any(a(#i+1),"&amp;L4&amp;")) ","")</f>
        <v/>
      </c>
      <c r="R4" s="1">
        <f>IF(M4&lt;&gt;""," | (any(a(#i),"&amp;M4&amp;") and not any(a(#i+1),"&amp;M4&amp;")) ","")</f>
        <v/>
      </c>
      <c r="S4" s="1">
        <f>IF(N4&lt;&gt;""," | (any(a(#i),"&amp;N4&amp;") and not any(a(#i+1),"&amp;N4&amp;")) ","")</f>
        <v/>
      </c>
      <c r="T4" s="1">
        <f>IF(O4&lt;&gt;""," | (any(a(#i),"&amp;O4&amp;") and not any(a(#i+1),"&amp;O4&amp;")) ","")</f>
        <v/>
      </c>
      <c r="U4" s="1">
        <f>IF(P4&lt;&gt;""," | (any(a(#i),"&amp;P4&amp;") and not any(a(#i+1),"&amp;P4&amp;")) ","")</f>
        <v/>
      </c>
      <c r="V4" s="1">
        <f>"  | (v"&amp;C4&amp;"m"&amp;E4&amp;" to v"&amp;C4&amp;"m"&amp;F4&amp;")"&amp;H4</f>
        <v/>
      </c>
    </row>
    <row r="5">
      <c r="A5" s="1" t="n">
        <v>1104</v>
      </c>
      <c r="B5" s="1">
        <f>A5</f>
        <v/>
      </c>
      <c r="C5" s="1" t="inlineStr">
        <is>
          <t>vKFB4</t>
        </is>
      </c>
      <c r="D5" s="1" t="inlineStr">
        <is>
          <t>2</t>
        </is>
      </c>
      <c r="E5" s="1" t="inlineStr">
        <is>
          <t>1</t>
        </is>
      </c>
      <c r="F5" s="1" t="inlineStr">
        <is>
          <t>88</t>
        </is>
      </c>
      <c r="G5" s="1" t="inlineStr">
        <is>
          <t>19</t>
        </is>
      </c>
      <c r="H5" s="1" t="inlineStr">
        <is>
          <t>0</t>
        </is>
      </c>
      <c r="K5" s="1" t="inlineStr">
        <is>
          <t>18</t>
        </is>
      </c>
      <c r="Q5" s="1">
        <f>IF(L5&lt;&gt;""," | (any(a(#i),"&amp;L5&amp;") and not any(a(#i+1),"&amp;L5&amp;")) ","")</f>
        <v/>
      </c>
      <c r="R5" s="1">
        <f>IF(M5&lt;&gt;""," | (any(a(#i),"&amp;M5&amp;") and not any(a(#i+1),"&amp;M5&amp;")) ","")</f>
        <v/>
      </c>
      <c r="S5" s="1">
        <f>IF(N5&lt;&gt;""," | (any(a(#i),"&amp;N5&amp;") and not any(a(#i+1),"&amp;N5&amp;")) ","")</f>
        <v/>
      </c>
      <c r="T5" s="1">
        <f>IF(O5&lt;&gt;""," | (any(a(#i),"&amp;O5&amp;") and not any(a(#i+1),"&amp;O5&amp;")) ","")</f>
        <v/>
      </c>
      <c r="U5" s="1">
        <f>IF(P5&lt;&gt;""," | (any(a(#i),"&amp;P5&amp;") and not any(a(#i+1),"&amp;P5&amp;")) ","")</f>
        <v/>
      </c>
      <c r="V5" s="1">
        <f>"  | (v"&amp;C5&amp;"m"&amp;E5&amp;" to v"&amp;C5&amp;"m"&amp;F5&amp;")"&amp;H5</f>
        <v/>
      </c>
    </row>
    <row r="6">
      <c r="A6" s="1" t="n">
        <v>1105</v>
      </c>
      <c r="B6" s="1">
        <f>A6</f>
        <v/>
      </c>
      <c r="C6" s="1" t="inlineStr">
        <is>
          <t>vKIG3</t>
        </is>
      </c>
      <c r="D6" s="1" t="inlineStr">
        <is>
          <t>2</t>
        </is>
      </c>
      <c r="E6" s="1" t="inlineStr">
        <is>
          <t>1</t>
        </is>
      </c>
      <c r="F6" s="1" t="inlineStr">
        <is>
          <t>88</t>
        </is>
      </c>
      <c r="G6" s="1" t="inlineStr">
        <is>
          <t>18</t>
        </is>
      </c>
      <c r="H6" s="1" t="inlineStr">
        <is>
          <t>0</t>
        </is>
      </c>
      <c r="K6" s="1" t="inlineStr">
        <is>
          <t>17</t>
        </is>
      </c>
      <c r="Q6" s="1">
        <f>IF(L6&lt;&gt;""," | (any(a(#i),"&amp;L6&amp;") and not any(a(#i+1),"&amp;L6&amp;")) ","")</f>
        <v/>
      </c>
      <c r="R6" s="1">
        <f>IF(M6&lt;&gt;""," | (any(a(#i),"&amp;M6&amp;") and not any(a(#i+1),"&amp;M6&amp;")) ","")</f>
        <v/>
      </c>
      <c r="S6" s="1">
        <f>IF(N6&lt;&gt;""," | (any(a(#i),"&amp;N6&amp;") and not any(a(#i+1),"&amp;N6&amp;")) ","")</f>
        <v/>
      </c>
      <c r="T6" s="1">
        <f>IF(O6&lt;&gt;""," | (any(a(#i),"&amp;O6&amp;") and not any(a(#i+1),"&amp;O6&amp;")) ","")</f>
        <v/>
      </c>
      <c r="U6" s="1">
        <f>IF(P6&lt;&gt;""," | (any(a(#i),"&amp;P6&amp;") and not any(a(#i+1),"&amp;P6&amp;")) ","")</f>
        <v/>
      </c>
      <c r="V6" s="1">
        <f>"  | (v"&amp;C6&amp;"m"&amp;E6&amp;" to v"&amp;C6&amp;"m"&amp;F6&amp;")"&amp;H6</f>
        <v/>
      </c>
    </row>
    <row r="7">
      <c r="A7" s="1" t="n">
        <v>1106</v>
      </c>
      <c r="B7" s="1">
        <f>A7</f>
        <v/>
      </c>
      <c r="C7" s="1" t="inlineStr">
        <is>
          <t>vKIG4</t>
        </is>
      </c>
      <c r="D7" s="1" t="inlineStr">
        <is>
          <t>2</t>
        </is>
      </c>
      <c r="E7" s="1" t="inlineStr">
        <is>
          <t>1</t>
        </is>
      </c>
      <c r="F7" s="1" t="inlineStr">
        <is>
          <t>88</t>
        </is>
      </c>
      <c r="G7" s="1" t="inlineStr">
        <is>
          <t>15</t>
        </is>
      </c>
      <c r="H7" s="1" t="inlineStr">
        <is>
          <t>0</t>
        </is>
      </c>
      <c r="K7" s="1" t="inlineStr">
        <is>
          <t>14</t>
        </is>
      </c>
      <c r="Q7" s="1">
        <f>IF(L7&lt;&gt;""," | (any(a(#i),"&amp;L7&amp;") and not any(a(#i+1),"&amp;L7&amp;")) ","")</f>
        <v/>
      </c>
      <c r="R7" s="1">
        <f>IF(M7&lt;&gt;""," | (any(a(#i),"&amp;M7&amp;") and not any(a(#i+1),"&amp;M7&amp;")) ","")</f>
        <v/>
      </c>
      <c r="S7" s="1">
        <f>IF(N7&lt;&gt;""," | (any(a(#i),"&amp;N7&amp;") and not any(a(#i+1),"&amp;N7&amp;")) ","")</f>
        <v/>
      </c>
      <c r="T7" s="1">
        <f>IF(O7&lt;&gt;""," | (any(a(#i),"&amp;O7&amp;") and not any(a(#i+1),"&amp;O7&amp;")) ","")</f>
        <v/>
      </c>
      <c r="U7" s="1">
        <f>IF(P7&lt;&gt;""," | (any(a(#i),"&amp;P7&amp;") and not any(a(#i+1),"&amp;P7&amp;")) ","")</f>
        <v/>
      </c>
      <c r="V7" s="1">
        <f>"  | (v"&amp;C7&amp;"m"&amp;E7&amp;" to v"&amp;C7&amp;"m"&amp;F7&amp;")"&amp;H7</f>
        <v/>
      </c>
    </row>
    <row r="8">
      <c r="A8" s="1" t="n">
        <v>1107</v>
      </c>
      <c r="B8" s="1">
        <f>A8</f>
        <v/>
      </c>
      <c r="C8" s="1" t="inlineStr">
        <is>
          <t>vKTT3</t>
        </is>
      </c>
      <c r="D8" s="1" t="inlineStr">
        <is>
          <t>2</t>
        </is>
      </c>
      <c r="E8" s="1" t="inlineStr">
        <is>
          <t>1</t>
        </is>
      </c>
      <c r="F8" s="1" t="inlineStr">
        <is>
          <t>88</t>
        </is>
      </c>
      <c r="G8" s="1" t="inlineStr">
        <is>
          <t>17</t>
        </is>
      </c>
      <c r="H8" s="1" t="inlineStr">
        <is>
          <t>0</t>
        </is>
      </c>
      <c r="K8" s="1" t="inlineStr">
        <is>
          <t>16</t>
        </is>
      </c>
      <c r="Q8" s="1">
        <f>IF(L8&lt;&gt;""," | (any(a(#i),"&amp;L8&amp;") and not any(a(#i+1),"&amp;L8&amp;")) ","")</f>
        <v/>
      </c>
      <c r="R8" s="1">
        <f>IF(M8&lt;&gt;""," | (any(a(#i),"&amp;M8&amp;") and not any(a(#i+1),"&amp;M8&amp;")) ","")</f>
        <v/>
      </c>
      <c r="S8" s="1">
        <f>IF(N8&lt;&gt;""," | (any(a(#i),"&amp;N8&amp;") and not any(a(#i+1),"&amp;N8&amp;")) ","")</f>
        <v/>
      </c>
      <c r="T8" s="1">
        <f>IF(O8&lt;&gt;""," | (any(a(#i),"&amp;O8&amp;") and not any(a(#i+1),"&amp;O8&amp;")) ","")</f>
        <v/>
      </c>
      <c r="U8" s="1">
        <f>IF(P8&lt;&gt;""," | (any(a(#i),"&amp;P8&amp;") and not any(a(#i+1),"&amp;P8&amp;")) ","")</f>
        <v/>
      </c>
      <c r="V8" s="1">
        <f>"  | (v"&amp;C8&amp;"m"&amp;E8&amp;" to v"&amp;C8&amp;"m"&amp;F8&amp;")"&amp;H8</f>
        <v/>
      </c>
    </row>
    <row r="9">
      <c r="A9" s="1" t="n">
        <v>1108</v>
      </c>
      <c r="B9" s="1">
        <f>A9</f>
        <v/>
      </c>
      <c r="C9" s="1" t="inlineStr">
        <is>
          <t>vKTT4</t>
        </is>
      </c>
      <c r="D9" s="1" t="inlineStr">
        <is>
          <t>2</t>
        </is>
      </c>
      <c r="E9" s="1" t="inlineStr">
        <is>
          <t>1</t>
        </is>
      </c>
      <c r="F9" s="1" t="inlineStr">
        <is>
          <t>88</t>
        </is>
      </c>
      <c r="G9" s="1" t="inlineStr">
        <is>
          <t>15</t>
        </is>
      </c>
      <c r="H9" s="1" t="inlineStr">
        <is>
          <t>0</t>
        </is>
      </c>
      <c r="K9" s="1" t="inlineStr">
        <is>
          <t>14</t>
        </is>
      </c>
      <c r="Q9" s="1">
        <f>IF(L9&lt;&gt;""," | (any(a(#i),"&amp;L9&amp;") and not any(a(#i+1),"&amp;L9&amp;")) ","")</f>
        <v/>
      </c>
      <c r="R9" s="1">
        <f>IF(M9&lt;&gt;""," | (any(a(#i),"&amp;M9&amp;") and not any(a(#i+1),"&amp;M9&amp;")) ","")</f>
        <v/>
      </c>
      <c r="S9" s="1">
        <f>IF(N9&lt;&gt;""," | (any(a(#i),"&amp;N9&amp;") and not any(a(#i+1),"&amp;N9&amp;")) ","")</f>
        <v/>
      </c>
      <c r="T9" s="1">
        <f>IF(O9&lt;&gt;""," | (any(a(#i),"&amp;O9&amp;") and not any(a(#i+1),"&amp;O9&amp;")) ","")</f>
        <v/>
      </c>
      <c r="U9" s="1">
        <f>IF(P9&lt;&gt;""," | (any(a(#i),"&amp;P9&amp;") and not any(a(#i+1),"&amp;P9&amp;")) ","")</f>
        <v/>
      </c>
      <c r="V9" s="1">
        <f>"  | (v"&amp;C9&amp;"m"&amp;E9&amp;" to v"&amp;C9&amp;"m"&amp;F9&amp;")"&amp;H9</f>
        <v/>
      </c>
    </row>
    <row r="10">
      <c r="A10" s="1" t="n">
        <v>1109</v>
      </c>
      <c r="B10" s="1">
        <f>A10</f>
        <v/>
      </c>
      <c r="C10" s="1" t="inlineStr">
        <is>
          <t>vKTT5</t>
        </is>
      </c>
      <c r="D10" s="1" t="inlineStr">
        <is>
          <t>2</t>
        </is>
      </c>
      <c r="E10" s="1" t="inlineStr">
        <is>
          <t>1</t>
        </is>
      </c>
      <c r="F10" s="1" t="inlineStr">
        <is>
          <t>88</t>
        </is>
      </c>
      <c r="G10" s="1" t="inlineStr">
        <is>
          <t>13</t>
        </is>
      </c>
      <c r="H10" s="1" t="inlineStr">
        <is>
          <t>0</t>
        </is>
      </c>
      <c r="K10" s="1" t="inlineStr">
        <is>
          <t>12</t>
        </is>
      </c>
      <c r="Q10" s="1">
        <f>IF(L10&lt;&gt;""," | (any(a(#i),"&amp;L10&amp;") and not any(a(#i+1),"&amp;L10&amp;")) ","")</f>
        <v/>
      </c>
      <c r="R10" s="1">
        <f>IF(M10&lt;&gt;""," | (any(a(#i),"&amp;M10&amp;") and not any(a(#i+1),"&amp;M10&amp;")) ","")</f>
        <v/>
      </c>
      <c r="S10" s="1">
        <f>IF(N10&lt;&gt;""," | (any(a(#i),"&amp;N10&amp;") and not any(a(#i+1),"&amp;N10&amp;")) ","")</f>
        <v/>
      </c>
      <c r="T10" s="1">
        <f>IF(O10&lt;&gt;""," | (any(a(#i),"&amp;O10&amp;") and not any(a(#i+1),"&amp;O10&amp;")) ","")</f>
        <v/>
      </c>
      <c r="U10" s="1">
        <f>IF(P10&lt;&gt;""," | (any(a(#i),"&amp;P10&amp;") and not any(a(#i+1),"&amp;P10&amp;")) ","")</f>
        <v/>
      </c>
      <c r="V10" s="1">
        <f>"  | (v"&amp;C10&amp;"m"&amp;E10&amp;" to v"&amp;C10&amp;"m"&amp;F10&amp;")"&amp;H10</f>
        <v/>
      </c>
    </row>
    <row r="11">
      <c r="A11" s="1" t="n">
        <v>1110</v>
      </c>
      <c r="B11" s="1">
        <f>A11</f>
        <v/>
      </c>
      <c r="C11" s="1" t="inlineStr">
        <is>
          <t>vK3</t>
        </is>
      </c>
      <c r="D11" s="1" t="inlineStr">
        <is>
          <t>2</t>
        </is>
      </c>
      <c r="E11" s="1" t="inlineStr">
        <is>
          <t>1</t>
        </is>
      </c>
      <c r="F11" s="1" t="inlineStr">
        <is>
          <t>88</t>
        </is>
      </c>
      <c r="G11" s="1" t="inlineStr">
        <is>
          <t>11</t>
        </is>
      </c>
      <c r="H11" s="1" t="inlineStr">
        <is>
          <t>1</t>
        </is>
      </c>
      <c r="I11" s="1" t="inlineStr">
        <is>
          <t>90</t>
        </is>
      </c>
      <c r="J11" s="1" t="inlineStr">
        <is>
          <t>90</t>
        </is>
      </c>
      <c r="K11" s="1" t="inlineStr">
        <is>
          <t>10</t>
        </is>
      </c>
      <c r="L11" s="1" t="inlineStr">
        <is>
          <t>90</t>
        </is>
      </c>
      <c r="Q11" s="1">
        <f>IF(L11&lt;&gt;""," | (any(a(#i),"&amp;L11&amp;") and not any(a(#i+1),"&amp;L11&amp;")) ","")</f>
        <v/>
      </c>
      <c r="R11" s="1">
        <f>IF(M11&lt;&gt;""," | (any(a(#i),"&amp;M11&amp;") and not any(a(#i+1),"&amp;M11&amp;")) ","")</f>
        <v/>
      </c>
      <c r="S11" s="1">
        <f>IF(N11&lt;&gt;""," | (any(a(#i),"&amp;N11&amp;") and not any(a(#i+1),"&amp;N11&amp;")) ","")</f>
        <v/>
      </c>
      <c r="T11" s="1">
        <f>IF(O11&lt;&gt;""," | (any(a(#i),"&amp;O11&amp;") and not any(a(#i+1),"&amp;O11&amp;")) ","")</f>
        <v/>
      </c>
      <c r="U11" s="1">
        <f>IF(P11&lt;&gt;""," | (any(a(#i),"&amp;P11&amp;") and not any(a(#i+1),"&amp;P11&amp;")) ","")</f>
        <v/>
      </c>
      <c r="V11" s="1">
        <f>"  | (v"&amp;C11&amp;"m"&amp;E11&amp;" to v"&amp;C11&amp;"m"&amp;F11&amp;")"&amp;H11</f>
        <v/>
      </c>
    </row>
    <row r="12">
      <c r="A12" s="1" t="n">
        <v>1111</v>
      </c>
      <c r="B12" s="1">
        <f>A12</f>
        <v/>
      </c>
      <c r="C12" s="1" t="inlineStr">
        <is>
          <t>vE2</t>
        </is>
      </c>
      <c r="D12" s="1" t="inlineStr">
        <is>
          <t>2</t>
        </is>
      </c>
      <c r="E12" s="1" t="inlineStr">
        <is>
          <t>1</t>
        </is>
      </c>
      <c r="F12" s="1" t="inlineStr">
        <is>
          <t>88</t>
        </is>
      </c>
      <c r="G12" s="1" t="inlineStr">
        <is>
          <t>5</t>
        </is>
      </c>
      <c r="H12" s="1" t="inlineStr">
        <is>
          <t>0</t>
        </is>
      </c>
      <c r="K12" s="1" t="inlineStr">
        <is>
          <t>4</t>
        </is>
      </c>
      <c r="Q12" s="1">
        <f>IF(L12&lt;&gt;""," | (any(a(#i),"&amp;L12&amp;") and not any(a(#i+1),"&amp;L12&amp;")) ","")</f>
        <v/>
      </c>
      <c r="R12" s="1">
        <f>IF(M12&lt;&gt;""," | (any(a(#i),"&amp;M12&amp;") and not any(a(#i+1),"&amp;M12&amp;")) ","")</f>
        <v/>
      </c>
      <c r="S12" s="1">
        <f>IF(N12&lt;&gt;""," | (any(a(#i),"&amp;N12&amp;") and not any(a(#i+1),"&amp;N12&amp;")) ","")</f>
        <v/>
      </c>
      <c r="T12" s="1">
        <f>IF(O12&lt;&gt;""," | (any(a(#i),"&amp;O12&amp;") and not any(a(#i+1),"&amp;O12&amp;")) ","")</f>
        <v/>
      </c>
      <c r="U12" s="1">
        <f>IF(P12&lt;&gt;""," | (any(a(#i),"&amp;P12&amp;") and not any(a(#i+1),"&amp;P12&amp;")) ","")</f>
        <v/>
      </c>
      <c r="V12" s="1">
        <f>"  | (v"&amp;C12&amp;"m"&amp;E12&amp;" to v"&amp;C12&amp;"m"&amp;F12&amp;")"&amp;H12</f>
        <v/>
      </c>
    </row>
    <row r="13">
      <c r="A13" s="1" t="n">
        <v>1112</v>
      </c>
      <c r="B13" s="1">
        <f>A13</f>
        <v/>
      </c>
      <c r="C13" s="1" t="inlineStr">
        <is>
          <t>vE13</t>
        </is>
      </c>
      <c r="D13" s="1" t="inlineStr">
        <is>
          <t>2</t>
        </is>
      </c>
      <c r="E13" s="1" t="inlineStr">
        <is>
          <t>1</t>
        </is>
      </c>
      <c r="F13" s="1" t="inlineStr">
        <is>
          <t>88</t>
        </is>
      </c>
      <c r="G13" s="1" t="inlineStr">
        <is>
          <t>7</t>
        </is>
      </c>
      <c r="H13" s="1" t="inlineStr">
        <is>
          <t>0</t>
        </is>
      </c>
      <c r="K13" s="1" t="inlineStr">
        <is>
          <t>6</t>
        </is>
      </c>
      <c r="Q13" s="1">
        <f>IF(L13&lt;&gt;""," | (any(a(#i),"&amp;L13&amp;") and not any(a(#i+1),"&amp;L13&amp;")) ","")</f>
        <v/>
      </c>
      <c r="R13" s="1">
        <f>IF(M13&lt;&gt;""," | (any(a(#i),"&amp;M13&amp;") and not any(a(#i+1),"&amp;M13&amp;")) ","")</f>
        <v/>
      </c>
      <c r="S13" s="1">
        <f>IF(N13&lt;&gt;""," | (any(a(#i),"&amp;N13&amp;") and not any(a(#i+1),"&amp;N13&amp;")) ","")</f>
        <v/>
      </c>
      <c r="T13" s="1">
        <f>IF(O13&lt;&gt;""," | (any(a(#i),"&amp;O13&amp;") and not any(a(#i+1),"&amp;O13&amp;")) ","")</f>
        <v/>
      </c>
      <c r="U13" s="1">
        <f>IF(P13&lt;&gt;""," | (any(a(#i),"&amp;P13&amp;") and not any(a(#i+1),"&amp;P13&amp;")) ","")</f>
        <v/>
      </c>
      <c r="V13" s="1">
        <f>"  | (v"&amp;C13&amp;"m"&amp;E13&amp;" to v"&amp;C13&amp;"m"&amp;F13&amp;")"&amp;H13</f>
        <v/>
      </c>
    </row>
    <row r="14">
      <c r="A14" s="1" t="n">
        <v>1113</v>
      </c>
      <c r="B14" s="1">
        <f>A14</f>
        <v/>
      </c>
      <c r="C14" s="1" t="inlineStr">
        <is>
          <t>vG7</t>
        </is>
      </c>
      <c r="D14" s="1" t="inlineStr">
        <is>
          <t>2</t>
        </is>
      </c>
      <c r="E14" s="1" t="inlineStr">
        <is>
          <t>1</t>
        </is>
      </c>
      <c r="F14" s="1" t="inlineStr">
        <is>
          <t>88</t>
        </is>
      </c>
      <c r="G14" s="1" t="inlineStr">
        <is>
          <t>14</t>
        </is>
      </c>
      <c r="H14" s="1" t="inlineStr">
        <is>
          <t>1</t>
        </is>
      </c>
      <c r="I14" s="1" t="inlineStr">
        <is>
          <t>90</t>
        </is>
      </c>
      <c r="K14" s="1" t="inlineStr">
        <is>
          <t>13</t>
        </is>
      </c>
      <c r="L14" s="1" t="inlineStr">
        <is>
          <t>90</t>
        </is>
      </c>
      <c r="Q14" s="1">
        <f>IF(L14&lt;&gt;""," | (any(a(#i),"&amp;L14&amp;") and not any(a(#i+1),"&amp;L14&amp;")) ","")</f>
        <v/>
      </c>
      <c r="R14" s="1">
        <f>IF(M14&lt;&gt;""," | (any(a(#i),"&amp;M14&amp;") and not any(a(#i+1),"&amp;M14&amp;")) ","")</f>
        <v/>
      </c>
      <c r="S14" s="1">
        <f>IF(N14&lt;&gt;""," | (any(a(#i),"&amp;N14&amp;") and not any(a(#i+1),"&amp;N14&amp;")) ","")</f>
        <v/>
      </c>
      <c r="T14" s="1">
        <f>IF(O14&lt;&gt;""," | (any(a(#i),"&amp;O14&amp;") and not any(a(#i+1),"&amp;O14&amp;")) ","")</f>
        <v/>
      </c>
      <c r="U14" s="1">
        <f>IF(P14&lt;&gt;""," | (any(a(#i),"&amp;P14&amp;") and not any(a(#i+1),"&amp;P14&amp;")) ","")</f>
        <v/>
      </c>
      <c r="V14" s="1">
        <f>"  | (v"&amp;C14&amp;"m"&amp;E14&amp;" to v"&amp;C14&amp;"m"&amp;F14&amp;")"&amp;H14</f>
        <v/>
      </c>
    </row>
    <row r="15">
      <c r="A15" s="1" t="n">
        <v>1114</v>
      </c>
      <c r="B15" s="1">
        <f>A15</f>
        <v/>
      </c>
      <c r="C15" s="1" t="inlineStr">
        <is>
          <t>vG8</t>
        </is>
      </c>
      <c r="D15" s="1" t="inlineStr">
        <is>
          <t>2</t>
        </is>
      </c>
      <c r="E15" s="1" t="inlineStr">
        <is>
          <t>1</t>
        </is>
      </c>
      <c r="F15" s="1" t="inlineStr">
        <is>
          <t>88</t>
        </is>
      </c>
      <c r="G15" s="1" t="inlineStr">
        <is>
          <t>18</t>
        </is>
      </c>
      <c r="H15" s="1" t="inlineStr">
        <is>
          <t>1</t>
        </is>
      </c>
      <c r="I15" s="1" t="inlineStr">
        <is>
          <t>90</t>
        </is>
      </c>
      <c r="K15" s="1" t="inlineStr">
        <is>
          <t>17</t>
        </is>
      </c>
      <c r="L15" s="1" t="inlineStr">
        <is>
          <t>90</t>
        </is>
      </c>
      <c r="Q15" s="1">
        <f>IF(L15&lt;&gt;""," | (any(a(#i),"&amp;L15&amp;") and not any(a(#i+1),"&amp;L15&amp;")) ","")</f>
        <v/>
      </c>
      <c r="R15" s="1">
        <f>IF(M15&lt;&gt;""," | (any(a(#i),"&amp;M15&amp;") and not any(a(#i+1),"&amp;M15&amp;")) ","")</f>
        <v/>
      </c>
      <c r="S15" s="1">
        <f>IF(N15&lt;&gt;""," | (any(a(#i),"&amp;N15&amp;") and not any(a(#i+1),"&amp;N15&amp;")) ","")</f>
        <v/>
      </c>
      <c r="T15" s="1">
        <f>IF(O15&lt;&gt;""," | (any(a(#i),"&amp;O15&amp;") and not any(a(#i+1),"&amp;O15&amp;")) ","")</f>
        <v/>
      </c>
      <c r="U15" s="1">
        <f>IF(P15&lt;&gt;""," | (any(a(#i),"&amp;P15&amp;") and not any(a(#i+1),"&amp;P15&amp;")) ","")</f>
        <v/>
      </c>
      <c r="V15" s="1">
        <f>"  | (v"&amp;C15&amp;"m"&amp;E15&amp;" to v"&amp;C15&amp;"m"&amp;F15&amp;")"&amp;H15</f>
        <v/>
      </c>
    </row>
    <row r="16">
      <c r="A16" s="1" t="n">
        <v>1115</v>
      </c>
      <c r="B16" s="1">
        <f>A16</f>
        <v/>
      </c>
      <c r="C16" s="1" t="inlineStr">
        <is>
          <t>vG9</t>
        </is>
      </c>
      <c r="D16" s="1" t="inlineStr">
        <is>
          <t>2</t>
        </is>
      </c>
      <c r="E16" s="1" t="inlineStr">
        <is>
          <t>1</t>
        </is>
      </c>
      <c r="F16" s="1" t="inlineStr">
        <is>
          <t>88</t>
        </is>
      </c>
      <c r="G16" s="1" t="inlineStr">
        <is>
          <t>15</t>
        </is>
      </c>
      <c r="H16" s="1" t="inlineStr">
        <is>
          <t>1</t>
        </is>
      </c>
      <c r="I16" s="1" t="inlineStr">
        <is>
          <t>90</t>
        </is>
      </c>
      <c r="K16" s="1" t="inlineStr">
        <is>
          <t>14</t>
        </is>
      </c>
      <c r="L16" s="1" t="inlineStr">
        <is>
          <t>90</t>
        </is>
      </c>
      <c r="Q16" s="1">
        <f>IF(L16&lt;&gt;""," | (any(a(#i),"&amp;L16&amp;") and not any(a(#i+1),"&amp;L16&amp;")) ","")</f>
        <v/>
      </c>
      <c r="R16" s="1">
        <f>IF(M16&lt;&gt;""," | (any(a(#i),"&amp;M16&amp;") and not any(a(#i+1),"&amp;M16&amp;")) ","")</f>
        <v/>
      </c>
      <c r="S16" s="1">
        <f>IF(N16&lt;&gt;""," | (any(a(#i),"&amp;N16&amp;") and not any(a(#i+1),"&amp;N16&amp;")) ","")</f>
        <v/>
      </c>
      <c r="T16" s="1">
        <f>IF(O16&lt;&gt;""," | (any(a(#i),"&amp;O16&amp;") and not any(a(#i+1),"&amp;O16&amp;")) ","")</f>
        <v/>
      </c>
      <c r="U16" s="1">
        <f>IF(P16&lt;&gt;""," | (any(a(#i),"&amp;P16&amp;") and not any(a(#i+1),"&amp;P16&amp;")) ","")</f>
        <v/>
      </c>
      <c r="V16" s="1">
        <f>"  | (v"&amp;C16&amp;"m"&amp;E16&amp;" to v"&amp;C16&amp;"m"&amp;F16&amp;")"&amp;H16</f>
        <v/>
      </c>
    </row>
    <row r="17">
      <c r="A17" s="1" t="n">
        <v>1116</v>
      </c>
      <c r="B17" s="1">
        <f>A17</f>
        <v/>
      </c>
      <c r="C17" s="1" t="inlineStr">
        <is>
          <t>vG10</t>
        </is>
      </c>
      <c r="D17" s="1" t="inlineStr">
        <is>
          <t>2</t>
        </is>
      </c>
      <c r="E17" s="1" t="inlineStr">
        <is>
          <t>1</t>
        </is>
      </c>
      <c r="F17" s="1" t="inlineStr">
        <is>
          <t>88</t>
        </is>
      </c>
      <c r="G17" s="1" t="inlineStr">
        <is>
          <t>21</t>
        </is>
      </c>
      <c r="H17" s="1" t="inlineStr">
        <is>
          <t>1</t>
        </is>
      </c>
      <c r="I17" s="1" t="inlineStr">
        <is>
          <t>90</t>
        </is>
      </c>
      <c r="K17" s="1" t="inlineStr">
        <is>
          <t>20</t>
        </is>
      </c>
      <c r="L17" s="1" t="inlineStr">
        <is>
          <t>90</t>
        </is>
      </c>
      <c r="Q17" s="1">
        <f>IF(L17&lt;&gt;""," | (any(a(#i),"&amp;L17&amp;") and not any(a(#i+1),"&amp;L17&amp;")) ","")</f>
        <v/>
      </c>
      <c r="R17" s="1">
        <f>IF(M17&lt;&gt;""," | (any(a(#i),"&amp;M17&amp;") and not any(a(#i+1),"&amp;M17&amp;")) ","")</f>
        <v/>
      </c>
      <c r="S17" s="1">
        <f>IF(N17&lt;&gt;""," | (any(a(#i),"&amp;N17&amp;") and not any(a(#i+1),"&amp;N17&amp;")) ","")</f>
        <v/>
      </c>
      <c r="T17" s="1">
        <f>IF(O17&lt;&gt;""," | (any(a(#i),"&amp;O17&amp;") and not any(a(#i+1),"&amp;O17&amp;")) ","")</f>
        <v/>
      </c>
      <c r="U17" s="1">
        <f>IF(P17&lt;&gt;""," | (any(a(#i),"&amp;P17&amp;") and not any(a(#i+1),"&amp;P17&amp;")) ","")</f>
        <v/>
      </c>
      <c r="V17" s="1">
        <f>"  | (v"&amp;C17&amp;"m"&amp;E17&amp;" to v"&amp;C17&amp;"m"&amp;F17&amp;")"&amp;H17</f>
        <v/>
      </c>
    </row>
    <row r="18">
      <c r="A18" s="1" t="n">
        <v>1117</v>
      </c>
      <c r="B18" s="1">
        <f>A18</f>
        <v/>
      </c>
      <c r="C18" s="1" t="inlineStr">
        <is>
          <t>vG11</t>
        </is>
      </c>
      <c r="D18" s="1" t="inlineStr">
        <is>
          <t>2</t>
        </is>
      </c>
      <c r="E18" s="1" t="inlineStr">
        <is>
          <t>1</t>
        </is>
      </c>
      <c r="F18" s="1" t="inlineStr">
        <is>
          <t>88</t>
        </is>
      </c>
      <c r="G18" s="1" t="inlineStr">
        <is>
          <t>7</t>
        </is>
      </c>
      <c r="H18" s="1" t="inlineStr">
        <is>
          <t>1</t>
        </is>
      </c>
      <c r="I18" s="1" t="inlineStr">
        <is>
          <t>90</t>
        </is>
      </c>
      <c r="K18" s="1" t="inlineStr">
        <is>
          <t>6</t>
        </is>
      </c>
      <c r="L18" s="1" t="inlineStr">
        <is>
          <t>90</t>
        </is>
      </c>
      <c r="Q18" s="1">
        <f>IF(L18&lt;&gt;""," | (any(a(#i),"&amp;L18&amp;") and not any(a(#i+1),"&amp;L18&amp;")) ","")</f>
        <v/>
      </c>
      <c r="R18" s="1">
        <f>IF(M18&lt;&gt;""," | (any(a(#i),"&amp;M18&amp;") and not any(a(#i+1),"&amp;M18&amp;")) ","")</f>
        <v/>
      </c>
      <c r="S18" s="1">
        <f>IF(N18&lt;&gt;""," | (any(a(#i),"&amp;N18&amp;") and not any(a(#i+1),"&amp;N18&amp;")) ","")</f>
        <v/>
      </c>
      <c r="T18" s="1">
        <f>IF(O18&lt;&gt;""," | (any(a(#i),"&amp;O18&amp;") and not any(a(#i+1),"&amp;O18&amp;")) ","")</f>
        <v/>
      </c>
      <c r="U18" s="1">
        <f>IF(P18&lt;&gt;""," | (any(a(#i),"&amp;P18&amp;") and not any(a(#i+1),"&amp;P18&amp;")) ","")</f>
        <v/>
      </c>
      <c r="V18" s="1">
        <f>"  | (v"&amp;C18&amp;"m"&amp;E18&amp;" to v"&amp;C18&amp;"m"&amp;F18&amp;")"&amp;H18</f>
        <v/>
      </c>
    </row>
    <row r="19">
      <c r="A19" s="1" t="n">
        <v>1118</v>
      </c>
      <c r="B19" s="1">
        <f>A19</f>
        <v/>
      </c>
      <c r="C19" s="1" t="inlineStr">
        <is>
          <t>vB7a</t>
        </is>
      </c>
      <c r="D19" s="1" t="inlineStr">
        <is>
          <t>2</t>
        </is>
      </c>
      <c r="E19" s="1" t="inlineStr">
        <is>
          <t>1</t>
        </is>
      </c>
      <c r="F19" s="1" t="inlineStr">
        <is>
          <t>88</t>
        </is>
      </c>
      <c r="G19" s="1" t="inlineStr">
        <is>
          <t>55</t>
        </is>
      </c>
      <c r="H19" s="1" t="inlineStr">
        <is>
          <t>0</t>
        </is>
      </c>
      <c r="K19" s="1" t="inlineStr">
        <is>
          <t>54</t>
        </is>
      </c>
      <c r="Q19" s="1">
        <f>IF(L19&lt;&gt;""," | (any(a(#i),"&amp;L19&amp;") and not any(a(#i+1),"&amp;L19&amp;")) ","")</f>
        <v/>
      </c>
      <c r="R19" s="1">
        <f>IF(M19&lt;&gt;""," | (any(a(#i),"&amp;M19&amp;") and not any(a(#i+1),"&amp;M19&amp;")) ","")</f>
        <v/>
      </c>
      <c r="S19" s="1">
        <f>IF(N19&lt;&gt;""," | (any(a(#i),"&amp;N19&amp;") and not any(a(#i+1),"&amp;N19&amp;")) ","")</f>
        <v/>
      </c>
      <c r="T19" s="1">
        <f>IF(O19&lt;&gt;""," | (any(a(#i),"&amp;O19&amp;") and not any(a(#i+1),"&amp;O19&amp;")) ","")</f>
        <v/>
      </c>
      <c r="U19" s="1">
        <f>IF(P19&lt;&gt;""," | (any(a(#i),"&amp;P19&amp;") and not any(a(#i+1),"&amp;P19&amp;")) ","")</f>
        <v/>
      </c>
      <c r="V19" s="1">
        <f>"  | (v"&amp;C19&amp;"m"&amp;E19&amp;" to v"&amp;C19&amp;"m"&amp;F19&amp;")"&amp;H19</f>
        <v/>
      </c>
    </row>
    <row r="20">
      <c r="A20" s="1" t="n">
        <v>1119</v>
      </c>
      <c r="B20" s="1">
        <f>A20</f>
        <v/>
      </c>
      <c r="C20" s="1" t="inlineStr">
        <is>
          <t>vB8</t>
        </is>
      </c>
      <c r="D20" s="1" t="inlineStr">
        <is>
          <t>2</t>
        </is>
      </c>
      <c r="E20" s="1" t="inlineStr">
        <is>
          <t>1</t>
        </is>
      </c>
      <c r="F20" s="1" t="inlineStr">
        <is>
          <t>88</t>
        </is>
      </c>
      <c r="G20" s="1" t="inlineStr">
        <is>
          <t>11</t>
        </is>
      </c>
      <c r="H20" s="1" t="inlineStr">
        <is>
          <t>0</t>
        </is>
      </c>
      <c r="K20" s="1" t="inlineStr">
        <is>
          <t>10</t>
        </is>
      </c>
      <c r="Q20" s="1">
        <f>IF(L20&lt;&gt;""," | (any(a(#i),"&amp;L20&amp;") and not any(a(#i+1),"&amp;L20&amp;")) ","")</f>
        <v/>
      </c>
      <c r="R20" s="1">
        <f>IF(M20&lt;&gt;""," | (any(a(#i),"&amp;M20&amp;") and not any(a(#i+1),"&amp;M20&amp;")) ","")</f>
        <v/>
      </c>
      <c r="S20" s="1">
        <f>IF(N20&lt;&gt;""," | (any(a(#i),"&amp;N20&amp;") and not any(a(#i+1),"&amp;N20&amp;")) ","")</f>
        <v/>
      </c>
      <c r="T20" s="1">
        <f>IF(O20&lt;&gt;""," | (any(a(#i),"&amp;O20&amp;") and not any(a(#i+1),"&amp;O20&amp;")) ","")</f>
        <v/>
      </c>
      <c r="U20" s="1">
        <f>IF(P20&lt;&gt;""," | (any(a(#i),"&amp;P20&amp;") and not any(a(#i+1),"&amp;P20&amp;")) ","")</f>
        <v/>
      </c>
      <c r="V20" s="1">
        <f>"  | (v"&amp;C20&amp;"m"&amp;E20&amp;" to v"&amp;C20&amp;"m"&amp;F20&amp;")"&amp;H20</f>
        <v/>
      </c>
    </row>
    <row r="21">
      <c r="A21" s="1" t="n">
        <v>1120</v>
      </c>
      <c r="B21" s="1">
        <f>A21</f>
        <v/>
      </c>
      <c r="C21" s="1" t="inlineStr">
        <is>
          <t>vG3</t>
        </is>
      </c>
      <c r="D21" s="1" t="inlineStr">
        <is>
          <t>2</t>
        </is>
      </c>
      <c r="E21" s="1" t="inlineStr">
        <is>
          <t>1</t>
        </is>
      </c>
      <c r="F21" s="1" t="inlineStr">
        <is>
          <t>88</t>
        </is>
      </c>
      <c r="G21" s="1" t="inlineStr">
        <is>
          <t>33</t>
        </is>
      </c>
      <c r="H21" s="1" t="inlineStr">
        <is>
          <t>0</t>
        </is>
      </c>
      <c r="K21" s="1" t="inlineStr">
        <is>
          <t>32</t>
        </is>
      </c>
      <c r="Q21" s="1">
        <f>IF(L21&lt;&gt;""," | (any(a(#i),"&amp;L21&amp;") and not any(a(#i+1),"&amp;L21&amp;")) ","")</f>
        <v/>
      </c>
      <c r="R21" s="1">
        <f>IF(M21&lt;&gt;""," | (any(a(#i),"&amp;M21&amp;") and not any(a(#i+1),"&amp;M21&amp;")) ","")</f>
        <v/>
      </c>
      <c r="S21" s="1">
        <f>IF(N21&lt;&gt;""," | (any(a(#i),"&amp;N21&amp;") and not any(a(#i+1),"&amp;N21&amp;")) ","")</f>
        <v/>
      </c>
      <c r="T21" s="1">
        <f>IF(O21&lt;&gt;""," | (any(a(#i),"&amp;O21&amp;") and not any(a(#i+1),"&amp;O21&amp;")) ","")</f>
        <v/>
      </c>
      <c r="U21" s="1">
        <f>IF(P21&lt;&gt;""," | (any(a(#i),"&amp;P21&amp;") and not any(a(#i+1),"&amp;P21&amp;")) ","")</f>
        <v/>
      </c>
      <c r="V21" s="1">
        <f>"  | (v"&amp;C21&amp;"m"&amp;E21&amp;" to v"&amp;C21&amp;"m"&amp;F21&amp;")"&amp;H21</f>
        <v/>
      </c>
    </row>
    <row r="22">
      <c r="A22" s="1" t="n">
        <v>1121</v>
      </c>
      <c r="B22" s="1">
        <f>A22</f>
        <v/>
      </c>
      <c r="C22" s="1" t="inlineStr">
        <is>
          <t>vF5</t>
        </is>
      </c>
      <c r="D22" s="1" t="inlineStr">
        <is>
          <t>2</t>
        </is>
      </c>
      <c r="E22" s="1" t="inlineStr">
        <is>
          <t>1</t>
        </is>
      </c>
      <c r="F22" s="1" t="inlineStr">
        <is>
          <t>88</t>
        </is>
      </c>
      <c r="G22" s="1" t="inlineStr">
        <is>
          <t>9</t>
        </is>
      </c>
      <c r="H22" s="1" t="inlineStr">
        <is>
          <t>0</t>
        </is>
      </c>
      <c r="K22" s="1" t="inlineStr">
        <is>
          <t>8</t>
        </is>
      </c>
      <c r="Q22" s="1">
        <f>IF(L22&lt;&gt;""," | (any(a(#i),"&amp;L22&amp;") and not any(a(#i+1),"&amp;L22&amp;")) ","")</f>
        <v/>
      </c>
      <c r="R22" s="1">
        <f>IF(M22&lt;&gt;""," | (any(a(#i),"&amp;M22&amp;") and not any(a(#i+1),"&amp;M22&amp;")) ","")</f>
        <v/>
      </c>
      <c r="S22" s="1">
        <f>IF(N22&lt;&gt;""," | (any(a(#i),"&amp;N22&amp;") and not any(a(#i+1),"&amp;N22&amp;")) ","")</f>
        <v/>
      </c>
      <c r="T22" s="1">
        <f>IF(O22&lt;&gt;""," | (any(a(#i),"&amp;O22&amp;") and not any(a(#i+1),"&amp;O22&amp;")) ","")</f>
        <v/>
      </c>
      <c r="U22" s="1">
        <f>IF(P22&lt;&gt;""," | (any(a(#i),"&amp;P22&amp;") and not any(a(#i+1),"&amp;P22&amp;")) ","")</f>
        <v/>
      </c>
      <c r="V22" s="1">
        <f>"  | (v"&amp;C22&amp;"m"&amp;E22&amp;" to v"&amp;C22&amp;"m"&amp;F22&amp;")"&amp;H22</f>
        <v/>
      </c>
    </row>
    <row r="23">
      <c r="A23" s="1" t="n">
        <v>1122</v>
      </c>
      <c r="B23" s="1">
        <f>A23</f>
        <v/>
      </c>
      <c r="C23" s="1" t="inlineStr">
        <is>
          <t>vC3</t>
        </is>
      </c>
      <c r="D23" s="1" t="inlineStr">
        <is>
          <t>2</t>
        </is>
      </c>
      <c r="E23" s="1" t="inlineStr">
        <is>
          <t>1</t>
        </is>
      </c>
      <c r="F23" s="1" t="inlineStr">
        <is>
          <t>88</t>
        </is>
      </c>
      <c r="G23" s="1" t="inlineStr">
        <is>
          <t>12</t>
        </is>
      </c>
      <c r="H23" s="1" t="inlineStr">
        <is>
          <t>0</t>
        </is>
      </c>
      <c r="K23" s="1" t="inlineStr">
        <is>
          <t>11</t>
        </is>
      </c>
      <c r="Q23" s="1">
        <f>IF(L23&lt;&gt;""," | (any(a(#i),"&amp;L23&amp;") and not any(a(#i+1),"&amp;L23&amp;")) ","")</f>
        <v/>
      </c>
      <c r="R23" s="1">
        <f>IF(M23&lt;&gt;""," | (any(a(#i),"&amp;M23&amp;") and not any(a(#i+1),"&amp;M23&amp;")) ","")</f>
        <v/>
      </c>
      <c r="S23" s="1">
        <f>IF(N23&lt;&gt;""," | (any(a(#i),"&amp;N23&amp;") and not any(a(#i+1),"&amp;N23&amp;")) ","")</f>
        <v/>
      </c>
      <c r="T23" s="1">
        <f>IF(O23&lt;&gt;""," | (any(a(#i),"&amp;O23&amp;") and not any(a(#i+1),"&amp;O23&amp;")) ","")</f>
        <v/>
      </c>
      <c r="U23" s="1">
        <f>IF(P23&lt;&gt;""," | (any(a(#i),"&amp;P23&amp;") and not any(a(#i+1),"&amp;P23&amp;")) ","")</f>
        <v/>
      </c>
      <c r="V23" s="1">
        <f>"  | (v"&amp;C23&amp;"m"&amp;E23&amp;" to v"&amp;C23&amp;"m"&amp;F23&amp;")"&amp;H23</f>
        <v/>
      </c>
    </row>
    <row r="24">
      <c r="A24" s="1" t="n">
        <v>1123</v>
      </c>
      <c r="B24" s="1">
        <f>A24</f>
        <v/>
      </c>
      <c r="C24" s="1" t="inlineStr">
        <is>
          <t>vJB1</t>
        </is>
      </c>
      <c r="D24" s="1" t="inlineStr">
        <is>
          <t>2</t>
        </is>
      </c>
      <c r="E24" s="1" t="inlineStr">
        <is>
          <t>1</t>
        </is>
      </c>
      <c r="F24" s="1" t="inlineStr">
        <is>
          <t>88</t>
        </is>
      </c>
      <c r="G24" s="1" t="inlineStr">
        <is>
          <t>13</t>
        </is>
      </c>
      <c r="H24" s="1" t="inlineStr">
        <is>
          <t>1</t>
        </is>
      </c>
      <c r="I24" s="1" t="inlineStr">
        <is>
          <t>90</t>
        </is>
      </c>
      <c r="K24" s="1" t="inlineStr">
        <is>
          <t>12</t>
        </is>
      </c>
      <c r="L24" s="1" t="inlineStr">
        <is>
          <t>90</t>
        </is>
      </c>
      <c r="Q24" s="1">
        <f>IF(L24&lt;&gt;""," | (any(a(#i),"&amp;L24&amp;") and not any(a(#i+1),"&amp;L24&amp;")) ","")</f>
        <v/>
      </c>
      <c r="R24" s="1">
        <f>IF(M24&lt;&gt;""," | (any(a(#i),"&amp;M24&amp;") and not any(a(#i+1),"&amp;M24&amp;")) ","")</f>
        <v/>
      </c>
      <c r="S24" s="1">
        <f>IF(N24&lt;&gt;""," | (any(a(#i),"&amp;N24&amp;") and not any(a(#i+1),"&amp;N24&amp;")) ","")</f>
        <v/>
      </c>
      <c r="T24" s="1">
        <f>IF(O24&lt;&gt;""," | (any(a(#i),"&amp;O24&amp;") and not any(a(#i+1),"&amp;O24&amp;")) ","")</f>
        <v/>
      </c>
      <c r="U24" s="1">
        <f>IF(P24&lt;&gt;""," | (any(a(#i),"&amp;P24&amp;") and not any(a(#i+1),"&amp;P24&amp;")) ","")</f>
        <v/>
      </c>
      <c r="V24" s="1">
        <f>"  | (v"&amp;C24&amp;"m"&amp;E24&amp;" to v"&amp;C24&amp;"m"&amp;F24&amp;")"&amp;H24</f>
        <v/>
      </c>
    </row>
    <row r="25">
      <c r="A25" s="1" t="n">
        <v>1124</v>
      </c>
      <c r="B25" s="1">
        <f>A25</f>
        <v/>
      </c>
      <c r="C25" s="1" t="inlineStr">
        <is>
          <t>vJB2</t>
        </is>
      </c>
      <c r="D25" s="1" t="inlineStr">
        <is>
          <t>2</t>
        </is>
      </c>
      <c r="E25" s="1" t="inlineStr">
        <is>
          <t>1</t>
        </is>
      </c>
      <c r="F25" s="1" t="inlineStr">
        <is>
          <t>88</t>
        </is>
      </c>
      <c r="G25" s="1" t="inlineStr">
        <is>
          <t>9</t>
        </is>
      </c>
      <c r="H25" s="1" t="inlineStr">
        <is>
          <t>1</t>
        </is>
      </c>
      <c r="I25" s="1" t="inlineStr">
        <is>
          <t>90</t>
        </is>
      </c>
      <c r="K25" s="1" t="inlineStr">
        <is>
          <t>8</t>
        </is>
      </c>
      <c r="L25" s="1" t="inlineStr">
        <is>
          <t>90</t>
        </is>
      </c>
      <c r="Q25" s="1">
        <f>IF(L25&lt;&gt;""," | (any(a(#i),"&amp;L25&amp;") and not any(a(#i+1),"&amp;L25&amp;")) ","")</f>
        <v/>
      </c>
      <c r="R25" s="1">
        <f>IF(M25&lt;&gt;""," | (any(a(#i),"&amp;M25&amp;") and not any(a(#i+1),"&amp;M25&amp;")) ","")</f>
        <v/>
      </c>
      <c r="S25" s="1">
        <f>IF(N25&lt;&gt;""," | (any(a(#i),"&amp;N25&amp;") and not any(a(#i+1),"&amp;N25&amp;")) ","")</f>
        <v/>
      </c>
      <c r="T25" s="1">
        <f>IF(O25&lt;&gt;""," | (any(a(#i),"&amp;O25&amp;") and not any(a(#i+1),"&amp;O25&amp;")) ","")</f>
        <v/>
      </c>
      <c r="U25" s="1">
        <f>IF(P25&lt;&gt;""," | (any(a(#i),"&amp;P25&amp;") and not any(a(#i+1),"&amp;P25&amp;")) ","")</f>
        <v/>
      </c>
      <c r="V25" s="1">
        <f>"  | (v"&amp;C25&amp;"m"&amp;E25&amp;" to v"&amp;C25&amp;"m"&amp;F25&amp;")"&amp;H25</f>
        <v/>
      </c>
    </row>
    <row r="26">
      <c r="A26" s="1" t="n">
        <v>1125</v>
      </c>
      <c r="B26" s="1">
        <f>A26</f>
        <v/>
      </c>
      <c r="C26" s="1" t="inlineStr">
        <is>
          <t>vM2</t>
        </is>
      </c>
      <c r="D26" s="1" t="inlineStr">
        <is>
          <t>2</t>
        </is>
      </c>
      <c r="E26" s="1" t="inlineStr">
        <is>
          <t>1</t>
        </is>
      </c>
      <c r="F26" s="1" t="inlineStr">
        <is>
          <t>88</t>
        </is>
      </c>
      <c r="G26" s="1" t="inlineStr">
        <is>
          <t>17</t>
        </is>
      </c>
      <c r="H26" s="1" t="inlineStr">
        <is>
          <t>0</t>
        </is>
      </c>
      <c r="K26" s="1" t="inlineStr">
        <is>
          <t>16</t>
        </is>
      </c>
      <c r="Q26" s="1">
        <f>IF(L26&lt;&gt;""," | (any(a(#i),"&amp;L26&amp;") and not any(a(#i+1),"&amp;L26&amp;")) ","")</f>
        <v/>
      </c>
      <c r="R26" s="1">
        <f>IF(M26&lt;&gt;""," | (any(a(#i),"&amp;M26&amp;") and not any(a(#i+1),"&amp;M26&amp;")) ","")</f>
        <v/>
      </c>
      <c r="S26" s="1">
        <f>IF(N26&lt;&gt;""," | (any(a(#i),"&amp;N26&amp;") and not any(a(#i+1),"&amp;N26&amp;")) ","")</f>
        <v/>
      </c>
      <c r="T26" s="1">
        <f>IF(O26&lt;&gt;""," | (any(a(#i),"&amp;O26&amp;") and not any(a(#i+1),"&amp;O26&amp;")) ","")</f>
        <v/>
      </c>
      <c r="U26" s="1">
        <f>IF(P26&lt;&gt;""," | (any(a(#i),"&amp;P26&amp;") and not any(a(#i+1),"&amp;P26&amp;")) ","")</f>
        <v/>
      </c>
      <c r="V26" s="1">
        <f>"  | (v"&amp;C26&amp;"m"&amp;E26&amp;" to v"&amp;C26&amp;"m"&amp;F26&amp;")"&amp;H26</f>
        <v/>
      </c>
    </row>
    <row r="27">
      <c r="A27" s="1" t="n">
        <v>1126</v>
      </c>
      <c r="B27" s="1">
        <f>A27</f>
        <v/>
      </c>
      <c r="C27" s="1" t="inlineStr">
        <is>
          <t>vM3</t>
        </is>
      </c>
      <c r="D27" s="1" t="inlineStr">
        <is>
          <t>2</t>
        </is>
      </c>
      <c r="E27" s="1" t="inlineStr">
        <is>
          <t>1</t>
        </is>
      </c>
      <c r="F27" s="1" t="inlineStr">
        <is>
          <t>88</t>
        </is>
      </c>
      <c r="G27" s="1" t="inlineStr">
        <is>
          <t>14</t>
        </is>
      </c>
      <c r="H27" s="1" t="inlineStr">
        <is>
          <t>0</t>
        </is>
      </c>
      <c r="K27" s="1" t="inlineStr">
        <is>
          <t>13</t>
        </is>
      </c>
      <c r="Q27" s="1">
        <f>IF(L27&lt;&gt;""," | (any(a(#i),"&amp;L27&amp;") and not any(a(#i+1),"&amp;L27&amp;")) ","")</f>
        <v/>
      </c>
      <c r="R27" s="1">
        <f>IF(M27&lt;&gt;""," | (any(a(#i),"&amp;M27&amp;") and not any(a(#i+1),"&amp;M27&amp;")) ","")</f>
        <v/>
      </c>
      <c r="S27" s="1">
        <f>IF(N27&lt;&gt;""," | (any(a(#i),"&amp;N27&amp;") and not any(a(#i+1),"&amp;N27&amp;")) ","")</f>
        <v/>
      </c>
      <c r="T27" s="1">
        <f>IF(O27&lt;&gt;""," | (any(a(#i),"&amp;O27&amp;") and not any(a(#i+1),"&amp;O27&amp;")) ","")</f>
        <v/>
      </c>
      <c r="U27" s="1">
        <f>IF(P27&lt;&gt;""," | (any(a(#i),"&amp;P27&amp;") and not any(a(#i+1),"&amp;P27&amp;")) ","")</f>
        <v/>
      </c>
      <c r="V27" s="1">
        <f>"  | (v"&amp;C27&amp;"m"&amp;E27&amp;" to v"&amp;C27&amp;"m"&amp;F27&amp;")"&amp;H27</f>
        <v/>
      </c>
    </row>
    <row r="28">
      <c r="A28" s="1" t="n">
        <v>1127</v>
      </c>
      <c r="B28" s="1">
        <f>A28</f>
        <v/>
      </c>
      <c r="C28" s="1" t="inlineStr">
        <is>
          <t>vQ20</t>
        </is>
      </c>
      <c r="D28" s="1" t="inlineStr">
        <is>
          <t>2</t>
        </is>
      </c>
      <c r="E28" s="1" t="inlineStr">
        <is>
          <t>1</t>
        </is>
      </c>
      <c r="F28" s="1" t="inlineStr">
        <is>
          <t>88</t>
        </is>
      </c>
      <c r="G28" s="1" t="inlineStr">
        <is>
          <t>8</t>
        </is>
      </c>
      <c r="H28" s="1" t="inlineStr">
        <is>
          <t>1</t>
        </is>
      </c>
      <c r="I28" s="1" t="inlineStr">
        <is>
          <t>90</t>
        </is>
      </c>
      <c r="J28" s="1" t="inlineStr">
        <is>
          <t>90</t>
        </is>
      </c>
      <c r="K28" s="1" t="inlineStr">
        <is>
          <t>7</t>
        </is>
      </c>
      <c r="L28" s="1" t="inlineStr">
        <is>
          <t>90</t>
        </is>
      </c>
      <c r="Q28" s="1">
        <f>IF(L28&lt;&gt;""," | (any(a(#i),"&amp;L28&amp;") and not any(a(#i+1),"&amp;L28&amp;")) ","")</f>
        <v/>
      </c>
      <c r="R28" s="1">
        <f>IF(M28&lt;&gt;""," | (any(a(#i),"&amp;M28&amp;") and not any(a(#i+1),"&amp;M28&amp;")) ","")</f>
        <v/>
      </c>
      <c r="S28" s="1">
        <f>IF(N28&lt;&gt;""," | (any(a(#i),"&amp;N28&amp;") and not any(a(#i+1),"&amp;N28&amp;")) ","")</f>
        <v/>
      </c>
      <c r="T28" s="1">
        <f>IF(O28&lt;&gt;""," | (any(a(#i),"&amp;O28&amp;") and not any(a(#i+1),"&amp;O28&amp;")) ","")</f>
        <v/>
      </c>
      <c r="U28" s="1">
        <f>IF(P28&lt;&gt;""," | (any(a(#i),"&amp;P28&amp;") and not any(a(#i+1),"&amp;P28&amp;")) ","")</f>
        <v/>
      </c>
      <c r="V28" s="1">
        <f>"  | (v"&amp;C28&amp;"m"&amp;E28&amp;" to v"&amp;C28&amp;"m"&amp;F28&amp;")"&amp;H28</f>
        <v/>
      </c>
    </row>
    <row r="29">
      <c r="A29" s="1" t="n">
        <v>1128</v>
      </c>
      <c r="B29" s="1">
        <f>A29</f>
        <v/>
      </c>
      <c r="C29" s="1" t="inlineStr">
        <is>
          <t>vQ25</t>
        </is>
      </c>
      <c r="D29" s="1" t="inlineStr">
        <is>
          <t>2</t>
        </is>
      </c>
      <c r="E29" s="1" t="inlineStr">
        <is>
          <t>1</t>
        </is>
      </c>
      <c r="F29" s="1" t="inlineStr">
        <is>
          <t>88</t>
        </is>
      </c>
      <c r="G29" s="1" t="inlineStr">
        <is>
          <t>32</t>
        </is>
      </c>
      <c r="H29" s="1" t="inlineStr">
        <is>
          <t>0</t>
        </is>
      </c>
      <c r="K29" s="1" t="inlineStr">
        <is>
          <t>31</t>
        </is>
      </c>
      <c r="Q29" s="1">
        <f>IF(L29&lt;&gt;""," | (any(a(#i),"&amp;L29&amp;") and not any(a(#i+1),"&amp;L29&amp;")) ","")</f>
        <v/>
      </c>
      <c r="R29" s="1">
        <f>IF(M29&lt;&gt;""," | (any(a(#i),"&amp;M29&amp;") and not any(a(#i+1),"&amp;M29&amp;")) ","")</f>
        <v/>
      </c>
      <c r="S29" s="1">
        <f>IF(N29&lt;&gt;""," | (any(a(#i),"&amp;N29&amp;") and not any(a(#i+1),"&amp;N29&amp;")) ","")</f>
        <v/>
      </c>
      <c r="T29" s="1">
        <f>IF(O29&lt;&gt;""," | (any(a(#i),"&amp;O29&amp;") and not any(a(#i+1),"&amp;O29&amp;")) ","")</f>
        <v/>
      </c>
      <c r="U29" s="1">
        <f>IF(P29&lt;&gt;""," | (any(a(#i),"&amp;P29&amp;") and not any(a(#i+1),"&amp;P29&amp;")) ","")</f>
        <v/>
      </c>
      <c r="V29" s="1">
        <f>"  | (v"&amp;C29&amp;"m"&amp;E29&amp;" to v"&amp;C29&amp;"m"&amp;F29&amp;")"&amp;H29</f>
        <v/>
      </c>
    </row>
    <row r="30">
      <c r="A30" s="1" t="n">
        <v>1129</v>
      </c>
      <c r="B30" s="1">
        <f>A30</f>
        <v/>
      </c>
      <c r="C30" s="1" t="inlineStr">
        <is>
          <t>vQ22</t>
        </is>
      </c>
      <c r="D30" s="1" t="inlineStr">
        <is>
          <t>2</t>
        </is>
      </c>
      <c r="E30" s="1" t="inlineStr">
        <is>
          <t>1</t>
        </is>
      </c>
      <c r="F30" s="1" t="inlineStr">
        <is>
          <t>88</t>
        </is>
      </c>
      <c r="G30" s="1" t="inlineStr">
        <is>
          <t>41</t>
        </is>
      </c>
      <c r="H30" s="1" t="inlineStr">
        <is>
          <t>0</t>
        </is>
      </c>
      <c r="K30" s="1" t="inlineStr">
        <is>
          <t>40</t>
        </is>
      </c>
      <c r="Q30" s="1">
        <f>IF(L30&lt;&gt;""," | (any(a(#i),"&amp;L30&amp;") and not any(a(#i+1),"&amp;L30&amp;")) ","")</f>
        <v/>
      </c>
      <c r="R30" s="1">
        <f>IF(M30&lt;&gt;""," | (any(a(#i),"&amp;M30&amp;") and not any(a(#i+1),"&amp;M30&amp;")) ","")</f>
        <v/>
      </c>
      <c r="S30" s="1">
        <f>IF(N30&lt;&gt;""," | (any(a(#i),"&amp;N30&amp;") and not any(a(#i+1),"&amp;N30&amp;")) ","")</f>
        <v/>
      </c>
      <c r="T30" s="1">
        <f>IF(O30&lt;&gt;""," | (any(a(#i),"&amp;O30&amp;") and not any(a(#i+1),"&amp;O30&amp;")) ","")</f>
        <v/>
      </c>
      <c r="U30" s="1">
        <f>IF(P30&lt;&gt;""," | (any(a(#i),"&amp;P30&amp;") and not any(a(#i+1),"&amp;P30&amp;")) ","")</f>
        <v/>
      </c>
      <c r="V30" s="1">
        <f>"  | (v"&amp;C30&amp;"m"&amp;E30&amp;" to v"&amp;C30&amp;"m"&amp;F30&amp;")"&amp;H30</f>
        <v/>
      </c>
    </row>
    <row r="31">
      <c r="A31" s="1" t="n">
        <v>1130</v>
      </c>
      <c r="B31" s="1">
        <f>A31</f>
        <v/>
      </c>
      <c r="C31" s="1" t="inlineStr">
        <is>
          <t>vQ23</t>
        </is>
      </c>
      <c r="D31" s="1" t="inlineStr">
        <is>
          <t>2</t>
        </is>
      </c>
      <c r="E31" s="1" t="inlineStr">
        <is>
          <t>1</t>
        </is>
      </c>
      <c r="F31" s="1" t="inlineStr">
        <is>
          <t>88</t>
        </is>
      </c>
      <c r="G31" s="1" t="inlineStr">
        <is>
          <t>28</t>
        </is>
      </c>
      <c r="H31" s="1" t="inlineStr">
        <is>
          <t>0</t>
        </is>
      </c>
      <c r="K31" s="1" t="inlineStr">
        <is>
          <t>27</t>
        </is>
      </c>
      <c r="Q31" s="1">
        <f>IF(L31&lt;&gt;""," | (any(a(#i),"&amp;L31&amp;") and not any(a(#i+1),"&amp;L31&amp;")) ","")</f>
        <v/>
      </c>
      <c r="R31" s="1">
        <f>IF(M31&lt;&gt;""," | (any(a(#i),"&amp;M31&amp;") and not any(a(#i+1),"&amp;M31&amp;")) ","")</f>
        <v/>
      </c>
      <c r="S31" s="1">
        <f>IF(N31&lt;&gt;""," | (any(a(#i),"&amp;N31&amp;") and not any(a(#i+1),"&amp;N31&amp;")) ","")</f>
        <v/>
      </c>
      <c r="T31" s="1">
        <f>IF(O31&lt;&gt;""," | (any(a(#i),"&amp;O31&amp;") and not any(a(#i+1),"&amp;O31&amp;")) ","")</f>
        <v/>
      </c>
      <c r="U31" s="1">
        <f>IF(P31&lt;&gt;""," | (any(a(#i),"&amp;P31&amp;") and not any(a(#i+1),"&amp;P31&amp;")) ","")</f>
        <v/>
      </c>
      <c r="V31" s="1">
        <f>"  | (v"&amp;C31&amp;"m"&amp;E31&amp;" to v"&amp;C31&amp;"m"&amp;F31&amp;")"&amp;H31</f>
        <v/>
      </c>
    </row>
    <row r="32">
      <c r="A32" s="1" t="n">
        <v>1131</v>
      </c>
      <c r="B32" s="1">
        <f>A32</f>
        <v/>
      </c>
      <c r="C32" s="1" t="inlineStr">
        <is>
          <t>vQ26</t>
        </is>
      </c>
      <c r="D32" s="1" t="inlineStr">
        <is>
          <t>2</t>
        </is>
      </c>
      <c r="E32" s="1" t="inlineStr">
        <is>
          <t>1</t>
        </is>
      </c>
      <c r="F32" s="1" t="inlineStr">
        <is>
          <t>88</t>
        </is>
      </c>
      <c r="G32" s="1" t="inlineStr">
        <is>
          <t>30</t>
        </is>
      </c>
      <c r="H32" s="1" t="inlineStr">
        <is>
          <t>0</t>
        </is>
      </c>
      <c r="K32" s="1" t="inlineStr">
        <is>
          <t>29</t>
        </is>
      </c>
      <c r="Q32" s="1">
        <f>IF(L32&lt;&gt;""," | (any(a(#i),"&amp;L32&amp;") and not any(a(#i+1),"&amp;L32&amp;")) ","")</f>
        <v/>
      </c>
      <c r="R32" s="1">
        <f>IF(M32&lt;&gt;""," | (any(a(#i),"&amp;M32&amp;") and not any(a(#i+1),"&amp;M32&amp;")) ","")</f>
        <v/>
      </c>
      <c r="S32" s="1">
        <f>IF(N32&lt;&gt;""," | (any(a(#i),"&amp;N32&amp;") and not any(a(#i+1),"&amp;N32&amp;")) ","")</f>
        <v/>
      </c>
      <c r="T32" s="1">
        <f>IF(O32&lt;&gt;""," | (any(a(#i),"&amp;O32&amp;") and not any(a(#i+1),"&amp;O32&amp;")) ","")</f>
        <v/>
      </c>
      <c r="U32" s="1">
        <f>IF(P32&lt;&gt;""," | (any(a(#i),"&amp;P32&amp;") and not any(a(#i+1),"&amp;P32&amp;")) ","")</f>
        <v/>
      </c>
      <c r="V32" s="1">
        <f>"  | (v"&amp;C32&amp;"m"&amp;E32&amp;" to v"&amp;C32&amp;"m"&amp;F32&amp;")"&amp;H32</f>
        <v/>
      </c>
    </row>
    <row r="33">
      <c r="A33" s="1" t="n">
        <v>1132</v>
      </c>
      <c r="B33" s="1">
        <f>A33</f>
        <v/>
      </c>
      <c r="C33" s="1" t="inlineStr">
        <is>
          <t>vQ27</t>
        </is>
      </c>
      <c r="D33" s="1" t="inlineStr">
        <is>
          <t>2</t>
        </is>
      </c>
      <c r="E33" s="1" t="inlineStr">
        <is>
          <t>1</t>
        </is>
      </c>
      <c r="F33" s="1" t="inlineStr">
        <is>
          <t>88</t>
        </is>
      </c>
      <c r="G33" s="1" t="inlineStr">
        <is>
          <t>8</t>
        </is>
      </c>
      <c r="H33" s="1" t="inlineStr">
        <is>
          <t>0</t>
        </is>
      </c>
      <c r="K33" s="1" t="inlineStr">
        <is>
          <t>7</t>
        </is>
      </c>
      <c r="Q33" s="1">
        <f>IF(L33&lt;&gt;""," | (any(a(#i),"&amp;L33&amp;") and not any(a(#i+1),"&amp;L33&amp;")) ","")</f>
        <v/>
      </c>
      <c r="R33" s="1">
        <f>IF(M33&lt;&gt;""," | (any(a(#i),"&amp;M33&amp;") and not any(a(#i+1),"&amp;M33&amp;")) ","")</f>
        <v/>
      </c>
      <c r="S33" s="1">
        <f>IF(N33&lt;&gt;""," | (any(a(#i),"&amp;N33&amp;") and not any(a(#i+1),"&amp;N33&amp;")) ","")</f>
        <v/>
      </c>
      <c r="T33" s="1">
        <f>IF(O33&lt;&gt;""," | (any(a(#i),"&amp;O33&amp;") and not any(a(#i+1),"&amp;O33&amp;")) ","")</f>
        <v/>
      </c>
      <c r="U33" s="1">
        <f>IF(P33&lt;&gt;""," | (any(a(#i),"&amp;P33&amp;") and not any(a(#i+1),"&amp;P33&amp;")) ","")</f>
        <v/>
      </c>
      <c r="V33" s="1">
        <f>"  | (v"&amp;C33&amp;"m"&amp;E33&amp;" to v"&amp;C33&amp;"m"&amp;F33&amp;")"&amp;H33</f>
        <v/>
      </c>
    </row>
    <row r="34">
      <c r="A34" s="1" t="n">
        <v>1133</v>
      </c>
      <c r="B34" s="1">
        <f>A34</f>
        <v/>
      </c>
      <c r="C34" s="1" t="inlineStr">
        <is>
          <t>vQ30</t>
        </is>
      </c>
      <c r="D34" s="1" t="inlineStr">
        <is>
          <t>2</t>
        </is>
      </c>
      <c r="E34" s="1" t="inlineStr">
        <is>
          <t>1</t>
        </is>
      </c>
      <c r="F34" s="1" t="inlineStr">
        <is>
          <t>8</t>
        </is>
      </c>
      <c r="G34" s="1" t="inlineStr">
        <is>
          <t>9</t>
        </is>
      </c>
      <c r="H34" s="1" t="inlineStr">
        <is>
          <t>1</t>
        </is>
      </c>
      <c r="I34" s="1" t="inlineStr">
        <is>
          <t>90</t>
        </is>
      </c>
      <c r="J34" s="1" t="inlineStr">
        <is>
          <t>90</t>
        </is>
      </c>
      <c r="K34" s="1" t="inlineStr">
        <is>
          <t>8</t>
        </is>
      </c>
      <c r="L34" s="1" t="inlineStr">
        <is>
          <t>90</t>
        </is>
      </c>
      <c r="Q34" s="1">
        <f>IF(L34&lt;&gt;""," | (any(a(#i),"&amp;L34&amp;") and not any(a(#i+1),"&amp;L34&amp;")) ","")</f>
        <v/>
      </c>
      <c r="R34" s="1">
        <f>IF(M34&lt;&gt;""," | (any(a(#i),"&amp;M34&amp;") and not any(a(#i+1),"&amp;M34&amp;")) ","")</f>
        <v/>
      </c>
      <c r="S34" s="1">
        <f>IF(N34&lt;&gt;""," | (any(a(#i),"&amp;N34&amp;") and not any(a(#i+1),"&amp;N34&amp;")) ","")</f>
        <v/>
      </c>
      <c r="T34" s="1">
        <f>IF(O34&lt;&gt;""," | (any(a(#i),"&amp;O34&amp;") and not any(a(#i+1),"&amp;O34&amp;")) ","")</f>
        <v/>
      </c>
      <c r="U34" s="1">
        <f>IF(P34&lt;&gt;""," | (any(a(#i),"&amp;P34&amp;") and not any(a(#i+1),"&amp;P34&amp;")) ","")</f>
        <v/>
      </c>
      <c r="V34" s="1">
        <f>"  | (v"&amp;C34&amp;"m"&amp;E34&amp;" to v"&amp;C34&amp;"m"&amp;F34&amp;")"&amp;H34</f>
        <v/>
      </c>
    </row>
    <row r="35">
      <c r="A35" s="1" t="n">
        <v>1134</v>
      </c>
      <c r="B35" s="1">
        <f>A35</f>
        <v/>
      </c>
      <c r="C35" s="1" t="inlineStr">
        <is>
          <t>vQ31</t>
        </is>
      </c>
      <c r="D35" s="1" t="inlineStr">
        <is>
          <t>2</t>
        </is>
      </c>
      <c r="E35" s="1" t="inlineStr">
        <is>
          <t>1</t>
        </is>
      </c>
      <c r="F35" s="1" t="inlineStr">
        <is>
          <t>8</t>
        </is>
      </c>
      <c r="G35" s="1" t="inlineStr">
        <is>
          <t>9</t>
        </is>
      </c>
      <c r="H35" s="1" t="inlineStr">
        <is>
          <t>1</t>
        </is>
      </c>
      <c r="I35" s="1" t="inlineStr">
        <is>
          <t>90</t>
        </is>
      </c>
      <c r="J35" s="1" t="inlineStr">
        <is>
          <t>90</t>
        </is>
      </c>
      <c r="K35" s="1" t="inlineStr">
        <is>
          <t>8</t>
        </is>
      </c>
      <c r="L35" s="1" t="inlineStr">
        <is>
          <t>90</t>
        </is>
      </c>
      <c r="Q35" s="1">
        <f>IF(L35&lt;&gt;""," | (any(a(#i),"&amp;L35&amp;") and not any(a(#i+1),"&amp;L35&amp;")) ","")</f>
        <v/>
      </c>
      <c r="R35" s="1">
        <f>IF(M35&lt;&gt;""," | (any(a(#i),"&amp;M35&amp;") and not any(a(#i+1),"&amp;M35&amp;")) ","")</f>
        <v/>
      </c>
      <c r="S35" s="1">
        <f>IF(N35&lt;&gt;""," | (any(a(#i),"&amp;N35&amp;") and not any(a(#i+1),"&amp;N35&amp;")) ","")</f>
        <v/>
      </c>
      <c r="T35" s="1">
        <f>IF(O35&lt;&gt;""," | (any(a(#i),"&amp;O35&amp;") and not any(a(#i+1),"&amp;O35&amp;")) ","")</f>
        <v/>
      </c>
      <c r="U35" s="1">
        <f>IF(P35&lt;&gt;""," | (any(a(#i),"&amp;P35&amp;") and not any(a(#i+1),"&amp;P35&amp;")) ","")</f>
        <v/>
      </c>
      <c r="V35" s="1">
        <f>"  | (v"&amp;C35&amp;"m"&amp;E35&amp;" to v"&amp;C35&amp;"m"&amp;F35&amp;")"&amp;H35</f>
        <v/>
      </c>
    </row>
    <row r="36">
      <c r="A36" s="1" t="n">
        <v>1135</v>
      </c>
      <c r="B36" s="1">
        <f>A36</f>
        <v/>
      </c>
      <c r="C36" s="1" t="inlineStr">
        <is>
          <t>vZE2</t>
        </is>
      </c>
      <c r="D36" s="1" t="inlineStr">
        <is>
          <t>2</t>
        </is>
      </c>
      <c r="E36" s="1" t="inlineStr">
        <is>
          <t>1</t>
        </is>
      </c>
      <c r="F36" s="1" t="inlineStr">
        <is>
          <t>3</t>
        </is>
      </c>
      <c r="G36" s="1" t="inlineStr">
        <is>
          <t>3</t>
        </is>
      </c>
      <c r="H36" s="1" t="inlineStr">
        <is>
          <t>0</t>
        </is>
      </c>
      <c r="J36" s="1" t="inlineStr">
        <is>
          <t>3</t>
        </is>
      </c>
      <c r="K36" s="1" t="inlineStr">
        <is>
          <t>2</t>
        </is>
      </c>
      <c r="Q36" s="1">
        <f>IF(L36&lt;&gt;""," | (any(a(#i),"&amp;L36&amp;") and not any(a(#i+1),"&amp;L36&amp;")) ","")</f>
        <v/>
      </c>
      <c r="R36" s="1">
        <f>IF(M36&lt;&gt;""," | (any(a(#i),"&amp;M36&amp;") and not any(a(#i+1),"&amp;M36&amp;")) ","")</f>
        <v/>
      </c>
      <c r="S36" s="1">
        <f>IF(N36&lt;&gt;""," | (any(a(#i),"&amp;N36&amp;") and not any(a(#i+1),"&amp;N36&amp;")) ","")</f>
        <v/>
      </c>
      <c r="T36" s="1">
        <f>IF(O36&lt;&gt;""," | (any(a(#i),"&amp;O36&amp;") and not any(a(#i+1),"&amp;O36&amp;")) ","")</f>
        <v/>
      </c>
      <c r="U36" s="1">
        <f>IF(P36&lt;&gt;""," | (any(a(#i),"&amp;P36&amp;") and not any(a(#i+1),"&amp;P36&amp;")) ","")</f>
        <v/>
      </c>
      <c r="V36" s="1">
        <f>"  | (v"&amp;C36&amp;"m"&amp;E36&amp;" to v"&amp;C36&amp;"m"&amp;F36&amp;")"&amp;H36</f>
        <v/>
      </c>
    </row>
  </sheetData>
  <autoFilter ref="A1:V2"/>
  <pageMargins left="0.7" right="0.7" top="0.75" bottom="0.75" header="0.3" footer="0.3"/>
  <pageSetup orientation="portrait" paperSize="9"/>
</worksheet>
</file>

<file path=xl/worksheets/sheet6.xml><?xml version="1.0" encoding="utf-8"?>
<worksheet xmlns="http://schemas.openxmlformats.org/spreadsheetml/2006/main">
  <sheetPr>
    <outlinePr summaryBelow="1" summaryRight="1"/>
    <pageSetUpPr/>
  </sheetPr>
  <dimension ref="A1:R28"/>
  <sheetViews>
    <sheetView workbookViewId="0">
      <selection activeCell="F9" sqref="F9"/>
    </sheetView>
  </sheetViews>
  <sheetFormatPr baseColWidth="8" defaultRowHeight="16.5"/>
  <cols>
    <col width="5.5" bestFit="1" customWidth="1" style="21" min="1" max="2"/>
    <col width="7.375" customWidth="1" style="21" min="3" max="3"/>
    <col width="6" bestFit="1" customWidth="1" style="21" min="4" max="4"/>
    <col width="18.875" bestFit="1" customWidth="1" style="11" min="5" max="6"/>
    <col width="10.5" bestFit="1" customWidth="1" style="22" min="7" max="7"/>
    <col width="15.375" bestFit="1" customWidth="1" style="21" min="8" max="8"/>
    <col width="17.75" bestFit="1" customWidth="1" style="21" min="9" max="9"/>
    <col width="10.5" bestFit="1" customWidth="1" style="11" min="10" max="10"/>
    <col width="32.5" customWidth="1" style="21" min="11" max="11"/>
    <col width="25.5" customWidth="1" style="21" min="12" max="12"/>
    <col width="7" customWidth="1" style="21" min="13" max="15"/>
    <col width="12.375" customWidth="1" style="21" min="16" max="16"/>
    <col width="8.875" customWidth="1" style="1" min="17" max="17"/>
  </cols>
  <sheetData>
    <row r="1" customFormat="1" s="1">
      <c r="A1" s="1" t="inlineStr">
        <is>
          <t>m</t>
        </is>
      </c>
      <c r="B1" s="1" t="inlineStr">
        <is>
          <t>p</t>
        </is>
      </c>
      <c r="C1" s="5" t="inlineStr">
        <is>
          <t>題號</t>
        </is>
      </c>
      <c r="D1" s="12" t="inlineStr">
        <is>
          <t>寬度</t>
        </is>
      </c>
      <c r="E1" s="13" t="inlineStr">
        <is>
          <t>互斥選項編號_起</t>
        </is>
      </c>
      <c r="F1" s="13" t="inlineStr">
        <is>
          <t>互斥選項編號_迄</t>
        </is>
      </c>
      <c r="G1" s="12" t="inlineStr">
        <is>
          <t>類型</t>
        </is>
      </c>
      <c r="H1" s="13" t="inlineStr">
        <is>
          <t>不可選擇數量</t>
        </is>
      </c>
      <c r="I1" s="16" t="inlineStr">
        <is>
          <t>非連續互斥選項</t>
        </is>
      </c>
      <c r="J1" s="13" t="inlineStr">
        <is>
          <t>互斥選項</t>
        </is>
      </c>
      <c r="K1" s="6" t="inlineStr">
        <is>
          <t>程式1</t>
        </is>
      </c>
      <c r="L1" s="7" t="inlineStr">
        <is>
          <t>程式2</t>
        </is>
      </c>
      <c r="M1" s="7" t="inlineStr">
        <is>
          <t>程式3</t>
        </is>
      </c>
      <c r="N1" s="6" t="inlineStr">
        <is>
          <t>程式4</t>
        </is>
      </c>
      <c r="O1" s="7" t="inlineStr">
        <is>
          <t>程式5</t>
        </is>
      </c>
    </row>
    <row r="2">
      <c r="A2" s="1" t="n">
        <v>1201</v>
      </c>
      <c r="B2" s="1">
        <f>A2</f>
        <v/>
      </c>
      <c r="C2" s="1" t="inlineStr">
        <is>
          <t>vK1</t>
        </is>
      </c>
      <c r="D2" s="9" t="inlineStr">
        <is>
          <t>2</t>
        </is>
      </c>
      <c r="E2" s="1" t="inlineStr">
        <is>
          <t>1</t>
        </is>
      </c>
      <c r="F2" s="1" t="inlineStr">
        <is>
          <t>88</t>
        </is>
      </c>
      <c r="G2" s="9" t="inlineStr">
        <is>
          <t>range</t>
        </is>
      </c>
      <c r="H2" s="11" t="inlineStr">
        <is>
          <t>1</t>
        </is>
      </c>
      <c r="I2" s="14" t="n"/>
      <c r="J2" s="1" t="inlineStr">
        <is>
          <t>90</t>
        </is>
      </c>
      <c r="K2" s="1">
        <f>IF(G2="複選","any(1,v"&amp;C2&amp;"m"&amp;E2&amp;" to v"&amp;C2&amp;"m"&amp;F2&amp;")","any(v"&amp;C2&amp;","&amp;E2&amp;")")</f>
        <v/>
      </c>
      <c r="P2" s="1" t="n"/>
      <c r="R2" s="20" t="inlineStr">
        <is>
          <t xml:space="preserve">使用方式： 將「複選題」工作表中有定義「互斥選項」者貼入此工作表
</t>
        </is>
      </c>
    </row>
    <row r="3">
      <c r="A3" s="1" t="n">
        <v>1202</v>
      </c>
      <c r="B3" s="1">
        <f>A3</f>
        <v/>
      </c>
      <c r="C3" s="1" t="inlineStr">
        <is>
          <t>vK2</t>
        </is>
      </c>
      <c r="D3" s="9" t="inlineStr">
        <is>
          <t>2</t>
        </is>
      </c>
      <c r="E3" s="1" t="inlineStr">
        <is>
          <t>1</t>
        </is>
      </c>
      <c r="F3" s="1" t="inlineStr">
        <is>
          <t>88</t>
        </is>
      </c>
      <c r="G3" s="9" t="inlineStr">
        <is>
          <t>range</t>
        </is>
      </c>
      <c r="H3" s="1" t="inlineStr">
        <is>
          <t>1</t>
        </is>
      </c>
      <c r="J3" s="1" t="inlineStr">
        <is>
          <t>90</t>
        </is>
      </c>
      <c r="K3" s="1">
        <f>IF(G3="複選","any(1,v"&amp;C3&amp;"m"&amp;E3&amp;" to v"&amp;C3&amp;"m"&amp;F3&amp;")","any(v"&amp;C3&amp;","&amp;E3&amp;")")</f>
        <v/>
      </c>
    </row>
    <row r="4">
      <c r="A4" s="1" t="n">
        <v>1203</v>
      </c>
      <c r="B4" s="1">
        <f>A4</f>
        <v/>
      </c>
      <c r="C4" s="1" t="inlineStr">
        <is>
          <t>vK3</t>
        </is>
      </c>
      <c r="D4" s="9" t="inlineStr">
        <is>
          <t>2</t>
        </is>
      </c>
      <c r="E4" s="1" t="inlineStr">
        <is>
          <t>1</t>
        </is>
      </c>
      <c r="F4" s="1" t="inlineStr">
        <is>
          <t>88</t>
        </is>
      </c>
      <c r="G4" s="9" t="inlineStr">
        <is>
          <t>range</t>
        </is>
      </c>
      <c r="H4" s="1" t="inlineStr">
        <is>
          <t>1</t>
        </is>
      </c>
      <c r="J4" s="1" t="inlineStr">
        <is>
          <t>90</t>
        </is>
      </c>
      <c r="K4" s="1">
        <f>IF(G4="複選","any(1,v"&amp;C4&amp;"m"&amp;E4&amp;" to v"&amp;C4&amp;"m"&amp;F4&amp;")","any(v"&amp;C4&amp;","&amp;E4&amp;")")</f>
        <v/>
      </c>
    </row>
    <row r="5">
      <c r="A5" s="1" t="n">
        <v>1204</v>
      </c>
      <c r="B5" s="1">
        <f>A5</f>
        <v/>
      </c>
      <c r="C5" s="1" t="inlineStr">
        <is>
          <t>vQ20</t>
        </is>
      </c>
      <c r="D5" s="1" t="inlineStr">
        <is>
          <t>2</t>
        </is>
      </c>
      <c r="E5" s="1" t="inlineStr">
        <is>
          <t>1</t>
        </is>
      </c>
      <c r="F5" s="1" t="inlineStr">
        <is>
          <t>88</t>
        </is>
      </c>
      <c r="G5" s="9" t="inlineStr">
        <is>
          <t>range</t>
        </is>
      </c>
      <c r="H5" s="1" t="inlineStr">
        <is>
          <t>1</t>
        </is>
      </c>
      <c r="J5" s="1" t="inlineStr">
        <is>
          <t>90</t>
        </is>
      </c>
      <c r="K5" s="1">
        <f>IF(G5="複選","any(1,v"&amp;C5&amp;"m"&amp;E5&amp;" to v"&amp;C5&amp;"m"&amp;F5&amp;")","any(v"&amp;C5&amp;","&amp;E5&amp;")")</f>
        <v/>
      </c>
    </row>
    <row r="6">
      <c r="A6" s="1" t="n">
        <v>1205</v>
      </c>
      <c r="B6" s="1">
        <f>A6</f>
        <v/>
      </c>
      <c r="C6" s="1" t="inlineStr">
        <is>
          <t>vQ30</t>
        </is>
      </c>
      <c r="D6" s="1" t="inlineStr">
        <is>
          <t>2</t>
        </is>
      </c>
      <c r="E6" s="1" t="inlineStr">
        <is>
          <t>1</t>
        </is>
      </c>
      <c r="F6" s="1" t="inlineStr">
        <is>
          <t>8</t>
        </is>
      </c>
      <c r="G6" s="9" t="inlineStr">
        <is>
          <t>range</t>
        </is>
      </c>
      <c r="H6" s="1" t="inlineStr">
        <is>
          <t>1</t>
        </is>
      </c>
      <c r="J6" s="1" t="inlineStr">
        <is>
          <t>90</t>
        </is>
      </c>
      <c r="K6" s="1">
        <f>IF(G6="複選","any(1,v"&amp;C6&amp;"m"&amp;E6&amp;" to v"&amp;C6&amp;"m"&amp;F6&amp;")","any(v"&amp;C6&amp;","&amp;E6&amp;")")</f>
        <v/>
      </c>
    </row>
    <row r="7">
      <c r="A7" s="1" t="n">
        <v>1206</v>
      </c>
      <c r="B7" s="1">
        <f>A7</f>
        <v/>
      </c>
      <c r="C7" s="1" t="inlineStr">
        <is>
          <t>vQ31</t>
        </is>
      </c>
      <c r="D7" s="1" t="inlineStr">
        <is>
          <t>2</t>
        </is>
      </c>
      <c r="E7" s="1" t="inlineStr">
        <is>
          <t>1</t>
        </is>
      </c>
      <c r="F7" s="1" t="inlineStr">
        <is>
          <t>8</t>
        </is>
      </c>
      <c r="G7" s="9" t="inlineStr">
        <is>
          <t>range</t>
        </is>
      </c>
      <c r="H7" s="1" t="inlineStr">
        <is>
          <t>1</t>
        </is>
      </c>
      <c r="J7" s="1" t="inlineStr">
        <is>
          <t>90</t>
        </is>
      </c>
      <c r="K7" s="1">
        <f>IF(G7="複選","any(1,v"&amp;C7&amp;"m"&amp;E7&amp;" to v"&amp;C7&amp;"m"&amp;F7&amp;")","any(v"&amp;C7&amp;","&amp;E7&amp;")")</f>
        <v/>
      </c>
    </row>
    <row r="8">
      <c r="A8" s="1" t="n">
        <v>1207</v>
      </c>
      <c r="B8" s="1">
        <f>A8</f>
        <v/>
      </c>
      <c r="C8" s="1" t="inlineStr">
        <is>
          <t>vZE2</t>
        </is>
      </c>
      <c r="D8" s="1" t="inlineStr">
        <is>
          <t>2</t>
        </is>
      </c>
      <c r="E8" s="1" t="inlineStr">
        <is>
          <t>1</t>
        </is>
      </c>
      <c r="F8" s="1" t="inlineStr">
        <is>
          <t>2</t>
        </is>
      </c>
      <c r="G8" s="9" t="inlineStr">
        <is>
          <t>range</t>
        </is>
      </c>
      <c r="H8" s="1" t="inlineStr">
        <is>
          <t>0</t>
        </is>
      </c>
      <c r="J8" s="1" t="inlineStr">
        <is>
          <t>3</t>
        </is>
      </c>
      <c r="K8" s="1">
        <f>IF(G8="複選","any(1,v"&amp;C8&amp;"m"&amp;E8&amp;" to v"&amp;C8&amp;"m"&amp;F8&amp;")","any(v"&amp;C8&amp;","&amp;E8&amp;")")</f>
        <v/>
      </c>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sheetData>
  <pageMargins left="0.7" right="0.7" top="0.75" bottom="0.75" header="0.3" footer="0.3"/>
  <pageSetup orientation="portrait" paperSize="9"/>
</worksheet>
</file>

<file path=xl/worksheets/sheet7.xml><?xml version="1.0" encoding="utf-8"?>
<worksheet xmlns="http://schemas.openxmlformats.org/spreadsheetml/2006/main">
  <sheetPr>
    <outlinePr summaryBelow="1" summaryRight="1"/>
    <pageSetUpPr/>
  </sheetPr>
  <dimension ref="A1:B584"/>
  <sheetViews>
    <sheetView topLeftCell="A553" workbookViewId="0">
      <selection activeCell="B2" sqref="B2:B584"/>
    </sheetView>
  </sheetViews>
  <sheetFormatPr baseColWidth="8" defaultRowHeight="16.5"/>
  <cols>
    <col width="12" customWidth="1" style="1" min="1" max="1"/>
    <col width="12.625" customWidth="1" style="1" min="2" max="2"/>
  </cols>
  <sheetData>
    <row r="1">
      <c r="A1" s="1" t="inlineStr">
        <is>
          <t>變項名稱</t>
        </is>
      </c>
      <c r="B1" s="1" t="inlineStr">
        <is>
          <t>分組</t>
        </is>
      </c>
    </row>
    <row r="2">
      <c r="A2" s="1" t="inlineStr">
        <is>
          <t>vK1m01</t>
        </is>
      </c>
      <c r="B2" s="1">
        <f>MID(A2,1,SEARCH("m",A2,1)-1)</f>
        <v/>
      </c>
    </row>
    <row r="3">
      <c r="A3" s="1" t="inlineStr">
        <is>
          <t>vK1m02</t>
        </is>
      </c>
      <c r="B3" s="1">
        <f>MID(A3,1,SEARCH("m",A3,1)-1)</f>
        <v/>
      </c>
    </row>
    <row r="4">
      <c r="A4" s="1" t="inlineStr">
        <is>
          <t>vK1m03</t>
        </is>
      </c>
      <c r="B4" s="1">
        <f>MID(A4,1,SEARCH("m",A4,1)-1)</f>
        <v/>
      </c>
    </row>
    <row r="5">
      <c r="A5" s="1" t="inlineStr">
        <is>
          <t>vK1m04</t>
        </is>
      </c>
      <c r="B5" s="1">
        <f>MID(A5,1,SEARCH("m",A5,1)-1)</f>
        <v/>
      </c>
    </row>
    <row r="6">
      <c r="A6" s="1" t="inlineStr">
        <is>
          <t>vK1m05</t>
        </is>
      </c>
      <c r="B6" s="1">
        <f>MID(A6,1,SEARCH("m",A6,1)-1)</f>
        <v/>
      </c>
    </row>
    <row r="7">
      <c r="A7" s="1" t="inlineStr">
        <is>
          <t>vK1m06</t>
        </is>
      </c>
      <c r="B7" s="1">
        <f>MID(A7,1,SEARCH("m",A7,1)-1)</f>
        <v/>
      </c>
    </row>
    <row r="8">
      <c r="A8" s="1" t="inlineStr">
        <is>
          <t>vK1m07</t>
        </is>
      </c>
      <c r="B8" s="1">
        <f>MID(A8,1,SEARCH("m",A8,1)-1)</f>
        <v/>
      </c>
    </row>
    <row r="9">
      <c r="A9" s="1" t="inlineStr">
        <is>
          <t>vK1m08</t>
        </is>
      </c>
      <c r="B9" s="1">
        <f>MID(A9,1,SEARCH("m",A9,1)-1)</f>
        <v/>
      </c>
    </row>
    <row r="10">
      <c r="A10" s="1" t="inlineStr">
        <is>
          <t>vK1m09</t>
        </is>
      </c>
      <c r="B10" s="1">
        <f>MID(A10,1,SEARCH("m",A10,1)-1)</f>
        <v/>
      </c>
    </row>
    <row r="11">
      <c r="A11" s="1" t="inlineStr">
        <is>
          <t>vK1m10</t>
        </is>
      </c>
      <c r="B11" s="1">
        <f>MID(A11,1,SEARCH("m",A11,1)-1)</f>
        <v/>
      </c>
    </row>
    <row r="12">
      <c r="A12" s="1" t="inlineStr">
        <is>
          <t>vK1m11</t>
        </is>
      </c>
      <c r="B12" s="1">
        <f>MID(A12,1,SEARCH("m",A12,1)-1)</f>
        <v/>
      </c>
    </row>
    <row r="13">
      <c r="A13" s="1" t="inlineStr">
        <is>
          <t>vK1m12</t>
        </is>
      </c>
      <c r="B13" s="1">
        <f>MID(A13,1,SEARCH("m",A13,1)-1)</f>
        <v/>
      </c>
    </row>
    <row r="14">
      <c r="A14" s="1" t="inlineStr">
        <is>
          <t>vK1m13</t>
        </is>
      </c>
      <c r="B14" s="1">
        <f>MID(A14,1,SEARCH("m",A14,1)-1)</f>
        <v/>
      </c>
    </row>
    <row r="15">
      <c r="A15" s="1" t="inlineStr">
        <is>
          <t>vK1m88</t>
        </is>
      </c>
      <c r="B15" s="1">
        <f>MID(A15,1,SEARCH("m",A15,1)-1)</f>
        <v/>
      </c>
    </row>
    <row r="16">
      <c r="A16" s="1" t="inlineStr">
        <is>
          <t>vK1m90</t>
        </is>
      </c>
      <c r="B16" s="1">
        <f>MID(A16,1,SEARCH("m",A16,1)-1)</f>
        <v/>
      </c>
    </row>
    <row r="17">
      <c r="A17" s="1" t="inlineStr">
        <is>
          <t>vK2m01</t>
        </is>
      </c>
      <c r="B17" s="1">
        <f>MID(A17,1,SEARCH("m",A17,1)-1)</f>
        <v/>
      </c>
    </row>
    <row r="18">
      <c r="A18" s="1" t="inlineStr">
        <is>
          <t>vK2m02</t>
        </is>
      </c>
      <c r="B18" s="1">
        <f>MID(A18,1,SEARCH("m",A18,1)-1)</f>
        <v/>
      </c>
    </row>
    <row r="19">
      <c r="A19" s="1" t="inlineStr">
        <is>
          <t>vK2m03</t>
        </is>
      </c>
      <c r="B19" s="1">
        <f>MID(A19,1,SEARCH("m",A19,1)-1)</f>
        <v/>
      </c>
    </row>
    <row r="20">
      <c r="A20" s="1" t="inlineStr">
        <is>
          <t>vK2m04</t>
        </is>
      </c>
      <c r="B20" s="1">
        <f>MID(A20,1,SEARCH("m",A20,1)-1)</f>
        <v/>
      </c>
    </row>
    <row r="21">
      <c r="A21" s="1" t="inlineStr">
        <is>
          <t>vK2m05</t>
        </is>
      </c>
      <c r="B21" s="1">
        <f>MID(A21,1,SEARCH("m",A21,1)-1)</f>
        <v/>
      </c>
    </row>
    <row r="22">
      <c r="A22" s="1" t="inlineStr">
        <is>
          <t>vK2m06</t>
        </is>
      </c>
      <c r="B22" s="1">
        <f>MID(A22,1,SEARCH("m",A22,1)-1)</f>
        <v/>
      </c>
    </row>
    <row r="23">
      <c r="A23" s="1" t="inlineStr">
        <is>
          <t>vK2m07</t>
        </is>
      </c>
      <c r="B23" s="1">
        <f>MID(A23,1,SEARCH("m",A23,1)-1)</f>
        <v/>
      </c>
    </row>
    <row r="24">
      <c r="A24" s="1" t="inlineStr">
        <is>
          <t>vK2m08</t>
        </is>
      </c>
      <c r="B24" s="1">
        <f>MID(A24,1,SEARCH("m",A24,1)-1)</f>
        <v/>
      </c>
    </row>
    <row r="25">
      <c r="A25" s="1" t="inlineStr">
        <is>
          <t>vK2m09</t>
        </is>
      </c>
      <c r="B25" s="1">
        <f>MID(A25,1,SEARCH("m",A25,1)-1)</f>
        <v/>
      </c>
    </row>
    <row r="26">
      <c r="A26" s="1" t="inlineStr">
        <is>
          <t>vK2m11</t>
        </is>
      </c>
      <c r="B26" s="1">
        <f>MID(A26,1,SEARCH("m",A26,1)-1)</f>
        <v/>
      </c>
    </row>
    <row r="27">
      <c r="A27" s="1" t="inlineStr">
        <is>
          <t>vK2m12</t>
        </is>
      </c>
      <c r="B27" s="1">
        <f>MID(A27,1,SEARCH("m",A27,1)-1)</f>
        <v/>
      </c>
    </row>
    <row r="28">
      <c r="A28" s="1" t="inlineStr">
        <is>
          <t>vK2m13</t>
        </is>
      </c>
      <c r="B28" s="1">
        <f>MID(A28,1,SEARCH("m",A28,1)-1)</f>
        <v/>
      </c>
    </row>
    <row r="29">
      <c r="A29" s="1" t="inlineStr">
        <is>
          <t>vK2m88</t>
        </is>
      </c>
      <c r="B29" s="1">
        <f>MID(A29,1,SEARCH("m",A29,1)-1)</f>
        <v/>
      </c>
    </row>
    <row r="30">
      <c r="A30" s="1" t="inlineStr">
        <is>
          <t>vK2m90</t>
        </is>
      </c>
      <c r="B30" s="1">
        <f>MID(A30,1,SEARCH("m",A30,1)-1)</f>
        <v/>
      </c>
    </row>
    <row r="31">
      <c r="A31" s="1" t="inlineStr">
        <is>
          <t>vKFB3m01</t>
        </is>
      </c>
      <c r="B31" s="1">
        <f>MID(A31,1,SEARCH("m",A31,1)-1)</f>
        <v/>
      </c>
    </row>
    <row r="32">
      <c r="A32" s="1" t="inlineStr">
        <is>
          <t>vKFB3m02</t>
        </is>
      </c>
      <c r="B32" s="1">
        <f>MID(A32,1,SEARCH("m",A32,1)-1)</f>
        <v/>
      </c>
    </row>
    <row r="33">
      <c r="A33" s="1" t="inlineStr">
        <is>
          <t>vKFB3m03</t>
        </is>
      </c>
      <c r="B33" s="1">
        <f>MID(A33,1,SEARCH("m",A33,1)-1)</f>
        <v/>
      </c>
    </row>
    <row r="34">
      <c r="A34" s="1" t="inlineStr">
        <is>
          <t>vKFB3m04</t>
        </is>
      </c>
      <c r="B34" s="1">
        <f>MID(A34,1,SEARCH("m",A34,1)-1)</f>
        <v/>
      </c>
    </row>
    <row r="35">
      <c r="A35" s="1" t="inlineStr">
        <is>
          <t>vKFB3m05</t>
        </is>
      </c>
      <c r="B35" s="1">
        <f>MID(A35,1,SEARCH("m",A35,1)-1)</f>
        <v/>
      </c>
    </row>
    <row r="36">
      <c r="A36" s="1" t="inlineStr">
        <is>
          <t>vKFB3m06</t>
        </is>
      </c>
      <c r="B36" s="1">
        <f>MID(A36,1,SEARCH("m",A36,1)-1)</f>
        <v/>
      </c>
    </row>
    <row r="37">
      <c r="A37" s="1" t="inlineStr">
        <is>
          <t>vKFB3m07</t>
        </is>
      </c>
      <c r="B37" s="1">
        <f>MID(A37,1,SEARCH("m",A37,1)-1)</f>
        <v/>
      </c>
    </row>
    <row r="38">
      <c r="A38" s="1" t="inlineStr">
        <is>
          <t>vKFB3m08</t>
        </is>
      </c>
      <c r="B38" s="1">
        <f>MID(A38,1,SEARCH("m",A38,1)-1)</f>
        <v/>
      </c>
    </row>
    <row r="39">
      <c r="A39" s="1" t="inlineStr">
        <is>
          <t>vKFB3m09</t>
        </is>
      </c>
      <c r="B39" s="1">
        <f>MID(A39,1,SEARCH("m",A39,1)-1)</f>
        <v/>
      </c>
    </row>
    <row r="40">
      <c r="A40" s="1" t="inlineStr">
        <is>
          <t>vKFB3m10</t>
        </is>
      </c>
      <c r="B40" s="1">
        <f>MID(A40,1,SEARCH("m",A40,1)-1)</f>
        <v/>
      </c>
    </row>
    <row r="41">
      <c r="A41" s="1" t="inlineStr">
        <is>
          <t>vKFB3m11</t>
        </is>
      </c>
      <c r="B41" s="1">
        <f>MID(A41,1,SEARCH("m",A41,1)-1)</f>
        <v/>
      </c>
    </row>
    <row r="42">
      <c r="A42" s="1" t="inlineStr">
        <is>
          <t>vKFB3m12</t>
        </is>
      </c>
      <c r="B42" s="1">
        <f>MID(A42,1,SEARCH("m",A42,1)-1)</f>
        <v/>
      </c>
    </row>
    <row r="43">
      <c r="A43" s="1" t="inlineStr">
        <is>
          <t>vKFB3m13</t>
        </is>
      </c>
      <c r="B43" s="1">
        <f>MID(A43,1,SEARCH("m",A43,1)-1)</f>
        <v/>
      </c>
    </row>
    <row r="44">
      <c r="A44" s="1" t="inlineStr">
        <is>
          <t>vKFB3m14</t>
        </is>
      </c>
      <c r="B44" s="1">
        <f>MID(A44,1,SEARCH("m",A44,1)-1)</f>
        <v/>
      </c>
    </row>
    <row r="45">
      <c r="A45" s="1" t="inlineStr">
        <is>
          <t>vKFB3m15</t>
        </is>
      </c>
      <c r="B45" s="1">
        <f>MID(A45,1,SEARCH("m",A45,1)-1)</f>
        <v/>
      </c>
    </row>
    <row r="46">
      <c r="A46" s="1" t="inlineStr">
        <is>
          <t>vKFB3m16</t>
        </is>
      </c>
      <c r="B46" s="1">
        <f>MID(A46,1,SEARCH("m",A46,1)-1)</f>
        <v/>
      </c>
    </row>
    <row r="47">
      <c r="A47" s="1" t="inlineStr">
        <is>
          <t>vKFB3m17</t>
        </is>
      </c>
      <c r="B47" s="1">
        <f>MID(A47,1,SEARCH("m",A47,1)-1)</f>
        <v/>
      </c>
    </row>
    <row r="48">
      <c r="A48" s="1" t="inlineStr">
        <is>
          <t>vKFB3m88</t>
        </is>
      </c>
      <c r="B48" s="1">
        <f>MID(A48,1,SEARCH("m",A48,1)-1)</f>
        <v/>
      </c>
    </row>
    <row r="49">
      <c r="A49" s="1" t="inlineStr">
        <is>
          <t>vKFB4m01</t>
        </is>
      </c>
      <c r="B49" s="1">
        <f>MID(A49,1,SEARCH("m",A49,1)-1)</f>
        <v/>
      </c>
    </row>
    <row r="50">
      <c r="A50" s="1" t="inlineStr">
        <is>
          <t>vKFB4m02</t>
        </is>
      </c>
      <c r="B50" s="1">
        <f>MID(A50,1,SEARCH("m",A50,1)-1)</f>
        <v/>
      </c>
    </row>
    <row r="51">
      <c r="A51" s="1" t="inlineStr">
        <is>
          <t>vKFB4m03</t>
        </is>
      </c>
      <c r="B51" s="1">
        <f>MID(A51,1,SEARCH("m",A51,1)-1)</f>
        <v/>
      </c>
    </row>
    <row r="52">
      <c r="A52" s="1" t="inlineStr">
        <is>
          <t>vKFB4m04</t>
        </is>
      </c>
      <c r="B52" s="1">
        <f>MID(A52,1,SEARCH("m",A52,1)-1)</f>
        <v/>
      </c>
    </row>
    <row r="53">
      <c r="A53" s="1" t="inlineStr">
        <is>
          <t>vKFB4m05</t>
        </is>
      </c>
      <c r="B53" s="1">
        <f>MID(A53,1,SEARCH("m",A53,1)-1)</f>
        <v/>
      </c>
    </row>
    <row r="54">
      <c r="A54" s="1" t="inlineStr">
        <is>
          <t>vKFB4m06</t>
        </is>
      </c>
      <c r="B54" s="1">
        <f>MID(A54,1,SEARCH("m",A54,1)-1)</f>
        <v/>
      </c>
    </row>
    <row r="55">
      <c r="A55" s="1" t="inlineStr">
        <is>
          <t>vKFB4m07</t>
        </is>
      </c>
      <c r="B55" s="1">
        <f>MID(A55,1,SEARCH("m",A55,1)-1)</f>
        <v/>
      </c>
    </row>
    <row r="56">
      <c r="A56" s="1" t="inlineStr">
        <is>
          <t>vKFB4m08</t>
        </is>
      </c>
      <c r="B56" s="1">
        <f>MID(A56,1,SEARCH("m",A56,1)-1)</f>
        <v/>
      </c>
    </row>
    <row r="57">
      <c r="A57" s="1" t="inlineStr">
        <is>
          <t>vKFB4m09</t>
        </is>
      </c>
      <c r="B57" s="1">
        <f>MID(A57,1,SEARCH("m",A57,1)-1)</f>
        <v/>
      </c>
    </row>
    <row r="58">
      <c r="A58" s="1" t="inlineStr">
        <is>
          <t>vKFB4m10</t>
        </is>
      </c>
      <c r="B58" s="1">
        <f>MID(A58,1,SEARCH("m",A58,1)-1)</f>
        <v/>
      </c>
    </row>
    <row r="59">
      <c r="A59" s="1" t="inlineStr">
        <is>
          <t>vKFB4m11</t>
        </is>
      </c>
      <c r="B59" s="1">
        <f>MID(A59,1,SEARCH("m",A59,1)-1)</f>
        <v/>
      </c>
    </row>
    <row r="60">
      <c r="A60" s="1" t="inlineStr">
        <is>
          <t>vKFB4m12</t>
        </is>
      </c>
      <c r="B60" s="1">
        <f>MID(A60,1,SEARCH("m",A60,1)-1)</f>
        <v/>
      </c>
    </row>
    <row r="61">
      <c r="A61" s="1" t="inlineStr">
        <is>
          <t>vKFB4m13</t>
        </is>
      </c>
      <c r="B61" s="1">
        <f>MID(A61,1,SEARCH("m",A61,1)-1)</f>
        <v/>
      </c>
    </row>
    <row r="62">
      <c r="A62" s="1" t="inlineStr">
        <is>
          <t>vKFB4m14</t>
        </is>
      </c>
      <c r="B62" s="1">
        <f>MID(A62,1,SEARCH("m",A62,1)-1)</f>
        <v/>
      </c>
    </row>
    <row r="63">
      <c r="A63" s="1" t="inlineStr">
        <is>
          <t>vKFB4m15</t>
        </is>
      </c>
      <c r="B63" s="1">
        <f>MID(A63,1,SEARCH("m",A63,1)-1)</f>
        <v/>
      </c>
    </row>
    <row r="64">
      <c r="A64" s="1" t="inlineStr">
        <is>
          <t>vKFB4m16</t>
        </is>
      </c>
      <c r="B64" s="1">
        <f>MID(A64,1,SEARCH("m",A64,1)-1)</f>
        <v/>
      </c>
    </row>
    <row r="65">
      <c r="A65" s="1" t="inlineStr">
        <is>
          <t>vKFB4m17</t>
        </is>
      </c>
      <c r="B65" s="1">
        <f>MID(A65,1,SEARCH("m",A65,1)-1)</f>
        <v/>
      </c>
    </row>
    <row r="66">
      <c r="A66" s="1" t="inlineStr">
        <is>
          <t>vKFB4m18</t>
        </is>
      </c>
      <c r="B66" s="1">
        <f>MID(A66,1,SEARCH("m",A66,1)-1)</f>
        <v/>
      </c>
    </row>
    <row r="67">
      <c r="A67" s="1" t="inlineStr">
        <is>
          <t>vKFB4m88</t>
        </is>
      </c>
      <c r="B67" s="1">
        <f>MID(A67,1,SEARCH("m",A67,1)-1)</f>
        <v/>
      </c>
    </row>
    <row r="68">
      <c r="A68" s="1" t="inlineStr">
        <is>
          <t>vKIG3m01</t>
        </is>
      </c>
      <c r="B68" s="1">
        <f>MID(A68,1,SEARCH("m",A68,1)-1)</f>
        <v/>
      </c>
    </row>
    <row r="69">
      <c r="A69" s="1" t="inlineStr">
        <is>
          <t>vKIG3m02</t>
        </is>
      </c>
      <c r="B69" s="1">
        <f>MID(A69,1,SEARCH("m",A69,1)-1)</f>
        <v/>
      </c>
    </row>
    <row r="70">
      <c r="A70" s="1" t="inlineStr">
        <is>
          <t>vKIG3m03</t>
        </is>
      </c>
      <c r="B70" s="1">
        <f>MID(A70,1,SEARCH("m",A70,1)-1)</f>
        <v/>
      </c>
    </row>
    <row r="71">
      <c r="A71" s="1" t="inlineStr">
        <is>
          <t>vKIG3m04</t>
        </is>
      </c>
      <c r="B71" s="1">
        <f>MID(A71,1,SEARCH("m",A71,1)-1)</f>
        <v/>
      </c>
    </row>
    <row r="72">
      <c r="A72" s="1" t="inlineStr">
        <is>
          <t>vKIG3m05</t>
        </is>
      </c>
      <c r="B72" s="1">
        <f>MID(A72,1,SEARCH("m",A72,1)-1)</f>
        <v/>
      </c>
    </row>
    <row r="73">
      <c r="A73" s="1" t="inlineStr">
        <is>
          <t>vKIG3m06</t>
        </is>
      </c>
      <c r="B73" s="1">
        <f>MID(A73,1,SEARCH("m",A73,1)-1)</f>
        <v/>
      </c>
    </row>
    <row r="74">
      <c r="A74" s="1" t="inlineStr">
        <is>
          <t>vKIG3m07</t>
        </is>
      </c>
      <c r="B74" s="1">
        <f>MID(A74,1,SEARCH("m",A74,1)-1)</f>
        <v/>
      </c>
    </row>
    <row r="75">
      <c r="A75" s="1" t="inlineStr">
        <is>
          <t>vKIG3m08</t>
        </is>
      </c>
      <c r="B75" s="1">
        <f>MID(A75,1,SEARCH("m",A75,1)-1)</f>
        <v/>
      </c>
    </row>
    <row r="76">
      <c r="A76" s="1" t="inlineStr">
        <is>
          <t>vKIG3m09</t>
        </is>
      </c>
      <c r="B76" s="1">
        <f>MID(A76,1,SEARCH("m",A76,1)-1)</f>
        <v/>
      </c>
    </row>
    <row r="77">
      <c r="A77" s="1" t="inlineStr">
        <is>
          <t>vKIG3m10</t>
        </is>
      </c>
      <c r="B77" s="1">
        <f>MID(A77,1,SEARCH("m",A77,1)-1)</f>
        <v/>
      </c>
    </row>
    <row r="78">
      <c r="A78" s="1" t="inlineStr">
        <is>
          <t>vKIG3m11</t>
        </is>
      </c>
      <c r="B78" s="1">
        <f>MID(A78,1,SEARCH("m",A78,1)-1)</f>
        <v/>
      </c>
    </row>
    <row r="79">
      <c r="A79" s="1" t="inlineStr">
        <is>
          <t>vKIG3m12</t>
        </is>
      </c>
      <c r="B79" s="1">
        <f>MID(A79,1,SEARCH("m",A79,1)-1)</f>
        <v/>
      </c>
    </row>
    <row r="80">
      <c r="A80" s="1" t="inlineStr">
        <is>
          <t>vKIG3m13</t>
        </is>
      </c>
      <c r="B80" s="1">
        <f>MID(A80,1,SEARCH("m",A80,1)-1)</f>
        <v/>
      </c>
    </row>
    <row r="81">
      <c r="A81" s="1" t="inlineStr">
        <is>
          <t>vKIG3m14</t>
        </is>
      </c>
      <c r="B81" s="1">
        <f>MID(A81,1,SEARCH("m",A81,1)-1)</f>
        <v/>
      </c>
    </row>
    <row r="82">
      <c r="A82" s="1" t="inlineStr">
        <is>
          <t>vKIG3m15</t>
        </is>
      </c>
      <c r="B82" s="1">
        <f>MID(A82,1,SEARCH("m",A82,1)-1)</f>
        <v/>
      </c>
    </row>
    <row r="83">
      <c r="A83" s="1" t="inlineStr">
        <is>
          <t>vKIG3m16</t>
        </is>
      </c>
      <c r="B83" s="1">
        <f>MID(A83,1,SEARCH("m",A83,1)-1)</f>
        <v/>
      </c>
    </row>
    <row r="84">
      <c r="A84" s="1" t="inlineStr">
        <is>
          <t>vKIG3m17</t>
        </is>
      </c>
      <c r="B84" s="1">
        <f>MID(A84,1,SEARCH("m",A84,1)-1)</f>
        <v/>
      </c>
    </row>
    <row r="85">
      <c r="A85" s="1" t="inlineStr">
        <is>
          <t>vKIG3m88</t>
        </is>
      </c>
      <c r="B85" s="1">
        <f>MID(A85,1,SEARCH("m",A85,1)-1)</f>
        <v/>
      </c>
    </row>
    <row r="86">
      <c r="A86" s="1" t="inlineStr">
        <is>
          <t>vKIG4m01</t>
        </is>
      </c>
      <c r="B86" s="1">
        <f>MID(A86,1,SEARCH("m",A86,1)-1)</f>
        <v/>
      </c>
    </row>
    <row r="87">
      <c r="A87" s="1" t="inlineStr">
        <is>
          <t>vKIG4m02</t>
        </is>
      </c>
      <c r="B87" s="1">
        <f>MID(A87,1,SEARCH("m",A87,1)-1)</f>
        <v/>
      </c>
    </row>
    <row r="88">
      <c r="A88" s="1" t="inlineStr">
        <is>
          <t>vKIG4m03</t>
        </is>
      </c>
      <c r="B88" s="1">
        <f>MID(A88,1,SEARCH("m",A88,1)-1)</f>
        <v/>
      </c>
    </row>
    <row r="89">
      <c r="A89" s="1" t="inlineStr">
        <is>
          <t>vKIG4m04</t>
        </is>
      </c>
      <c r="B89" s="1">
        <f>MID(A89,1,SEARCH("m",A89,1)-1)</f>
        <v/>
      </c>
    </row>
    <row r="90">
      <c r="A90" s="1" t="inlineStr">
        <is>
          <t>vKIG4m05</t>
        </is>
      </c>
      <c r="B90" s="1">
        <f>MID(A90,1,SEARCH("m",A90,1)-1)</f>
        <v/>
      </c>
    </row>
    <row r="91">
      <c r="A91" s="1" t="inlineStr">
        <is>
          <t>vKIG4m06</t>
        </is>
      </c>
      <c r="B91" s="1">
        <f>MID(A91,1,SEARCH("m",A91,1)-1)</f>
        <v/>
      </c>
    </row>
    <row r="92">
      <c r="A92" s="1" t="inlineStr">
        <is>
          <t>vKIG4m07</t>
        </is>
      </c>
      <c r="B92" s="1">
        <f>MID(A92,1,SEARCH("m",A92,1)-1)</f>
        <v/>
      </c>
    </row>
    <row r="93">
      <c r="A93" s="1" t="inlineStr">
        <is>
          <t>vKIG4m08</t>
        </is>
      </c>
      <c r="B93" s="1">
        <f>MID(A93,1,SEARCH("m",A93,1)-1)</f>
        <v/>
      </c>
    </row>
    <row r="94">
      <c r="A94" s="1" t="inlineStr">
        <is>
          <t>vKIG4m09</t>
        </is>
      </c>
      <c r="B94" s="1">
        <f>MID(A94,1,SEARCH("m",A94,1)-1)</f>
        <v/>
      </c>
    </row>
    <row r="95">
      <c r="A95" s="1" t="inlineStr">
        <is>
          <t>vKIG4m10</t>
        </is>
      </c>
      <c r="B95" s="1">
        <f>MID(A95,1,SEARCH("m",A95,1)-1)</f>
        <v/>
      </c>
    </row>
    <row r="96">
      <c r="A96" s="1" t="inlineStr">
        <is>
          <t>vKIG4m11</t>
        </is>
      </c>
      <c r="B96" s="1">
        <f>MID(A96,1,SEARCH("m",A96,1)-1)</f>
        <v/>
      </c>
    </row>
    <row r="97">
      <c r="A97" s="1" t="inlineStr">
        <is>
          <t>vKIG4m12</t>
        </is>
      </c>
      <c r="B97" s="1">
        <f>MID(A97,1,SEARCH("m",A97,1)-1)</f>
        <v/>
      </c>
    </row>
    <row r="98">
      <c r="A98" s="1" t="inlineStr">
        <is>
          <t>vKIG4m13</t>
        </is>
      </c>
      <c r="B98" s="1">
        <f>MID(A98,1,SEARCH("m",A98,1)-1)</f>
        <v/>
      </c>
    </row>
    <row r="99">
      <c r="A99" s="1" t="inlineStr">
        <is>
          <t>vKIG4m14</t>
        </is>
      </c>
      <c r="B99" s="1">
        <f>MID(A99,1,SEARCH("m",A99,1)-1)</f>
        <v/>
      </c>
    </row>
    <row r="100">
      <c r="A100" s="1" t="inlineStr">
        <is>
          <t>vKIG4m88</t>
        </is>
      </c>
      <c r="B100" s="1">
        <f>MID(A100,1,SEARCH("m",A100,1)-1)</f>
        <v/>
      </c>
    </row>
    <row r="101">
      <c r="A101" s="1" t="inlineStr">
        <is>
          <t>vKTT3m01</t>
        </is>
      </c>
      <c r="B101" s="1">
        <f>MID(A101,1,SEARCH("m",A101,1)-1)</f>
        <v/>
      </c>
    </row>
    <row r="102">
      <c r="A102" s="1" t="inlineStr">
        <is>
          <t>vKTT3m02</t>
        </is>
      </c>
      <c r="B102" s="1">
        <f>MID(A102,1,SEARCH("m",A102,1)-1)</f>
        <v/>
      </c>
    </row>
    <row r="103">
      <c r="A103" s="1" t="inlineStr">
        <is>
          <t>vKTT3m03</t>
        </is>
      </c>
      <c r="B103" s="1">
        <f>MID(A103,1,SEARCH("m",A103,1)-1)</f>
        <v/>
      </c>
    </row>
    <row r="104">
      <c r="A104" s="1" t="inlineStr">
        <is>
          <t>vKTT3m04</t>
        </is>
      </c>
      <c r="B104" s="1">
        <f>MID(A104,1,SEARCH("m",A104,1)-1)</f>
        <v/>
      </c>
    </row>
    <row r="105">
      <c r="A105" s="1" t="inlineStr">
        <is>
          <t>vKTT3m05</t>
        </is>
      </c>
      <c r="B105" s="1">
        <f>MID(A105,1,SEARCH("m",A105,1)-1)</f>
        <v/>
      </c>
    </row>
    <row r="106">
      <c r="A106" s="1" t="inlineStr">
        <is>
          <t>vKTT3m06</t>
        </is>
      </c>
      <c r="B106" s="1">
        <f>MID(A106,1,SEARCH("m",A106,1)-1)</f>
        <v/>
      </c>
    </row>
    <row r="107">
      <c r="A107" s="1" t="inlineStr">
        <is>
          <t>vKTT3m07</t>
        </is>
      </c>
      <c r="B107" s="1">
        <f>MID(A107,1,SEARCH("m",A107,1)-1)</f>
        <v/>
      </c>
    </row>
    <row r="108">
      <c r="A108" s="1" t="inlineStr">
        <is>
          <t>vKTT3m08</t>
        </is>
      </c>
      <c r="B108" s="1">
        <f>MID(A108,1,SEARCH("m",A108,1)-1)</f>
        <v/>
      </c>
    </row>
    <row r="109">
      <c r="A109" s="1" t="inlineStr">
        <is>
          <t>vKTT3m09</t>
        </is>
      </c>
      <c r="B109" s="1">
        <f>MID(A109,1,SEARCH("m",A109,1)-1)</f>
        <v/>
      </c>
    </row>
    <row r="110">
      <c r="A110" s="1" t="inlineStr">
        <is>
          <t>vKTT3m10</t>
        </is>
      </c>
      <c r="B110" s="1">
        <f>MID(A110,1,SEARCH("m",A110,1)-1)</f>
        <v/>
      </c>
    </row>
    <row r="111">
      <c r="A111" s="1" t="inlineStr">
        <is>
          <t>vKTT3m11</t>
        </is>
      </c>
      <c r="B111" s="1">
        <f>MID(A111,1,SEARCH("m",A111,1)-1)</f>
        <v/>
      </c>
    </row>
    <row r="112">
      <c r="A112" s="1" t="inlineStr">
        <is>
          <t>vKTT3m12</t>
        </is>
      </c>
      <c r="B112" s="1">
        <f>MID(A112,1,SEARCH("m",A112,1)-1)</f>
        <v/>
      </c>
    </row>
    <row r="113">
      <c r="A113" s="1" t="inlineStr">
        <is>
          <t>vKTT3m13</t>
        </is>
      </c>
      <c r="B113" s="1">
        <f>MID(A113,1,SEARCH("m",A113,1)-1)</f>
        <v/>
      </c>
    </row>
    <row r="114">
      <c r="A114" s="1" t="inlineStr">
        <is>
          <t>vKTT3m14</t>
        </is>
      </c>
      <c r="B114" s="1">
        <f>MID(A114,1,SEARCH("m",A114,1)-1)</f>
        <v/>
      </c>
    </row>
    <row r="115">
      <c r="A115" s="1" t="inlineStr">
        <is>
          <t>vKTT3m15</t>
        </is>
      </c>
      <c r="B115" s="1">
        <f>MID(A115,1,SEARCH("m",A115,1)-1)</f>
        <v/>
      </c>
    </row>
    <row r="116">
      <c r="A116" s="1" t="inlineStr">
        <is>
          <t>vKTT3m16</t>
        </is>
      </c>
      <c r="B116" s="1">
        <f>MID(A116,1,SEARCH("m",A116,1)-1)</f>
        <v/>
      </c>
    </row>
    <row r="117">
      <c r="A117" s="1" t="inlineStr">
        <is>
          <t>vKTT3m88</t>
        </is>
      </c>
      <c r="B117" s="1">
        <f>MID(A117,1,SEARCH("m",A117,1)-1)</f>
        <v/>
      </c>
    </row>
    <row r="118">
      <c r="A118" s="1" t="inlineStr">
        <is>
          <t>vKTT4m01</t>
        </is>
      </c>
      <c r="B118" s="1">
        <f>MID(A118,1,SEARCH("m",A118,1)-1)</f>
        <v/>
      </c>
    </row>
    <row r="119">
      <c r="A119" s="1" t="inlineStr">
        <is>
          <t>vKTT4m02</t>
        </is>
      </c>
      <c r="B119" s="1">
        <f>MID(A119,1,SEARCH("m",A119,1)-1)</f>
        <v/>
      </c>
    </row>
    <row r="120">
      <c r="A120" s="1" t="inlineStr">
        <is>
          <t>vKTT4m03</t>
        </is>
      </c>
      <c r="B120" s="1">
        <f>MID(A120,1,SEARCH("m",A120,1)-1)</f>
        <v/>
      </c>
    </row>
    <row r="121">
      <c r="A121" s="1" t="inlineStr">
        <is>
          <t>vKTT4m04</t>
        </is>
      </c>
      <c r="B121" s="1">
        <f>MID(A121,1,SEARCH("m",A121,1)-1)</f>
        <v/>
      </c>
    </row>
    <row r="122">
      <c r="A122" s="1" t="inlineStr">
        <is>
          <t>vKTT4m05</t>
        </is>
      </c>
      <c r="B122" s="1">
        <f>MID(A122,1,SEARCH("m",A122,1)-1)</f>
        <v/>
      </c>
    </row>
    <row r="123">
      <c r="A123" s="1" t="inlineStr">
        <is>
          <t>vKTT4m06</t>
        </is>
      </c>
      <c r="B123" s="1">
        <f>MID(A123,1,SEARCH("m",A123,1)-1)</f>
        <v/>
      </c>
    </row>
    <row r="124">
      <c r="A124" s="1" t="inlineStr">
        <is>
          <t>vKTT4m07</t>
        </is>
      </c>
      <c r="B124" s="1">
        <f>MID(A124,1,SEARCH("m",A124,1)-1)</f>
        <v/>
      </c>
    </row>
    <row r="125">
      <c r="A125" s="1" t="inlineStr">
        <is>
          <t>vKTT4m08</t>
        </is>
      </c>
      <c r="B125" s="1">
        <f>MID(A125,1,SEARCH("m",A125,1)-1)</f>
        <v/>
      </c>
    </row>
    <row r="126">
      <c r="A126" s="1" t="inlineStr">
        <is>
          <t>vKTT4m09</t>
        </is>
      </c>
      <c r="B126" s="1">
        <f>MID(A126,1,SEARCH("m",A126,1)-1)</f>
        <v/>
      </c>
    </row>
    <row r="127">
      <c r="A127" s="1" t="inlineStr">
        <is>
          <t>vKTT4m10</t>
        </is>
      </c>
      <c r="B127" s="1">
        <f>MID(A127,1,SEARCH("m",A127,1)-1)</f>
        <v/>
      </c>
    </row>
    <row r="128">
      <c r="A128" s="1" t="inlineStr">
        <is>
          <t>vKTT4m11</t>
        </is>
      </c>
      <c r="B128" s="1">
        <f>MID(A128,1,SEARCH("m",A128,1)-1)</f>
        <v/>
      </c>
    </row>
    <row r="129">
      <c r="A129" s="1" t="inlineStr">
        <is>
          <t>vKTT4m12</t>
        </is>
      </c>
      <c r="B129" s="1">
        <f>MID(A129,1,SEARCH("m",A129,1)-1)</f>
        <v/>
      </c>
    </row>
    <row r="130">
      <c r="A130" s="1" t="inlineStr">
        <is>
          <t>vKTT4m13</t>
        </is>
      </c>
      <c r="B130" s="1">
        <f>MID(A130,1,SEARCH("m",A130,1)-1)</f>
        <v/>
      </c>
    </row>
    <row r="131">
      <c r="A131" s="1" t="inlineStr">
        <is>
          <t>vKTT4m14</t>
        </is>
      </c>
      <c r="B131" s="1">
        <f>MID(A131,1,SEARCH("m",A131,1)-1)</f>
        <v/>
      </c>
    </row>
    <row r="132">
      <c r="A132" s="1" t="inlineStr">
        <is>
          <t>vKTT4m88</t>
        </is>
      </c>
      <c r="B132" s="1">
        <f>MID(A132,1,SEARCH("m",A132,1)-1)</f>
        <v/>
      </c>
    </row>
    <row r="133">
      <c r="A133" s="1" t="inlineStr">
        <is>
          <t>vKTT5m01</t>
        </is>
      </c>
      <c r="B133" s="1">
        <f>MID(A133,1,SEARCH("m",A133,1)-1)</f>
        <v/>
      </c>
    </row>
    <row r="134">
      <c r="A134" s="1" t="inlineStr">
        <is>
          <t>vKTT5m02</t>
        </is>
      </c>
      <c r="B134" s="1">
        <f>MID(A134,1,SEARCH("m",A134,1)-1)</f>
        <v/>
      </c>
    </row>
    <row r="135">
      <c r="A135" s="1" t="inlineStr">
        <is>
          <t>vKTT5m03</t>
        </is>
      </c>
      <c r="B135" s="1">
        <f>MID(A135,1,SEARCH("m",A135,1)-1)</f>
        <v/>
      </c>
    </row>
    <row r="136">
      <c r="A136" s="1" t="inlineStr">
        <is>
          <t>vKTT5m04</t>
        </is>
      </c>
      <c r="B136" s="1">
        <f>MID(A136,1,SEARCH("m",A136,1)-1)</f>
        <v/>
      </c>
    </row>
    <row r="137">
      <c r="A137" s="1" t="inlineStr">
        <is>
          <t>vKTT5m05</t>
        </is>
      </c>
      <c r="B137" s="1">
        <f>MID(A137,1,SEARCH("m",A137,1)-1)</f>
        <v/>
      </c>
    </row>
    <row r="138">
      <c r="A138" s="1" t="inlineStr">
        <is>
          <t>vKTT5m06</t>
        </is>
      </c>
      <c r="B138" s="1">
        <f>MID(A138,1,SEARCH("m",A138,1)-1)</f>
        <v/>
      </c>
    </row>
    <row r="139">
      <c r="A139" s="1" t="inlineStr">
        <is>
          <t>vKTT5m07</t>
        </is>
      </c>
      <c r="B139" s="1">
        <f>MID(A139,1,SEARCH("m",A139,1)-1)</f>
        <v/>
      </c>
    </row>
    <row r="140">
      <c r="A140" s="1" t="inlineStr">
        <is>
          <t>vKTT5m08</t>
        </is>
      </c>
      <c r="B140" s="1">
        <f>MID(A140,1,SEARCH("m",A140,1)-1)</f>
        <v/>
      </c>
    </row>
    <row r="141">
      <c r="A141" s="1" t="inlineStr">
        <is>
          <t>vKTT5m09</t>
        </is>
      </c>
      <c r="B141" s="1">
        <f>MID(A141,1,SEARCH("m",A141,1)-1)</f>
        <v/>
      </c>
    </row>
    <row r="142">
      <c r="A142" s="1" t="inlineStr">
        <is>
          <t>vKTT5m10</t>
        </is>
      </c>
      <c r="B142" s="1">
        <f>MID(A142,1,SEARCH("m",A142,1)-1)</f>
        <v/>
      </c>
    </row>
    <row r="143">
      <c r="A143" s="1" t="inlineStr">
        <is>
          <t>vKTT5m11</t>
        </is>
      </c>
      <c r="B143" s="1">
        <f>MID(A143,1,SEARCH("m",A143,1)-1)</f>
        <v/>
      </c>
    </row>
    <row r="144">
      <c r="A144" s="1" t="inlineStr">
        <is>
          <t>vKTT5m12</t>
        </is>
      </c>
      <c r="B144" s="1">
        <f>MID(A144,1,SEARCH("m",A144,1)-1)</f>
        <v/>
      </c>
    </row>
    <row r="145">
      <c r="A145" s="1" t="inlineStr">
        <is>
          <t>vKTT5m88</t>
        </is>
      </c>
      <c r="B145" s="1">
        <f>MID(A145,1,SEARCH("m",A145,1)-1)</f>
        <v/>
      </c>
    </row>
    <row r="146">
      <c r="A146" s="1" t="inlineStr">
        <is>
          <t>vK3m01</t>
        </is>
      </c>
      <c r="B146" s="1">
        <f>MID(A146,1,SEARCH("m",A146,1)-1)</f>
        <v/>
      </c>
    </row>
    <row r="147">
      <c r="A147" s="1" t="inlineStr">
        <is>
          <t>vK3m02</t>
        </is>
      </c>
      <c r="B147" s="1">
        <f>MID(A147,1,SEARCH("m",A147,1)-1)</f>
        <v/>
      </c>
    </row>
    <row r="148">
      <c r="A148" s="1" t="inlineStr">
        <is>
          <t>vK3m03</t>
        </is>
      </c>
      <c r="B148" s="1">
        <f>MID(A148,1,SEARCH("m",A148,1)-1)</f>
        <v/>
      </c>
    </row>
    <row r="149">
      <c r="A149" s="1" t="inlineStr">
        <is>
          <t>vK3m04</t>
        </is>
      </c>
      <c r="B149" s="1">
        <f>MID(A149,1,SEARCH("m",A149,1)-1)</f>
        <v/>
      </c>
    </row>
    <row r="150">
      <c r="A150" s="1" t="inlineStr">
        <is>
          <t>vK3m05</t>
        </is>
      </c>
      <c r="B150" s="1">
        <f>MID(A150,1,SEARCH("m",A150,1)-1)</f>
        <v/>
      </c>
    </row>
    <row r="151">
      <c r="A151" s="1" t="inlineStr">
        <is>
          <t>vK3m06</t>
        </is>
      </c>
      <c r="B151" s="1">
        <f>MID(A151,1,SEARCH("m",A151,1)-1)</f>
        <v/>
      </c>
    </row>
    <row r="152">
      <c r="A152" s="1" t="inlineStr">
        <is>
          <t>vK3m07</t>
        </is>
      </c>
      <c r="B152" s="1">
        <f>MID(A152,1,SEARCH("m",A152,1)-1)</f>
        <v/>
      </c>
    </row>
    <row r="153">
      <c r="A153" s="1" t="inlineStr">
        <is>
          <t>vK3m08</t>
        </is>
      </c>
      <c r="B153" s="1">
        <f>MID(A153,1,SEARCH("m",A153,1)-1)</f>
        <v/>
      </c>
    </row>
    <row r="154">
      <c r="A154" s="1" t="inlineStr">
        <is>
          <t>vK3m09</t>
        </is>
      </c>
      <c r="B154" s="1">
        <f>MID(A154,1,SEARCH("m",A154,1)-1)</f>
        <v/>
      </c>
    </row>
    <row r="155">
      <c r="A155" s="1" t="inlineStr">
        <is>
          <t>vK3m88</t>
        </is>
      </c>
      <c r="B155" s="1">
        <f>MID(A155,1,SEARCH("m",A155,1)-1)</f>
        <v/>
      </c>
    </row>
    <row r="156">
      <c r="A156" s="1" t="inlineStr">
        <is>
          <t>vK3m90</t>
        </is>
      </c>
      <c r="B156" s="1">
        <f>MID(A156,1,SEARCH("m",A156,1)-1)</f>
        <v/>
      </c>
    </row>
    <row r="157">
      <c r="A157" s="1" t="inlineStr">
        <is>
          <t>vE2m01</t>
        </is>
      </c>
      <c r="B157" s="1">
        <f>MID(A157,1,SEARCH("m",A157,1)-1)</f>
        <v/>
      </c>
    </row>
    <row r="158">
      <c r="A158" s="1" t="inlineStr">
        <is>
          <t>vE2m02</t>
        </is>
      </c>
      <c r="B158" s="1">
        <f>MID(A158,1,SEARCH("m",A158,1)-1)</f>
        <v/>
      </c>
    </row>
    <row r="159">
      <c r="A159" s="1" t="inlineStr">
        <is>
          <t>vE2m03</t>
        </is>
      </c>
      <c r="B159" s="1">
        <f>MID(A159,1,SEARCH("m",A159,1)-1)</f>
        <v/>
      </c>
    </row>
    <row r="160">
      <c r="A160" s="1" t="inlineStr">
        <is>
          <t>vE2m04</t>
        </is>
      </c>
      <c r="B160" s="1">
        <f>MID(A160,1,SEARCH("m",A160,1)-1)</f>
        <v/>
      </c>
    </row>
    <row r="161">
      <c r="A161" s="1" t="inlineStr">
        <is>
          <t>vE2m88</t>
        </is>
      </c>
      <c r="B161" s="1">
        <f>MID(A161,1,SEARCH("m",A161,1)-1)</f>
        <v/>
      </c>
    </row>
    <row r="162">
      <c r="A162" s="1" t="inlineStr">
        <is>
          <t>vE13m01</t>
        </is>
      </c>
      <c r="B162" s="1">
        <f>MID(A162,1,SEARCH("m",A162,1)-1)</f>
        <v/>
      </c>
    </row>
    <row r="163">
      <c r="A163" s="1" t="inlineStr">
        <is>
          <t>vE13m02</t>
        </is>
      </c>
      <c r="B163" s="1">
        <f>MID(A163,1,SEARCH("m",A163,1)-1)</f>
        <v/>
      </c>
    </row>
    <row r="164">
      <c r="A164" s="1" t="inlineStr">
        <is>
          <t>vE13m03</t>
        </is>
      </c>
      <c r="B164" s="1">
        <f>MID(A164,1,SEARCH("m",A164,1)-1)</f>
        <v/>
      </c>
    </row>
    <row r="165">
      <c r="A165" s="1" t="inlineStr">
        <is>
          <t>vE13m04</t>
        </is>
      </c>
      <c r="B165" s="1">
        <f>MID(A165,1,SEARCH("m",A165,1)-1)</f>
        <v/>
      </c>
    </row>
    <row r="166">
      <c r="A166" s="1" t="inlineStr">
        <is>
          <t>vE13m05</t>
        </is>
      </c>
      <c r="B166" s="1">
        <f>MID(A166,1,SEARCH("m",A166,1)-1)</f>
        <v/>
      </c>
    </row>
    <row r="167">
      <c r="A167" s="1" t="inlineStr">
        <is>
          <t>vE13m06</t>
        </is>
      </c>
      <c r="B167" s="1">
        <f>MID(A167,1,SEARCH("m",A167,1)-1)</f>
        <v/>
      </c>
    </row>
    <row r="168">
      <c r="A168" s="1" t="inlineStr">
        <is>
          <t>vE13m88</t>
        </is>
      </c>
      <c r="B168" s="1">
        <f>MID(A168,1,SEARCH("m",A168,1)-1)</f>
        <v/>
      </c>
    </row>
    <row r="169">
      <c r="A169" s="1" t="inlineStr">
        <is>
          <t>vG7m01</t>
        </is>
      </c>
      <c r="B169" s="1">
        <f>MID(A169,1,SEARCH("m",A169,1)-1)</f>
        <v/>
      </c>
    </row>
    <row r="170">
      <c r="A170" s="1" t="inlineStr">
        <is>
          <t>vG7m02</t>
        </is>
      </c>
      <c r="B170" s="1">
        <f>MID(A170,1,SEARCH("m",A170,1)-1)</f>
        <v/>
      </c>
    </row>
    <row r="171">
      <c r="A171" s="1" t="inlineStr">
        <is>
          <t>vG7m03</t>
        </is>
      </c>
      <c r="B171" s="1">
        <f>MID(A171,1,SEARCH("m",A171,1)-1)</f>
        <v/>
      </c>
    </row>
    <row r="172">
      <c r="A172" s="1" t="inlineStr">
        <is>
          <t>vG7m04</t>
        </is>
      </c>
      <c r="B172" s="1">
        <f>MID(A172,1,SEARCH("m",A172,1)-1)</f>
        <v/>
      </c>
    </row>
    <row r="173">
      <c r="A173" s="1" t="inlineStr">
        <is>
          <t>vG7m05</t>
        </is>
      </c>
      <c r="B173" s="1">
        <f>MID(A173,1,SEARCH("m",A173,1)-1)</f>
        <v/>
      </c>
    </row>
    <row r="174">
      <c r="A174" s="1" t="inlineStr">
        <is>
          <t>vG7m06</t>
        </is>
      </c>
      <c r="B174" s="1">
        <f>MID(A174,1,SEARCH("m",A174,1)-1)</f>
        <v/>
      </c>
    </row>
    <row r="175">
      <c r="A175" s="1" t="inlineStr">
        <is>
          <t>vG7m07</t>
        </is>
      </c>
      <c r="B175" s="1">
        <f>MID(A175,1,SEARCH("m",A175,1)-1)</f>
        <v/>
      </c>
    </row>
    <row r="176">
      <c r="A176" s="1" t="inlineStr">
        <is>
          <t>vG7m08</t>
        </is>
      </c>
      <c r="B176" s="1">
        <f>MID(A176,1,SEARCH("m",A176,1)-1)</f>
        <v/>
      </c>
    </row>
    <row r="177">
      <c r="A177" s="1" t="inlineStr">
        <is>
          <t>vG7m09</t>
        </is>
      </c>
      <c r="B177" s="1">
        <f>MID(A177,1,SEARCH("m",A177,1)-1)</f>
        <v/>
      </c>
    </row>
    <row r="178">
      <c r="A178" s="1" t="inlineStr">
        <is>
          <t>vG7m10</t>
        </is>
      </c>
      <c r="B178" s="1">
        <f>MID(A178,1,SEARCH("m",A178,1)-1)</f>
        <v/>
      </c>
    </row>
    <row r="179">
      <c r="A179" s="1" t="inlineStr">
        <is>
          <t>vG7m11</t>
        </is>
      </c>
      <c r="B179" s="1">
        <f>MID(A179,1,SEARCH("m",A179,1)-1)</f>
        <v/>
      </c>
    </row>
    <row r="180">
      <c r="A180" s="1" t="inlineStr">
        <is>
          <t>vG7m12</t>
        </is>
      </c>
      <c r="B180" s="1">
        <f>MID(A180,1,SEARCH("m",A180,1)-1)</f>
        <v/>
      </c>
    </row>
    <row r="181">
      <c r="A181" s="1" t="inlineStr">
        <is>
          <t>vG7m88</t>
        </is>
      </c>
      <c r="B181" s="1">
        <f>MID(A181,1,SEARCH("m",A181,1)-1)</f>
        <v/>
      </c>
    </row>
    <row r="182">
      <c r="A182" s="1" t="inlineStr">
        <is>
          <t>vG7m90</t>
        </is>
      </c>
      <c r="B182" s="1">
        <f>MID(A182,1,SEARCH("m",A182,1)-1)</f>
        <v/>
      </c>
    </row>
    <row r="183">
      <c r="A183" s="1" t="inlineStr">
        <is>
          <t>vG8m01</t>
        </is>
      </c>
      <c r="B183" s="1">
        <f>MID(A183,1,SEARCH("m",A183,1)-1)</f>
        <v/>
      </c>
    </row>
    <row r="184">
      <c r="A184" s="1" t="inlineStr">
        <is>
          <t>vG8m02</t>
        </is>
      </c>
      <c r="B184" s="1">
        <f>MID(A184,1,SEARCH("m",A184,1)-1)</f>
        <v/>
      </c>
    </row>
    <row r="185">
      <c r="A185" s="1" t="inlineStr">
        <is>
          <t>vG8m03</t>
        </is>
      </c>
      <c r="B185" s="1">
        <f>MID(A185,1,SEARCH("m",A185,1)-1)</f>
        <v/>
      </c>
    </row>
    <row r="186">
      <c r="A186" s="1" t="inlineStr">
        <is>
          <t>vG8m04</t>
        </is>
      </c>
      <c r="B186" s="1">
        <f>MID(A186,1,SEARCH("m",A186,1)-1)</f>
        <v/>
      </c>
    </row>
    <row r="187">
      <c r="A187" s="1" t="inlineStr">
        <is>
          <t>vG8m05</t>
        </is>
      </c>
      <c r="B187" s="1">
        <f>MID(A187,1,SEARCH("m",A187,1)-1)</f>
        <v/>
      </c>
    </row>
    <row r="188">
      <c r="A188" s="1" t="inlineStr">
        <is>
          <t>vG8m06</t>
        </is>
      </c>
      <c r="B188" s="1">
        <f>MID(A188,1,SEARCH("m",A188,1)-1)</f>
        <v/>
      </c>
    </row>
    <row r="189">
      <c r="A189" s="1" t="inlineStr">
        <is>
          <t>vG8m07</t>
        </is>
      </c>
      <c r="B189" s="1">
        <f>MID(A189,1,SEARCH("m",A189,1)-1)</f>
        <v/>
      </c>
    </row>
    <row r="190">
      <c r="A190" s="1" t="inlineStr">
        <is>
          <t>vG8m08</t>
        </is>
      </c>
      <c r="B190" s="1">
        <f>MID(A190,1,SEARCH("m",A190,1)-1)</f>
        <v/>
      </c>
    </row>
    <row r="191">
      <c r="A191" s="1" t="inlineStr">
        <is>
          <t>vG8m09</t>
        </is>
      </c>
      <c r="B191" s="1">
        <f>MID(A191,1,SEARCH("m",A191,1)-1)</f>
        <v/>
      </c>
    </row>
    <row r="192">
      <c r="A192" s="1" t="inlineStr">
        <is>
          <t>vG8m10</t>
        </is>
      </c>
      <c r="B192" s="1">
        <f>MID(A192,1,SEARCH("m",A192,1)-1)</f>
        <v/>
      </c>
    </row>
    <row r="193">
      <c r="A193" s="1" t="inlineStr">
        <is>
          <t>vG8m11</t>
        </is>
      </c>
      <c r="B193" s="1">
        <f>MID(A193,1,SEARCH("m",A193,1)-1)</f>
        <v/>
      </c>
    </row>
    <row r="194">
      <c r="A194" s="1" t="inlineStr">
        <is>
          <t>vG8m12</t>
        </is>
      </c>
      <c r="B194" s="1">
        <f>MID(A194,1,SEARCH("m",A194,1)-1)</f>
        <v/>
      </c>
    </row>
    <row r="195">
      <c r="A195" s="1" t="inlineStr">
        <is>
          <t>vG8m13</t>
        </is>
      </c>
      <c r="B195" s="1">
        <f>MID(A195,1,SEARCH("m",A195,1)-1)</f>
        <v/>
      </c>
    </row>
    <row r="196">
      <c r="A196" s="1" t="inlineStr">
        <is>
          <t>vG8m14</t>
        </is>
      </c>
      <c r="B196" s="1">
        <f>MID(A196,1,SEARCH("m",A196,1)-1)</f>
        <v/>
      </c>
    </row>
    <row r="197">
      <c r="A197" s="1" t="inlineStr">
        <is>
          <t>vG8m15</t>
        </is>
      </c>
      <c r="B197" s="1">
        <f>MID(A197,1,SEARCH("m",A197,1)-1)</f>
        <v/>
      </c>
    </row>
    <row r="198">
      <c r="A198" s="1" t="inlineStr">
        <is>
          <t>vG8m16</t>
        </is>
      </c>
      <c r="B198" s="1">
        <f>MID(A198,1,SEARCH("m",A198,1)-1)</f>
        <v/>
      </c>
    </row>
    <row r="199">
      <c r="A199" s="1" t="inlineStr">
        <is>
          <t>vG8m88</t>
        </is>
      </c>
      <c r="B199" s="1">
        <f>MID(A199,1,SEARCH("m",A199,1)-1)</f>
        <v/>
      </c>
    </row>
    <row r="200">
      <c r="A200" s="1" t="inlineStr">
        <is>
          <t>vG8m90</t>
        </is>
      </c>
      <c r="B200" s="1">
        <f>MID(A200,1,SEARCH("m",A200,1)-1)</f>
        <v/>
      </c>
    </row>
    <row r="201">
      <c r="A201" s="1" t="inlineStr">
        <is>
          <t>vG9m01</t>
        </is>
      </c>
      <c r="B201" s="1">
        <f>MID(A201,1,SEARCH("m",A201,1)-1)</f>
        <v/>
      </c>
    </row>
    <row r="202">
      <c r="A202" s="1" t="inlineStr">
        <is>
          <t>vG9m02</t>
        </is>
      </c>
      <c r="B202" s="1">
        <f>MID(A202,1,SEARCH("m",A202,1)-1)</f>
        <v/>
      </c>
    </row>
    <row r="203">
      <c r="A203" s="1" t="inlineStr">
        <is>
          <t>vG9m03</t>
        </is>
      </c>
      <c r="B203" s="1">
        <f>MID(A203,1,SEARCH("m",A203,1)-1)</f>
        <v/>
      </c>
    </row>
    <row r="204">
      <c r="A204" s="1" t="inlineStr">
        <is>
          <t>vG9m04</t>
        </is>
      </c>
      <c r="B204" s="1">
        <f>MID(A204,1,SEARCH("m",A204,1)-1)</f>
        <v/>
      </c>
    </row>
    <row r="205">
      <c r="A205" s="1" t="inlineStr">
        <is>
          <t>vG9m05</t>
        </is>
      </c>
      <c r="B205" s="1">
        <f>MID(A205,1,SEARCH("m",A205,1)-1)</f>
        <v/>
      </c>
    </row>
    <row r="206">
      <c r="A206" s="1" t="inlineStr">
        <is>
          <t>vG9m06</t>
        </is>
      </c>
      <c r="B206" s="1">
        <f>MID(A206,1,SEARCH("m",A206,1)-1)</f>
        <v/>
      </c>
    </row>
    <row r="207">
      <c r="A207" s="1" t="inlineStr">
        <is>
          <t>vG9m07</t>
        </is>
      </c>
      <c r="B207" s="1">
        <f>MID(A207,1,SEARCH("m",A207,1)-1)</f>
        <v/>
      </c>
    </row>
    <row r="208">
      <c r="A208" s="1" t="inlineStr">
        <is>
          <t>vG9m08</t>
        </is>
      </c>
      <c r="B208" s="1">
        <f>MID(A208,1,SEARCH("m",A208,1)-1)</f>
        <v/>
      </c>
    </row>
    <row r="209">
      <c r="A209" s="1" t="inlineStr">
        <is>
          <t>vG9m09</t>
        </is>
      </c>
      <c r="B209" s="1">
        <f>MID(A209,1,SEARCH("m",A209,1)-1)</f>
        <v/>
      </c>
    </row>
    <row r="210">
      <c r="A210" s="1" t="inlineStr">
        <is>
          <t>vG9m10</t>
        </is>
      </c>
      <c r="B210" s="1">
        <f>MID(A210,1,SEARCH("m",A210,1)-1)</f>
        <v/>
      </c>
    </row>
    <row r="211">
      <c r="A211" s="1" t="inlineStr">
        <is>
          <t>vG9m11</t>
        </is>
      </c>
      <c r="B211" s="1">
        <f>MID(A211,1,SEARCH("m",A211,1)-1)</f>
        <v/>
      </c>
    </row>
    <row r="212">
      <c r="A212" s="1" t="inlineStr">
        <is>
          <t>vG9m12</t>
        </is>
      </c>
      <c r="B212" s="1">
        <f>MID(A212,1,SEARCH("m",A212,1)-1)</f>
        <v/>
      </c>
    </row>
    <row r="213">
      <c r="A213" s="1" t="inlineStr">
        <is>
          <t>vG9m13</t>
        </is>
      </c>
      <c r="B213" s="1">
        <f>MID(A213,1,SEARCH("m",A213,1)-1)</f>
        <v/>
      </c>
    </row>
    <row r="214">
      <c r="A214" s="1" t="inlineStr">
        <is>
          <t>vG9m88</t>
        </is>
      </c>
      <c r="B214" s="1">
        <f>MID(A214,1,SEARCH("m",A214,1)-1)</f>
        <v/>
      </c>
    </row>
    <row r="215">
      <c r="A215" s="1" t="inlineStr">
        <is>
          <t>vG9m90</t>
        </is>
      </c>
      <c r="B215" s="1">
        <f>MID(A215,1,SEARCH("m",A215,1)-1)</f>
        <v/>
      </c>
    </row>
    <row r="216">
      <c r="A216" s="1" t="inlineStr">
        <is>
          <t>vG10m01</t>
        </is>
      </c>
      <c r="B216" s="1">
        <f>MID(A216,1,SEARCH("m",A216,1)-1)</f>
        <v/>
      </c>
    </row>
    <row r="217">
      <c r="A217" s="1" t="inlineStr">
        <is>
          <t>vG10m02</t>
        </is>
      </c>
      <c r="B217" s="1">
        <f>MID(A217,1,SEARCH("m",A217,1)-1)</f>
        <v/>
      </c>
    </row>
    <row r="218">
      <c r="A218" s="1" t="inlineStr">
        <is>
          <t>vG10m03</t>
        </is>
      </c>
      <c r="B218" s="1">
        <f>MID(A218,1,SEARCH("m",A218,1)-1)</f>
        <v/>
      </c>
    </row>
    <row r="219">
      <c r="A219" s="1" t="inlineStr">
        <is>
          <t>vG10m04</t>
        </is>
      </c>
      <c r="B219" s="1">
        <f>MID(A219,1,SEARCH("m",A219,1)-1)</f>
        <v/>
      </c>
    </row>
    <row r="220">
      <c r="A220" s="1" t="inlineStr">
        <is>
          <t>vG10m05</t>
        </is>
      </c>
      <c r="B220" s="1">
        <f>MID(A220,1,SEARCH("m",A220,1)-1)</f>
        <v/>
      </c>
    </row>
    <row r="221">
      <c r="A221" s="1" t="inlineStr">
        <is>
          <t>vG10m06</t>
        </is>
      </c>
      <c r="B221" s="1">
        <f>MID(A221,1,SEARCH("m",A221,1)-1)</f>
        <v/>
      </c>
    </row>
    <row r="222">
      <c r="A222" s="1" t="inlineStr">
        <is>
          <t>vG10m07</t>
        </is>
      </c>
      <c r="B222" s="1">
        <f>MID(A222,1,SEARCH("m",A222,1)-1)</f>
        <v/>
      </c>
    </row>
    <row r="223">
      <c r="A223" s="1" t="inlineStr">
        <is>
          <t>vG10m08</t>
        </is>
      </c>
      <c r="B223" s="1">
        <f>MID(A223,1,SEARCH("m",A223,1)-1)</f>
        <v/>
      </c>
    </row>
    <row r="224">
      <c r="A224" s="1" t="inlineStr">
        <is>
          <t>vG10m09</t>
        </is>
      </c>
      <c r="B224" s="1">
        <f>MID(A224,1,SEARCH("m",A224,1)-1)</f>
        <v/>
      </c>
    </row>
    <row r="225">
      <c r="A225" s="1" t="inlineStr">
        <is>
          <t>vG10m10</t>
        </is>
      </c>
      <c r="B225" s="1">
        <f>MID(A225,1,SEARCH("m",A225,1)-1)</f>
        <v/>
      </c>
    </row>
    <row r="226">
      <c r="A226" s="1" t="inlineStr">
        <is>
          <t>vG10m11</t>
        </is>
      </c>
      <c r="B226" s="1">
        <f>MID(A226,1,SEARCH("m",A226,1)-1)</f>
        <v/>
      </c>
    </row>
    <row r="227">
      <c r="A227" s="1" t="inlineStr">
        <is>
          <t>vG10m12</t>
        </is>
      </c>
      <c r="B227" s="1">
        <f>MID(A227,1,SEARCH("m",A227,1)-1)</f>
        <v/>
      </c>
    </row>
    <row r="228">
      <c r="A228" s="1" t="inlineStr">
        <is>
          <t>vG10m13</t>
        </is>
      </c>
      <c r="B228" s="1">
        <f>MID(A228,1,SEARCH("m",A228,1)-1)</f>
        <v/>
      </c>
    </row>
    <row r="229">
      <c r="A229" s="1" t="inlineStr">
        <is>
          <t>vG10m14</t>
        </is>
      </c>
      <c r="B229" s="1">
        <f>MID(A229,1,SEARCH("m",A229,1)-1)</f>
        <v/>
      </c>
    </row>
    <row r="230">
      <c r="A230" s="1" t="inlineStr">
        <is>
          <t>vG10m15</t>
        </is>
      </c>
      <c r="B230" s="1">
        <f>MID(A230,1,SEARCH("m",A230,1)-1)</f>
        <v/>
      </c>
    </row>
    <row r="231">
      <c r="A231" s="1" t="inlineStr">
        <is>
          <t>vG10m16</t>
        </is>
      </c>
      <c r="B231" s="1">
        <f>MID(A231,1,SEARCH("m",A231,1)-1)</f>
        <v/>
      </c>
    </row>
    <row r="232">
      <c r="A232" s="1" t="inlineStr">
        <is>
          <t>vG10m17</t>
        </is>
      </c>
      <c r="B232" s="1">
        <f>MID(A232,1,SEARCH("m",A232,1)-1)</f>
        <v/>
      </c>
    </row>
    <row r="233">
      <c r="A233" s="1" t="inlineStr">
        <is>
          <t>vG10m18</t>
        </is>
      </c>
      <c r="B233" s="1">
        <f>MID(A233,1,SEARCH("m",A233,1)-1)</f>
        <v/>
      </c>
    </row>
    <row r="234">
      <c r="A234" s="1" t="inlineStr">
        <is>
          <t>vG10m19</t>
        </is>
      </c>
      <c r="B234" s="1">
        <f>MID(A234,1,SEARCH("m",A234,1)-1)</f>
        <v/>
      </c>
    </row>
    <row r="235">
      <c r="A235" s="1" t="inlineStr">
        <is>
          <t>vG10m88</t>
        </is>
      </c>
      <c r="B235" s="1">
        <f>MID(A235,1,SEARCH("m",A235,1)-1)</f>
        <v/>
      </c>
    </row>
    <row r="236">
      <c r="A236" s="1" t="inlineStr">
        <is>
          <t>vG10m90</t>
        </is>
      </c>
      <c r="B236" s="1">
        <f>MID(A236,1,SEARCH("m",A236,1)-1)</f>
        <v/>
      </c>
    </row>
    <row r="237">
      <c r="A237" s="1" t="inlineStr">
        <is>
          <t>vG11m01</t>
        </is>
      </c>
      <c r="B237" s="1">
        <f>MID(A237,1,SEARCH("m",A237,1)-1)</f>
        <v/>
      </c>
    </row>
    <row r="238">
      <c r="A238" s="1" t="inlineStr">
        <is>
          <t>vG11m02</t>
        </is>
      </c>
      <c r="B238" s="1">
        <f>MID(A238,1,SEARCH("m",A238,1)-1)</f>
        <v/>
      </c>
    </row>
    <row r="239">
      <c r="A239" s="1" t="inlineStr">
        <is>
          <t>vG11m03</t>
        </is>
      </c>
      <c r="B239" s="1">
        <f>MID(A239,1,SEARCH("m",A239,1)-1)</f>
        <v/>
      </c>
    </row>
    <row r="240">
      <c r="A240" s="1" t="inlineStr">
        <is>
          <t>vG11m04</t>
        </is>
      </c>
      <c r="B240" s="1">
        <f>MID(A240,1,SEARCH("m",A240,1)-1)</f>
        <v/>
      </c>
    </row>
    <row r="241">
      <c r="A241" s="1" t="inlineStr">
        <is>
          <t>vG11m05</t>
        </is>
      </c>
      <c r="B241" s="1">
        <f>MID(A241,1,SEARCH("m",A241,1)-1)</f>
        <v/>
      </c>
    </row>
    <row r="242">
      <c r="A242" s="1" t="inlineStr">
        <is>
          <t>vG11m88</t>
        </is>
      </c>
      <c r="B242" s="1">
        <f>MID(A242,1,SEARCH("m",A242,1)-1)</f>
        <v/>
      </c>
    </row>
    <row r="243">
      <c r="A243" s="1" t="inlineStr">
        <is>
          <t>vG11m90</t>
        </is>
      </c>
      <c r="B243" s="1">
        <f>MID(A243,1,SEARCH("m",A243,1)-1)</f>
        <v/>
      </c>
    </row>
    <row r="244">
      <c r="A244" s="1" t="inlineStr">
        <is>
          <t>vB7am01</t>
        </is>
      </c>
      <c r="B244" s="1">
        <f>MID(A244,1,SEARCH("m",A244,1)-1)</f>
        <v/>
      </c>
    </row>
    <row r="245">
      <c r="A245" s="1" t="inlineStr">
        <is>
          <t>vB7am02</t>
        </is>
      </c>
      <c r="B245" s="1">
        <f>MID(A245,1,SEARCH("m",A245,1)-1)</f>
        <v/>
      </c>
    </row>
    <row r="246">
      <c r="A246" s="1" t="inlineStr">
        <is>
          <t>vB7am03</t>
        </is>
      </c>
      <c r="B246" s="1">
        <f>MID(A246,1,SEARCH("m",A246,1)-1)</f>
        <v/>
      </c>
    </row>
    <row r="247">
      <c r="A247" s="1" t="inlineStr">
        <is>
          <t>vB7am04</t>
        </is>
      </c>
      <c r="B247" s="1">
        <f>MID(A247,1,SEARCH("m",A247,1)-1)</f>
        <v/>
      </c>
    </row>
    <row r="248">
      <c r="A248" s="1" t="inlineStr">
        <is>
          <t>vB7am05</t>
        </is>
      </c>
      <c r="B248" s="1">
        <f>MID(A248,1,SEARCH("m",A248,1)-1)</f>
        <v/>
      </c>
    </row>
    <row r="249">
      <c r="A249" s="1" t="inlineStr">
        <is>
          <t>vB7am06</t>
        </is>
      </c>
      <c r="B249" s="1">
        <f>MID(A249,1,SEARCH("m",A249,1)-1)</f>
        <v/>
      </c>
    </row>
    <row r="250">
      <c r="A250" s="1" t="inlineStr">
        <is>
          <t>vB7am07</t>
        </is>
      </c>
      <c r="B250" s="1">
        <f>MID(A250,1,SEARCH("m",A250,1)-1)</f>
        <v/>
      </c>
    </row>
    <row r="251">
      <c r="A251" s="1" t="inlineStr">
        <is>
          <t>vB7am08</t>
        </is>
      </c>
      <c r="B251" s="1">
        <f>MID(A251,1,SEARCH("m",A251,1)-1)</f>
        <v/>
      </c>
    </row>
    <row r="252">
      <c r="A252" s="1" t="inlineStr">
        <is>
          <t>vB7am09</t>
        </is>
      </c>
      <c r="B252" s="1">
        <f>MID(A252,1,SEARCH("m",A252,1)-1)</f>
        <v/>
      </c>
    </row>
    <row r="253">
      <c r="A253" s="1" t="inlineStr">
        <is>
          <t>vB7am10</t>
        </is>
      </c>
      <c r="B253" s="1">
        <f>MID(A253,1,SEARCH("m",A253,1)-1)</f>
        <v/>
      </c>
    </row>
    <row r="254">
      <c r="A254" s="1" t="inlineStr">
        <is>
          <t>vB7am11</t>
        </is>
      </c>
      <c r="B254" s="1">
        <f>MID(A254,1,SEARCH("m",A254,1)-1)</f>
        <v/>
      </c>
    </row>
    <row r="255">
      <c r="A255" s="1" t="inlineStr">
        <is>
          <t>vB7am12</t>
        </is>
      </c>
      <c r="B255" s="1">
        <f>MID(A255,1,SEARCH("m",A255,1)-1)</f>
        <v/>
      </c>
    </row>
    <row r="256">
      <c r="A256" s="1" t="inlineStr">
        <is>
          <t>vB7am13</t>
        </is>
      </c>
      <c r="B256" s="1">
        <f>MID(A256,1,SEARCH("m",A256,1)-1)</f>
        <v/>
      </c>
    </row>
    <row r="257">
      <c r="A257" s="1" t="inlineStr">
        <is>
          <t>vB7am14</t>
        </is>
      </c>
      <c r="B257" s="1">
        <f>MID(A257,1,SEARCH("m",A257,1)-1)</f>
        <v/>
      </c>
    </row>
    <row r="258">
      <c r="A258" s="1" t="inlineStr">
        <is>
          <t>vB7am15</t>
        </is>
      </c>
      <c r="B258" s="1">
        <f>MID(A258,1,SEARCH("m",A258,1)-1)</f>
        <v/>
      </c>
    </row>
    <row r="259">
      <c r="A259" s="1" t="inlineStr">
        <is>
          <t>vB7am16</t>
        </is>
      </c>
      <c r="B259" s="1">
        <f>MID(A259,1,SEARCH("m",A259,1)-1)</f>
        <v/>
      </c>
    </row>
    <row r="260">
      <c r="A260" s="1" t="inlineStr">
        <is>
          <t>vB7am17</t>
        </is>
      </c>
      <c r="B260" s="1">
        <f>MID(A260,1,SEARCH("m",A260,1)-1)</f>
        <v/>
      </c>
    </row>
    <row r="261">
      <c r="A261" s="1" t="inlineStr">
        <is>
          <t>vB7am18</t>
        </is>
      </c>
      <c r="B261" s="1">
        <f>MID(A261,1,SEARCH("m",A261,1)-1)</f>
        <v/>
      </c>
    </row>
    <row r="262">
      <c r="A262" s="1" t="inlineStr">
        <is>
          <t>vB7am19</t>
        </is>
      </c>
      <c r="B262" s="1">
        <f>MID(A262,1,SEARCH("m",A262,1)-1)</f>
        <v/>
      </c>
    </row>
    <row r="263">
      <c r="A263" s="1" t="inlineStr">
        <is>
          <t>vB7am20</t>
        </is>
      </c>
      <c r="B263" s="1">
        <f>MID(A263,1,SEARCH("m",A263,1)-1)</f>
        <v/>
      </c>
    </row>
    <row r="264">
      <c r="A264" s="1" t="inlineStr">
        <is>
          <t>vB7am21</t>
        </is>
      </c>
      <c r="B264" s="1">
        <f>MID(A264,1,SEARCH("m",A264,1)-1)</f>
        <v/>
      </c>
    </row>
    <row r="265">
      <c r="A265" s="1" t="inlineStr">
        <is>
          <t>vB7am22</t>
        </is>
      </c>
      <c r="B265" s="1">
        <f>MID(A265,1,SEARCH("m",A265,1)-1)</f>
        <v/>
      </c>
    </row>
    <row r="266">
      <c r="A266" s="1" t="inlineStr">
        <is>
          <t>vB7am23</t>
        </is>
      </c>
      <c r="B266" s="1">
        <f>MID(A266,1,SEARCH("m",A266,1)-1)</f>
        <v/>
      </c>
    </row>
    <row r="267">
      <c r="A267" s="1" t="inlineStr">
        <is>
          <t>vB7am24</t>
        </is>
      </c>
      <c r="B267" s="1">
        <f>MID(A267,1,SEARCH("m",A267,1)-1)</f>
        <v/>
      </c>
    </row>
    <row r="268">
      <c r="A268" s="1" t="inlineStr">
        <is>
          <t>vB7am25</t>
        </is>
      </c>
      <c r="B268" s="1">
        <f>MID(A268,1,SEARCH("m",A268,1)-1)</f>
        <v/>
      </c>
    </row>
    <row r="269">
      <c r="A269" s="1" t="inlineStr">
        <is>
          <t>vB7am26</t>
        </is>
      </c>
      <c r="B269" s="1">
        <f>MID(A269,1,SEARCH("m",A269,1)-1)</f>
        <v/>
      </c>
    </row>
    <row r="270">
      <c r="A270" s="1" t="inlineStr">
        <is>
          <t>vB7am27</t>
        </is>
      </c>
      <c r="B270" s="1">
        <f>MID(A270,1,SEARCH("m",A270,1)-1)</f>
        <v/>
      </c>
    </row>
    <row r="271">
      <c r="A271" s="1" t="inlineStr">
        <is>
          <t>vB7am28</t>
        </is>
      </c>
      <c r="B271" s="1">
        <f>MID(A271,1,SEARCH("m",A271,1)-1)</f>
        <v/>
      </c>
    </row>
    <row r="272">
      <c r="A272" s="1" t="inlineStr">
        <is>
          <t>vB7am29</t>
        </is>
      </c>
      <c r="B272" s="1">
        <f>MID(A272,1,SEARCH("m",A272,1)-1)</f>
        <v/>
      </c>
    </row>
    <row r="273">
      <c r="A273" s="1" t="inlineStr">
        <is>
          <t>vB7am30</t>
        </is>
      </c>
      <c r="B273" s="1">
        <f>MID(A273,1,SEARCH("m",A273,1)-1)</f>
        <v/>
      </c>
    </row>
    <row r="274">
      <c r="A274" s="1" t="inlineStr">
        <is>
          <t>vB7am31</t>
        </is>
      </c>
      <c r="B274" s="1">
        <f>MID(A274,1,SEARCH("m",A274,1)-1)</f>
        <v/>
      </c>
    </row>
    <row r="275">
      <c r="A275" s="1" t="inlineStr">
        <is>
          <t>vB7am32</t>
        </is>
      </c>
      <c r="B275" s="1">
        <f>MID(A275,1,SEARCH("m",A275,1)-1)</f>
        <v/>
      </c>
    </row>
    <row r="276">
      <c r="A276" s="1" t="inlineStr">
        <is>
          <t>vB7am33</t>
        </is>
      </c>
      <c r="B276" s="1">
        <f>MID(A276,1,SEARCH("m",A276,1)-1)</f>
        <v/>
      </c>
    </row>
    <row r="277">
      <c r="A277" s="1" t="inlineStr">
        <is>
          <t>vB7am34</t>
        </is>
      </c>
      <c r="B277" s="1">
        <f>MID(A277,1,SEARCH("m",A277,1)-1)</f>
        <v/>
      </c>
    </row>
    <row r="278">
      <c r="A278" s="1" t="inlineStr">
        <is>
          <t>vB7am35</t>
        </is>
      </c>
      <c r="B278" s="1">
        <f>MID(A278,1,SEARCH("m",A278,1)-1)</f>
        <v/>
      </c>
    </row>
    <row r="279">
      <c r="A279" s="1" t="inlineStr">
        <is>
          <t>vB7am36</t>
        </is>
      </c>
      <c r="B279" s="1">
        <f>MID(A279,1,SEARCH("m",A279,1)-1)</f>
        <v/>
      </c>
    </row>
    <row r="280">
      <c r="A280" s="1" t="inlineStr">
        <is>
          <t>vB7am37</t>
        </is>
      </c>
      <c r="B280" s="1">
        <f>MID(A280,1,SEARCH("m",A280,1)-1)</f>
        <v/>
      </c>
    </row>
    <row r="281">
      <c r="A281" s="1" t="inlineStr">
        <is>
          <t>vB7am38</t>
        </is>
      </c>
      <c r="B281" s="1">
        <f>MID(A281,1,SEARCH("m",A281,1)-1)</f>
        <v/>
      </c>
    </row>
    <row r="282">
      <c r="A282" s="1" t="inlineStr">
        <is>
          <t>vB7am39</t>
        </is>
      </c>
      <c r="B282" s="1">
        <f>MID(A282,1,SEARCH("m",A282,1)-1)</f>
        <v/>
      </c>
    </row>
    <row r="283">
      <c r="A283" s="1" t="inlineStr">
        <is>
          <t>vB7am40</t>
        </is>
      </c>
      <c r="B283" s="1">
        <f>MID(A283,1,SEARCH("m",A283,1)-1)</f>
        <v/>
      </c>
    </row>
    <row r="284">
      <c r="A284" s="1" t="inlineStr">
        <is>
          <t>vB7am41</t>
        </is>
      </c>
      <c r="B284" s="1">
        <f>MID(A284,1,SEARCH("m",A284,1)-1)</f>
        <v/>
      </c>
    </row>
    <row r="285">
      <c r="A285" s="1" t="inlineStr">
        <is>
          <t>vB7am42</t>
        </is>
      </c>
      <c r="B285" s="1">
        <f>MID(A285,1,SEARCH("m",A285,1)-1)</f>
        <v/>
      </c>
    </row>
    <row r="286">
      <c r="A286" s="1" t="inlineStr">
        <is>
          <t>vB7am43</t>
        </is>
      </c>
      <c r="B286" s="1">
        <f>MID(A286,1,SEARCH("m",A286,1)-1)</f>
        <v/>
      </c>
    </row>
    <row r="287">
      <c r="A287" s="1" t="inlineStr">
        <is>
          <t>vB7am44</t>
        </is>
      </c>
      <c r="B287" s="1">
        <f>MID(A287,1,SEARCH("m",A287,1)-1)</f>
        <v/>
      </c>
    </row>
    <row r="288">
      <c r="A288" s="1" t="inlineStr">
        <is>
          <t>vB7am45</t>
        </is>
      </c>
      <c r="B288" s="1">
        <f>MID(A288,1,SEARCH("m",A288,1)-1)</f>
        <v/>
      </c>
    </row>
    <row r="289">
      <c r="A289" s="1" t="inlineStr">
        <is>
          <t>vB7am46</t>
        </is>
      </c>
      <c r="B289" s="1">
        <f>MID(A289,1,SEARCH("m",A289,1)-1)</f>
        <v/>
      </c>
    </row>
    <row r="290">
      <c r="A290" s="1" t="inlineStr">
        <is>
          <t>vB7am47</t>
        </is>
      </c>
      <c r="B290" s="1">
        <f>MID(A290,1,SEARCH("m",A290,1)-1)</f>
        <v/>
      </c>
    </row>
    <row r="291">
      <c r="A291" s="1" t="inlineStr">
        <is>
          <t>vB7am48</t>
        </is>
      </c>
      <c r="B291" s="1">
        <f>MID(A291,1,SEARCH("m",A291,1)-1)</f>
        <v/>
      </c>
    </row>
    <row r="292">
      <c r="A292" s="1" t="inlineStr">
        <is>
          <t>vB7am49</t>
        </is>
      </c>
      <c r="B292" s="1">
        <f>MID(A292,1,SEARCH("m",A292,1)-1)</f>
        <v/>
      </c>
    </row>
    <row r="293">
      <c r="A293" s="1" t="inlineStr">
        <is>
          <t>vB7am50</t>
        </is>
      </c>
      <c r="B293" s="1">
        <f>MID(A293,1,SEARCH("m",A293,1)-1)</f>
        <v/>
      </c>
    </row>
    <row r="294">
      <c r="A294" s="1" t="inlineStr">
        <is>
          <t>vB7am51</t>
        </is>
      </c>
      <c r="B294" s="1">
        <f>MID(A294,1,SEARCH("m",A294,1)-1)</f>
        <v/>
      </c>
    </row>
    <row r="295">
      <c r="A295" s="1" t="inlineStr">
        <is>
          <t>vB7am52</t>
        </is>
      </c>
      <c r="B295" s="1">
        <f>MID(A295,1,SEARCH("m",A295,1)-1)</f>
        <v/>
      </c>
    </row>
    <row r="296">
      <c r="A296" s="1" t="inlineStr">
        <is>
          <t>vB7am53</t>
        </is>
      </c>
      <c r="B296" s="1">
        <f>MID(A296,1,SEARCH("m",A296,1)-1)</f>
        <v/>
      </c>
    </row>
    <row r="297">
      <c r="A297" s="1" t="inlineStr">
        <is>
          <t>vB7am54</t>
        </is>
      </c>
      <c r="B297" s="1">
        <f>MID(A297,1,SEARCH("m",A297,1)-1)</f>
        <v/>
      </c>
    </row>
    <row r="298">
      <c r="A298" s="1" t="inlineStr">
        <is>
          <t>vB7am88</t>
        </is>
      </c>
      <c r="B298" s="1">
        <f>MID(A298,1,SEARCH("m",A298,1)-1)</f>
        <v/>
      </c>
    </row>
    <row r="299">
      <c r="A299" s="1" t="inlineStr">
        <is>
          <t>vB8m01</t>
        </is>
      </c>
      <c r="B299" s="1">
        <f>MID(A299,1,SEARCH("m",A299,1)-1)</f>
        <v/>
      </c>
    </row>
    <row r="300">
      <c r="A300" s="1" t="inlineStr">
        <is>
          <t>vB8m02</t>
        </is>
      </c>
      <c r="B300" s="1">
        <f>MID(A300,1,SEARCH("m",A300,1)-1)</f>
        <v/>
      </c>
    </row>
    <row r="301">
      <c r="A301" s="1" t="inlineStr">
        <is>
          <t>vB8m03</t>
        </is>
      </c>
      <c r="B301" s="1">
        <f>MID(A301,1,SEARCH("m",A301,1)-1)</f>
        <v/>
      </c>
    </row>
    <row r="302">
      <c r="A302" s="1" t="inlineStr">
        <is>
          <t>vB8m04</t>
        </is>
      </c>
      <c r="B302" s="1">
        <f>MID(A302,1,SEARCH("m",A302,1)-1)</f>
        <v/>
      </c>
    </row>
    <row r="303">
      <c r="A303" s="1" t="inlineStr">
        <is>
          <t>vB8m05</t>
        </is>
      </c>
      <c r="B303" s="1">
        <f>MID(A303,1,SEARCH("m",A303,1)-1)</f>
        <v/>
      </c>
    </row>
    <row r="304">
      <c r="A304" s="1" t="inlineStr">
        <is>
          <t>vB8m06</t>
        </is>
      </c>
      <c r="B304" s="1">
        <f>MID(A304,1,SEARCH("m",A304,1)-1)</f>
        <v/>
      </c>
    </row>
    <row r="305">
      <c r="A305" s="1" t="inlineStr">
        <is>
          <t>vB8m07</t>
        </is>
      </c>
      <c r="B305" s="1">
        <f>MID(A305,1,SEARCH("m",A305,1)-1)</f>
        <v/>
      </c>
    </row>
    <row r="306">
      <c r="A306" s="1" t="inlineStr">
        <is>
          <t>vB8m08</t>
        </is>
      </c>
      <c r="B306" s="1">
        <f>MID(A306,1,SEARCH("m",A306,1)-1)</f>
        <v/>
      </c>
    </row>
    <row r="307">
      <c r="A307" s="1" t="inlineStr">
        <is>
          <t>vB8m09</t>
        </is>
      </c>
      <c r="B307" s="1">
        <f>MID(A307,1,SEARCH("m",A307,1)-1)</f>
        <v/>
      </c>
    </row>
    <row r="308">
      <c r="A308" s="1" t="inlineStr">
        <is>
          <t>vB8m10</t>
        </is>
      </c>
      <c r="B308" s="1">
        <f>MID(A308,1,SEARCH("m",A308,1)-1)</f>
        <v/>
      </c>
    </row>
    <row r="309">
      <c r="A309" s="1" t="inlineStr">
        <is>
          <t>vB8m88</t>
        </is>
      </c>
      <c r="B309" s="1">
        <f>MID(A309,1,SEARCH("m",A309,1)-1)</f>
        <v/>
      </c>
    </row>
    <row r="310">
      <c r="A310" s="1" t="inlineStr">
        <is>
          <t>vG3m01</t>
        </is>
      </c>
      <c r="B310" s="1">
        <f>MID(A310,1,SEARCH("m",A310,1)-1)</f>
        <v/>
      </c>
    </row>
    <row r="311">
      <c r="A311" s="1" t="inlineStr">
        <is>
          <t>vG3m02</t>
        </is>
      </c>
      <c r="B311" s="1">
        <f>MID(A311,1,SEARCH("m",A311,1)-1)</f>
        <v/>
      </c>
    </row>
    <row r="312">
      <c r="A312" s="1" t="inlineStr">
        <is>
          <t>vG3m03</t>
        </is>
      </c>
      <c r="B312" s="1">
        <f>MID(A312,1,SEARCH("m",A312,1)-1)</f>
        <v/>
      </c>
    </row>
    <row r="313">
      <c r="A313" s="1" t="inlineStr">
        <is>
          <t>vG3m04</t>
        </is>
      </c>
      <c r="B313" s="1">
        <f>MID(A313,1,SEARCH("m",A313,1)-1)</f>
        <v/>
      </c>
    </row>
    <row r="314">
      <c r="A314" s="1" t="inlineStr">
        <is>
          <t>vG3m05</t>
        </is>
      </c>
      <c r="B314" s="1">
        <f>MID(A314,1,SEARCH("m",A314,1)-1)</f>
        <v/>
      </c>
    </row>
    <row r="315">
      <c r="A315" s="1" t="inlineStr">
        <is>
          <t>vG3m06</t>
        </is>
      </c>
      <c r="B315" s="1">
        <f>MID(A315,1,SEARCH("m",A315,1)-1)</f>
        <v/>
      </c>
    </row>
    <row r="316">
      <c r="A316" s="1" t="inlineStr">
        <is>
          <t>vG3m07</t>
        </is>
      </c>
      <c r="B316" s="1">
        <f>MID(A316,1,SEARCH("m",A316,1)-1)</f>
        <v/>
      </c>
    </row>
    <row r="317">
      <c r="A317" s="1" t="inlineStr">
        <is>
          <t>vG3m08</t>
        </is>
      </c>
      <c r="B317" s="1">
        <f>MID(A317,1,SEARCH("m",A317,1)-1)</f>
        <v/>
      </c>
    </row>
    <row r="318">
      <c r="A318" s="1" t="inlineStr">
        <is>
          <t>vG3m09</t>
        </is>
      </c>
      <c r="B318" s="1">
        <f>MID(A318,1,SEARCH("m",A318,1)-1)</f>
        <v/>
      </c>
    </row>
    <row r="319">
      <c r="A319" s="1" t="inlineStr">
        <is>
          <t>vG3m10</t>
        </is>
      </c>
      <c r="B319" s="1">
        <f>MID(A319,1,SEARCH("m",A319,1)-1)</f>
        <v/>
      </c>
    </row>
    <row r="320">
      <c r="A320" s="1" t="inlineStr">
        <is>
          <t>vG3m11</t>
        </is>
      </c>
      <c r="B320" s="1">
        <f>MID(A320,1,SEARCH("m",A320,1)-1)</f>
        <v/>
      </c>
    </row>
    <row r="321">
      <c r="A321" s="1" t="inlineStr">
        <is>
          <t>vG3m12</t>
        </is>
      </c>
      <c r="B321" s="1">
        <f>MID(A321,1,SEARCH("m",A321,1)-1)</f>
        <v/>
      </c>
    </row>
    <row r="322">
      <c r="A322" s="1" t="inlineStr">
        <is>
          <t>vG3m13</t>
        </is>
      </c>
      <c r="B322" s="1">
        <f>MID(A322,1,SEARCH("m",A322,1)-1)</f>
        <v/>
      </c>
    </row>
    <row r="323">
      <c r="A323" s="1" t="inlineStr">
        <is>
          <t>vG3m14</t>
        </is>
      </c>
      <c r="B323" s="1">
        <f>MID(A323,1,SEARCH("m",A323,1)-1)</f>
        <v/>
      </c>
    </row>
    <row r="324">
      <c r="A324" s="1" t="inlineStr">
        <is>
          <t>vG3m15</t>
        </is>
      </c>
      <c r="B324" s="1">
        <f>MID(A324,1,SEARCH("m",A324,1)-1)</f>
        <v/>
      </c>
    </row>
    <row r="325">
      <c r="A325" s="1" t="inlineStr">
        <is>
          <t>vG3m16</t>
        </is>
      </c>
      <c r="B325" s="1">
        <f>MID(A325,1,SEARCH("m",A325,1)-1)</f>
        <v/>
      </c>
    </row>
    <row r="326">
      <c r="A326" s="1" t="inlineStr">
        <is>
          <t>vG3m18</t>
        </is>
      </c>
      <c r="B326" s="1">
        <f>MID(A326,1,SEARCH("m",A326,1)-1)</f>
        <v/>
      </c>
    </row>
    <row r="327">
      <c r="A327" s="1" t="inlineStr">
        <is>
          <t>vG3m19</t>
        </is>
      </c>
      <c r="B327" s="1">
        <f>MID(A327,1,SEARCH("m",A327,1)-1)</f>
        <v/>
      </c>
    </row>
    <row r="328">
      <c r="A328" s="1" t="inlineStr">
        <is>
          <t>vG3m20</t>
        </is>
      </c>
      <c r="B328" s="1">
        <f>MID(A328,1,SEARCH("m",A328,1)-1)</f>
        <v/>
      </c>
    </row>
    <row r="329">
      <c r="A329" s="1" t="inlineStr">
        <is>
          <t>vG3m21</t>
        </is>
      </c>
      <c r="B329" s="1">
        <f>MID(A329,1,SEARCH("m",A329,1)-1)</f>
        <v/>
      </c>
    </row>
    <row r="330">
      <c r="A330" s="1" t="inlineStr">
        <is>
          <t>vG3m22</t>
        </is>
      </c>
      <c r="B330" s="1">
        <f>MID(A330,1,SEARCH("m",A330,1)-1)</f>
        <v/>
      </c>
    </row>
    <row r="331">
      <c r="A331" s="1" t="inlineStr">
        <is>
          <t>vG3m23</t>
        </is>
      </c>
      <c r="B331" s="1">
        <f>MID(A331,1,SEARCH("m",A331,1)-1)</f>
        <v/>
      </c>
    </row>
    <row r="332">
      <c r="A332" s="1" t="inlineStr">
        <is>
          <t>vG3m24</t>
        </is>
      </c>
      <c r="B332" s="1">
        <f>MID(A332,1,SEARCH("m",A332,1)-1)</f>
        <v/>
      </c>
    </row>
    <row r="333">
      <c r="A333" s="1" t="inlineStr">
        <is>
          <t>vG3m25</t>
        </is>
      </c>
      <c r="B333" s="1">
        <f>MID(A333,1,SEARCH("m",A333,1)-1)</f>
        <v/>
      </c>
    </row>
    <row r="334">
      <c r="A334" s="1" t="inlineStr">
        <is>
          <t>vG3m26</t>
        </is>
      </c>
      <c r="B334" s="1">
        <f>MID(A334,1,SEARCH("m",A334,1)-1)</f>
        <v/>
      </c>
    </row>
    <row r="335">
      <c r="A335" s="1" t="inlineStr">
        <is>
          <t>vG3m27</t>
        </is>
      </c>
      <c r="B335" s="1">
        <f>MID(A335,1,SEARCH("m",A335,1)-1)</f>
        <v/>
      </c>
    </row>
    <row r="336">
      <c r="A336" s="1" t="inlineStr">
        <is>
          <t>vG3m28</t>
        </is>
      </c>
      <c r="B336" s="1">
        <f>MID(A336,1,SEARCH("m",A336,1)-1)</f>
        <v/>
      </c>
    </row>
    <row r="337">
      <c r="A337" s="1" t="inlineStr">
        <is>
          <t>vG3m29</t>
        </is>
      </c>
      <c r="B337" s="1">
        <f>MID(A337,1,SEARCH("m",A337,1)-1)</f>
        <v/>
      </c>
    </row>
    <row r="338">
      <c r="A338" s="1" t="inlineStr">
        <is>
          <t>vG3m30</t>
        </is>
      </c>
      <c r="B338" s="1">
        <f>MID(A338,1,SEARCH("m",A338,1)-1)</f>
        <v/>
      </c>
    </row>
    <row r="339">
      <c r="A339" s="1" t="inlineStr">
        <is>
          <t>vG3m31</t>
        </is>
      </c>
      <c r="B339" s="1">
        <f>MID(A339,1,SEARCH("m",A339,1)-1)</f>
        <v/>
      </c>
    </row>
    <row r="340">
      <c r="A340" s="1" t="inlineStr">
        <is>
          <t>vG3m32</t>
        </is>
      </c>
      <c r="B340" s="1">
        <f>MID(A340,1,SEARCH("m",A340,1)-1)</f>
        <v/>
      </c>
    </row>
    <row r="341">
      <c r="A341" s="1" t="inlineStr">
        <is>
          <t>vG3m33</t>
        </is>
      </c>
      <c r="B341" s="1">
        <f>MID(A341,1,SEARCH("m",A341,1)-1)</f>
        <v/>
      </c>
    </row>
    <row r="342">
      <c r="A342" s="1" t="inlineStr">
        <is>
          <t>vG3m88</t>
        </is>
      </c>
      <c r="B342" s="1">
        <f>MID(A342,1,SEARCH("m",A342,1)-1)</f>
        <v/>
      </c>
    </row>
    <row r="343">
      <c r="A343" s="1" t="inlineStr">
        <is>
          <t>vF5m01</t>
        </is>
      </c>
      <c r="B343" s="1">
        <f>MID(A343,1,SEARCH("m",A343,1)-1)</f>
        <v/>
      </c>
    </row>
    <row r="344">
      <c r="A344" s="1" t="inlineStr">
        <is>
          <t>vF5m02</t>
        </is>
      </c>
      <c r="B344" s="1">
        <f>MID(A344,1,SEARCH("m",A344,1)-1)</f>
        <v/>
      </c>
    </row>
    <row r="345">
      <c r="A345" s="1" t="inlineStr">
        <is>
          <t>vF5m03</t>
        </is>
      </c>
      <c r="B345" s="1">
        <f>MID(A345,1,SEARCH("m",A345,1)-1)</f>
        <v/>
      </c>
    </row>
    <row r="346">
      <c r="A346" s="1" t="inlineStr">
        <is>
          <t>vF5m04</t>
        </is>
      </c>
      <c r="B346" s="1">
        <f>MID(A346,1,SEARCH("m",A346,1)-1)</f>
        <v/>
      </c>
    </row>
    <row r="347">
      <c r="A347" s="1" t="inlineStr">
        <is>
          <t>vF5m05</t>
        </is>
      </c>
      <c r="B347" s="1">
        <f>MID(A347,1,SEARCH("m",A347,1)-1)</f>
        <v/>
      </c>
    </row>
    <row r="348">
      <c r="A348" s="1" t="inlineStr">
        <is>
          <t>vF5m06</t>
        </is>
      </c>
      <c r="B348" s="1">
        <f>MID(A348,1,SEARCH("m",A348,1)-1)</f>
        <v/>
      </c>
    </row>
    <row r="349">
      <c r="A349" s="1" t="inlineStr">
        <is>
          <t>vF5m07</t>
        </is>
      </c>
      <c r="B349" s="1">
        <f>MID(A349,1,SEARCH("m",A349,1)-1)</f>
        <v/>
      </c>
    </row>
    <row r="350">
      <c r="A350" s="1" t="inlineStr">
        <is>
          <t>vF5m08</t>
        </is>
      </c>
      <c r="B350" s="1">
        <f>MID(A350,1,SEARCH("m",A350,1)-1)</f>
        <v/>
      </c>
    </row>
    <row r="351">
      <c r="A351" s="1" t="inlineStr">
        <is>
          <t>vF5m88</t>
        </is>
      </c>
      <c r="B351" s="1">
        <f>MID(A351,1,SEARCH("m",A351,1)-1)</f>
        <v/>
      </c>
    </row>
    <row r="352">
      <c r="A352" s="1" t="inlineStr">
        <is>
          <t>vC3m01</t>
        </is>
      </c>
      <c r="B352" s="1">
        <f>MID(A352,1,SEARCH("m",A352,1)-1)</f>
        <v/>
      </c>
    </row>
    <row r="353">
      <c r="A353" s="1" t="inlineStr">
        <is>
          <t>vC3m02</t>
        </is>
      </c>
      <c r="B353" s="1">
        <f>MID(A353,1,SEARCH("m",A353,1)-1)</f>
        <v/>
      </c>
    </row>
    <row r="354">
      <c r="A354" s="1" t="inlineStr">
        <is>
          <t>vC3m03</t>
        </is>
      </c>
      <c r="B354" s="1">
        <f>MID(A354,1,SEARCH("m",A354,1)-1)</f>
        <v/>
      </c>
    </row>
    <row r="355">
      <c r="A355" s="1" t="inlineStr">
        <is>
          <t>vC3m04</t>
        </is>
      </c>
      <c r="B355" s="1">
        <f>MID(A355,1,SEARCH("m",A355,1)-1)</f>
        <v/>
      </c>
    </row>
    <row r="356">
      <c r="A356" s="1" t="inlineStr">
        <is>
          <t>vC3m05</t>
        </is>
      </c>
      <c r="B356" s="1">
        <f>MID(A356,1,SEARCH("m",A356,1)-1)</f>
        <v/>
      </c>
    </row>
    <row r="357">
      <c r="A357" s="1" t="inlineStr">
        <is>
          <t>vC3m06</t>
        </is>
      </c>
      <c r="B357" s="1">
        <f>MID(A357,1,SEARCH("m",A357,1)-1)</f>
        <v/>
      </c>
    </row>
    <row r="358">
      <c r="A358" s="1" t="inlineStr">
        <is>
          <t>vC3m07</t>
        </is>
      </c>
      <c r="B358" s="1">
        <f>MID(A358,1,SEARCH("m",A358,1)-1)</f>
        <v/>
      </c>
    </row>
    <row r="359">
      <c r="A359" s="1" t="inlineStr">
        <is>
          <t>vC3m08</t>
        </is>
      </c>
      <c r="B359" s="1">
        <f>MID(A359,1,SEARCH("m",A359,1)-1)</f>
        <v/>
      </c>
    </row>
    <row r="360">
      <c r="A360" s="1" t="inlineStr">
        <is>
          <t>vC3m09</t>
        </is>
      </c>
      <c r="B360" s="1">
        <f>MID(A360,1,SEARCH("m",A360,1)-1)</f>
        <v/>
      </c>
    </row>
    <row r="361">
      <c r="A361" s="1" t="inlineStr">
        <is>
          <t>vC3m10</t>
        </is>
      </c>
      <c r="B361" s="1">
        <f>MID(A361,1,SEARCH("m",A361,1)-1)</f>
        <v/>
      </c>
    </row>
    <row r="362">
      <c r="A362" s="1" t="inlineStr">
        <is>
          <t>vC3m11</t>
        </is>
      </c>
      <c r="B362" s="1">
        <f>MID(A362,1,SEARCH("m",A362,1)-1)</f>
        <v/>
      </c>
    </row>
    <row r="363">
      <c r="A363" s="1" t="inlineStr">
        <is>
          <t>vC3m88</t>
        </is>
      </c>
      <c r="B363" s="1">
        <f>MID(A363,1,SEARCH("m",A363,1)-1)</f>
        <v/>
      </c>
    </row>
    <row r="364">
      <c r="A364" s="1" t="inlineStr">
        <is>
          <t>vJB1m01</t>
        </is>
      </c>
      <c r="B364" s="1">
        <f>MID(A364,1,SEARCH("m",A364,1)-1)</f>
        <v/>
      </c>
    </row>
    <row r="365">
      <c r="A365" s="1" t="inlineStr">
        <is>
          <t>vJB1m02</t>
        </is>
      </c>
      <c r="B365" s="1">
        <f>MID(A365,1,SEARCH("m",A365,1)-1)</f>
        <v/>
      </c>
    </row>
    <row r="366">
      <c r="A366" s="1" t="inlineStr">
        <is>
          <t>vJB1m03</t>
        </is>
      </c>
      <c r="B366" s="1">
        <f>MID(A366,1,SEARCH("m",A366,1)-1)</f>
        <v/>
      </c>
    </row>
    <row r="367">
      <c r="A367" s="1" t="inlineStr">
        <is>
          <t>vJB1m04</t>
        </is>
      </c>
      <c r="B367" s="1">
        <f>MID(A367,1,SEARCH("m",A367,1)-1)</f>
        <v/>
      </c>
    </row>
    <row r="368">
      <c r="A368" s="1" t="inlineStr">
        <is>
          <t>vJB1m05</t>
        </is>
      </c>
      <c r="B368" s="1">
        <f>MID(A368,1,SEARCH("m",A368,1)-1)</f>
        <v/>
      </c>
    </row>
    <row r="369">
      <c r="A369" s="1" t="inlineStr">
        <is>
          <t>vJB1m06</t>
        </is>
      </c>
      <c r="B369" s="1">
        <f>MID(A369,1,SEARCH("m",A369,1)-1)</f>
        <v/>
      </c>
    </row>
    <row r="370">
      <c r="A370" s="1" t="inlineStr">
        <is>
          <t>vJB1m07</t>
        </is>
      </c>
      <c r="B370" s="1">
        <f>MID(A370,1,SEARCH("m",A370,1)-1)</f>
        <v/>
      </c>
    </row>
    <row r="371">
      <c r="A371" s="1" t="inlineStr">
        <is>
          <t>vJB1m08</t>
        </is>
      </c>
      <c r="B371" s="1">
        <f>MID(A371,1,SEARCH("m",A371,1)-1)</f>
        <v/>
      </c>
    </row>
    <row r="372">
      <c r="A372" s="1" t="inlineStr">
        <is>
          <t>vJB1m09</t>
        </is>
      </c>
      <c r="B372" s="1">
        <f>MID(A372,1,SEARCH("m",A372,1)-1)</f>
        <v/>
      </c>
    </row>
    <row r="373">
      <c r="A373" s="1" t="inlineStr">
        <is>
          <t>vJB1m10</t>
        </is>
      </c>
      <c r="B373" s="1">
        <f>MID(A373,1,SEARCH("m",A373,1)-1)</f>
        <v/>
      </c>
    </row>
    <row r="374">
      <c r="A374" s="1" t="inlineStr">
        <is>
          <t>vJB1m11</t>
        </is>
      </c>
      <c r="B374" s="1">
        <f>MID(A374,1,SEARCH("m",A374,1)-1)</f>
        <v/>
      </c>
    </row>
    <row r="375">
      <c r="A375" s="1" t="inlineStr">
        <is>
          <t>vJB1m88</t>
        </is>
      </c>
      <c r="B375" s="1">
        <f>MID(A375,1,SEARCH("m",A375,1)-1)</f>
        <v/>
      </c>
    </row>
    <row r="376">
      <c r="A376" s="1" t="inlineStr">
        <is>
          <t>vJB1m90</t>
        </is>
      </c>
      <c r="B376" s="1">
        <f>MID(A376,1,SEARCH("m",A376,1)-1)</f>
        <v/>
      </c>
    </row>
    <row r="377">
      <c r="A377" s="1" t="inlineStr">
        <is>
          <t>vJB2m01</t>
        </is>
      </c>
      <c r="B377" s="1">
        <f>MID(A377,1,SEARCH("m",A377,1)-1)</f>
        <v/>
      </c>
    </row>
    <row r="378">
      <c r="A378" s="1" t="inlineStr">
        <is>
          <t>vJB2m02</t>
        </is>
      </c>
      <c r="B378" s="1">
        <f>MID(A378,1,SEARCH("m",A378,1)-1)</f>
        <v/>
      </c>
    </row>
    <row r="379">
      <c r="A379" s="1" t="inlineStr">
        <is>
          <t>vJB2m03</t>
        </is>
      </c>
      <c r="B379" s="1">
        <f>MID(A379,1,SEARCH("m",A379,1)-1)</f>
        <v/>
      </c>
    </row>
    <row r="380">
      <c r="A380" s="1" t="inlineStr">
        <is>
          <t>vJB2m04</t>
        </is>
      </c>
      <c r="B380" s="1">
        <f>MID(A380,1,SEARCH("m",A380,1)-1)</f>
        <v/>
      </c>
    </row>
    <row r="381">
      <c r="A381" s="1" t="inlineStr">
        <is>
          <t>vJB2m05</t>
        </is>
      </c>
      <c r="B381" s="1">
        <f>MID(A381,1,SEARCH("m",A381,1)-1)</f>
        <v/>
      </c>
    </row>
    <row r="382">
      <c r="A382" s="1" t="inlineStr">
        <is>
          <t>vJB2m06</t>
        </is>
      </c>
      <c r="B382" s="1">
        <f>MID(A382,1,SEARCH("m",A382,1)-1)</f>
        <v/>
      </c>
    </row>
    <row r="383">
      <c r="A383" s="1" t="inlineStr">
        <is>
          <t>vJB2m07</t>
        </is>
      </c>
      <c r="B383" s="1">
        <f>MID(A383,1,SEARCH("m",A383,1)-1)</f>
        <v/>
      </c>
    </row>
    <row r="384">
      <c r="A384" s="1" t="inlineStr">
        <is>
          <t>vJB2m88</t>
        </is>
      </c>
      <c r="B384" s="1">
        <f>MID(A384,1,SEARCH("m",A384,1)-1)</f>
        <v/>
      </c>
    </row>
    <row r="385">
      <c r="A385" s="1" t="inlineStr">
        <is>
          <t>vJB2m90</t>
        </is>
      </c>
      <c r="B385" s="1">
        <f>MID(A385,1,SEARCH("m",A385,1)-1)</f>
        <v/>
      </c>
    </row>
    <row r="386">
      <c r="A386" s="1" t="inlineStr">
        <is>
          <t>vM2m01</t>
        </is>
      </c>
      <c r="B386" s="1">
        <f>MID(A386,1,SEARCH("m",A386,1)-1)</f>
        <v/>
      </c>
    </row>
    <row r="387">
      <c r="A387" s="1" t="inlineStr">
        <is>
          <t>vM2m02</t>
        </is>
      </c>
      <c r="B387" s="1">
        <f>MID(A387,1,SEARCH("m",A387,1)-1)</f>
        <v/>
      </c>
    </row>
    <row r="388">
      <c r="A388" s="1" t="inlineStr">
        <is>
          <t>vM2m03</t>
        </is>
      </c>
      <c r="B388" s="1">
        <f>MID(A388,1,SEARCH("m",A388,1)-1)</f>
        <v/>
      </c>
    </row>
    <row r="389">
      <c r="A389" s="1" t="inlineStr">
        <is>
          <t>vM2m04</t>
        </is>
      </c>
      <c r="B389" s="1">
        <f>MID(A389,1,SEARCH("m",A389,1)-1)</f>
        <v/>
      </c>
    </row>
    <row r="390">
      <c r="A390" s="1" t="inlineStr">
        <is>
          <t>vM2m05</t>
        </is>
      </c>
      <c r="B390" s="1">
        <f>MID(A390,1,SEARCH("m",A390,1)-1)</f>
        <v/>
      </c>
    </row>
    <row r="391">
      <c r="A391" s="1" t="inlineStr">
        <is>
          <t>vM2m06</t>
        </is>
      </c>
      <c r="B391" s="1">
        <f>MID(A391,1,SEARCH("m",A391,1)-1)</f>
        <v/>
      </c>
    </row>
    <row r="392">
      <c r="A392" s="1" t="inlineStr">
        <is>
          <t>vM2m07</t>
        </is>
      </c>
      <c r="B392" s="1">
        <f>MID(A392,1,SEARCH("m",A392,1)-1)</f>
        <v/>
      </c>
    </row>
    <row r="393">
      <c r="A393" s="1" t="inlineStr">
        <is>
          <t>vM2m08</t>
        </is>
      </c>
      <c r="B393" s="1">
        <f>MID(A393,1,SEARCH("m",A393,1)-1)</f>
        <v/>
      </c>
    </row>
    <row r="394">
      <c r="A394" s="1" t="inlineStr">
        <is>
          <t>vM2m09</t>
        </is>
      </c>
      <c r="B394" s="1">
        <f>MID(A394,1,SEARCH("m",A394,1)-1)</f>
        <v/>
      </c>
    </row>
    <row r="395">
      <c r="A395" s="1" t="inlineStr">
        <is>
          <t>vM2m10</t>
        </is>
      </c>
      <c r="B395" s="1">
        <f>MID(A395,1,SEARCH("m",A395,1)-1)</f>
        <v/>
      </c>
    </row>
    <row r="396">
      <c r="A396" s="1" t="inlineStr">
        <is>
          <t>vM2m11</t>
        </is>
      </c>
      <c r="B396" s="1">
        <f>MID(A396,1,SEARCH("m",A396,1)-1)</f>
        <v/>
      </c>
    </row>
    <row r="397">
      <c r="A397" s="1" t="inlineStr">
        <is>
          <t>vM2m12</t>
        </is>
      </c>
      <c r="B397" s="1">
        <f>MID(A397,1,SEARCH("m",A397,1)-1)</f>
        <v/>
      </c>
    </row>
    <row r="398">
      <c r="A398" s="1" t="inlineStr">
        <is>
          <t>vM2m13</t>
        </is>
      </c>
      <c r="B398" s="1">
        <f>MID(A398,1,SEARCH("m",A398,1)-1)</f>
        <v/>
      </c>
    </row>
    <row r="399">
      <c r="A399" s="1" t="inlineStr">
        <is>
          <t>vM2m14</t>
        </is>
      </c>
      <c r="B399" s="1">
        <f>MID(A399,1,SEARCH("m",A399,1)-1)</f>
        <v/>
      </c>
    </row>
    <row r="400">
      <c r="A400" s="1" t="inlineStr">
        <is>
          <t>vM2m15</t>
        </is>
      </c>
      <c r="B400" s="1">
        <f>MID(A400,1,SEARCH("m",A400,1)-1)</f>
        <v/>
      </c>
    </row>
    <row r="401">
      <c r="A401" s="1" t="inlineStr">
        <is>
          <t>vM2m16</t>
        </is>
      </c>
      <c r="B401" s="1">
        <f>MID(A401,1,SEARCH("m",A401,1)-1)</f>
        <v/>
      </c>
    </row>
    <row r="402">
      <c r="A402" s="1" t="inlineStr">
        <is>
          <t>vM2m88</t>
        </is>
      </c>
      <c r="B402" s="1">
        <f>MID(A402,1,SEARCH("m",A402,1)-1)</f>
        <v/>
      </c>
    </row>
    <row r="403">
      <c r="A403" s="1" t="inlineStr">
        <is>
          <t>vM3m01</t>
        </is>
      </c>
      <c r="B403" s="1">
        <f>MID(A403,1,SEARCH("m",A403,1)-1)</f>
        <v/>
      </c>
    </row>
    <row r="404">
      <c r="A404" s="1" t="inlineStr">
        <is>
          <t>vM3m02</t>
        </is>
      </c>
      <c r="B404" s="1">
        <f>MID(A404,1,SEARCH("m",A404,1)-1)</f>
        <v/>
      </c>
    </row>
    <row r="405">
      <c r="A405" s="1" t="inlineStr">
        <is>
          <t>vM3m03</t>
        </is>
      </c>
      <c r="B405" s="1">
        <f>MID(A405,1,SEARCH("m",A405,1)-1)</f>
        <v/>
      </c>
    </row>
    <row r="406">
      <c r="A406" s="1" t="inlineStr">
        <is>
          <t>vM3m04</t>
        </is>
      </c>
      <c r="B406" s="1">
        <f>MID(A406,1,SEARCH("m",A406,1)-1)</f>
        <v/>
      </c>
    </row>
    <row r="407">
      <c r="A407" s="1" t="inlineStr">
        <is>
          <t>vM3m05</t>
        </is>
      </c>
      <c r="B407" s="1">
        <f>MID(A407,1,SEARCH("m",A407,1)-1)</f>
        <v/>
      </c>
    </row>
    <row r="408">
      <c r="A408" s="1" t="inlineStr">
        <is>
          <t>vM3m06</t>
        </is>
      </c>
      <c r="B408" s="1">
        <f>MID(A408,1,SEARCH("m",A408,1)-1)</f>
        <v/>
      </c>
    </row>
    <row r="409">
      <c r="A409" s="1" t="inlineStr">
        <is>
          <t>vM3m07</t>
        </is>
      </c>
      <c r="B409" s="1">
        <f>MID(A409,1,SEARCH("m",A409,1)-1)</f>
        <v/>
      </c>
    </row>
    <row r="410">
      <c r="A410" s="1" t="inlineStr">
        <is>
          <t>vM3m08</t>
        </is>
      </c>
      <c r="B410" s="1">
        <f>MID(A410,1,SEARCH("m",A410,1)-1)</f>
        <v/>
      </c>
    </row>
    <row r="411">
      <c r="A411" s="1" t="inlineStr">
        <is>
          <t>vM3m09</t>
        </is>
      </c>
      <c r="B411" s="1">
        <f>MID(A411,1,SEARCH("m",A411,1)-1)</f>
        <v/>
      </c>
    </row>
    <row r="412">
      <c r="A412" s="1" t="inlineStr">
        <is>
          <t>vM3m10</t>
        </is>
      </c>
      <c r="B412" s="1">
        <f>MID(A412,1,SEARCH("m",A412,1)-1)</f>
        <v/>
      </c>
    </row>
    <row r="413">
      <c r="A413" s="1" t="inlineStr">
        <is>
          <t>vM3m11</t>
        </is>
      </c>
      <c r="B413" s="1">
        <f>MID(A413,1,SEARCH("m",A413,1)-1)</f>
        <v/>
      </c>
    </row>
    <row r="414">
      <c r="A414" s="1" t="inlineStr">
        <is>
          <t>vM3m12</t>
        </is>
      </c>
      <c r="B414" s="1">
        <f>MID(A414,1,SEARCH("m",A414,1)-1)</f>
        <v/>
      </c>
    </row>
    <row r="415">
      <c r="A415" s="1" t="inlineStr">
        <is>
          <t>vM3m13</t>
        </is>
      </c>
      <c r="B415" s="1">
        <f>MID(A415,1,SEARCH("m",A415,1)-1)</f>
        <v/>
      </c>
    </row>
    <row r="416">
      <c r="A416" s="1" t="inlineStr">
        <is>
          <t>vM3m88</t>
        </is>
      </c>
      <c r="B416" s="1">
        <f>MID(A416,1,SEARCH("m",A416,1)-1)</f>
        <v/>
      </c>
    </row>
    <row r="417">
      <c r="A417" s="1" t="inlineStr">
        <is>
          <t>vQ20m01</t>
        </is>
      </c>
      <c r="B417" s="1">
        <f>MID(A417,1,SEARCH("m",A417,1)-1)</f>
        <v/>
      </c>
    </row>
    <row r="418">
      <c r="A418" s="1" t="inlineStr">
        <is>
          <t>vQ20m02</t>
        </is>
      </c>
      <c r="B418" s="1">
        <f>MID(A418,1,SEARCH("m",A418,1)-1)</f>
        <v/>
      </c>
    </row>
    <row r="419">
      <c r="A419" s="1" t="inlineStr">
        <is>
          <t>vQ20m03</t>
        </is>
      </c>
      <c r="B419" s="1">
        <f>MID(A419,1,SEARCH("m",A419,1)-1)</f>
        <v/>
      </c>
    </row>
    <row r="420">
      <c r="A420" s="1" t="inlineStr">
        <is>
          <t>vQ20m04</t>
        </is>
      </c>
      <c r="B420" s="1">
        <f>MID(A420,1,SEARCH("m",A420,1)-1)</f>
        <v/>
      </c>
    </row>
    <row r="421">
      <c r="A421" s="1" t="inlineStr">
        <is>
          <t>vQ20m05</t>
        </is>
      </c>
      <c r="B421" s="1">
        <f>MID(A421,1,SEARCH("m",A421,1)-1)</f>
        <v/>
      </c>
    </row>
    <row r="422">
      <c r="A422" s="1" t="inlineStr">
        <is>
          <t>vQ20m06</t>
        </is>
      </c>
      <c r="B422" s="1">
        <f>MID(A422,1,SEARCH("m",A422,1)-1)</f>
        <v/>
      </c>
    </row>
    <row r="423">
      <c r="A423" s="1" t="inlineStr">
        <is>
          <t>vQ20m88</t>
        </is>
      </c>
      <c r="B423" s="1">
        <f>MID(A423,1,SEARCH("m",A423,1)-1)</f>
        <v/>
      </c>
    </row>
    <row r="424">
      <c r="A424" s="1" t="inlineStr">
        <is>
          <t>vQ20m90</t>
        </is>
      </c>
      <c r="B424" s="1">
        <f>MID(A424,1,SEARCH("m",A424,1)-1)</f>
        <v/>
      </c>
    </row>
    <row r="425">
      <c r="A425" s="1" t="inlineStr">
        <is>
          <t>vQ25m01</t>
        </is>
      </c>
      <c r="B425" s="1">
        <f>MID(A425,1,SEARCH("m",A425,1)-1)</f>
        <v/>
      </c>
    </row>
    <row r="426">
      <c r="A426" s="1" t="inlineStr">
        <is>
          <t>vQ25m02</t>
        </is>
      </c>
      <c r="B426" s="1">
        <f>MID(A426,1,SEARCH("m",A426,1)-1)</f>
        <v/>
      </c>
    </row>
    <row r="427">
      <c r="A427" s="1" t="inlineStr">
        <is>
          <t>vQ25m03</t>
        </is>
      </c>
      <c r="B427" s="1">
        <f>MID(A427,1,SEARCH("m",A427,1)-1)</f>
        <v/>
      </c>
    </row>
    <row r="428">
      <c r="A428" s="1" t="inlineStr">
        <is>
          <t>vQ25m04</t>
        </is>
      </c>
      <c r="B428" s="1">
        <f>MID(A428,1,SEARCH("m",A428,1)-1)</f>
        <v/>
      </c>
    </row>
    <row r="429">
      <c r="A429" s="1" t="inlineStr">
        <is>
          <t>vQ25m05</t>
        </is>
      </c>
      <c r="B429" s="1">
        <f>MID(A429,1,SEARCH("m",A429,1)-1)</f>
        <v/>
      </c>
    </row>
    <row r="430">
      <c r="A430" s="1" t="inlineStr">
        <is>
          <t>vQ25m06</t>
        </is>
      </c>
      <c r="B430" s="1">
        <f>MID(A430,1,SEARCH("m",A430,1)-1)</f>
        <v/>
      </c>
    </row>
    <row r="431">
      <c r="A431" s="1" t="inlineStr">
        <is>
          <t>vQ25m07</t>
        </is>
      </c>
      <c r="B431" s="1">
        <f>MID(A431,1,SEARCH("m",A431,1)-1)</f>
        <v/>
      </c>
    </row>
    <row r="432">
      <c r="A432" s="1" t="inlineStr">
        <is>
          <t>vQ25m08</t>
        </is>
      </c>
      <c r="B432" s="1">
        <f>MID(A432,1,SEARCH("m",A432,1)-1)</f>
        <v/>
      </c>
    </row>
    <row r="433">
      <c r="A433" s="1" t="inlineStr">
        <is>
          <t>vQ25m09</t>
        </is>
      </c>
      <c r="B433" s="1">
        <f>MID(A433,1,SEARCH("m",A433,1)-1)</f>
        <v/>
      </c>
    </row>
    <row r="434">
      <c r="A434" s="1" t="inlineStr">
        <is>
          <t>vQ25m10</t>
        </is>
      </c>
      <c r="B434" s="1">
        <f>MID(A434,1,SEARCH("m",A434,1)-1)</f>
        <v/>
      </c>
    </row>
    <row r="435">
      <c r="A435" s="1" t="inlineStr">
        <is>
          <t>vQ25m11</t>
        </is>
      </c>
      <c r="B435" s="1">
        <f>MID(A435,1,SEARCH("m",A435,1)-1)</f>
        <v/>
      </c>
    </row>
    <row r="436">
      <c r="A436" s="1" t="inlineStr">
        <is>
          <t>vQ25m12</t>
        </is>
      </c>
      <c r="B436" s="1">
        <f>MID(A436,1,SEARCH("m",A436,1)-1)</f>
        <v/>
      </c>
    </row>
    <row r="437">
      <c r="A437" s="1" t="inlineStr">
        <is>
          <t>vQ25m13</t>
        </is>
      </c>
      <c r="B437" s="1">
        <f>MID(A437,1,SEARCH("m",A437,1)-1)</f>
        <v/>
      </c>
    </row>
    <row r="438">
      <c r="A438" s="1" t="inlineStr">
        <is>
          <t>vQ25m14</t>
        </is>
      </c>
      <c r="B438" s="1">
        <f>MID(A438,1,SEARCH("m",A438,1)-1)</f>
        <v/>
      </c>
    </row>
    <row r="439">
      <c r="A439" s="1" t="inlineStr">
        <is>
          <t>vQ25m15</t>
        </is>
      </c>
      <c r="B439" s="1">
        <f>MID(A439,1,SEARCH("m",A439,1)-1)</f>
        <v/>
      </c>
    </row>
    <row r="440">
      <c r="A440" s="1" t="inlineStr">
        <is>
          <t>vQ25m16</t>
        </is>
      </c>
      <c r="B440" s="1">
        <f>MID(A440,1,SEARCH("m",A440,1)-1)</f>
        <v/>
      </c>
    </row>
    <row r="441">
      <c r="A441" s="1" t="inlineStr">
        <is>
          <t>vQ25m17</t>
        </is>
      </c>
      <c r="B441" s="1">
        <f>MID(A441,1,SEARCH("m",A441,1)-1)</f>
        <v/>
      </c>
    </row>
    <row r="442">
      <c r="A442" s="1" t="inlineStr">
        <is>
          <t>vQ25m18</t>
        </is>
      </c>
      <c r="B442" s="1">
        <f>MID(A442,1,SEARCH("m",A442,1)-1)</f>
        <v/>
      </c>
    </row>
    <row r="443">
      <c r="A443" s="1" t="inlineStr">
        <is>
          <t>vQ25m19</t>
        </is>
      </c>
      <c r="B443" s="1">
        <f>MID(A443,1,SEARCH("m",A443,1)-1)</f>
        <v/>
      </c>
    </row>
    <row r="444">
      <c r="A444" s="1" t="inlineStr">
        <is>
          <t>vQ25m20</t>
        </is>
      </c>
      <c r="B444" s="1">
        <f>MID(A444,1,SEARCH("m",A444,1)-1)</f>
        <v/>
      </c>
    </row>
    <row r="445">
      <c r="A445" s="1" t="inlineStr">
        <is>
          <t>vQ25m21</t>
        </is>
      </c>
      <c r="B445" s="1">
        <f>MID(A445,1,SEARCH("m",A445,1)-1)</f>
        <v/>
      </c>
    </row>
    <row r="446">
      <c r="A446" s="1" t="inlineStr">
        <is>
          <t>vQ25m22</t>
        </is>
      </c>
      <c r="B446" s="1">
        <f>MID(A446,1,SEARCH("m",A446,1)-1)</f>
        <v/>
      </c>
    </row>
    <row r="447">
      <c r="A447" s="1" t="inlineStr">
        <is>
          <t>vQ25m23</t>
        </is>
      </c>
      <c r="B447" s="1">
        <f>MID(A447,1,SEARCH("m",A447,1)-1)</f>
        <v/>
      </c>
    </row>
    <row r="448">
      <c r="A448" s="1" t="inlineStr">
        <is>
          <t>vQ25m24</t>
        </is>
      </c>
      <c r="B448" s="1">
        <f>MID(A448,1,SEARCH("m",A448,1)-1)</f>
        <v/>
      </c>
    </row>
    <row r="449">
      <c r="A449" s="1" t="inlineStr">
        <is>
          <t>vQ25m25</t>
        </is>
      </c>
      <c r="B449" s="1">
        <f>MID(A449,1,SEARCH("m",A449,1)-1)</f>
        <v/>
      </c>
    </row>
    <row r="450">
      <c r="A450" s="1" t="inlineStr">
        <is>
          <t>vQ25m26</t>
        </is>
      </c>
      <c r="B450" s="1">
        <f>MID(A450,1,SEARCH("m",A450,1)-1)</f>
        <v/>
      </c>
    </row>
    <row r="451">
      <c r="A451" s="1" t="inlineStr">
        <is>
          <t>vQ25m27</t>
        </is>
      </c>
      <c r="B451" s="1">
        <f>MID(A451,1,SEARCH("m",A451,1)-1)</f>
        <v/>
      </c>
    </row>
    <row r="452">
      <c r="A452" s="1" t="inlineStr">
        <is>
          <t>vQ25m28</t>
        </is>
      </c>
      <c r="B452" s="1">
        <f>MID(A452,1,SEARCH("m",A452,1)-1)</f>
        <v/>
      </c>
    </row>
    <row r="453">
      <c r="A453" s="1" t="inlineStr">
        <is>
          <t>vQ25m29</t>
        </is>
      </c>
      <c r="B453" s="1">
        <f>MID(A453,1,SEARCH("m",A453,1)-1)</f>
        <v/>
      </c>
    </row>
    <row r="454">
      <c r="A454" s="1" t="inlineStr">
        <is>
          <t>vQ25m30</t>
        </is>
      </c>
      <c r="B454" s="1">
        <f>MID(A454,1,SEARCH("m",A454,1)-1)</f>
        <v/>
      </c>
    </row>
    <row r="455">
      <c r="A455" s="1" t="inlineStr">
        <is>
          <t>vQ25m31</t>
        </is>
      </c>
      <c r="B455" s="1">
        <f>MID(A455,1,SEARCH("m",A455,1)-1)</f>
        <v/>
      </c>
    </row>
    <row r="456">
      <c r="A456" s="1" t="inlineStr">
        <is>
          <t>vQ25m88</t>
        </is>
      </c>
      <c r="B456" s="1">
        <f>MID(A456,1,SEARCH("m",A456,1)-1)</f>
        <v/>
      </c>
    </row>
    <row r="457">
      <c r="A457" s="1" t="inlineStr">
        <is>
          <t>vQ22m01</t>
        </is>
      </c>
      <c r="B457" s="1">
        <f>MID(A457,1,SEARCH("m",A457,1)-1)</f>
        <v/>
      </c>
    </row>
    <row r="458">
      <c r="A458" s="1" t="inlineStr">
        <is>
          <t>vQ22m02</t>
        </is>
      </c>
      <c r="B458" s="1">
        <f>MID(A458,1,SEARCH("m",A458,1)-1)</f>
        <v/>
      </c>
    </row>
    <row r="459">
      <c r="A459" s="1" t="inlineStr">
        <is>
          <t>vQ22m03</t>
        </is>
      </c>
      <c r="B459" s="1">
        <f>MID(A459,1,SEARCH("m",A459,1)-1)</f>
        <v/>
      </c>
    </row>
    <row r="460">
      <c r="A460" s="1" t="inlineStr">
        <is>
          <t>vQ22m04</t>
        </is>
      </c>
      <c r="B460" s="1">
        <f>MID(A460,1,SEARCH("m",A460,1)-1)</f>
        <v/>
      </c>
    </row>
    <row r="461">
      <c r="A461" s="1" t="inlineStr">
        <is>
          <t>vQ22m05</t>
        </is>
      </c>
      <c r="B461" s="1">
        <f>MID(A461,1,SEARCH("m",A461,1)-1)</f>
        <v/>
      </c>
    </row>
    <row r="462">
      <c r="A462" s="1" t="inlineStr">
        <is>
          <t>vQ22m06</t>
        </is>
      </c>
      <c r="B462" s="1">
        <f>MID(A462,1,SEARCH("m",A462,1)-1)</f>
        <v/>
      </c>
    </row>
    <row r="463">
      <c r="A463" s="1" t="inlineStr">
        <is>
          <t>vQ22m07</t>
        </is>
      </c>
      <c r="B463" s="1">
        <f>MID(A463,1,SEARCH("m",A463,1)-1)</f>
        <v/>
      </c>
    </row>
    <row r="464">
      <c r="A464" s="1" t="inlineStr">
        <is>
          <t>vQ22m08</t>
        </is>
      </c>
      <c r="B464" s="1">
        <f>MID(A464,1,SEARCH("m",A464,1)-1)</f>
        <v/>
      </c>
    </row>
    <row r="465">
      <c r="A465" s="1" t="inlineStr">
        <is>
          <t>vQ22m09</t>
        </is>
      </c>
      <c r="B465" s="1">
        <f>MID(A465,1,SEARCH("m",A465,1)-1)</f>
        <v/>
      </c>
    </row>
    <row r="466">
      <c r="A466" s="1" t="inlineStr">
        <is>
          <t>vQ22m10</t>
        </is>
      </c>
      <c r="B466" s="1">
        <f>MID(A466,1,SEARCH("m",A466,1)-1)</f>
        <v/>
      </c>
    </row>
    <row r="467">
      <c r="A467" s="1" t="inlineStr">
        <is>
          <t>vQ22m11</t>
        </is>
      </c>
      <c r="B467" s="1">
        <f>MID(A467,1,SEARCH("m",A467,1)-1)</f>
        <v/>
      </c>
    </row>
    <row r="468">
      <c r="A468" s="1" t="inlineStr">
        <is>
          <t>vQ22m12</t>
        </is>
      </c>
      <c r="B468" s="1">
        <f>MID(A468,1,SEARCH("m",A468,1)-1)</f>
        <v/>
      </c>
    </row>
    <row r="469">
      <c r="A469" s="1" t="inlineStr">
        <is>
          <t>vQ22m13</t>
        </is>
      </c>
      <c r="B469" s="1">
        <f>MID(A469,1,SEARCH("m",A469,1)-1)</f>
        <v/>
      </c>
    </row>
    <row r="470">
      <c r="A470" s="1" t="inlineStr">
        <is>
          <t>vQ22m14</t>
        </is>
      </c>
      <c r="B470" s="1">
        <f>MID(A470,1,SEARCH("m",A470,1)-1)</f>
        <v/>
      </c>
    </row>
    <row r="471">
      <c r="A471" s="1" t="inlineStr">
        <is>
          <t>vQ22m15</t>
        </is>
      </c>
      <c r="B471" s="1">
        <f>MID(A471,1,SEARCH("m",A471,1)-1)</f>
        <v/>
      </c>
    </row>
    <row r="472">
      <c r="A472" s="1" t="inlineStr">
        <is>
          <t>vQ22m16</t>
        </is>
      </c>
      <c r="B472" s="1">
        <f>MID(A472,1,SEARCH("m",A472,1)-1)</f>
        <v/>
      </c>
    </row>
    <row r="473">
      <c r="A473" s="1" t="inlineStr">
        <is>
          <t>vQ22m17</t>
        </is>
      </c>
      <c r="B473" s="1">
        <f>MID(A473,1,SEARCH("m",A473,1)-1)</f>
        <v/>
      </c>
    </row>
    <row r="474">
      <c r="A474" s="1" t="inlineStr">
        <is>
          <t>vQ22m18</t>
        </is>
      </c>
      <c r="B474" s="1">
        <f>MID(A474,1,SEARCH("m",A474,1)-1)</f>
        <v/>
      </c>
    </row>
    <row r="475">
      <c r="A475" s="1" t="inlineStr">
        <is>
          <t>vQ22m19</t>
        </is>
      </c>
      <c r="B475" s="1">
        <f>MID(A475,1,SEARCH("m",A475,1)-1)</f>
        <v/>
      </c>
    </row>
    <row r="476">
      <c r="A476" s="1" t="inlineStr">
        <is>
          <t>vQ22m20</t>
        </is>
      </c>
      <c r="B476" s="1">
        <f>MID(A476,1,SEARCH("m",A476,1)-1)</f>
        <v/>
      </c>
    </row>
    <row r="477">
      <c r="A477" s="1" t="inlineStr">
        <is>
          <t>vQ22m21</t>
        </is>
      </c>
      <c r="B477" s="1">
        <f>MID(A477,1,SEARCH("m",A477,1)-1)</f>
        <v/>
      </c>
    </row>
    <row r="478">
      <c r="A478" s="1" t="inlineStr">
        <is>
          <t>vQ22m22</t>
        </is>
      </c>
      <c r="B478" s="1">
        <f>MID(A478,1,SEARCH("m",A478,1)-1)</f>
        <v/>
      </c>
    </row>
    <row r="479">
      <c r="A479" s="1" t="inlineStr">
        <is>
          <t>vQ22m23</t>
        </is>
      </c>
      <c r="B479" s="1">
        <f>MID(A479,1,SEARCH("m",A479,1)-1)</f>
        <v/>
      </c>
    </row>
    <row r="480">
      <c r="A480" s="1" t="inlineStr">
        <is>
          <t>vQ22m24</t>
        </is>
      </c>
      <c r="B480" s="1">
        <f>MID(A480,1,SEARCH("m",A480,1)-1)</f>
        <v/>
      </c>
    </row>
    <row r="481">
      <c r="A481" s="1" t="inlineStr">
        <is>
          <t>vQ22m25</t>
        </is>
      </c>
      <c r="B481" s="1">
        <f>MID(A481,1,SEARCH("m",A481,1)-1)</f>
        <v/>
      </c>
    </row>
    <row r="482">
      <c r="A482" s="1" t="inlineStr">
        <is>
          <t>vQ22m26</t>
        </is>
      </c>
      <c r="B482" s="1">
        <f>MID(A482,1,SEARCH("m",A482,1)-1)</f>
        <v/>
      </c>
    </row>
    <row r="483">
      <c r="A483" s="1" t="inlineStr">
        <is>
          <t>vQ22m27</t>
        </is>
      </c>
      <c r="B483" s="1">
        <f>MID(A483,1,SEARCH("m",A483,1)-1)</f>
        <v/>
      </c>
    </row>
    <row r="484">
      <c r="A484" s="1" t="inlineStr">
        <is>
          <t>vQ22m28</t>
        </is>
      </c>
      <c r="B484" s="1">
        <f>MID(A484,1,SEARCH("m",A484,1)-1)</f>
        <v/>
      </c>
    </row>
    <row r="485">
      <c r="A485" s="1" t="inlineStr">
        <is>
          <t>vQ22m29</t>
        </is>
      </c>
      <c r="B485" s="1">
        <f>MID(A485,1,SEARCH("m",A485,1)-1)</f>
        <v/>
      </c>
    </row>
    <row r="486">
      <c r="A486" s="1" t="inlineStr">
        <is>
          <t>vQ22m30</t>
        </is>
      </c>
      <c r="B486" s="1">
        <f>MID(A486,1,SEARCH("m",A486,1)-1)</f>
        <v/>
      </c>
    </row>
    <row r="487">
      <c r="A487" s="1" t="inlineStr">
        <is>
          <t>vQ22m31</t>
        </is>
      </c>
      <c r="B487" s="1">
        <f>MID(A487,1,SEARCH("m",A487,1)-1)</f>
        <v/>
      </c>
    </row>
    <row r="488">
      <c r="A488" s="1" t="inlineStr">
        <is>
          <t>vQ22m32</t>
        </is>
      </c>
      <c r="B488" s="1">
        <f>MID(A488,1,SEARCH("m",A488,1)-1)</f>
        <v/>
      </c>
    </row>
    <row r="489">
      <c r="A489" s="1" t="inlineStr">
        <is>
          <t>vQ22m33</t>
        </is>
      </c>
      <c r="B489" s="1">
        <f>MID(A489,1,SEARCH("m",A489,1)-1)</f>
        <v/>
      </c>
    </row>
    <row r="490">
      <c r="A490" s="1" t="inlineStr">
        <is>
          <t>vQ22m34</t>
        </is>
      </c>
      <c r="B490" s="1">
        <f>MID(A490,1,SEARCH("m",A490,1)-1)</f>
        <v/>
      </c>
    </row>
    <row r="491">
      <c r="A491" s="1" t="inlineStr">
        <is>
          <t>vQ22m35</t>
        </is>
      </c>
      <c r="B491" s="1">
        <f>MID(A491,1,SEARCH("m",A491,1)-1)</f>
        <v/>
      </c>
    </row>
    <row r="492">
      <c r="A492" s="1" t="inlineStr">
        <is>
          <t>vQ22m36</t>
        </is>
      </c>
      <c r="B492" s="1">
        <f>MID(A492,1,SEARCH("m",A492,1)-1)</f>
        <v/>
      </c>
    </row>
    <row r="493">
      <c r="A493" s="1" t="inlineStr">
        <is>
          <t>vQ22m37</t>
        </is>
      </c>
      <c r="B493" s="1">
        <f>MID(A493,1,SEARCH("m",A493,1)-1)</f>
        <v/>
      </c>
    </row>
    <row r="494">
      <c r="A494" s="1" t="inlineStr">
        <is>
          <t>vQ22m38</t>
        </is>
      </c>
      <c r="B494" s="1">
        <f>MID(A494,1,SEARCH("m",A494,1)-1)</f>
        <v/>
      </c>
    </row>
    <row r="495">
      <c r="A495" s="1" t="inlineStr">
        <is>
          <t>vQ22m39</t>
        </is>
      </c>
      <c r="B495" s="1">
        <f>MID(A495,1,SEARCH("m",A495,1)-1)</f>
        <v/>
      </c>
    </row>
    <row r="496">
      <c r="A496" s="1" t="inlineStr">
        <is>
          <t>vQ22m40</t>
        </is>
      </c>
      <c r="B496" s="1">
        <f>MID(A496,1,SEARCH("m",A496,1)-1)</f>
        <v/>
      </c>
    </row>
    <row r="497">
      <c r="A497" s="1" t="inlineStr">
        <is>
          <t>vQ22m88</t>
        </is>
      </c>
      <c r="B497" s="1">
        <f>MID(A497,1,SEARCH("m",A497,1)-1)</f>
        <v/>
      </c>
    </row>
    <row r="498">
      <c r="A498" s="1" t="inlineStr">
        <is>
          <t>vQ23m01</t>
        </is>
      </c>
      <c r="B498" s="1">
        <f>MID(A498,1,SEARCH("m",A498,1)-1)</f>
        <v/>
      </c>
    </row>
    <row r="499">
      <c r="A499" s="1" t="inlineStr">
        <is>
          <t>vQ23m02</t>
        </is>
      </c>
      <c r="B499" s="1">
        <f>MID(A499,1,SEARCH("m",A499,1)-1)</f>
        <v/>
      </c>
    </row>
    <row r="500">
      <c r="A500" s="1" t="inlineStr">
        <is>
          <t>vQ23m03</t>
        </is>
      </c>
      <c r="B500" s="1">
        <f>MID(A500,1,SEARCH("m",A500,1)-1)</f>
        <v/>
      </c>
    </row>
    <row r="501">
      <c r="A501" s="1" t="inlineStr">
        <is>
          <t>vQ23m04</t>
        </is>
      </c>
      <c r="B501" s="1">
        <f>MID(A501,1,SEARCH("m",A501,1)-1)</f>
        <v/>
      </c>
    </row>
    <row r="502">
      <c r="A502" s="1" t="inlineStr">
        <is>
          <t>vQ23m05</t>
        </is>
      </c>
      <c r="B502" s="1">
        <f>MID(A502,1,SEARCH("m",A502,1)-1)</f>
        <v/>
      </c>
    </row>
    <row r="503">
      <c r="A503" s="1" t="inlineStr">
        <is>
          <t>vQ23m06</t>
        </is>
      </c>
      <c r="B503" s="1">
        <f>MID(A503,1,SEARCH("m",A503,1)-1)</f>
        <v/>
      </c>
    </row>
    <row r="504">
      <c r="A504" s="1" t="inlineStr">
        <is>
          <t>vQ23m07</t>
        </is>
      </c>
      <c r="B504" s="1">
        <f>MID(A504,1,SEARCH("m",A504,1)-1)</f>
        <v/>
      </c>
    </row>
    <row r="505">
      <c r="A505" s="1" t="inlineStr">
        <is>
          <t>vQ23m08</t>
        </is>
      </c>
      <c r="B505" s="1">
        <f>MID(A505,1,SEARCH("m",A505,1)-1)</f>
        <v/>
      </c>
    </row>
    <row r="506">
      <c r="A506" s="1" t="inlineStr">
        <is>
          <t>vQ23m09</t>
        </is>
      </c>
      <c r="B506" s="1">
        <f>MID(A506,1,SEARCH("m",A506,1)-1)</f>
        <v/>
      </c>
    </row>
    <row r="507">
      <c r="A507" s="1" t="inlineStr">
        <is>
          <t>vQ23m10</t>
        </is>
      </c>
      <c r="B507" s="1">
        <f>MID(A507,1,SEARCH("m",A507,1)-1)</f>
        <v/>
      </c>
    </row>
    <row r="508">
      <c r="A508" s="1" t="inlineStr">
        <is>
          <t>vQ23m11</t>
        </is>
      </c>
      <c r="B508" s="1">
        <f>MID(A508,1,SEARCH("m",A508,1)-1)</f>
        <v/>
      </c>
    </row>
    <row r="509">
      <c r="A509" s="1" t="inlineStr">
        <is>
          <t>vQ23m12</t>
        </is>
      </c>
      <c r="B509" s="1">
        <f>MID(A509,1,SEARCH("m",A509,1)-1)</f>
        <v/>
      </c>
    </row>
    <row r="510">
      <c r="A510" s="1" t="inlineStr">
        <is>
          <t>vQ23m13</t>
        </is>
      </c>
      <c r="B510" s="1">
        <f>MID(A510,1,SEARCH("m",A510,1)-1)</f>
        <v/>
      </c>
    </row>
    <row r="511">
      <c r="A511" s="1" t="inlineStr">
        <is>
          <t>vQ23m14</t>
        </is>
      </c>
      <c r="B511" s="1">
        <f>MID(A511,1,SEARCH("m",A511,1)-1)</f>
        <v/>
      </c>
    </row>
    <row r="512">
      <c r="A512" s="1" t="inlineStr">
        <is>
          <t>vQ23m15</t>
        </is>
      </c>
      <c r="B512" s="1">
        <f>MID(A512,1,SEARCH("m",A512,1)-1)</f>
        <v/>
      </c>
    </row>
    <row r="513">
      <c r="A513" s="1" t="inlineStr">
        <is>
          <t>vQ23m16</t>
        </is>
      </c>
      <c r="B513" s="1">
        <f>MID(A513,1,SEARCH("m",A513,1)-1)</f>
        <v/>
      </c>
    </row>
    <row r="514">
      <c r="A514" s="1" t="inlineStr">
        <is>
          <t>vQ23m17</t>
        </is>
      </c>
      <c r="B514" s="1">
        <f>MID(A514,1,SEARCH("m",A514,1)-1)</f>
        <v/>
      </c>
    </row>
    <row r="515">
      <c r="A515" s="1" t="inlineStr">
        <is>
          <t>vQ23m18</t>
        </is>
      </c>
      <c r="B515" s="1">
        <f>MID(A515,1,SEARCH("m",A515,1)-1)</f>
        <v/>
      </c>
    </row>
    <row r="516">
      <c r="A516" s="1" t="inlineStr">
        <is>
          <t>vQ23m19</t>
        </is>
      </c>
      <c r="B516" s="1">
        <f>MID(A516,1,SEARCH("m",A516,1)-1)</f>
        <v/>
      </c>
    </row>
    <row r="517">
      <c r="A517" s="1" t="inlineStr">
        <is>
          <t>vQ23m20</t>
        </is>
      </c>
      <c r="B517" s="1">
        <f>MID(A517,1,SEARCH("m",A517,1)-1)</f>
        <v/>
      </c>
    </row>
    <row r="518">
      <c r="A518" s="1" t="inlineStr">
        <is>
          <t>vQ23m21</t>
        </is>
      </c>
      <c r="B518" s="1">
        <f>MID(A518,1,SEARCH("m",A518,1)-1)</f>
        <v/>
      </c>
    </row>
    <row r="519">
      <c r="A519" s="1" t="inlineStr">
        <is>
          <t>vQ23m22</t>
        </is>
      </c>
      <c r="B519" s="1">
        <f>MID(A519,1,SEARCH("m",A519,1)-1)</f>
        <v/>
      </c>
    </row>
    <row r="520">
      <c r="A520" s="1" t="inlineStr">
        <is>
          <t>vQ23m23</t>
        </is>
      </c>
      <c r="B520" s="1">
        <f>MID(A520,1,SEARCH("m",A520,1)-1)</f>
        <v/>
      </c>
    </row>
    <row r="521">
      <c r="A521" s="1" t="inlineStr">
        <is>
          <t>vQ23m24</t>
        </is>
      </c>
      <c r="B521" s="1">
        <f>MID(A521,1,SEARCH("m",A521,1)-1)</f>
        <v/>
      </c>
    </row>
    <row r="522">
      <c r="A522" s="1" t="inlineStr">
        <is>
          <t>vQ23m25</t>
        </is>
      </c>
      <c r="B522" s="1">
        <f>MID(A522,1,SEARCH("m",A522,1)-1)</f>
        <v/>
      </c>
    </row>
    <row r="523">
      <c r="A523" s="1" t="inlineStr">
        <is>
          <t>vQ23m26</t>
        </is>
      </c>
      <c r="B523" s="1">
        <f>MID(A523,1,SEARCH("m",A523,1)-1)</f>
        <v/>
      </c>
    </row>
    <row r="524">
      <c r="A524" s="1" t="inlineStr">
        <is>
          <t>vQ23m27</t>
        </is>
      </c>
      <c r="B524" s="1">
        <f>MID(A524,1,SEARCH("m",A524,1)-1)</f>
        <v/>
      </c>
    </row>
    <row r="525">
      <c r="A525" s="1" t="inlineStr">
        <is>
          <t>vQ23m88</t>
        </is>
      </c>
      <c r="B525" s="1">
        <f>MID(A525,1,SEARCH("m",A525,1)-1)</f>
        <v/>
      </c>
    </row>
    <row r="526">
      <c r="A526" s="1" t="inlineStr">
        <is>
          <t>vQ26m01</t>
        </is>
      </c>
      <c r="B526" s="1">
        <f>MID(A526,1,SEARCH("m",A526,1)-1)</f>
        <v/>
      </c>
    </row>
    <row r="527">
      <c r="A527" s="1" t="inlineStr">
        <is>
          <t>vQ26m02</t>
        </is>
      </c>
      <c r="B527" s="1">
        <f>MID(A527,1,SEARCH("m",A527,1)-1)</f>
        <v/>
      </c>
    </row>
    <row r="528">
      <c r="A528" s="1" t="inlineStr">
        <is>
          <t>vQ26m03</t>
        </is>
      </c>
      <c r="B528" s="1">
        <f>MID(A528,1,SEARCH("m",A528,1)-1)</f>
        <v/>
      </c>
    </row>
    <row r="529">
      <c r="A529" s="1" t="inlineStr">
        <is>
          <t>vQ26m04</t>
        </is>
      </c>
      <c r="B529" s="1">
        <f>MID(A529,1,SEARCH("m",A529,1)-1)</f>
        <v/>
      </c>
    </row>
    <row r="530">
      <c r="A530" s="1" t="inlineStr">
        <is>
          <t>vQ26m05</t>
        </is>
      </c>
      <c r="B530" s="1">
        <f>MID(A530,1,SEARCH("m",A530,1)-1)</f>
        <v/>
      </c>
    </row>
    <row r="531">
      <c r="A531" s="1" t="inlineStr">
        <is>
          <t>vQ26m06</t>
        </is>
      </c>
      <c r="B531" s="1">
        <f>MID(A531,1,SEARCH("m",A531,1)-1)</f>
        <v/>
      </c>
    </row>
    <row r="532">
      <c r="A532" s="1" t="inlineStr">
        <is>
          <t>vQ26m07</t>
        </is>
      </c>
      <c r="B532" s="1">
        <f>MID(A532,1,SEARCH("m",A532,1)-1)</f>
        <v/>
      </c>
    </row>
    <row r="533">
      <c r="A533" s="1" t="inlineStr">
        <is>
          <t>vQ26m08</t>
        </is>
      </c>
      <c r="B533" s="1">
        <f>MID(A533,1,SEARCH("m",A533,1)-1)</f>
        <v/>
      </c>
    </row>
    <row r="534">
      <c r="A534" s="1" t="inlineStr">
        <is>
          <t>vQ26m09</t>
        </is>
      </c>
      <c r="B534" s="1">
        <f>MID(A534,1,SEARCH("m",A534,1)-1)</f>
        <v/>
      </c>
    </row>
    <row r="535">
      <c r="A535" s="1" t="inlineStr">
        <is>
          <t>vQ26m10</t>
        </is>
      </c>
      <c r="B535" s="1">
        <f>MID(A535,1,SEARCH("m",A535,1)-1)</f>
        <v/>
      </c>
    </row>
    <row r="536">
      <c r="A536" s="1" t="inlineStr">
        <is>
          <t>vQ26m11</t>
        </is>
      </c>
      <c r="B536" s="1">
        <f>MID(A536,1,SEARCH("m",A536,1)-1)</f>
        <v/>
      </c>
    </row>
    <row r="537">
      <c r="A537" s="1" t="inlineStr">
        <is>
          <t>vQ26m12</t>
        </is>
      </c>
      <c r="B537" s="1">
        <f>MID(A537,1,SEARCH("m",A537,1)-1)</f>
        <v/>
      </c>
    </row>
    <row r="538">
      <c r="A538" s="1" t="inlineStr">
        <is>
          <t>vQ26m13</t>
        </is>
      </c>
      <c r="B538" s="1">
        <f>MID(A538,1,SEARCH("m",A538,1)-1)</f>
        <v/>
      </c>
    </row>
    <row r="539">
      <c r="A539" s="1" t="inlineStr">
        <is>
          <t>vQ26m14</t>
        </is>
      </c>
      <c r="B539" s="1">
        <f>MID(A539,1,SEARCH("m",A539,1)-1)</f>
        <v/>
      </c>
    </row>
    <row r="540">
      <c r="A540" s="1" t="inlineStr">
        <is>
          <t>vQ26m15</t>
        </is>
      </c>
      <c r="B540" s="1">
        <f>MID(A540,1,SEARCH("m",A540,1)-1)</f>
        <v/>
      </c>
    </row>
    <row r="541">
      <c r="A541" s="1" t="inlineStr">
        <is>
          <t>vQ26m16</t>
        </is>
      </c>
      <c r="B541" s="1">
        <f>MID(A541,1,SEARCH("m",A541,1)-1)</f>
        <v/>
      </c>
    </row>
    <row r="542">
      <c r="A542" s="1" t="inlineStr">
        <is>
          <t>vQ26m17</t>
        </is>
      </c>
      <c r="B542" s="1">
        <f>MID(A542,1,SEARCH("m",A542,1)-1)</f>
        <v/>
      </c>
    </row>
    <row r="543">
      <c r="A543" s="1" t="inlineStr">
        <is>
          <t>vQ26m18</t>
        </is>
      </c>
      <c r="B543" s="1">
        <f>MID(A543,1,SEARCH("m",A543,1)-1)</f>
        <v/>
      </c>
    </row>
    <row r="544">
      <c r="A544" s="1" t="inlineStr">
        <is>
          <t>vQ26m19</t>
        </is>
      </c>
      <c r="B544" s="1">
        <f>MID(A544,1,SEARCH("m",A544,1)-1)</f>
        <v/>
      </c>
    </row>
    <row r="545">
      <c r="A545" s="1" t="inlineStr">
        <is>
          <t>vQ26m20</t>
        </is>
      </c>
      <c r="B545" s="1">
        <f>MID(A545,1,SEARCH("m",A545,1)-1)</f>
        <v/>
      </c>
    </row>
    <row r="546">
      <c r="A546" s="1" t="inlineStr">
        <is>
          <t>vQ26m21</t>
        </is>
      </c>
      <c r="B546" s="1">
        <f>MID(A546,1,SEARCH("m",A546,1)-1)</f>
        <v/>
      </c>
    </row>
    <row r="547">
      <c r="A547" s="1" t="inlineStr">
        <is>
          <t>vQ26m22</t>
        </is>
      </c>
      <c r="B547" s="1">
        <f>MID(A547,1,SEARCH("m",A547,1)-1)</f>
        <v/>
      </c>
    </row>
    <row r="548">
      <c r="A548" s="1" t="inlineStr">
        <is>
          <t>vQ26m23</t>
        </is>
      </c>
      <c r="B548" s="1">
        <f>MID(A548,1,SEARCH("m",A548,1)-1)</f>
        <v/>
      </c>
    </row>
    <row r="549">
      <c r="A549" s="1" t="inlineStr">
        <is>
          <t>vQ26m24</t>
        </is>
      </c>
      <c r="B549" s="1">
        <f>MID(A549,1,SEARCH("m",A549,1)-1)</f>
        <v/>
      </c>
    </row>
    <row r="550">
      <c r="A550" s="1" t="inlineStr">
        <is>
          <t>vQ26m25</t>
        </is>
      </c>
      <c r="B550" s="1">
        <f>MID(A550,1,SEARCH("m",A550,1)-1)</f>
        <v/>
      </c>
    </row>
    <row r="551">
      <c r="A551" s="1" t="inlineStr">
        <is>
          <t>vQ26m26</t>
        </is>
      </c>
      <c r="B551" s="1">
        <f>MID(A551,1,SEARCH("m",A551,1)-1)</f>
        <v/>
      </c>
    </row>
    <row r="552">
      <c r="A552" s="1" t="inlineStr">
        <is>
          <t>vQ26m27</t>
        </is>
      </c>
      <c r="B552" s="1">
        <f>MID(A552,1,SEARCH("m",A552,1)-1)</f>
        <v/>
      </c>
    </row>
    <row r="553">
      <c r="A553" s="1" t="inlineStr">
        <is>
          <t>vQ26m28</t>
        </is>
      </c>
      <c r="B553" s="1">
        <f>MID(A553,1,SEARCH("m",A553,1)-1)</f>
        <v/>
      </c>
    </row>
    <row r="554">
      <c r="A554" s="1" t="inlineStr">
        <is>
          <t>vQ26m29</t>
        </is>
      </c>
      <c r="B554" s="1">
        <f>MID(A554,1,SEARCH("m",A554,1)-1)</f>
        <v/>
      </c>
    </row>
    <row r="555">
      <c r="A555" s="1" t="inlineStr">
        <is>
          <t>vQ26m88</t>
        </is>
      </c>
      <c r="B555" s="1">
        <f>MID(A555,1,SEARCH("m",A555,1)-1)</f>
        <v/>
      </c>
    </row>
    <row r="556">
      <c r="A556" s="1" t="inlineStr">
        <is>
          <t>vQ27m01</t>
        </is>
      </c>
      <c r="B556" s="1">
        <f>MID(A556,1,SEARCH("m",A556,1)-1)</f>
        <v/>
      </c>
    </row>
    <row r="557">
      <c r="A557" s="1" t="inlineStr">
        <is>
          <t>vQ27m02</t>
        </is>
      </c>
      <c r="B557" s="1">
        <f>MID(A557,1,SEARCH("m",A557,1)-1)</f>
        <v/>
      </c>
    </row>
    <row r="558">
      <c r="A558" s="1" t="inlineStr">
        <is>
          <t>vQ27m03</t>
        </is>
      </c>
      <c r="B558" s="1">
        <f>MID(A558,1,SEARCH("m",A558,1)-1)</f>
        <v/>
      </c>
    </row>
    <row r="559">
      <c r="A559" s="1" t="inlineStr">
        <is>
          <t>vQ27m04</t>
        </is>
      </c>
      <c r="B559" s="1">
        <f>MID(A559,1,SEARCH("m",A559,1)-1)</f>
        <v/>
      </c>
    </row>
    <row r="560">
      <c r="A560" s="1" t="inlineStr">
        <is>
          <t>vQ27m05</t>
        </is>
      </c>
      <c r="B560" s="1">
        <f>MID(A560,1,SEARCH("m",A560,1)-1)</f>
        <v/>
      </c>
    </row>
    <row r="561">
      <c r="A561" s="1" t="inlineStr">
        <is>
          <t>vQ27m06</t>
        </is>
      </c>
      <c r="B561" s="1">
        <f>MID(A561,1,SEARCH("m",A561,1)-1)</f>
        <v/>
      </c>
    </row>
    <row r="562">
      <c r="A562" s="1" t="inlineStr">
        <is>
          <t>vQ27m07</t>
        </is>
      </c>
      <c r="B562" s="1">
        <f>MID(A562,1,SEARCH("m",A562,1)-1)</f>
        <v/>
      </c>
    </row>
    <row r="563">
      <c r="A563" s="1" t="inlineStr">
        <is>
          <t>vQ27m88</t>
        </is>
      </c>
      <c r="B563" s="1">
        <f>MID(A563,1,SEARCH("m",A563,1)-1)</f>
        <v/>
      </c>
    </row>
    <row r="564">
      <c r="A564" s="1" t="inlineStr">
        <is>
          <t>vQ30m01</t>
        </is>
      </c>
      <c r="B564" s="1">
        <f>MID(A564,1,SEARCH("m",A564,1)-1)</f>
        <v/>
      </c>
    </row>
    <row r="565">
      <c r="A565" s="1" t="inlineStr">
        <is>
          <t>vQ30m02</t>
        </is>
      </c>
      <c r="B565" s="1">
        <f>MID(A565,1,SEARCH("m",A565,1)-1)</f>
        <v/>
      </c>
    </row>
    <row r="566">
      <c r="A566" s="1" t="inlineStr">
        <is>
          <t>vQ30m03</t>
        </is>
      </c>
      <c r="B566" s="1">
        <f>MID(A566,1,SEARCH("m",A566,1)-1)</f>
        <v/>
      </c>
    </row>
    <row r="567">
      <c r="A567" s="1" t="inlineStr">
        <is>
          <t>vQ30m04</t>
        </is>
      </c>
      <c r="B567" s="1">
        <f>MID(A567,1,SEARCH("m",A567,1)-1)</f>
        <v/>
      </c>
    </row>
    <row r="568">
      <c r="A568" s="1" t="inlineStr">
        <is>
          <t>vQ30m05</t>
        </is>
      </c>
      <c r="B568" s="1">
        <f>MID(A568,1,SEARCH("m",A568,1)-1)</f>
        <v/>
      </c>
    </row>
    <row r="569">
      <c r="A569" s="1" t="inlineStr">
        <is>
          <t>vQ30m06</t>
        </is>
      </c>
      <c r="B569" s="1">
        <f>MID(A569,1,SEARCH("m",A569,1)-1)</f>
        <v/>
      </c>
    </row>
    <row r="570">
      <c r="A570" s="1" t="inlineStr">
        <is>
          <t>vQ30m07</t>
        </is>
      </c>
      <c r="B570" s="1">
        <f>MID(A570,1,SEARCH("m",A570,1)-1)</f>
        <v/>
      </c>
    </row>
    <row r="571">
      <c r="A571" s="1" t="inlineStr">
        <is>
          <t>vQ30m08</t>
        </is>
      </c>
      <c r="B571" s="1">
        <f>MID(A571,1,SEARCH("m",A571,1)-1)</f>
        <v/>
      </c>
    </row>
    <row r="572">
      <c r="A572" s="1" t="inlineStr">
        <is>
          <t>vQ30m90</t>
        </is>
      </c>
      <c r="B572" s="1">
        <f>MID(A572,1,SEARCH("m",A572,1)-1)</f>
        <v/>
      </c>
    </row>
    <row r="573">
      <c r="A573" s="1" t="inlineStr">
        <is>
          <t>vQ31m01</t>
        </is>
      </c>
      <c r="B573" s="1">
        <f>MID(A573,1,SEARCH("m",A573,1)-1)</f>
        <v/>
      </c>
    </row>
    <row r="574">
      <c r="A574" s="1" t="inlineStr">
        <is>
          <t>vQ31m02</t>
        </is>
      </c>
      <c r="B574" s="1">
        <f>MID(A574,1,SEARCH("m",A574,1)-1)</f>
        <v/>
      </c>
    </row>
    <row r="575">
      <c r="A575" s="1" t="inlineStr">
        <is>
          <t>vQ31m03</t>
        </is>
      </c>
      <c r="B575" s="1">
        <f>MID(A575,1,SEARCH("m",A575,1)-1)</f>
        <v/>
      </c>
    </row>
    <row r="576">
      <c r="A576" s="1" t="inlineStr">
        <is>
          <t>vQ31m04</t>
        </is>
      </c>
      <c r="B576" s="1">
        <f>MID(A576,1,SEARCH("m",A576,1)-1)</f>
        <v/>
      </c>
    </row>
    <row r="577">
      <c r="A577" s="1" t="inlineStr">
        <is>
          <t>vQ31m05</t>
        </is>
      </c>
      <c r="B577" s="1">
        <f>MID(A577,1,SEARCH("m",A577,1)-1)</f>
        <v/>
      </c>
    </row>
    <row r="578">
      <c r="A578" s="1" t="inlineStr">
        <is>
          <t>vQ31m06</t>
        </is>
      </c>
      <c r="B578" s="1">
        <f>MID(A578,1,SEARCH("m",A578,1)-1)</f>
        <v/>
      </c>
    </row>
    <row r="579">
      <c r="A579" s="1" t="inlineStr">
        <is>
          <t>vQ31m07</t>
        </is>
      </c>
      <c r="B579" s="1">
        <f>MID(A579,1,SEARCH("m",A579,1)-1)</f>
        <v/>
      </c>
    </row>
    <row r="580">
      <c r="A580" s="1" t="inlineStr">
        <is>
          <t>vQ31m08</t>
        </is>
      </c>
      <c r="B580" s="1">
        <f>MID(A580,1,SEARCH("m",A580,1)-1)</f>
        <v/>
      </c>
    </row>
    <row r="581">
      <c r="A581" s="1" t="inlineStr">
        <is>
          <t>vQ31m90</t>
        </is>
      </c>
      <c r="B581" s="1">
        <f>MID(A581,1,SEARCH("m",A581,1)-1)</f>
        <v/>
      </c>
    </row>
    <row r="582">
      <c r="A582" s="1" t="inlineStr">
        <is>
          <t>vZE2m01</t>
        </is>
      </c>
      <c r="B582" s="1">
        <f>MID(A582,1,SEARCH("m",A582,1)-1)</f>
        <v/>
      </c>
    </row>
    <row r="583">
      <c r="A583" s="1" t="inlineStr">
        <is>
          <t>vZE2m02</t>
        </is>
      </c>
      <c r="B583" s="1">
        <f>MID(A583,1,SEARCH("m",A583,1)-1)</f>
        <v/>
      </c>
    </row>
    <row r="584">
      <c r="A584" s="1" t="inlineStr">
        <is>
          <t>vZE2m03</t>
        </is>
      </c>
      <c r="B584" s="1">
        <f>MID(A584,1,SEARCH("m",A584,1)-1)</f>
        <v/>
      </c>
    </row>
  </sheetData>
  <pageMargins left="0.7" right="0.7" top="0.75" bottom="0.75" header="0.3" footer="0.3"/>
  <pageSetup orientation="portrait" paperSize="9"/>
</worksheet>
</file>

<file path=xl/worksheets/sheet8.xml><?xml version="1.0" encoding="utf-8"?>
<worksheet xmlns="http://schemas.openxmlformats.org/spreadsheetml/2006/main">
  <sheetPr>
    <outlinePr summaryBelow="1" summaryRight="1"/>
    <pageSetUpPr/>
  </sheetPr>
  <dimension ref="A1:B1"/>
  <sheetViews>
    <sheetView workbookViewId="0">
      <selection activeCell="B1" sqref="B1"/>
    </sheetView>
  </sheetViews>
  <sheetFormatPr baseColWidth="8" defaultRowHeight="16.5"/>
  <sheetData>
    <row r="1">
      <c r="A1" s="1" t="inlineStr">
        <is>
          <t>鄉鎮市區</t>
        </is>
      </c>
      <c r="B1" s="8" t="inlineStr">
        <is>
          <t>100,103,104,105,106,108,110,111,112,114,115,116,200,201,202,203,204,205,206,207,208,209,210,211,212,220,221,222,223,224,226,227,228,231,232,233,234,235,236,237,238,239,241,242,243,244,247,248,249,251,252,253,260,261,262,263,264,265,266,267,268,269,270,272,302,303,304,305,306,307,308,310,311,312,313,314,315,320,324,325,326,327,328,330,333,334,335,336,337,338,350,351,352,353,354,356,357,358,360,361,362,363,364,365,366,367,368,369,400,401,402,403,404,406,407,408,411,412,413,414,420,421,422,423,424,426,427,428,429,432,433,434,435,436,437,438,439,500,502,503,504,505,506,507,508,509,510,511,512,513,514,515,516,520,521,522,523,524,525,526,527,528,530,540,541,542,544,545,546,551,552,553,555,556,557,558,602,603,604,605,606,607,608,611,612,613,614,615,616,621,622,623,624,625,630,631,632,633,634,635,636,637,638,640,643,646,647,648,649,651,652,653,654,655,700,701,702,704,708,709,710,711,712,713,714,715,716,717,718,719,720,721,722,723,724,725,726,727,730,731,732,733,734,735,736,737,741,742,743,744,745,800,801,802,803,804,805,806,807,811,812,813,814,815,820,821,822,823,824,825,826,827,828,829,830,831,832,833,840,842,843,844,845,846,847,848,849,851,852,880,881,882,883,884,885,890,891,892,893,894,896,900,901,902,903,904,905,906,907,908,909,911,912,913,920,921,922,923,924,925,926,927,928,929,931,932,940,941,942,943,944,945,946,947,950,951,952,953,954,955,956,957,958,959,961,962,963,964,965,966,970,971,972,973,974,975,976,977,978,979,981,982,983,3001,3002,3003,6001,6002,9997,9998,9996</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F122"/>
  <sheetViews>
    <sheetView tabSelected="1" topLeftCell="A43" workbookViewId="0">
      <selection activeCell="A111" sqref="A111:B122"/>
    </sheetView>
  </sheetViews>
  <sheetFormatPr baseColWidth="8" defaultRowHeight="16.5"/>
  <cols>
    <col width="42.875" customWidth="1" style="21" min="3" max="3"/>
    <col width="38.625" customWidth="1" style="21" min="4" max="4"/>
    <col width="43" customWidth="1" style="21" min="5" max="5"/>
  </cols>
  <sheetData>
    <row r="1">
      <c r="A1" s="1" t="inlineStr">
        <is>
          <t>m</t>
        </is>
      </c>
      <c r="B1" s="1" t="inlineStr">
        <is>
          <t>p</t>
        </is>
      </c>
      <c r="C1" s="1" t="inlineStr">
        <is>
          <t>條件</t>
        </is>
      </c>
      <c r="D1" s="1" t="inlineStr">
        <is>
          <t>應答</t>
        </is>
      </c>
      <c r="E1" s="1" t="inlineStr">
        <is>
          <t>不應答</t>
        </is>
      </c>
      <c r="F1" s="1" t="inlineStr">
        <is>
          <t>限制</t>
        </is>
      </c>
    </row>
    <row r="2">
      <c r="A2" s="1" t="n">
        <v>1501</v>
      </c>
      <c r="B2" s="1">
        <f>A2</f>
        <v/>
      </c>
      <c r="C2" s="1" t="inlineStr">
        <is>
          <t>vA1 in 997,998</t>
        </is>
      </c>
      <c r="D2" s="1" t="inlineStr">
        <is>
          <t>vA2</t>
        </is>
      </c>
    </row>
    <row r="3">
      <c r="A3" s="1" t="n">
        <v>1502</v>
      </c>
      <c r="B3" s="1">
        <f>A3</f>
        <v/>
      </c>
      <c r="C3" s="1" t="inlineStr">
        <is>
          <t>vA4 in 1,97,98</t>
        </is>
      </c>
      <c r="D3" s="1" t="n"/>
      <c r="E3" s="1" t="inlineStr">
        <is>
          <t>vA5city,vA5town</t>
        </is>
      </c>
    </row>
    <row r="4">
      <c r="A4" s="1" t="n">
        <v>1503</v>
      </c>
      <c r="B4" s="1">
        <f>A4</f>
        <v/>
      </c>
      <c r="C4" s="1" t="inlineStr">
        <is>
          <t>vO1 in 1,2,3,4,5,88</t>
        </is>
      </c>
      <c r="D4" s="1" t="inlineStr">
        <is>
          <t>vO2</t>
        </is>
      </c>
    </row>
    <row r="5">
      <c r="A5" s="1" t="n">
        <v>1504</v>
      </c>
      <c r="B5" s="1">
        <f>A5</f>
        <v/>
      </c>
      <c r="C5" s="1" t="inlineStr">
        <is>
          <t>vO1 in 1,2,3,4,5,88</t>
        </is>
      </c>
      <c r="D5" s="1" t="inlineStr">
        <is>
          <t>vO3</t>
        </is>
      </c>
      <c r="E5" s="1" t="n"/>
    </row>
    <row r="6">
      <c r="A6" s="1" t="n">
        <v>1505</v>
      </c>
      <c r="B6" s="1">
        <f>A6</f>
        <v/>
      </c>
      <c r="C6" s="1" t="inlineStr">
        <is>
          <t>vO1 in 1,2,3,4,5,88 &amp; vO3 in 3,4,5,6,1,88</t>
        </is>
      </c>
      <c r="D6" s="1" t="inlineStr">
        <is>
          <t>vO4</t>
        </is>
      </c>
      <c r="E6" s="1" t="n"/>
    </row>
    <row r="7">
      <c r="A7" s="1" t="n">
        <v>1506</v>
      </c>
      <c r="B7" s="1">
        <f>A7</f>
        <v/>
      </c>
      <c r="C7" s="1" t="inlineStr">
        <is>
          <t>vD1 in 1,2</t>
        </is>
      </c>
      <c r="D7" s="1" t="inlineStr">
        <is>
          <t>vD2</t>
        </is>
      </c>
      <c r="E7" s="1" t="n"/>
    </row>
    <row r="8">
      <c r="A8" s="1" t="n">
        <v>1507</v>
      </c>
      <c r="B8" s="1">
        <f>A8</f>
        <v/>
      </c>
      <c r="C8" s="1" t="inlineStr">
        <is>
          <t>vD1 in 1,2</t>
        </is>
      </c>
      <c r="D8" s="1" t="inlineStr">
        <is>
          <t>vD3</t>
        </is>
      </c>
      <c r="E8" s="1" t="n"/>
    </row>
    <row r="9">
      <c r="A9" s="1" t="n">
        <v>1508</v>
      </c>
      <c r="B9" s="1">
        <f>A9</f>
        <v/>
      </c>
      <c r="C9" s="1" t="inlineStr">
        <is>
          <t>vD1 in 1,2</t>
        </is>
      </c>
      <c r="D9" s="1" t="inlineStr">
        <is>
          <t>vD4sD4,vD4sD5,vD4sD6,vD4sD7,vD4sD8</t>
        </is>
      </c>
      <c r="E9" s="1" t="n"/>
    </row>
    <row r="10">
      <c r="A10" s="1" t="n">
        <v>1509</v>
      </c>
      <c r="B10" s="1">
        <f>A10</f>
        <v/>
      </c>
      <c r="C10" s="1" t="inlineStr">
        <is>
          <t>(vK1m01 in 1 | vK2m13 in 1)</t>
        </is>
      </c>
      <c r="D10" s="1" t="inlineStr">
        <is>
          <t>vE17</t>
        </is>
      </c>
      <c r="E10" s="1" t="n"/>
    </row>
    <row r="11">
      <c r="A11" s="1" t="n">
        <v>1510</v>
      </c>
      <c r="B11" s="1">
        <f>A11</f>
        <v/>
      </c>
      <c r="C11" s="1" t="inlineStr">
        <is>
          <t>(vK1m01 in 1 | vK2m13 in 1)</t>
        </is>
      </c>
      <c r="D11" s="1" t="inlineStr">
        <is>
          <t>vKLI1</t>
        </is>
      </c>
      <c r="E11" s="1" t="n"/>
    </row>
    <row r="12">
      <c r="A12" s="1" t="n">
        <v>1511</v>
      </c>
      <c r="B12" s="1">
        <f>A12</f>
        <v/>
      </c>
      <c r="C12" s="1" t="inlineStr">
        <is>
          <t>(vK1m01 in 1 | vK2m13 in 1)</t>
        </is>
      </c>
      <c r="D12" s="1" t="inlineStr">
        <is>
          <t>vKLI2</t>
        </is>
      </c>
    </row>
    <row r="13">
      <c r="A13" s="1" t="n">
        <v>1512</v>
      </c>
      <c r="B13" s="1">
        <f>A13</f>
        <v/>
      </c>
      <c r="C13" s="1" t="inlineStr">
        <is>
          <t>(vK1m02 in 1 | vK2m01 in 1)</t>
        </is>
      </c>
      <c r="D13" s="1" t="inlineStr">
        <is>
          <t>vKFB1</t>
        </is>
      </c>
    </row>
    <row r="14">
      <c r="A14" s="1" t="n">
        <v>1513</v>
      </c>
      <c r="B14" s="1">
        <f>A14</f>
        <v/>
      </c>
      <c r="C14" s="1" t="inlineStr">
        <is>
          <t>(vK1m02 in 1 | vK2m01 in 1)</t>
        </is>
      </c>
      <c r="D14" s="1" t="inlineStr">
        <is>
          <t>vKFB2</t>
        </is>
      </c>
    </row>
    <row r="15">
      <c r="A15" s="1" t="n">
        <v>1514</v>
      </c>
      <c r="B15" s="1">
        <f>A15</f>
        <v/>
      </c>
      <c r="C15" s="1" t="inlineStr">
        <is>
          <t>(vK1m02 in 1 | vK2m01 in 1)</t>
        </is>
      </c>
      <c r="D15" s="1" t="inlineStr">
        <is>
          <t>vKFB3m01,vKFB3m02,vKFB3m03,vKFB3m04,vKFB3m05,vKFB3m06,vKFB3m07,vKFB3m08,vKFB3m09,vKFB3m10,vKFB3m11,vKFB3m12,vKFB3m13,vKFB3m14,vKFB3m15,vKFB3m16,vKFB3m17,vKFB3m88</t>
        </is>
      </c>
    </row>
    <row r="16">
      <c r="A16" s="1" t="n">
        <v>1515</v>
      </c>
      <c r="B16" s="1">
        <f>A16</f>
        <v/>
      </c>
      <c r="C16" s="1" t="inlineStr">
        <is>
          <t>(vK1m02 in 1 | vK2m01 in 1)</t>
        </is>
      </c>
      <c r="D16" s="1" t="inlineStr">
        <is>
          <t>vKFB4m01,vKFB4m02,vKFB4m03,vKFB4m04,vKFB4m05,vKFB4m06,vKFB4m07,vKFB4m08,vKFB4m09,vKFB4m10,vKFB4m11,vKFB4m12,vKFB4m13,vKFB4m14,vKFB4m15,vKFB4m16,vKFB4m17,vKFB4m18,vKFB4m88</t>
        </is>
      </c>
    </row>
    <row r="17">
      <c r="A17" s="1" t="n">
        <v>1516</v>
      </c>
      <c r="B17" s="1">
        <f>A17</f>
        <v/>
      </c>
      <c r="C17" s="1" t="inlineStr">
        <is>
          <t>(vK1m03 in 1 | vK2m02 in 1)</t>
        </is>
      </c>
      <c r="D17" s="1" t="inlineStr">
        <is>
          <t>vKIG1</t>
        </is>
      </c>
      <c r="E17" s="1" t="n"/>
    </row>
    <row r="18">
      <c r="A18" s="1" t="n">
        <v>1517</v>
      </c>
      <c r="B18" s="1">
        <f>A18</f>
        <v/>
      </c>
      <c r="C18" s="1" t="inlineStr">
        <is>
          <t>(vK1m03 in 1 | vK2m02 in 1)</t>
        </is>
      </c>
      <c r="D18" s="1" t="inlineStr">
        <is>
          <t>vKIG2</t>
        </is>
      </c>
    </row>
    <row r="19">
      <c r="A19" s="1" t="n">
        <v>1518</v>
      </c>
      <c r="B19" s="1">
        <f>A19</f>
        <v/>
      </c>
      <c r="C19" s="1" t="inlineStr">
        <is>
          <t>(vK1m03 in 1 | vK2m02 in 1)</t>
        </is>
      </c>
      <c r="D19" s="1" t="inlineStr">
        <is>
          <t>vKIG3m01,vKIG3m02,vKIG3m03,vKIG3m04,vKIG3m05,vKIG3m06,vKIG3m07,vKIG3m08,vKIG3m09,vKIG3m10,vKIG3m11,vKIG3m12,vKIG3m13,vKIG3m14,vKIG3m15,vKIG3m16,vKIG3m17,vKIG3m88</t>
        </is>
      </c>
    </row>
    <row r="20">
      <c r="A20" s="1" t="n">
        <v>1519</v>
      </c>
      <c r="B20" s="1">
        <f>A20</f>
        <v/>
      </c>
      <c r="C20" s="1" t="inlineStr">
        <is>
          <t>(vK1m03 in 1 | vK2m02 in 1)</t>
        </is>
      </c>
      <c r="D20" s="1" t="inlineStr">
        <is>
          <t>vKIG4m01,vKIG4m02,vKIG4m03,vKIG4m04,vKIG4m05,vKIG4m06,vKIG4m07,vKIG4m08,vKIG4m09,vKIG4m10,vKIG4m11,vKIG4m12,vKIG4m13,vKIG4m14,vKIG4m88</t>
        </is>
      </c>
    </row>
    <row r="21">
      <c r="A21" s="1" t="n">
        <v>1520</v>
      </c>
      <c r="B21" s="1">
        <f>A21</f>
        <v/>
      </c>
      <c r="C21" s="1" t="inlineStr">
        <is>
          <t>(vK1m11 in 1 | vK2m07 in 1)</t>
        </is>
      </c>
      <c r="D21" s="1" t="inlineStr">
        <is>
          <t>vKTT1</t>
        </is>
      </c>
      <c r="E21" s="1" t="n"/>
    </row>
    <row r="22">
      <c r="A22" s="1" t="n">
        <v>1521</v>
      </c>
      <c r="B22" s="1">
        <f>A22</f>
        <v/>
      </c>
      <c r="C22" s="1" t="inlineStr">
        <is>
          <t>(vK1m11 in 1 | vK2m07 in 1)</t>
        </is>
      </c>
      <c r="D22" s="1" t="inlineStr">
        <is>
          <t>vKTT2</t>
        </is>
      </c>
    </row>
    <row r="23">
      <c r="A23" s="1" t="n">
        <v>1522</v>
      </c>
      <c r="B23" s="1">
        <f>A23</f>
        <v/>
      </c>
      <c r="C23" s="1" t="inlineStr">
        <is>
          <t>(vK1m11 in 1 | vK2m07 in 1)</t>
        </is>
      </c>
      <c r="D23" s="1" t="inlineStr">
        <is>
          <t>vKTT3m01,vKTT3m02,vKTT3m03,vKTT3m04,vKTT3m05,vKTT3m06,vKTT3m07,vKTT3m08,vKTT3m09,vKTT3m10,vKTT3m11,vKTT3m12,vKTT3m13,vKTT3m14,vKTT3m15,vKTT3m16,vKTT3m88</t>
        </is>
      </c>
    </row>
    <row r="24">
      <c r="A24" s="1" t="n">
        <v>1523</v>
      </c>
      <c r="B24" s="1">
        <f>A24</f>
        <v/>
      </c>
      <c r="C24" s="1" t="inlineStr">
        <is>
          <t>(vK1m11 in 1 | vK2m07 in 1)</t>
        </is>
      </c>
      <c r="D24" s="1" t="inlineStr">
        <is>
          <t>vKTT4m01,vKTT4m02,vKTT4m03,vKTT4m04,vKTT4m05,vKTT4m06,vKTT4m07,vKTT4m08,vKTT4m09,vKTT4m10,vKTT4m11,vKTT4m12,vKTT4m13,vKTT4m14,vKTT4m88</t>
        </is>
      </c>
    </row>
    <row r="25">
      <c r="A25" s="1" t="n">
        <v>1524</v>
      </c>
      <c r="B25" s="1">
        <f>A25</f>
        <v/>
      </c>
      <c r="C25" s="1" t="inlineStr">
        <is>
          <t>(vK1m11 in 1 | vK2m07 in 1)</t>
        </is>
      </c>
      <c r="D25" s="1" t="inlineStr">
        <is>
          <t>vKTT5m01,vKTT5m02,vKTT5m03,vKTT5m04,vKTT5m05,vKTT5m06,vKTT5m07,vKTT5m08,vKTT5m09,vKTT5m10,vKTT5m11,vKTT5m12,vKTT5m88</t>
        </is>
      </c>
    </row>
    <row r="26">
      <c r="A26" s="1" t="n">
        <v>1525</v>
      </c>
      <c r="B26" s="1">
        <f>A26</f>
        <v/>
      </c>
      <c r="C26" s="1" t="inlineStr">
        <is>
          <t>(vK1m13 in 1 | vK2m11 in 1)</t>
        </is>
      </c>
      <c r="D26" s="1" t="inlineStr">
        <is>
          <t>vP5_1</t>
        </is>
      </c>
    </row>
    <row r="27">
      <c r="A27" s="1" t="n">
        <v>1526</v>
      </c>
      <c r="B27" s="1">
        <f>A27</f>
        <v/>
      </c>
      <c r="C27" s="1" t="inlineStr">
        <is>
          <t>(vK1m13 in 1 | vK2m11 in 1)</t>
        </is>
      </c>
      <c r="D27" s="1" t="inlineStr">
        <is>
          <t>vP5_2</t>
        </is>
      </c>
    </row>
    <row r="28">
      <c r="A28" s="1" t="n">
        <v>1527</v>
      </c>
      <c r="B28" s="1">
        <f>A28</f>
        <v/>
      </c>
      <c r="C28" s="1" t="inlineStr">
        <is>
          <t>vK3m01 in 1</t>
        </is>
      </c>
      <c r="D28" s="1" t="inlineStr">
        <is>
          <t>vE18</t>
        </is>
      </c>
    </row>
    <row r="29">
      <c r="A29" s="1" t="n">
        <v>1528</v>
      </c>
      <c r="B29" s="1">
        <f>A29</f>
        <v/>
      </c>
      <c r="C29" s="1" t="inlineStr">
        <is>
          <t>vK3m01 in 1</t>
        </is>
      </c>
      <c r="D29" s="1" t="inlineStr">
        <is>
          <t>vKYT1</t>
        </is>
      </c>
    </row>
    <row r="30">
      <c r="A30" s="1" t="n">
        <v>1529</v>
      </c>
      <c r="B30" s="1">
        <f>A30</f>
        <v/>
      </c>
      <c r="C30" s="1" t="inlineStr">
        <is>
          <t>vK3m01 in 1</t>
        </is>
      </c>
      <c r="D30" s="1" t="inlineStr">
        <is>
          <t>vKYT2</t>
        </is>
      </c>
    </row>
    <row r="31">
      <c r="A31" s="1" t="n">
        <v>1530</v>
      </c>
      <c r="B31" s="1">
        <f>A31</f>
        <v/>
      </c>
      <c r="C31" s="1" t="inlineStr">
        <is>
          <t>vE1 in 1</t>
        </is>
      </c>
      <c r="D31" s="1" t="inlineStr">
        <is>
          <t>vE2m01,vE2m02,vE2m03,vE2m04,vE2m88</t>
        </is>
      </c>
    </row>
    <row r="32">
      <c r="A32" s="1" t="n">
        <v>1531</v>
      </c>
      <c r="B32" s="1">
        <f>A32</f>
        <v/>
      </c>
      <c r="C32" s="1" t="inlineStr">
        <is>
          <t>(vE2m01 in 1 | vE17 in 1 | vE18 in 1)</t>
        </is>
      </c>
      <c r="D32" s="1" t="inlineStr">
        <is>
          <t>vE4</t>
        </is>
      </c>
    </row>
    <row r="33">
      <c r="A33" s="1" t="n">
        <v>1532</v>
      </c>
      <c r="B33" s="1">
        <f>A33</f>
        <v/>
      </c>
      <c r="C33" s="1" t="inlineStr">
        <is>
          <t>(vE2m01 in 1 | vE17 in 1 | vE18 in 1)</t>
        </is>
      </c>
      <c r="D33" s="1" t="inlineStr">
        <is>
          <t>vE5</t>
        </is>
      </c>
    </row>
    <row r="34">
      <c r="A34" s="1" t="n">
        <v>1533</v>
      </c>
      <c r="B34" s="1">
        <f>A34</f>
        <v/>
      </c>
      <c r="C34" s="1" t="inlineStr">
        <is>
          <t>(vO1_1 in 1,2,3,4,88 | vO1 in 1,2,3,4,5,12,13,14,88)</t>
        </is>
      </c>
      <c r="D34" s="1" t="inlineStr">
        <is>
          <t>vE5</t>
        </is>
      </c>
    </row>
    <row r="35">
      <c r="A35" s="1" t="n">
        <v>1534</v>
      </c>
      <c r="B35" s="1">
        <f>A35</f>
        <v/>
      </c>
      <c r="C35" s="1" t="inlineStr">
        <is>
          <t>(vE2m01 in 1 | vE17 in 1 | vE18 in 1)</t>
        </is>
      </c>
      <c r="D35" s="1" t="inlineStr">
        <is>
          <t>vE6</t>
        </is>
      </c>
    </row>
    <row r="36">
      <c r="A36" s="1" t="n">
        <v>1535</v>
      </c>
      <c r="B36" s="1">
        <f>A36</f>
        <v/>
      </c>
      <c r="C36" s="1" t="inlineStr">
        <is>
          <t>(vE2m02 in 1 | vE17 in 2 | vE18 in 2)</t>
        </is>
      </c>
      <c r="D36" s="1" t="inlineStr">
        <is>
          <t>vE7</t>
        </is>
      </c>
    </row>
    <row r="37">
      <c r="A37" s="1" t="n">
        <v>1536</v>
      </c>
      <c r="B37" s="1">
        <f>A37</f>
        <v/>
      </c>
      <c r="C37" s="1" t="inlineStr">
        <is>
          <t>(vE2m02 in 1 | vE17 in 2 | vE18 in 2)</t>
        </is>
      </c>
      <c r="D37" s="1" t="inlineStr">
        <is>
          <t>vE8</t>
        </is>
      </c>
    </row>
    <row r="38">
      <c r="A38" s="1" t="n">
        <v>1537</v>
      </c>
      <c r="B38" s="1">
        <f>A38</f>
        <v/>
      </c>
      <c r="C38" s="1" t="inlineStr">
        <is>
          <t>(vO1_1 in 1,2,3,4,88 | vO1 in 1,2,3,4,5,12,13,14,88)</t>
        </is>
      </c>
      <c r="D38" s="1" t="inlineStr">
        <is>
          <t>vE8</t>
        </is>
      </c>
    </row>
    <row r="39">
      <c r="A39" s="1" t="n">
        <v>1538</v>
      </c>
      <c r="B39" s="1">
        <f>A39</f>
        <v/>
      </c>
      <c r="C39" s="1" t="inlineStr">
        <is>
          <t>(vE2m02 in 1 | vE17 in 2 | vE18 in 2)</t>
        </is>
      </c>
      <c r="D39" s="1" t="inlineStr">
        <is>
          <t>vE9</t>
        </is>
      </c>
    </row>
    <row r="40">
      <c r="A40" s="1" t="n">
        <v>1539</v>
      </c>
      <c r="B40" s="1">
        <f>A40</f>
        <v/>
      </c>
      <c r="C40" s="1" t="inlineStr">
        <is>
          <t>(vE2m03 in 1 | vE17 in 3 | vE18 in 3)</t>
        </is>
      </c>
      <c r="D40" s="1" t="inlineStr">
        <is>
          <t>vE10</t>
        </is>
      </c>
    </row>
    <row r="41">
      <c r="A41" s="1" t="n">
        <v>1540</v>
      </c>
      <c r="B41" s="1">
        <f>A41</f>
        <v/>
      </c>
      <c r="C41" s="1" t="inlineStr">
        <is>
          <t>(vE2m03 in 1 | vE17 in 3 | vE18 in 3)</t>
        </is>
      </c>
      <c r="D41" s="1" t="inlineStr">
        <is>
          <t>vE11</t>
        </is>
      </c>
    </row>
    <row r="42">
      <c r="A42" s="1" t="n">
        <v>1541</v>
      </c>
      <c r="B42" s="1">
        <f>A42</f>
        <v/>
      </c>
      <c r="C42" s="1" t="inlineStr">
        <is>
          <t>(vO1_1 in 1,2,3,4,88 | vO1 in 1,2,3,4,5,12,13,14,88)</t>
        </is>
      </c>
      <c r="D42" s="1" t="inlineStr">
        <is>
          <t>vE11</t>
        </is>
      </c>
    </row>
    <row r="43">
      <c r="A43" s="1" t="n">
        <v>1542</v>
      </c>
      <c r="B43" s="1">
        <f>A43</f>
        <v/>
      </c>
      <c r="C43" s="1" t="inlineStr">
        <is>
          <t>(vE2m03 in 1 | vE17 in 3 | vE18 in 3)</t>
        </is>
      </c>
      <c r="D43" s="1" t="inlineStr">
        <is>
          <t>vE12</t>
        </is>
      </c>
    </row>
    <row r="44">
      <c r="A44" s="1" t="n">
        <v>1543</v>
      </c>
      <c r="B44" s="1">
        <f>A44</f>
        <v/>
      </c>
      <c r="C44" s="1" t="inlineStr">
        <is>
          <t>vE1 in 1</t>
        </is>
      </c>
      <c r="D44" s="1" t="inlineStr">
        <is>
          <t>vE3</t>
        </is>
      </c>
    </row>
    <row r="45">
      <c r="A45" s="1" t="n">
        <v>1544</v>
      </c>
      <c r="B45" s="1">
        <f>A45</f>
        <v/>
      </c>
      <c r="C45" s="1" t="inlineStr">
        <is>
          <t>vE1 in 1</t>
        </is>
      </c>
      <c r="D45" s="1" t="inlineStr">
        <is>
          <t>vE13m01,vE13m02,vE13m03,vE13m04,vE13m05,vE13m06,vE13m88</t>
        </is>
      </c>
    </row>
    <row r="46">
      <c r="A46" s="1" t="n">
        <v>1545</v>
      </c>
      <c r="B46" s="1">
        <f>A46</f>
        <v/>
      </c>
      <c r="C46" s="1" t="inlineStr">
        <is>
          <t>vE1 in 1</t>
        </is>
      </c>
      <c r="D46" s="1" t="inlineStr">
        <is>
          <t>vE14</t>
        </is>
      </c>
    </row>
    <row r="47">
      <c r="A47" s="1" t="n">
        <v>1546</v>
      </c>
      <c r="B47" s="1">
        <f>A47</f>
        <v/>
      </c>
      <c r="C47" s="1" t="inlineStr">
        <is>
          <t>vE1 in 1</t>
        </is>
      </c>
      <c r="D47" s="1" t="inlineStr">
        <is>
          <t>vG7m01,vG7m02,vG7m03,vG7m04,vG7m05,vG7m06,vG7m07,vG7m08,vG7m09,vG7m10,vG7m11,vG7m12,vG7m88,vG7m90</t>
        </is>
      </c>
    </row>
    <row r="48">
      <c r="A48" s="1" t="n">
        <v>1547</v>
      </c>
      <c r="B48" s="1">
        <f>A48</f>
        <v/>
      </c>
      <c r="C48" s="1" t="inlineStr">
        <is>
          <t>vE1 in 1</t>
        </is>
      </c>
      <c r="D48" s="1" t="inlineStr">
        <is>
          <t>vG8m01,vG8m02,vG8m03,vG8m04,vG8m05,vG8m06,vG8m07,vG8m08,vG8m09,vG8m10,vG8m11,vG8m12,vG8m13,vG8m14,vG8m15,vG8m16,vG8m88,vG8m90</t>
        </is>
      </c>
    </row>
    <row r="49">
      <c r="A49" s="1" t="n">
        <v>1548</v>
      </c>
      <c r="B49" s="1">
        <f>A49</f>
        <v/>
      </c>
      <c r="C49" s="1" t="inlineStr">
        <is>
          <t>vE1 in 1</t>
        </is>
      </c>
      <c r="D49" s="1" t="inlineStr">
        <is>
          <t>vG9m01,vG9m02,vG9m03,vG9m04,vG9m05,vG9m06,vG9m07,vG9m08,vG9m09,vG9m10,vG9m11,vG9m12,vG9m13,vG9m88,vG9m90</t>
        </is>
      </c>
    </row>
    <row r="50">
      <c r="A50" s="1" t="n">
        <v>1549</v>
      </c>
      <c r="B50" s="1">
        <f>A50</f>
        <v/>
      </c>
      <c r="C50" s="1" t="inlineStr">
        <is>
          <t>vE1 in 1</t>
        </is>
      </c>
      <c r="D50" s="1" t="inlineStr">
        <is>
          <t>vG10m01,vG10m02,vG10m03,vG10m04,vG10m05,vG10m06,vG10m07,vG10m08,vG10m09,vG10m10,vG10m11,vG10m12,vG10m13,vG10m14,vG10m15,vG10m16,vG10m17,vG10m18,vG10m19,vG10m88,vG10m90</t>
        </is>
      </c>
    </row>
    <row r="51">
      <c r="A51" s="1" t="n">
        <v>1550</v>
      </c>
      <c r="B51" s="1">
        <f>A51</f>
        <v/>
      </c>
      <c r="C51" s="1" t="inlineStr">
        <is>
          <t>vE1 in 1</t>
        </is>
      </c>
      <c r="D51" s="1" t="inlineStr">
        <is>
          <t>vG11m01,vG11m02,vG11m03,vG11m04,vG11m05,vG11m88,vG11m90</t>
        </is>
      </c>
    </row>
    <row r="52">
      <c r="A52" s="1" t="n">
        <v>1551</v>
      </c>
      <c r="B52" s="1">
        <f>A52</f>
        <v/>
      </c>
      <c r="C52" s="1" t="inlineStr">
        <is>
          <t>vB1 in 0</t>
        </is>
      </c>
      <c r="D52" s="1" t="n"/>
      <c r="E52" s="1" t="inlineStr">
        <is>
          <t>vB2</t>
        </is>
      </c>
    </row>
    <row r="53">
      <c r="A53" s="1" t="n">
        <v>1552</v>
      </c>
      <c r="B53" s="1">
        <f>A53</f>
        <v/>
      </c>
      <c r="C53" s="1" t="inlineStr">
        <is>
          <t>vB3 in 0</t>
        </is>
      </c>
      <c r="D53" s="1" t="n"/>
      <c r="E53" s="1" t="inlineStr">
        <is>
          <t>vB4</t>
        </is>
      </c>
    </row>
    <row r="54">
      <c r="A54" s="1" t="n">
        <v>1553</v>
      </c>
      <c r="B54" s="1">
        <f>A54</f>
        <v/>
      </c>
      <c r="C54" s="1" t="inlineStr">
        <is>
          <t>vB5 in 0</t>
        </is>
      </c>
      <c r="D54" s="1" t="inlineStr">
        <is>
          <t>vB6</t>
        </is>
      </c>
    </row>
    <row r="55">
      <c r="A55" s="1" t="n">
        <v>1554</v>
      </c>
      <c r="B55" s="1">
        <f>A55</f>
        <v/>
      </c>
      <c r="C55" s="1" t="inlineStr">
        <is>
          <t>vB5 in 0</t>
        </is>
      </c>
      <c r="D55" s="1" t="inlineStr">
        <is>
          <t>vB7</t>
        </is>
      </c>
    </row>
    <row r="56">
      <c r="A56" s="1" t="n">
        <v>1555</v>
      </c>
      <c r="B56" s="1">
        <f>A56</f>
        <v/>
      </c>
      <c r="C56" s="1" t="inlineStr">
        <is>
          <t>vI1 in 0</t>
        </is>
      </c>
      <c r="D56" s="1" t="n"/>
      <c r="E56" s="1" t="inlineStr">
        <is>
          <t>vI2</t>
        </is>
      </c>
    </row>
    <row r="57">
      <c r="A57" s="1" t="n">
        <v>1556</v>
      </c>
      <c r="B57" s="1">
        <f>A57</f>
        <v/>
      </c>
      <c r="C57" s="1" t="inlineStr">
        <is>
          <t>vI3 in 0</t>
        </is>
      </c>
      <c r="D57" s="1" t="n"/>
      <c r="E57" s="1" t="inlineStr">
        <is>
          <t>vI4</t>
        </is>
      </c>
    </row>
    <row r="58">
      <c r="A58" s="1" t="n">
        <v>1557</v>
      </c>
      <c r="B58" s="1">
        <f>A58</f>
        <v/>
      </c>
      <c r="C58" s="1" t="inlineStr">
        <is>
          <t>vA9 in 1</t>
        </is>
      </c>
      <c r="D58" s="1" t="n"/>
      <c r="E58" s="1" t="inlineStr">
        <is>
          <t>vG1</t>
        </is>
      </c>
    </row>
    <row r="59">
      <c r="A59" s="1" t="n">
        <v>1558</v>
      </c>
      <c r="B59" s="1">
        <f>A59</f>
        <v/>
      </c>
      <c r="C59" s="1" t="inlineStr">
        <is>
          <t>(vA9 in 1 | vG1 in 0)</t>
        </is>
      </c>
      <c r="D59" s="1" t="n"/>
      <c r="E59" s="1" t="inlineStr">
        <is>
          <t>vG2</t>
        </is>
      </c>
    </row>
    <row r="60">
      <c r="A60" s="1" t="n">
        <v>1559</v>
      </c>
      <c r="B60" s="1">
        <f>A60</f>
        <v/>
      </c>
      <c r="C60" s="1" t="inlineStr">
        <is>
          <t>(vA9 in 1 | vG1 in 0)</t>
        </is>
      </c>
      <c r="D60" s="1" t="n"/>
      <c r="E60" s="1" t="inlineStr">
        <is>
          <t>vG3m01,vG3m02,vG3m03,vG3m04,vG3m05,vG3m06,vG3m07,vG3m08,vG3m09,vG3m10,vG3m11,vG3m12,vG3m13,vG3m14,vG3m15,vG3m16,vG3m18,vG3m19,vG3m20,vG3m21,vG3m22,vG3m23,vG3m24,vG3m25,vG3m26,vG3m27,vG3m28,vG3m29,vG3m30,vG3m31,vG3m32,vG3m33,vG3m88</t>
        </is>
      </c>
    </row>
    <row r="61">
      <c r="A61" s="1" t="n">
        <v>1560</v>
      </c>
      <c r="B61" s="1">
        <f>A61</f>
        <v/>
      </c>
      <c r="C61" s="1" t="inlineStr">
        <is>
          <t>vA9 in 1</t>
        </is>
      </c>
      <c r="D61" s="1" t="n"/>
      <c r="E61" s="1" t="inlineStr">
        <is>
          <t>vF0</t>
        </is>
      </c>
    </row>
    <row r="62">
      <c r="A62" s="1" t="n">
        <v>1561</v>
      </c>
      <c r="B62" s="1">
        <f>A62</f>
        <v/>
      </c>
      <c r="C62" s="1" t="inlineStr">
        <is>
          <t>vF0 in 1,89</t>
        </is>
      </c>
      <c r="D62" s="1" t="inlineStr">
        <is>
          <t>vF1</t>
        </is>
      </c>
    </row>
    <row r="63">
      <c r="A63" s="1" t="n">
        <v>1562</v>
      </c>
      <c r="B63" s="1">
        <f>A63</f>
        <v/>
      </c>
      <c r="C63" s="1" t="inlineStr">
        <is>
          <t>vF0 in 1,89</t>
        </is>
      </c>
      <c r="D63" s="1" t="inlineStr">
        <is>
          <t>vF2</t>
        </is>
      </c>
    </row>
    <row r="64">
      <c r="A64" s="1" t="n">
        <v>1563</v>
      </c>
      <c r="B64" s="1">
        <f>A64</f>
        <v/>
      </c>
      <c r="C64" s="1" t="inlineStr">
        <is>
          <t>vF0 in 2,89</t>
        </is>
      </c>
      <c r="D64" s="1" t="inlineStr">
        <is>
          <t>vF3</t>
        </is>
      </c>
    </row>
    <row r="65">
      <c r="A65" s="1" t="n">
        <v>1564</v>
      </c>
      <c r="B65" s="1">
        <f>A65</f>
        <v/>
      </c>
      <c r="C65" s="1" t="inlineStr">
        <is>
          <t>vF0 in 2,89</t>
        </is>
      </c>
      <c r="D65" s="1" t="inlineStr">
        <is>
          <t>vF4</t>
        </is>
      </c>
    </row>
    <row r="66">
      <c r="A66" s="1" t="n">
        <v>1565</v>
      </c>
      <c r="B66" s="1">
        <f>A66</f>
        <v/>
      </c>
      <c r="C66" s="1" t="inlineStr">
        <is>
          <t>vF0 in 90,97,98</t>
        </is>
      </c>
      <c r="D66" s="1" t="n"/>
      <c r="E66" s="1" t="inlineStr">
        <is>
          <t>vF5m01,vF5m02,vF5m03,vF5m04,vF5m05,vF5m06,vF5m07,vF5m08,vF5m88</t>
        </is>
      </c>
    </row>
    <row r="67">
      <c r="A67" s="1" t="n">
        <v>1566</v>
      </c>
      <c r="B67" s="1">
        <f>A67</f>
        <v/>
      </c>
      <c r="C67" s="1" t="inlineStr">
        <is>
          <t>vC1 in 0</t>
        </is>
      </c>
      <c r="D67" s="1" t="n"/>
      <c r="E67" s="1" t="inlineStr">
        <is>
          <t>vC2</t>
        </is>
      </c>
    </row>
    <row r="68">
      <c r="A68" s="1" t="n">
        <v>1567</v>
      </c>
      <c r="B68" s="1">
        <f>A68</f>
        <v/>
      </c>
      <c r="C68" s="1" t="inlineStr">
        <is>
          <t>vC1 in 0</t>
        </is>
      </c>
      <c r="D68" s="1" t="n"/>
      <c r="E68" s="1" t="inlineStr">
        <is>
          <t>vC3m01,vC3m02,vC3m03,vC3m04,vC3m05,vC3m06,vC3m07,vC3m08,vC3m09,vC3m10,vC3m11,vC3m88</t>
        </is>
      </c>
    </row>
    <row r="69">
      <c r="A69" s="1" t="n">
        <v>1568</v>
      </c>
      <c r="B69" s="1">
        <f>A69</f>
        <v/>
      </c>
      <c r="C69" s="1" t="inlineStr">
        <is>
          <t>vA9 in 1</t>
        </is>
      </c>
      <c r="D69" s="1" t="n"/>
      <c r="E69" s="1" t="inlineStr">
        <is>
          <t>vJ4_2</t>
        </is>
      </c>
    </row>
    <row r="70">
      <c r="A70" s="1" t="n">
        <v>1569</v>
      </c>
      <c r="B70" s="1">
        <f>A70</f>
        <v/>
      </c>
      <c r="C70" s="1" t="inlineStr">
        <is>
          <t>vA9 in 1</t>
        </is>
      </c>
      <c r="D70" s="1" t="n"/>
      <c r="E70" s="1" t="inlineStr">
        <is>
          <t>vJ4_4</t>
        </is>
      </c>
    </row>
    <row r="71">
      <c r="A71" s="1" t="n">
        <v>1570</v>
      </c>
      <c r="B71" s="1">
        <f>A71</f>
        <v/>
      </c>
      <c r="C71" s="1" t="inlineStr">
        <is>
          <t>vE1 in 1</t>
        </is>
      </c>
      <c r="D71" s="1" t="inlineStr">
        <is>
          <t>vJ4_5</t>
        </is>
      </c>
    </row>
    <row r="72">
      <c r="A72" s="1" t="n">
        <v>1571</v>
      </c>
      <c r="B72" s="1">
        <f>A72</f>
        <v/>
      </c>
      <c r="C72" s="1" t="inlineStr">
        <is>
          <t>vB5 in 0</t>
        </is>
      </c>
      <c r="D72" s="1" t="inlineStr">
        <is>
          <t>vJB1m01,vJB1m02,vJB1m03,vJB1m04,vJB1m05,vJB1m06,vJB1m07,vJB1m08,vJB1m09,vJB1m10,vJB1m11,vJB1m88,vJB1m90</t>
        </is>
      </c>
    </row>
    <row r="73">
      <c r="A73" s="1" t="n">
        <v>1572</v>
      </c>
      <c r="B73" s="1">
        <f>A73</f>
        <v/>
      </c>
      <c r="C73" s="1" t="inlineStr">
        <is>
          <t>vE1 in 1</t>
        </is>
      </c>
      <c r="D73" s="1" t="inlineStr">
        <is>
          <t>vJB2m01,vJB2m02,vJB2m03,vJB2m04,vJB2m05,vJB2m06,vJB2m07,vJB2m88,vJB2m90</t>
        </is>
      </c>
    </row>
    <row r="74">
      <c r="A74" s="1" t="n">
        <v>1573</v>
      </c>
      <c r="B74" s="1">
        <f>A74</f>
        <v/>
      </c>
      <c r="C74" s="1" t="inlineStr">
        <is>
          <t>vH1 in 997,998</t>
        </is>
      </c>
      <c r="D74" s="1" t="inlineStr">
        <is>
          <t>vH2</t>
        </is>
      </c>
    </row>
    <row r="75">
      <c r="A75" s="1" t="n">
        <v>1574</v>
      </c>
      <c r="B75" s="1">
        <f>A75</f>
        <v/>
      </c>
      <c r="C75" s="1" t="inlineStr">
        <is>
          <t>(vH1 in 0 | vH2 in 1)</t>
        </is>
      </c>
      <c r="D75" s="1" t="n"/>
      <c r="E75" s="1" t="inlineStr">
        <is>
          <t>vH3</t>
        </is>
      </c>
    </row>
    <row r="76">
      <c r="A76" s="1" t="n">
        <v>1575</v>
      </c>
      <c r="B76" s="1">
        <f>A76</f>
        <v/>
      </c>
      <c r="C76" s="1" t="inlineStr">
        <is>
          <t>vE1 in 1</t>
        </is>
      </c>
      <c r="D76" s="1" t="inlineStr">
        <is>
          <t>vH4</t>
        </is>
      </c>
    </row>
    <row r="77">
      <c r="A77" s="1" t="n">
        <v>1576</v>
      </c>
      <c r="B77" s="1">
        <f>A77</f>
        <v/>
      </c>
      <c r="C77" s="1" t="inlineStr">
        <is>
          <t>vH4 in 997,998</t>
        </is>
      </c>
      <c r="D77" s="1" t="inlineStr">
        <is>
          <t>vH5</t>
        </is>
      </c>
    </row>
    <row r="78">
      <c r="A78" s="1" t="n">
        <v>1577</v>
      </c>
      <c r="B78" s="1">
        <f>A78</f>
        <v/>
      </c>
      <c r="C78" s="1" t="inlineStr">
        <is>
          <t>(vH4 in 0 | vH5 in 1)</t>
        </is>
      </c>
      <c r="D78" s="1" t="n"/>
      <c r="E78" s="1" t="inlineStr">
        <is>
          <t>vH6</t>
        </is>
      </c>
    </row>
    <row r="79">
      <c r="A79" s="1" t="n">
        <v>1578</v>
      </c>
      <c r="B79" s="1">
        <f>A79</f>
        <v/>
      </c>
      <c r="C79" s="1" t="inlineStr">
        <is>
          <t>vO1 in 1,2,3,4,5,88</t>
        </is>
      </c>
      <c r="D79" s="1" t="inlineStr">
        <is>
          <t>vN24</t>
        </is>
      </c>
    </row>
    <row r="80">
      <c r="A80" s="1" t="n">
        <v>1579</v>
      </c>
      <c r="B80" s="1">
        <f>A80</f>
        <v/>
      </c>
      <c r="C80" s="1" t="inlineStr">
        <is>
          <t>vA9 in 1</t>
        </is>
      </c>
      <c r="D80" s="1" t="n"/>
      <c r="E80" s="1" t="inlineStr">
        <is>
          <t>vQ1</t>
        </is>
      </c>
    </row>
    <row r="81">
      <c r="A81" s="1" t="n">
        <v>1580</v>
      </c>
      <c r="B81" s="1">
        <f>A81</f>
        <v/>
      </c>
      <c r="C81" s="1" t="inlineStr">
        <is>
          <t>vA9 in 1</t>
        </is>
      </c>
      <c r="D81" s="1" t="n"/>
      <c r="E81" s="1" t="inlineStr">
        <is>
          <t>vQ2</t>
        </is>
      </c>
    </row>
    <row r="82">
      <c r="A82" s="1" t="n">
        <v>1581</v>
      </c>
      <c r="B82" s="1">
        <f>A82</f>
        <v/>
      </c>
      <c r="C82" s="1" t="inlineStr">
        <is>
          <t>vE1 in 1</t>
        </is>
      </c>
      <c r="D82" s="1" t="inlineStr">
        <is>
          <t>vQ5</t>
        </is>
      </c>
    </row>
    <row r="83">
      <c r="A83" s="1" t="n">
        <v>1582</v>
      </c>
      <c r="B83" s="1">
        <f>A83</f>
        <v/>
      </c>
      <c r="C83" s="1" t="inlineStr">
        <is>
          <t>(vQ5 in 2,97,98 | vK2m90 in 1)</t>
        </is>
      </c>
      <c r="D83" s="1" t="inlineStr">
        <is>
          <t>vQ6</t>
        </is>
      </c>
    </row>
    <row r="84">
      <c r="A84" s="1" t="n">
        <v>1583</v>
      </c>
      <c r="B84" s="1">
        <f>A84</f>
        <v/>
      </c>
      <c r="C84" s="1" t="inlineStr">
        <is>
          <t>(vQ5 in 2,97,98 | vK3m90 in 1)</t>
        </is>
      </c>
      <c r="D84" s="1" t="inlineStr">
        <is>
          <t>vQ7</t>
        </is>
      </c>
    </row>
    <row r="85">
      <c r="A85" s="1" t="n">
        <v>1584</v>
      </c>
      <c r="B85" s="1">
        <f>A85</f>
        <v/>
      </c>
      <c r="C85" s="1" t="inlineStr">
        <is>
          <t>(vQ5 in 2,97,98 | vK1m90 in 1)</t>
        </is>
      </c>
      <c r="D85" s="1" t="inlineStr">
        <is>
          <t>vQ8</t>
        </is>
      </c>
    </row>
    <row r="86">
      <c r="A86" s="1" t="n">
        <v>1585</v>
      </c>
      <c r="B86" s="1">
        <f>A86</f>
        <v/>
      </c>
      <c r="C86" s="1" t="inlineStr">
        <is>
          <t>vE1 in 1</t>
        </is>
      </c>
      <c r="D86" s="1" t="inlineStr">
        <is>
          <t>vQ10</t>
        </is>
      </c>
    </row>
    <row r="87">
      <c r="A87" s="1" t="n">
        <v>1586</v>
      </c>
      <c r="B87" s="1">
        <f>A87</f>
        <v/>
      </c>
      <c r="C87" s="1" t="inlineStr">
        <is>
          <t>vQ5 in 2 &amp; vQ10 in 1</t>
        </is>
      </c>
      <c r="D87" s="1" t="inlineStr">
        <is>
          <t>vCKQ10</t>
        </is>
      </c>
    </row>
    <row r="88">
      <c r="A88" s="1" t="n">
        <v>1587</v>
      </c>
      <c r="B88" s="1">
        <f>A88</f>
        <v/>
      </c>
      <c r="C88" s="1" t="inlineStr">
        <is>
          <t>(vQ10 in 2,97,98 | vK2m90 in 1 | vQ6 in 1)</t>
        </is>
      </c>
      <c r="D88" s="1" t="inlineStr">
        <is>
          <t>vQ11</t>
        </is>
      </c>
    </row>
    <row r="89">
      <c r="A89" s="1" t="n">
        <v>1588</v>
      </c>
      <c r="B89" s="1">
        <f>A89</f>
        <v/>
      </c>
      <c r="C89" s="1" t="inlineStr">
        <is>
          <t>(vQ10 in 2,97,98 | vK3m90 in 1 | vQ7 in 1)</t>
        </is>
      </c>
      <c r="D89" s="1" t="inlineStr">
        <is>
          <t>vQ12</t>
        </is>
      </c>
    </row>
    <row r="90">
      <c r="A90" s="1" t="n">
        <v>1589</v>
      </c>
      <c r="B90" s="1">
        <f>A90</f>
        <v/>
      </c>
      <c r="C90" s="1" t="inlineStr">
        <is>
          <t>(vQ10 in 2,97,98 | vK1m90 in 1 | vQ8 in 1)</t>
        </is>
      </c>
      <c r="D90" s="1" t="inlineStr">
        <is>
          <t>vQ13</t>
        </is>
      </c>
    </row>
    <row r="91">
      <c r="A91" s="1" t="n">
        <v>1590</v>
      </c>
      <c r="B91" s="1">
        <f>A91</f>
        <v/>
      </c>
      <c r="C91" s="1" t="inlineStr">
        <is>
          <t>vE1 in 1</t>
        </is>
      </c>
      <c r="D91" s="1" t="inlineStr">
        <is>
          <t>vQ15</t>
        </is>
      </c>
    </row>
    <row r="92">
      <c r="A92" s="1" t="n">
        <v>1591</v>
      </c>
      <c r="B92" s="1">
        <f>A92</f>
        <v/>
      </c>
      <c r="C92" s="1" t="inlineStr">
        <is>
          <t>(vQ15 in 2,97,98 | vK2m90 in 1)</t>
        </is>
      </c>
      <c r="D92" s="1" t="inlineStr">
        <is>
          <t>vQ16</t>
        </is>
      </c>
    </row>
    <row r="93">
      <c r="A93" s="1" t="n">
        <v>1592</v>
      </c>
      <c r="B93" s="1">
        <f>A93</f>
        <v/>
      </c>
      <c r="C93" s="1" t="inlineStr">
        <is>
          <t>(vQ15 in 2,97,98 | vK3m90 in 1)</t>
        </is>
      </c>
      <c r="D93" s="1" t="inlineStr">
        <is>
          <t>vQ17</t>
        </is>
      </c>
    </row>
    <row r="94">
      <c r="A94" s="1" t="n">
        <v>1593</v>
      </c>
      <c r="B94" s="1">
        <f>A94</f>
        <v/>
      </c>
      <c r="C94" s="1" t="inlineStr">
        <is>
          <t>(vQ15 in 2,97,98 | vK1m90 in 1)</t>
        </is>
      </c>
      <c r="D94" s="1" t="inlineStr">
        <is>
          <t>vQ18</t>
        </is>
      </c>
    </row>
    <row r="95">
      <c r="A95" s="1" t="n">
        <v>1594</v>
      </c>
      <c r="B95" s="1">
        <f>A95</f>
        <v/>
      </c>
      <c r="C95" s="1" t="inlineStr">
        <is>
          <t>vQ5 in 2 &amp; vQ20m02 in 1 | vQ20m03 in 1 | vQ20m04 in 1 | vQ20m05 in 1</t>
        </is>
      </c>
      <c r="D95" s="1" t="inlineStr">
        <is>
          <t>vCKQ20A</t>
        </is>
      </c>
    </row>
    <row r="96">
      <c r="A96" s="1" t="n">
        <v>1595</v>
      </c>
      <c r="B96" s="1">
        <f>A96</f>
        <v/>
      </c>
      <c r="C96" s="1" t="inlineStr">
        <is>
          <t>vQ5 in 2 &amp; vQ20m01 in 1 &amp; vB1 in 0 &amp; vB3 in 0</t>
        </is>
      </c>
      <c r="D96" s="1" t="inlineStr">
        <is>
          <t>vCKQ20B</t>
        </is>
      </c>
    </row>
    <row r="97">
      <c r="A97" s="1" t="n">
        <v>1596</v>
      </c>
      <c r="B97" s="1">
        <f>A97</f>
        <v/>
      </c>
      <c r="C97" s="1" t="inlineStr">
        <is>
          <t>vQ20m01 in 1</t>
        </is>
      </c>
      <c r="D97" s="1" t="inlineStr">
        <is>
          <t>vQ25m01,vQ25m02,vQ25m03,vQ25m04,vQ25m05,vQ25m06,vQ25m07,vQ25m08,vQ25m09,vQ25m10,vQ25m11,vQ25m12,vQ25m13,vQ25m14,vQ25m15,vQ25m16,vQ25m17,vQ25m18,vQ25m19,vQ25m20,vQ25m21,vQ25m22,vQ25m23,vQ25m24,vQ25m25,vQ25m26,vQ25m27,vQ25m28,vQ25m29,vQ25m30,vQ25m31,vQ25m88</t>
        </is>
      </c>
    </row>
    <row r="98">
      <c r="A98" s="1" t="n">
        <v>1597</v>
      </c>
      <c r="B98" s="1">
        <f>A98</f>
        <v/>
      </c>
      <c r="C98" s="1" t="inlineStr">
        <is>
          <t>vQ20m02 in 1</t>
        </is>
      </c>
      <c r="D98" s="1" t="inlineStr">
        <is>
          <t>vQ22m01,vQ22m02,vQ22m03,vQ22m04,vQ22m05,vQ22m06,vQ22m07,vQ22m08,vQ22m09,vQ22m10,vQ22m11,vQ22m12,vQ22m13,vQ22m14,vQ22m15,vQ22m16,vQ22m17,vQ22m18,vQ22m19,vQ22m20,vQ22m21,vQ22m22,vQ22m23,vQ22m24,vQ22m25,vQ22m26,vQ22m27,vQ22m28,vQ22m29,vQ22m30,vQ22m31,vQ22m32,vQ22m33,vQ22m34,vQ22m35,vQ22m36,vQ22m37,vQ22m38,vQ22m39,vQ22m40,vQ22m88</t>
        </is>
      </c>
    </row>
    <row r="99">
      <c r="A99" s="1" t="n">
        <v>1598</v>
      </c>
      <c r="B99" s="1">
        <f>A99</f>
        <v/>
      </c>
      <c r="C99" s="1" t="inlineStr">
        <is>
          <t>vQ20m03 in 1</t>
        </is>
      </c>
      <c r="D99" s="1" t="inlineStr">
        <is>
          <t>vQ23m01,vQ23m02,vQ23m03,vQ23m04,vQ23m05,vQ23m06,vQ23m07,vQ23m08,vQ23m09,vQ23m10,vQ23m11,vQ23m12,vQ23m13,vQ23m14,vQ23m15,vQ23m16,vQ23m17,vQ23m18,vQ23m19,vQ23m20,vQ23m21,vQ23m22,vQ23m23,vQ23m24,vQ23m25,vQ23m26,vQ23m27,vQ23m88</t>
        </is>
      </c>
    </row>
    <row r="100">
      <c r="A100" s="1" t="n">
        <v>1599</v>
      </c>
      <c r="B100" s="1">
        <f>A100</f>
        <v/>
      </c>
      <c r="C100" s="1" t="inlineStr">
        <is>
          <t>vQ20m04 in 1</t>
        </is>
      </c>
      <c r="D100" s="1" t="inlineStr">
        <is>
          <t>vQ26m01,vQ26m02,vQ26m03,vQ26m04,vQ26m05,vQ26m06,vQ26m07,vQ26m08,vQ26m09,vQ26m10,vQ26m11,vQ26m12,vQ26m13,vQ26m14,vQ26m15,vQ26m16,vQ26m17,vQ26m18,vQ26m19,vQ26m20,vQ26m21,vQ26m22,vQ26m23,vQ26m24,vQ26m25,vQ26m26,vQ26m27,vQ26m28,vQ26m29,vQ26m88</t>
        </is>
      </c>
    </row>
    <row r="101">
      <c r="A101" s="1" t="n">
        <v>1600</v>
      </c>
      <c r="B101" s="1">
        <f>A101</f>
        <v/>
      </c>
      <c r="C101" s="1" t="inlineStr">
        <is>
          <t>vE1 in 1</t>
        </is>
      </c>
      <c r="D101" s="1" t="inlineStr">
        <is>
          <t>vP3_4</t>
        </is>
      </c>
    </row>
    <row r="102">
      <c r="A102" s="1" t="n">
        <v>1601</v>
      </c>
      <c r="B102" s="1">
        <f>A102</f>
        <v/>
      </c>
      <c r="C102" s="1" t="inlineStr">
        <is>
          <t>vQ5 in 2 &amp; vP3_4 in 2,3,4</t>
        </is>
      </c>
      <c r="D102" s="1" t="inlineStr">
        <is>
          <t>vCKP3_4</t>
        </is>
      </c>
    </row>
    <row r="103">
      <c r="A103" s="1" t="n">
        <v>1602</v>
      </c>
      <c r="B103" s="1">
        <f>A103</f>
        <v/>
      </c>
      <c r="C103" s="1" t="inlineStr">
        <is>
          <t>(vK2m90 in 1 | vQ5 in 2)</t>
        </is>
      </c>
      <c r="D103" s="1" t="inlineStr">
        <is>
          <t>vP3_5</t>
        </is>
      </c>
    </row>
    <row r="104">
      <c r="A104" s="1" t="n">
        <v>1603</v>
      </c>
      <c r="B104" s="1">
        <f>A104</f>
        <v/>
      </c>
      <c r="C104" s="1" t="inlineStr">
        <is>
          <t>vE1 in 1</t>
        </is>
      </c>
      <c r="D104" s="1" t="inlineStr">
        <is>
          <t>vQ30m01,vQ30m02,vQ30m03,vQ30m04,vQ30m05,vQ30m06,vQ30m07,vQ30m08,vQ30m90</t>
        </is>
      </c>
    </row>
    <row r="105">
      <c r="A105" s="1" t="n">
        <v>1604</v>
      </c>
      <c r="B105" s="1">
        <f>A105</f>
        <v/>
      </c>
      <c r="C105" s="1" t="inlineStr">
        <is>
          <t>vQ49 in 2,97,98</t>
        </is>
      </c>
      <c r="D105" s="1" t="inlineStr">
        <is>
          <t>vQ50</t>
        </is>
      </c>
    </row>
    <row r="106">
      <c r="A106" s="1" t="n">
        <v>1605</v>
      </c>
      <c r="B106" s="1">
        <f>A106</f>
        <v/>
      </c>
      <c r="C106" s="1" t="inlineStr">
        <is>
          <t>(vQ49 in 1 | vQ50 in 1)</t>
        </is>
      </c>
      <c r="D106" s="1" t="inlineStr">
        <is>
          <t>vQ51</t>
        </is>
      </c>
    </row>
    <row r="107">
      <c r="A107" s="1" t="n">
        <v>1606</v>
      </c>
      <c r="B107" s="1">
        <f>A107</f>
        <v/>
      </c>
      <c r="C107" s="1" t="inlineStr">
        <is>
          <t>vQ51 in 1,2,3,4,5,6,7,8,9,10,11,12,13,14,15,16,17,18,19,20,21,22,23,24,25,26,27,28,29,30,31,32,33,34,35,36,37,38,39,40,41,42,43,44,45,46,47,48,49,50,51,52,53,54,55,56,57,58,59,60,61,62,63,64,65,66,67,68,69,70,71,72,73,74,75,76,77,78,79,80,81,82,83,84,85,86,87,88</t>
        </is>
      </c>
      <c r="D107" s="1" t="inlineStr">
        <is>
          <t>vQ52</t>
        </is>
      </c>
    </row>
    <row r="108">
      <c r="A108" s="1" t="n">
        <v>1607</v>
      </c>
      <c r="B108" s="1">
        <f>A108</f>
        <v/>
      </c>
      <c r="C108" s="1" t="inlineStr">
        <is>
          <t>vD1 in 3</t>
        </is>
      </c>
      <c r="D108" s="1" t="inlineStr">
        <is>
          <t>vZ2_2</t>
        </is>
      </c>
    </row>
    <row r="109">
      <c r="A109" s="1" t="n">
        <v>1608</v>
      </c>
      <c r="B109" s="1">
        <f>A109</f>
        <v/>
      </c>
      <c r="C109" s="1" t="inlineStr">
        <is>
          <t>vZE2m01 in 1 | vZE2m02 in 1</t>
        </is>
      </c>
      <c r="D109" s="1" t="inlineStr">
        <is>
          <t>vZE2_1</t>
        </is>
      </c>
    </row>
    <row r="110">
      <c r="A110" s="1" t="n">
        <v>1609</v>
      </c>
      <c r="B110" s="1">
        <f>A110</f>
        <v/>
      </c>
      <c r="C110" s="1" t="inlineStr">
        <is>
          <t>vZE2m01 in 1</t>
        </is>
      </c>
      <c r="D110" s="1" t="inlineStr">
        <is>
          <t>vZE2_2</t>
        </is>
      </c>
    </row>
    <row r="111">
      <c r="A111" s="1" t="n">
        <v>1610</v>
      </c>
      <c r="B111" s="1">
        <f>A111</f>
        <v/>
      </c>
      <c r="C111" s="1" t="inlineStr">
        <is>
          <t>vZE2m02 in 1</t>
        </is>
      </c>
      <c r="D111" s="1" t="inlineStr">
        <is>
          <t>vZE2_3</t>
        </is>
      </c>
    </row>
    <row r="112">
      <c r="A112" s="1" t="n">
        <v>1611</v>
      </c>
      <c r="B112" s="1">
        <f>A112</f>
        <v/>
      </c>
    </row>
    <row r="113">
      <c r="A113" s="1" t="n">
        <v>1612</v>
      </c>
      <c r="B113" s="1">
        <f>A113</f>
        <v/>
      </c>
    </row>
    <row r="114">
      <c r="A114" s="1" t="n">
        <v>1613</v>
      </c>
      <c r="B114" s="1">
        <f>A114</f>
        <v/>
      </c>
    </row>
    <row r="115">
      <c r="A115" s="1" t="n">
        <v>1614</v>
      </c>
      <c r="B115" s="1">
        <f>A115</f>
        <v/>
      </c>
    </row>
    <row r="116">
      <c r="A116" s="1" t="n">
        <v>1615</v>
      </c>
      <c r="B116" s="1">
        <f>A116</f>
        <v/>
      </c>
    </row>
    <row r="117">
      <c r="A117" s="1" t="n">
        <v>1616</v>
      </c>
      <c r="B117" s="1">
        <f>A117</f>
        <v/>
      </c>
    </row>
    <row r="118">
      <c r="A118" s="1" t="n">
        <v>1617</v>
      </c>
      <c r="B118" s="1">
        <f>A118</f>
        <v/>
      </c>
    </row>
    <row r="119">
      <c r="A119" s="1" t="n">
        <v>1618</v>
      </c>
      <c r="B119" s="1">
        <f>A119</f>
        <v/>
      </c>
    </row>
    <row r="120">
      <c r="A120" s="1" t="n">
        <v>1619</v>
      </c>
      <c r="B120" s="1">
        <f>A120</f>
        <v/>
      </c>
    </row>
    <row r="121">
      <c r="A121" s="1" t="n">
        <v>1620</v>
      </c>
      <c r="B121" s="1">
        <f>A121</f>
        <v/>
      </c>
    </row>
    <row r="122">
      <c r="A122" s="1" t="n">
        <v>1621</v>
      </c>
      <c r="B122" s="1">
        <f>A122</f>
        <v/>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H43"/>
  <sheetViews>
    <sheetView workbookViewId="0">
      <pane ySplit="1" topLeftCell="A17" activePane="bottomLeft" state="frozen"/>
      <selection pane="bottomLeft" activeCell="B2" sqref="A2:B43"/>
    </sheetView>
  </sheetViews>
  <sheetFormatPr baseColWidth="8" defaultRowHeight="16.5"/>
  <cols>
    <col width="10" customWidth="1" style="21" min="1" max="2"/>
    <col width="22" customWidth="1" style="21" min="3" max="3"/>
    <col width="36" bestFit="1" customWidth="1" style="21" min="4" max="4"/>
    <col width="80" customWidth="1" style="21" min="5" max="5"/>
    <col width="44" customWidth="1" style="1" min="6" max="6"/>
    <col width="90" customWidth="1" style="21" min="7" max="7"/>
    <col width="44" customWidth="1" style="21" min="8" max="8"/>
  </cols>
  <sheetData>
    <row r="1">
      <c r="A1" s="1" t="inlineStr">
        <is>
          <t>m</t>
        </is>
      </c>
      <c r="B1" s="1" t="inlineStr">
        <is>
          <t>p</t>
        </is>
      </c>
      <c r="C1" s="1" t="inlineStr">
        <is>
          <t>題號</t>
        </is>
      </c>
      <c r="D1" s="1" t="inlineStr">
        <is>
          <t>變項名稱</t>
        </is>
      </c>
      <c r="E1" s="1" t="inlineStr">
        <is>
          <t>檢核說明</t>
        </is>
      </c>
      <c r="F1" s="1" t="inlineStr">
        <is>
          <t>備註</t>
        </is>
      </c>
      <c r="G1" s="1" t="inlineStr">
        <is>
          <t>條件</t>
        </is>
      </c>
      <c r="H1" s="1" t="inlineStr">
        <is>
          <t>額外列出變項</t>
        </is>
      </c>
    </row>
    <row r="2">
      <c r="A2" s="1" t="n">
        <v>1701</v>
      </c>
      <c r="B2" s="1">
        <f>A2</f>
        <v/>
      </c>
      <c r="C2" s="1" t="inlineStr">
        <is>
          <t>sel_gen,O1</t>
        </is>
      </c>
      <c r="D2" s="1" t="inlineStr">
        <is>
          <t>sel_gen,vO1</t>
        </is>
      </c>
      <c r="E2" s="1" t="inlineStr">
        <is>
          <t>受訪者為女性,但vO1工作狀況選(12)服義務役或(13)服(研發)替代役。</t>
        </is>
      </c>
      <c r="F2" s="1" t="inlineStr">
        <is>
          <t>*品管項目</t>
        </is>
      </c>
      <c r="G2" s="1" t="inlineStr">
        <is>
          <t>sel_gen=2 &amp; any(vO1,12,13)</t>
        </is>
      </c>
      <c r="H2" s="1" t="n"/>
    </row>
    <row r="3">
      <c r="A3" s="1" t="n">
        <v>1702</v>
      </c>
      <c r="B3" s="1">
        <f>A3</f>
        <v/>
      </c>
      <c r="C3" s="1" t="inlineStr">
        <is>
          <t>A1,A2,A3,A9</t>
        </is>
      </c>
      <c r="D3" s="1" t="inlineStr">
        <is>
          <t>vA1,vA2,vA3,vA9</t>
        </is>
      </c>
      <c r="E3" s="1" t="inlineStr">
        <is>
          <t>57年施行九年國民義務教育,出生年在57年次以後(57歲及以下),且為台灣出生者(vA3選1-22、97、98),於vA9教育程度,不應為(01)不識字、(02)自修/小學 | (年齡計算以114年減出生年)。</t>
        </is>
      </c>
      <c r="F3" s="1" t="inlineStr">
        <is>
          <t>*品管項目</t>
        </is>
      </c>
      <c r="G3" s="1" t="inlineStr">
        <is>
          <t>vA1&gt;=57 &amp; any(vA3,1,2,3,4,5,6,7,8,9,10,11,12,13,14,15,16,17,18,19,20,21,22,97,98) &amp; any(vA9,1,2)</t>
        </is>
      </c>
      <c r="H3" s="1" t="n"/>
    </row>
    <row r="4">
      <c r="A4" s="1" t="n">
        <v>1703</v>
      </c>
      <c r="B4" s="1">
        <f>A4</f>
        <v/>
      </c>
      <c r="C4" s="1" t="inlineStr">
        <is>
          <t>A1,A2,A9</t>
        </is>
      </c>
      <c r="D4" s="1" t="inlineStr">
        <is>
          <t>vA1,vA2,vA9</t>
        </is>
      </c>
      <c r="E4" s="1" t="inlineStr">
        <is>
          <t>出生年超過民國92年次(未滿22歲者),vA9教育程度不應為(07)碩士、(08)博士 | (年齡計算以114年減出生年)。</t>
        </is>
      </c>
      <c r="F4" s="1" t="inlineStr">
        <is>
          <t>*品管項目</t>
        </is>
      </c>
      <c r="G4" s="1" t="inlineStr">
        <is>
          <t>vA1&gt;92 &amp; any(vA9,7,8)</t>
        </is>
      </c>
      <c r="H4" s="1" t="n"/>
    </row>
    <row r="5">
      <c r="A5" s="1" t="n">
        <v>1704</v>
      </c>
      <c r="B5" s="1">
        <f>A5</f>
        <v/>
      </c>
      <c r="C5" s="1" t="inlineStr">
        <is>
          <t>B2</t>
        </is>
      </c>
      <c r="D5" s="1" t="inlineStr">
        <is>
          <t>vB2</t>
        </is>
      </c>
      <c r="E5" s="1" t="inlineStr">
        <is>
          <t>vB2看電視的平常日(週一到週五),一整天看超過12小時,列出確認。</t>
        </is>
      </c>
      <c r="G5" s="1" t="inlineStr">
        <is>
          <t>not(any(vB2,9797,9898)) &amp; vB2&gt;1200</t>
        </is>
      </c>
      <c r="H5" s="1" t="n"/>
    </row>
    <row r="6">
      <c r="A6" s="1" t="n">
        <v>1705</v>
      </c>
      <c r="B6" s="1">
        <f>A6</f>
        <v/>
      </c>
      <c r="C6" s="1" t="inlineStr">
        <is>
          <t>B4</t>
        </is>
      </c>
      <c r="D6" s="1" t="inlineStr">
        <is>
          <t>vB4</t>
        </is>
      </c>
      <c r="E6" s="1" t="inlineStr">
        <is>
          <t>vB4有看電視的週六或週日,一整天看超過12小時,列出確認。</t>
        </is>
      </c>
      <c r="G6" s="1" t="inlineStr">
        <is>
          <t>not(any(vB4,9797,9898)) &amp; vB4&gt;1200</t>
        </is>
      </c>
      <c r="H6" s="1" t="n"/>
    </row>
    <row r="7">
      <c r="A7" s="1" t="n">
        <v>1706</v>
      </c>
      <c r="B7" s="1">
        <f>A7</f>
        <v/>
      </c>
      <c r="C7" s="1" t="inlineStr">
        <is>
          <t>B6</t>
        </is>
      </c>
      <c r="D7" s="1" t="inlineStr">
        <is>
          <t>vB6</t>
        </is>
      </c>
      <c r="E7" s="1" t="inlineStr">
        <is>
          <t>vB6看電視新聞的那一天,一整天看超過12小時,列出確認。</t>
        </is>
      </c>
      <c r="G7" s="1" t="inlineStr">
        <is>
          <t>not(any(vB6,9797,9898)) &amp; vB6&gt;1200</t>
        </is>
      </c>
      <c r="H7" s="1" t="n"/>
    </row>
    <row r="8">
      <c r="A8" s="1" t="n">
        <v>1707</v>
      </c>
      <c r="B8" s="1">
        <f>A8</f>
        <v/>
      </c>
      <c r="C8" s="1" t="inlineStr">
        <is>
          <t>C2</t>
        </is>
      </c>
      <c r="D8" s="1" t="inlineStr">
        <is>
          <t>vC2</t>
        </is>
      </c>
      <c r="E8" s="1" t="inlineStr">
        <is>
          <t>vC2有聽廣播的那一天,一整天聽超過12小時,列出確認。</t>
        </is>
      </c>
      <c r="G8" s="1" t="inlineStr">
        <is>
          <t>not(any(vC2,9797,9898)) &amp; vC2&gt;1200</t>
        </is>
      </c>
      <c r="H8" s="1" t="n"/>
    </row>
    <row r="9">
      <c r="A9" s="1" t="n">
        <v>1708</v>
      </c>
      <c r="B9" s="1">
        <f>A9</f>
        <v/>
      </c>
      <c r="C9" s="1" t="inlineStr">
        <is>
          <t>D3</t>
        </is>
      </c>
      <c r="D9" s="1" t="inlineStr">
        <is>
          <t>vD3</t>
        </is>
      </c>
      <c r="E9" s="1" t="inlineStr">
        <is>
          <t>vD3有用手機的那一天,一整天用超過16小時,列出確認。</t>
        </is>
      </c>
      <c r="G9" s="1" t="inlineStr">
        <is>
          <t>not(any(vD3,9797,9898)) &amp; vD3&gt;1600</t>
        </is>
      </c>
      <c r="H9" s="1" t="n"/>
    </row>
    <row r="10">
      <c r="A10" s="1" t="n">
        <v>1709</v>
      </c>
      <c r="B10" s="1">
        <f>A10</f>
        <v/>
      </c>
      <c r="C10" s="1" t="inlineStr">
        <is>
          <t>E5,E8,E11</t>
        </is>
      </c>
      <c r="D10" s="1" t="inlineStr">
        <is>
          <t>vE5,vE8,vE11</t>
        </is>
      </c>
      <c r="E10" s="1" t="inlineStr">
        <is>
          <t>各項裝置(手機、平板及電腦)因工作與課業而上網的時間相加超過16小時,列出確認。</t>
        </is>
      </c>
      <c r="F10" s="1" t="inlineStr">
        <is>
          <t>列出E5~E12加總合計時數、該檢核項的合計時數、以及vE5 | ~vE12共計6變項資料。</t>
        </is>
      </c>
      <c r="G10" s="1" t="inlineStr">
        <is>
          <t>not(any(vE5,9797,9898)) &amp; not(any(vE8,9797,9898)) &amp; not(any(vE11,9797,9898)) &amp; ((trunc(vE5/100)*60 + mod(vE5,100)) + (trunc(vE8/100)*60 + mod(vE8,100)) + (trunc(vE11/100)*60 + mod(vE11,100)))&gt;960</t>
        </is>
      </c>
      <c r="H10" s="1" t="inlineStr">
        <is>
          <t>sumE5_E12_min,sumE5_E8_E11_min,vE5,vE6,vE8,vE9,vE11,vE12</t>
        </is>
      </c>
    </row>
    <row r="11">
      <c r="A11" s="1" t="n">
        <v>1710</v>
      </c>
      <c r="B11" s="1">
        <f>A11</f>
        <v/>
      </c>
      <c r="C11" s="1" t="inlineStr">
        <is>
          <t>E5,E8,E11</t>
        </is>
      </c>
      <c r="D11" s="1" t="inlineStr">
        <is>
          <t>vE6,vE9,vE12</t>
        </is>
      </c>
      <c r="E11" s="1" t="inlineStr">
        <is>
          <t>各項裝置(手機、平板及電腦)非因工作與課業而上網的時間相加超過16小時,列出確認。</t>
        </is>
      </c>
      <c r="F11" s="1" t="inlineStr">
        <is>
          <t>列出E5~E12加總合計時數、該檢核項的合計時數、以及vE5 | ~vE12共計6變項資料。</t>
        </is>
      </c>
      <c r="G11" s="1" t="inlineStr">
        <is>
          <t>not(any(vE6,9797,9898)) &amp; not(any(vE9,9797,9898)) &amp; not(any(vE12,9797,9898)) &amp; ((trunc(vE6/100)*60 + mod(vE6,100)) + (trunc(vE9/100)*60 + mod(vE9,100)) + (trunc(vE12/100)*60 + mod(vE12,100)))&gt;960</t>
        </is>
      </c>
      <c r="H11" s="1" t="inlineStr">
        <is>
          <t>sumE5_E12_min,sumE6_E9_E12_min,vE5,vE6,vE8,vE9,vE11,vE12</t>
        </is>
      </c>
    </row>
    <row r="12">
      <c r="A12" s="1" t="n">
        <v>1711</v>
      </c>
      <c r="B12" s="1">
        <f>A12</f>
        <v/>
      </c>
      <c r="C12" s="1" t="inlineStr">
        <is>
          <t>E5,E6</t>
        </is>
      </c>
      <c r="D12" s="1" t="inlineStr">
        <is>
          <t>vE5,vE6</t>
        </is>
      </c>
      <c r="E12" s="1" t="inlineStr">
        <is>
          <t>vE5、vE6使用手機上網的時間相加超過16小時。</t>
        </is>
      </c>
      <c r="F12" s="1" t="inlineStr">
        <is>
          <t>列出E5~E12加總合計時數、該檢核項的合計時數、以及vE5 | ~vE12共計6變項資料。</t>
        </is>
      </c>
      <c r="G12" s="1" t="inlineStr">
        <is>
          <t>not(any(vE5,9797,9898)) &amp; not(any(vE6,9797,9898)) &amp; ((trunc(vE5/100)*60 + mod(vE5,100)) + (trunc(vE6/100)*60 + mod(vE6,100)))&gt;960</t>
        </is>
      </c>
      <c r="H12" s="1" t="inlineStr">
        <is>
          <t>sumE5_E12_min,sumE5_E6_min,vE5,vE6,vE8,vE9,vE11,vE12</t>
        </is>
      </c>
    </row>
    <row r="13">
      <c r="A13" s="1" t="n">
        <v>1712</v>
      </c>
      <c r="B13" s="1">
        <f>A13</f>
        <v/>
      </c>
      <c r="C13" s="1" t="inlineStr">
        <is>
          <t>E8,E9</t>
        </is>
      </c>
      <c r="D13" s="1" t="inlineStr">
        <is>
          <t>vE8,vE9</t>
        </is>
      </c>
      <c r="E13" s="1" t="inlineStr">
        <is>
          <t>vE8、vE9使用平板上網的時間相加超過16小時。</t>
        </is>
      </c>
      <c r="F13" s="1" t="inlineStr">
        <is>
          <t>列出E5~E12加總合計時數、該檢核項的合計時數、以及vE5 | ~vE12共計6變項資料。</t>
        </is>
      </c>
      <c r="G13" s="1" t="inlineStr">
        <is>
          <t>not(any(vE8,9797,9898)) &amp; not(any(vE9,9797,9898)) &amp; ((trunc(vE8/100)*60 + mod(vE8,100)) + (trunc(vE9/100)*60 + mod(vE9,100)))&gt;960</t>
        </is>
      </c>
      <c r="H13" s="1" t="inlineStr">
        <is>
          <t>sumE5_E12_min,sumE8_E9_min,vE5,vE6,vE8,vE9,vE11,vE12</t>
        </is>
      </c>
    </row>
    <row r="14">
      <c r="A14" s="1" t="n">
        <v>1713</v>
      </c>
      <c r="B14" s="1">
        <f>A14</f>
        <v/>
      </c>
      <c r="C14" s="1" t="inlineStr">
        <is>
          <t>E11,E12</t>
        </is>
      </c>
      <c r="D14" s="1" t="inlineStr">
        <is>
          <t>vE11,vE12</t>
        </is>
      </c>
      <c r="E14" s="1" t="inlineStr">
        <is>
          <t>vE11、vE12使用電腦上網的時間相加超過16小時。</t>
        </is>
      </c>
      <c r="F14" s="1" t="inlineStr">
        <is>
          <t>列出E5~E12加總合計時數、該檢核項的合計時數、以及vE5 | ~vE12共計6變項資料。</t>
        </is>
      </c>
      <c r="G14" s="1" t="inlineStr">
        <is>
          <t>not(any(vE11,9797,9898)) &amp; not(any(vE12,9797,9898)) &amp; ((trunc(vE11/100)*60 + mod(vE11,100)) + (trunc(vE12/100)*60 + mod(vE12,100)))&gt;960</t>
        </is>
      </c>
      <c r="H14" s="1" t="inlineStr">
        <is>
          <t>sumE5_E12_min,sumE11_E12_min,vE5,vE6,vE8,vE9,vE11,vE12</t>
        </is>
      </c>
    </row>
    <row r="15">
      <c r="A15" s="1" t="n">
        <v>1714</v>
      </c>
      <c r="B15" s="1">
        <f>A15</f>
        <v/>
      </c>
      <c r="C15" s="1" t="inlineStr">
        <is>
          <t>E5,E6,D3</t>
        </is>
      </c>
      <c r="D15" s="1" t="inlineStr">
        <is>
          <t>vE5,vE6,vD3</t>
        </is>
      </c>
      <c r="E15" s="1" t="inlineStr">
        <is>
          <t>vE5、vE6使用手機上網的時間相加大於vD3的時間2小時,列出確認。</t>
        </is>
      </c>
      <c r="F15" s="1" t="inlineStr">
        <is>
          <t>另列出合計時數</t>
        </is>
      </c>
      <c r="G15" s="1" t="n"/>
      <c r="H15" s="1" t="n"/>
    </row>
    <row r="16">
      <c r="A16" s="1" t="n">
        <v>1715</v>
      </c>
      <c r="B16" s="1">
        <f>A16</f>
        <v/>
      </c>
      <c r="C16" s="1" t="inlineStr">
        <is>
          <t>E14</t>
        </is>
      </c>
      <c r="D16" s="1" t="inlineStr">
        <is>
          <t>vE14</t>
        </is>
      </c>
      <c r="E16" s="1" t="inlineStr">
        <is>
          <t>vE14平均每月在網路上消費(買東西)超過O5收入題,列出確認。</t>
        </is>
      </c>
      <c r="G16" s="1" t="n"/>
      <c r="H16" s="1" t="n"/>
    </row>
    <row r="17">
      <c r="A17" s="1" t="n">
        <v>1716</v>
      </c>
      <c r="B17" s="1">
        <f>A17</f>
        <v/>
      </c>
      <c r="C17" s="1" t="inlineStr">
        <is>
          <t>F2</t>
        </is>
      </c>
      <c r="D17" s="1" t="inlineStr">
        <is>
          <t>vF2</t>
        </is>
      </c>
      <c r="E17" s="1" t="inlineStr">
        <is>
          <t>vF2有讀雜誌(紙本),一整天看超過5小時,列出確認。</t>
        </is>
      </c>
      <c r="G17" s="1" t="inlineStr">
        <is>
          <t>not(any(vF2,9797,9898)) &amp; vF2&gt;500</t>
        </is>
      </c>
      <c r="H17" s="1" t="n"/>
    </row>
    <row r="18">
      <c r="A18" s="1" t="n">
        <v>1717</v>
      </c>
      <c r="B18" s="1">
        <f>A18</f>
        <v/>
      </c>
      <c r="C18" s="1" t="inlineStr">
        <is>
          <t>F4</t>
        </is>
      </c>
      <c r="D18" s="1" t="inlineStr">
        <is>
          <t>vF4</t>
        </is>
      </c>
      <c r="E18" s="1" t="inlineStr">
        <is>
          <t>vF4有讀雜誌(網路),一整天看超過5小時,列出確認。</t>
        </is>
      </c>
      <c r="G18" s="1" t="inlineStr">
        <is>
          <t>not(any(vF4,9797,9898)) &amp; vF4&gt;500</t>
        </is>
      </c>
      <c r="H18" s="1" t="n"/>
    </row>
    <row r="19">
      <c r="A19" s="1" t="n">
        <v>1718</v>
      </c>
      <c r="B19" s="1">
        <f>A19</f>
        <v/>
      </c>
      <c r="C19" s="1" t="inlineStr">
        <is>
          <t>G2</t>
        </is>
      </c>
      <c r="D19" s="1" t="inlineStr">
        <is>
          <t>vG2</t>
        </is>
      </c>
      <c r="E19" s="1" t="inlineStr">
        <is>
          <t>vG2有讀報紙(紙本),一整天看超過5小時,列出確認。</t>
        </is>
      </c>
      <c r="G19" s="1" t="inlineStr">
        <is>
          <t>not(any(vG2,9797,9898)) &amp; vG2&gt;500</t>
        </is>
      </c>
      <c r="H19" s="1" t="n"/>
    </row>
    <row r="20">
      <c r="A20" s="1" t="n">
        <v>1719</v>
      </c>
      <c r="B20" s="1">
        <f>A20</f>
        <v/>
      </c>
      <c r="C20" s="1" t="inlineStr">
        <is>
          <t>G5</t>
        </is>
      </c>
      <c r="D20" s="1" t="inlineStr">
        <is>
          <t>vG5</t>
        </is>
      </c>
      <c r="E20" s="1" t="inlineStr">
        <is>
          <t>vG5有上網看新聞的那一天,一整天看超過5小時,列出確認。</t>
        </is>
      </c>
      <c r="G20" s="1" t="inlineStr">
        <is>
          <t>not(any(vG5,9797,9898)) &amp; vG5&gt;500</t>
        </is>
      </c>
      <c r="H20" s="1" t="n"/>
    </row>
    <row r="21">
      <c r="A21" s="1" t="n">
        <v>1720</v>
      </c>
      <c r="B21" s="1">
        <f>A21</f>
        <v/>
      </c>
      <c r="C21" s="1" t="inlineStr">
        <is>
          <t>H1,H4,H7</t>
        </is>
      </c>
      <c r="D21" s="1" t="inlineStr">
        <is>
          <t>vH1,vH4,vH7</t>
        </is>
      </c>
      <c r="E21" s="1" t="inlineStr">
        <is>
          <t>vH1「面對面」接觸人數回答0~990且vH4「網路上」接觸人數回答0~990,在vH7「面對面」且「網路上」接觸的人數卻回答(997)不知道。</t>
        </is>
      </c>
      <c r="F21" s="1" t="inlineStr">
        <is>
          <t>*品管項目</t>
        </is>
      </c>
      <c r="G21" s="1" t="inlineStr">
        <is>
          <t>range(vH1,0,990) &amp; range(vH4,0,990) &amp; vH7=997</t>
        </is>
      </c>
      <c r="H21" s="1" t="n"/>
    </row>
    <row r="22">
      <c r="A22" s="1" t="n">
        <v>1721</v>
      </c>
      <c r="B22" s="1">
        <f>A22</f>
        <v/>
      </c>
      <c r="C22" s="1" t="inlineStr">
        <is>
          <t>H7,H7_1,H7_2,H7_3</t>
        </is>
      </c>
      <c r="D22" s="1" t="inlineStr">
        <is>
          <t>vH7,vH7_1,vH7_2,vH7_3</t>
        </is>
      </c>
      <c r="E22" s="1" t="inlineStr">
        <is>
          <t>vH7-vH7_3平常一天「面對面」且「網路上」接觸的人數超過30人,列出確認。</t>
        </is>
      </c>
      <c r="G22" s="1" t="inlineStr">
        <is>
          <t>(not(any(vH7,991,997,998)) &amp; vH7&gt;30) | (not(any(vH7_1,991,997,998)) &amp; vH7_1&gt;30) | (not(any(vH7_2,991,997,998)) &amp; vH7_2&gt;30) | (not(any(vH7_3,991,997,998)) &amp; vH7_3&gt;30)</t>
        </is>
      </c>
      <c r="H22" s="1" t="n"/>
    </row>
    <row r="23">
      <c r="A23" s="1" t="n">
        <v>1722</v>
      </c>
      <c r="B23" s="1">
        <f>A23</f>
        <v/>
      </c>
      <c r="C23" s="1" t="inlineStr">
        <is>
          <t>Q24</t>
        </is>
      </c>
      <c r="D23" s="1" t="inlineStr">
        <is>
          <t>vQ24g1</t>
        </is>
      </c>
      <c r="E23" s="1" t="inlineStr">
        <is>
          <t>vQ24看談話性政論節目,每星期看超過35小時,列出確認。</t>
        </is>
      </c>
      <c r="G23" s="1" t="inlineStr">
        <is>
          <t>not(any(vQ24g1,997,998)) &amp; vQ24g1&gt;35</t>
        </is>
      </c>
      <c r="H23" s="1" t="n"/>
    </row>
    <row r="24">
      <c r="A24" s="1" t="n">
        <v>1723</v>
      </c>
      <c r="B24" s="1">
        <f>A24</f>
        <v/>
      </c>
      <c r="C24" s="1" t="inlineStr">
        <is>
          <t>Q21</t>
        </is>
      </c>
      <c r="D24" s="1" t="inlineStr">
        <is>
          <t>vQ21g1</t>
        </is>
      </c>
      <c r="E24" s="1" t="inlineStr">
        <is>
          <t>vQ21看政治人物或政治網紅影片,每星期看超過35小時,列出確認。</t>
        </is>
      </c>
      <c r="G24" s="1" t="inlineStr">
        <is>
          <t>not(any(vQ21g1,997,998)) &amp; vQ21g1&gt;35</t>
        </is>
      </c>
      <c r="H24" s="1" t="n"/>
    </row>
    <row r="25">
      <c r="A25" s="1" t="n">
        <v>1724</v>
      </c>
      <c r="B25" s="1">
        <f>A25</f>
        <v/>
      </c>
      <c r="C25" s="1" t="inlineStr">
        <is>
          <t>Q26A</t>
        </is>
      </c>
      <c r="D25" s="1" t="inlineStr">
        <is>
          <t>vQ26Ag1</t>
        </is>
      </c>
      <c r="E25" s="1" t="inlineStr">
        <is>
          <t>vQ26A聽政治或公共事務播客,每星期聽超過35小時,列出確認。</t>
        </is>
      </c>
      <c r="G25" s="1" t="inlineStr">
        <is>
          <t>not(any(vQ26Ag1,997,998)) &amp; vQ26Ag1&gt;35</t>
        </is>
      </c>
      <c r="H25" s="1" t="n"/>
    </row>
    <row r="26">
      <c r="A26" s="1" t="n">
        <v>1725</v>
      </c>
      <c r="B26" s="1">
        <f>A26</f>
        <v/>
      </c>
      <c r="C26" s="1" t="inlineStr">
        <is>
          <t>Q28</t>
        </is>
      </c>
      <c r="D26" s="1" t="inlineStr">
        <is>
          <t>vQ28</t>
        </is>
      </c>
      <c r="E26" s="1" t="inlineStr">
        <is>
          <t>vQ28經常一起討論政治或公共事務的人數超過50人,列出確認。</t>
        </is>
      </c>
      <c r="G26" s="1" t="inlineStr">
        <is>
          <t>(not(any(vQ28,991,997,998)) &amp; vQ28&gt;50)</t>
        </is>
      </c>
      <c r="H26" s="1" t="n"/>
    </row>
    <row r="27">
      <c r="A27" s="1" t="n">
        <v>1726</v>
      </c>
      <c r="B27" s="1">
        <f>A27</f>
        <v/>
      </c>
      <c r="C27" s="1" t="inlineStr">
        <is>
          <t>H8</t>
        </is>
      </c>
      <c r="D27" s="1" t="inlineStr">
        <is>
          <t>vH8</t>
        </is>
      </c>
      <c r="E27" s="1" t="inlineStr">
        <is>
          <t>vH8經常會一起討論「個人」問題或心事的人超過50人,列出確認。</t>
        </is>
      </c>
      <c r="G27" s="1" t="inlineStr">
        <is>
          <t>(not(any(vH8,991,997,998)) &amp; vH8&gt;50)</t>
        </is>
      </c>
      <c r="H27" s="1" t="n"/>
    </row>
    <row r="28">
      <c r="A28" s="1" t="n">
        <v>1727</v>
      </c>
      <c r="B28" s="1">
        <f>A28</f>
        <v/>
      </c>
      <c r="C28" s="1" t="inlineStr">
        <is>
          <t>I2</t>
        </is>
      </c>
      <c r="D28" s="1" t="inlineStr">
        <is>
          <t>vI2</t>
        </is>
      </c>
      <c r="E28" s="1" t="inlineStr">
        <is>
          <t>vI2看戲劇節目的平常日(週一到週五),一整天看超過12小時,列出確認。</t>
        </is>
      </c>
      <c r="G28" s="1" t="inlineStr">
        <is>
          <t>not(any(vI2,9797,9898)) &amp; vI2&gt;1200</t>
        </is>
      </c>
      <c r="H28" s="1" t="n"/>
    </row>
    <row r="29">
      <c r="A29" s="1" t="n">
        <v>1728</v>
      </c>
      <c r="B29" s="1">
        <f>A29</f>
        <v/>
      </c>
      <c r="C29" s="1" t="inlineStr">
        <is>
          <t>I4</t>
        </is>
      </c>
      <c r="D29" s="1" t="inlineStr">
        <is>
          <t>vI4</t>
        </is>
      </c>
      <c r="E29" s="1" t="inlineStr">
        <is>
          <t>vI4看戲劇節目的週六或週日,一整天看超過12小時,列出確認。</t>
        </is>
      </c>
      <c r="G29" s="1" t="inlineStr">
        <is>
          <t>not(any(vI4,9797,9898)) &amp; vI4&gt;1200</t>
        </is>
      </c>
      <c r="H29" s="1" t="n"/>
    </row>
    <row r="30">
      <c r="A30" s="1" t="n">
        <v>1729</v>
      </c>
      <c r="B30" s="1">
        <f>A30</f>
        <v/>
      </c>
      <c r="C30" s="1" t="inlineStr">
        <is>
          <t>KFB2</t>
        </is>
      </c>
      <c r="D30" s="1" t="inlineStr">
        <is>
          <t>vKFB2</t>
        </is>
      </c>
      <c r="E30" s="1" t="inlineStr">
        <is>
          <t>vKFB2有使用臉書,一整天用超過16小時,列出確認。</t>
        </is>
      </c>
      <c r="G30" s="1" t="inlineStr">
        <is>
          <t>not(any(vKFB2,9797,9898)) &amp; vKFB2&gt;1600</t>
        </is>
      </c>
      <c r="H30" s="1" t="n"/>
    </row>
    <row r="31">
      <c r="A31" s="1" t="n">
        <v>1730</v>
      </c>
      <c r="B31" s="1">
        <f>A31</f>
        <v/>
      </c>
      <c r="C31" s="1" t="inlineStr">
        <is>
          <t>KIG2</t>
        </is>
      </c>
      <c r="D31" s="1" t="inlineStr">
        <is>
          <t>vKIG2</t>
        </is>
      </c>
      <c r="E31" s="1" t="inlineStr">
        <is>
          <t>vKIG2有使用IG,一整天用超過16小時,列出確認。</t>
        </is>
      </c>
      <c r="G31" s="1" t="inlineStr">
        <is>
          <t>not(any(vKIG2,9797,9898)) &amp; vKIG2&gt;1600</t>
        </is>
      </c>
      <c r="H31" s="1" t="n"/>
    </row>
    <row r="32">
      <c r="A32" s="1" t="n">
        <v>1731</v>
      </c>
      <c r="B32" s="1">
        <f>A32</f>
        <v/>
      </c>
      <c r="C32" s="1" t="inlineStr">
        <is>
          <t>KLI2</t>
        </is>
      </c>
      <c r="D32" s="1" t="inlineStr">
        <is>
          <t>vKLI2</t>
        </is>
      </c>
      <c r="E32" s="1" t="inlineStr">
        <is>
          <t>vKLI2有使用LINE,一整天用超過16小時,列出確認。</t>
        </is>
      </c>
      <c r="G32" s="1" t="inlineStr">
        <is>
          <t>not(any(vKLI2,9797,9898)) &amp; vKLI2&gt;1600</t>
        </is>
      </c>
      <c r="H32" s="1" t="n"/>
    </row>
    <row r="33">
      <c r="A33" s="1" t="n">
        <v>1732</v>
      </c>
      <c r="B33" s="1">
        <f>A33</f>
        <v/>
      </c>
      <c r="C33" s="1" t="inlineStr">
        <is>
          <t>KTT2</t>
        </is>
      </c>
      <c r="D33" s="1" t="inlineStr">
        <is>
          <t>vKTT2</t>
        </is>
      </c>
      <c r="E33" s="1" t="inlineStr">
        <is>
          <t>vKTT2有使用抖音(TikTok),一整天用超過16小時,列出確認。</t>
        </is>
      </c>
      <c r="G33" s="1" t="inlineStr">
        <is>
          <t>not(any(vKTT2,9797,9898)) &amp; vKTT2&gt;1600</t>
        </is>
      </c>
      <c r="H33" s="1" t="n"/>
    </row>
    <row r="34">
      <c r="A34" s="1" t="n">
        <v>1733</v>
      </c>
      <c r="B34" s="1">
        <f>A34</f>
        <v/>
      </c>
      <c r="C34" s="1" t="inlineStr">
        <is>
          <t>KYT2</t>
        </is>
      </c>
      <c r="D34" s="1" t="inlineStr">
        <is>
          <t>vKYT2</t>
        </is>
      </c>
      <c r="E34" s="1" t="inlineStr">
        <is>
          <t>vKYT2有使用YouTube,一整天用超過16小時,列出確認。</t>
        </is>
      </c>
      <c r="G34" s="1" t="inlineStr">
        <is>
          <t>not(any(vKYT2,9797,9898)) &amp; vKYT2&gt;1600</t>
        </is>
      </c>
      <c r="H34" s="1" t="n"/>
    </row>
    <row r="35">
      <c r="A35" s="1" t="n">
        <v>1734</v>
      </c>
      <c r="B35" s="1">
        <f>A35</f>
        <v/>
      </c>
      <c r="C35" s="1" t="inlineStr">
        <is>
          <t>P5_2</t>
        </is>
      </c>
      <c r="D35" s="1" t="inlineStr">
        <is>
          <t>vP5_2</t>
        </is>
      </c>
      <c r="E35" s="1" t="inlineStr">
        <is>
          <t>vP5_2有使用Threads,一整天用超過16小時,列出確認。</t>
        </is>
      </c>
      <c r="G35" s="1" t="inlineStr">
        <is>
          <t>not(any(vP5_2,9797,9898)) &amp; vP5_2&gt;1600</t>
        </is>
      </c>
      <c r="H35" s="1" t="n"/>
    </row>
    <row r="36">
      <c r="A36" s="1" t="n">
        <v>1735</v>
      </c>
      <c r="B36" s="1">
        <f>A36</f>
        <v/>
      </c>
      <c r="C36" s="1" t="inlineStr">
        <is>
          <t>M1</t>
        </is>
      </c>
      <c r="D36" s="1" t="inlineStr">
        <is>
          <t>vM1g01,vM1g02</t>
        </is>
      </c>
      <c r="E36" s="1" t="inlineStr">
        <is>
          <t>vM1玩電玩遊戲一週超過64小時列出確認。</t>
        </is>
      </c>
      <c r="G36" s="1" t="inlineStr">
        <is>
          <t>not(any(vM1g01,9797,9898)) &amp; not(any(vM1g02,9797,9898)) &amp; ((trunc(vM1g01/100)*60 + mod(vM1g01,100)) + (trunc(vM1g02/100)*60 + mod(vM1g02,100)))&gt;3840</t>
        </is>
      </c>
      <c r="H36" s="1" t="n"/>
    </row>
    <row r="37">
      <c r="A37" s="1" t="n">
        <v>1736</v>
      </c>
      <c r="B37" s="1">
        <f>A37</f>
        <v/>
      </c>
      <c r="C37" s="1" t="inlineStr">
        <is>
          <t>vA1,O1</t>
        </is>
      </c>
      <c r="D37" s="1" t="inlineStr">
        <is>
          <t>vA1,vO1</t>
        </is>
      </c>
      <c r="E37" s="1" t="inlineStr">
        <is>
          <t>出生年超過民國74年次(未滿40歲者),vO1目前工作不應為(09)已經退休 | (年齡計算以114減出生年)。</t>
        </is>
      </c>
      <c r="G37" s="1" t="inlineStr">
        <is>
          <t>vA1&gt;74 &amp; vO1=9</t>
        </is>
      </c>
      <c r="H37" s="1" t="n"/>
    </row>
    <row r="38">
      <c r="A38" s="1" t="n">
        <v>1737</v>
      </c>
      <c r="B38" s="1">
        <f>A38</f>
        <v/>
      </c>
      <c r="C38" s="1" t="inlineStr">
        <is>
          <t>Z2_1</t>
        </is>
      </c>
      <c r="D38" s="1" t="inlineStr">
        <is>
          <t>vZ2_1g1,vZ2_1g2</t>
        </is>
      </c>
      <c r="E38" s="1" t="inlineStr">
        <is>
          <t>1.市話號碼長度為9碼(北北基、台中、南投以外縣市電話),前兩碼應為03、05、06、07、08或前三碼為047、048。 | 2.市話號碼長度為10碼(北北基、台中、南投電話),前兩碼應為02或前三碼為042、043、049。 | 3.市話號碼不可重複。 | 4.分機號碼長度超過4碼,列出確認。 | 5.市話號碼不應該為系統範例電話0227887792或0212345678。</t>
        </is>
      </c>
      <c r="F38" s="1" t="inlineStr">
        <is>
          <t>*品管項目</t>
        </is>
      </c>
      <c r="G38" s="1" t="n"/>
      <c r="H38" s="1" t="n"/>
    </row>
    <row r="39">
      <c r="A39" s="1" t="n">
        <v>1738</v>
      </c>
      <c r="B39" s="1">
        <f>A39</f>
        <v/>
      </c>
      <c r="C39" s="1" t="inlineStr">
        <is>
          <t>Z2_2,ZE2_1</t>
        </is>
      </c>
      <c r="D39" s="1" t="inlineStr">
        <is>
          <t>vZ2_2,vZE2_1</t>
        </is>
      </c>
      <c r="E39" s="1" t="inlineStr">
        <is>
          <t>1.手機號碼長度應為10碼且前兩碼應為09。 | 2.手機號碼不可重複。 | 3.手機號碼不應該為0912345678。</t>
        </is>
      </c>
      <c r="F39" s="1" t="inlineStr">
        <is>
          <t>*品管項目</t>
        </is>
      </c>
      <c r="G39" s="1" t="n"/>
      <c r="H39" s="1" t="n"/>
    </row>
    <row r="40">
      <c r="A40" s="1" t="n">
        <v>1739</v>
      </c>
      <c r="B40" s="1">
        <f>A40</f>
        <v/>
      </c>
      <c r="C40" s="1" t="inlineStr">
        <is>
          <t>ZE2_3</t>
        </is>
      </c>
      <c r="D40" s="1" t="inlineStr">
        <is>
          <t>vZE2_3</t>
        </is>
      </c>
      <c r="E40" s="1" t="inlineStr">
        <is>
          <t>1.Email的@為全形。 | 2.Email帳號長度&lt;=2。 | 3.Email網域長度&lt;=4或不在網域清單內。 | 4.Email不可有特殊符號。 | 5.Email不可重複。</t>
        </is>
      </c>
      <c r="F40" s="1" t="inlineStr">
        <is>
          <t>*品管項目</t>
        </is>
      </c>
      <c r="G40" s="1" t="n"/>
      <c r="H40" s="1" t="n"/>
    </row>
    <row r="41">
      <c r="A41" s="1" t="n">
        <v>1740</v>
      </c>
      <c r="B41" s="1">
        <f>A41</f>
        <v/>
      </c>
      <c r="C41" s="1" t="inlineStr">
        <is>
          <t>K1,KTT4</t>
        </is>
      </c>
      <c r="D41" s="1" t="inlineStr">
        <is>
          <t>vK1m11,vKTT4m13,vKTT4m14</t>
        </is>
      </c>
      <c r="E41" s="1" t="inlineStr">
        <is>
          <t>K1有選(11)抖音,KTT4非選(97)不知道(98)拒答者,沒有選(13)分享或轉貼、轉寄影片,也沒有選(14)傳送訊息或視訊</t>
        </is>
      </c>
      <c r="F41" s="1" t="inlineStr">
        <is>
          <t>計畫小組要求列出 | 列出Q11題答案協助檢核參考</t>
        </is>
      </c>
      <c r="G41" s="1" t="inlineStr">
        <is>
          <t>vK1m11=1 &amp; vKTT4m13~=1 &amp; vKTT4m14~=1</t>
        </is>
      </c>
      <c r="H41" s="1" t="n"/>
    </row>
    <row r="42">
      <c r="A42" s="1" t="n">
        <v>1741</v>
      </c>
      <c r="B42" s="1">
        <f>A42</f>
        <v/>
      </c>
      <c r="C42" s="1" t="inlineStr">
        <is>
          <t>Q5,Q6,Q7,Q8,Q9</t>
        </is>
      </c>
      <c r="D42" s="1" t="inlineStr">
        <is>
          <t>vQ5,vQ6,vQ7,vQ8,vQ9</t>
        </is>
      </c>
      <c r="E42" s="1" t="inlineStr">
        <is>
          <t>Q5答有透過網路接觸到政治消息,但Q6-Q9皆回答(01)從來沒有</t>
        </is>
      </c>
      <c r="F42" s="1" t="inlineStr">
        <is>
          <t>計畫小組要求列出</t>
        </is>
      </c>
      <c r="G42" s="1" t="inlineStr">
        <is>
          <t>vQ5=1 &amp; vQ6=1 &amp; vQ7=1 &amp; vQ8=1 &amp; vQ9=1</t>
        </is>
      </c>
      <c r="H42" s="1" t="n"/>
    </row>
    <row r="43">
      <c r="A43" s="1" t="n">
        <v>1742</v>
      </c>
      <c r="B43" s="1">
        <f>A43</f>
        <v/>
      </c>
      <c r="C43" s="1" t="inlineStr">
        <is>
          <t>Q10,Q11,Q12,Q13,Q14</t>
        </is>
      </c>
      <c r="D43" s="1" t="inlineStr">
        <is>
          <t>vQ10,vQ11,vQ12,vQ13,vQ14</t>
        </is>
      </c>
      <c r="E43" s="1" t="inlineStr">
        <is>
          <t>Q10答有透過網路轉貼或分享政治消息,但Q11-Q14皆回答(01)從來沒有</t>
        </is>
      </c>
      <c r="F43" s="1" t="inlineStr">
        <is>
          <t>計畫小組要求列出</t>
        </is>
      </c>
      <c r="G43" s="1" t="inlineStr">
        <is>
          <t>vQ10=1 &amp; vQ11=1 &amp; vQ12=1 &amp; vQ13=1 &amp; vQ14=1</t>
        </is>
      </c>
      <c r="H43" s="1" t="n"/>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S35"/>
  <sheetViews>
    <sheetView workbookViewId="0">
      <selection activeCell="P31" sqref="P31"/>
    </sheetView>
  </sheetViews>
  <sheetFormatPr baseColWidth="8" defaultRowHeight="16.5"/>
  <cols>
    <col width="11.25" customWidth="1" style="21" min="2" max="2"/>
    <col width="8.875" customWidth="1" style="1" min="4" max="4"/>
    <col width="15" customWidth="1" style="21" min="9" max="9"/>
    <col width="30.5" customWidth="1" style="21" min="10" max="10"/>
  </cols>
  <sheetData>
    <row r="1" customFormat="1" s="1">
      <c r="A1" s="1" t="inlineStr">
        <is>
          <t>var</t>
        </is>
      </c>
      <c r="B1" s="1" t="inlineStr">
        <is>
          <t>變項屬性</t>
        </is>
      </c>
      <c r="C1" s="9" t="inlineStr">
        <is>
          <t>寬度</t>
        </is>
      </c>
      <c r="D1" s="9" t="inlineStr">
        <is>
          <t>in_or_not</t>
        </is>
      </c>
      <c r="E1" s="14" t="inlineStr">
        <is>
          <t>r1</t>
        </is>
      </c>
      <c r="F1" s="11" t="inlineStr">
        <is>
          <t>r2</t>
        </is>
      </c>
      <c r="G1" s="11" t="inlineStr">
        <is>
          <t>r3</t>
        </is>
      </c>
      <c r="H1" s="11" t="inlineStr">
        <is>
          <t>r4</t>
        </is>
      </c>
      <c r="I1" s="11" t="inlineStr">
        <is>
          <t>真實跳答碼</t>
        </is>
      </c>
      <c r="J1" s="11" t="inlineStr">
        <is>
          <t>syntax</t>
        </is>
      </c>
    </row>
    <row r="2">
      <c r="A2" s="1" t="inlineStr">
        <is>
          <t>vB2</t>
        </is>
      </c>
      <c r="B2" s="1" t="inlineStr">
        <is>
          <t>數值</t>
        </is>
      </c>
      <c r="C2" s="1" t="n">
        <v>5</v>
      </c>
      <c r="D2" s="1" t="inlineStr">
        <is>
          <t>range</t>
        </is>
      </c>
      <c r="E2" s="14" t="inlineStr">
        <is>
          <t>1,2359</t>
        </is>
      </c>
      <c r="F2" s="11" t="inlineStr">
        <is>
          <t>9797</t>
        </is>
      </c>
      <c r="G2" s="11" t="inlineStr">
        <is>
          <t>9898</t>
        </is>
      </c>
      <c r="H2" s="11" t="inlineStr">
        <is>
          <t>99996</t>
        </is>
      </c>
      <c r="I2" s="11">
        <f>H2</f>
        <v/>
      </c>
      <c r="J2" s="1">
        <f>"if  "&amp;A2&amp;"~="&amp;I2&amp;" "&amp;A2&amp;"_96=0."</f>
        <v/>
      </c>
      <c r="L2" s="8" t="inlineStr">
        <is>
          <t>這邊的程式碼要貼到"96程式"裡</t>
        </is>
      </c>
      <c r="M2" s="1" t="n"/>
      <c r="N2" s="1" t="n"/>
      <c r="O2" s="1" t="n"/>
      <c r="P2" s="14" t="n"/>
      <c r="Q2" s="11" t="n"/>
      <c r="R2" s="11" t="n"/>
      <c r="S2" s="11" t="n"/>
    </row>
    <row r="3">
      <c r="A3" s="1" t="inlineStr">
        <is>
          <t>vB4</t>
        </is>
      </c>
      <c r="B3" s="1" t="inlineStr">
        <is>
          <t>數值</t>
        </is>
      </c>
      <c r="C3" s="1" t="n">
        <v>5</v>
      </c>
      <c r="D3" s="1" t="inlineStr">
        <is>
          <t>range</t>
        </is>
      </c>
      <c r="E3" s="14" t="inlineStr">
        <is>
          <t>1,2359</t>
        </is>
      </c>
      <c r="F3" s="11" t="inlineStr">
        <is>
          <t>9797</t>
        </is>
      </c>
      <c r="G3" s="11" t="inlineStr">
        <is>
          <t>9898</t>
        </is>
      </c>
      <c r="H3" s="11" t="inlineStr">
        <is>
          <t>99996</t>
        </is>
      </c>
      <c r="I3" s="11">
        <f>H3</f>
        <v/>
      </c>
      <c r="J3" s="1">
        <f>"if  "&amp;A3&amp;"~="&amp;I3&amp;" "&amp;A3&amp;"_96=0."</f>
        <v/>
      </c>
      <c r="K3" s="1" t="n"/>
      <c r="L3" s="1" t="n"/>
      <c r="M3" s="1" t="n"/>
      <c r="N3" s="1" t="n"/>
      <c r="O3" s="1" t="n"/>
      <c r="P3" s="14" t="n"/>
      <c r="Q3" s="11" t="n"/>
      <c r="R3" s="11" t="n"/>
      <c r="S3" s="11" t="n"/>
    </row>
    <row r="4">
      <c r="A4" s="1" t="inlineStr">
        <is>
          <t>vB6</t>
        </is>
      </c>
      <c r="B4" s="1" t="inlineStr">
        <is>
          <t>數值</t>
        </is>
      </c>
      <c r="C4" s="1" t="n">
        <v>5</v>
      </c>
      <c r="D4" s="1" t="inlineStr">
        <is>
          <t>range</t>
        </is>
      </c>
      <c r="E4" s="14" t="inlineStr">
        <is>
          <t>1,2359</t>
        </is>
      </c>
      <c r="F4" s="11" t="inlineStr">
        <is>
          <t>9797</t>
        </is>
      </c>
      <c r="G4" s="11" t="inlineStr">
        <is>
          <t>9898</t>
        </is>
      </c>
      <c r="H4" s="11" t="inlineStr">
        <is>
          <t>99996</t>
        </is>
      </c>
      <c r="I4" s="11">
        <f>H4</f>
        <v/>
      </c>
      <c r="J4" s="1">
        <f>"if  "&amp;A4&amp;"~="&amp;I4&amp;" "&amp;A4&amp;"_96=0."</f>
        <v/>
      </c>
      <c r="K4" s="1" t="n"/>
      <c r="L4" s="1" t="n"/>
      <c r="M4" s="1" t="n"/>
      <c r="N4" s="1" t="n"/>
      <c r="O4" s="1" t="n"/>
      <c r="P4" s="14" t="n"/>
      <c r="Q4" s="11" t="n"/>
      <c r="R4" s="11" t="n"/>
      <c r="S4" s="11" t="n"/>
    </row>
    <row r="5">
      <c r="A5" s="1" t="inlineStr">
        <is>
          <t>vC2</t>
        </is>
      </c>
      <c r="B5" s="1" t="inlineStr">
        <is>
          <t>數值</t>
        </is>
      </c>
      <c r="C5" s="1" t="n">
        <v>5</v>
      </c>
      <c r="D5" s="1" t="inlineStr">
        <is>
          <t>range</t>
        </is>
      </c>
      <c r="E5" s="14" t="inlineStr">
        <is>
          <t>1,2359</t>
        </is>
      </c>
      <c r="F5" s="11" t="inlineStr">
        <is>
          <t>9797</t>
        </is>
      </c>
      <c r="G5" s="11" t="inlineStr">
        <is>
          <t>9898</t>
        </is>
      </c>
      <c r="H5" s="11" t="inlineStr">
        <is>
          <t>99996</t>
        </is>
      </c>
      <c r="I5" s="11">
        <f>H5</f>
        <v/>
      </c>
      <c r="J5" s="1">
        <f>"if  "&amp;A5&amp;"~="&amp;I5&amp;" "&amp;A5&amp;"_96=0."</f>
        <v/>
      </c>
      <c r="K5" s="1" t="n"/>
      <c r="L5" s="1" t="n"/>
      <c r="M5" s="1" t="n"/>
      <c r="N5" s="1" t="n"/>
      <c r="O5" s="1" t="n"/>
      <c r="P5" s="14" t="n"/>
      <c r="Q5" s="11" t="n"/>
      <c r="R5" s="11" t="n"/>
      <c r="S5" s="11" t="n"/>
    </row>
    <row r="6">
      <c r="A6" s="1" t="inlineStr">
        <is>
          <t>vD3</t>
        </is>
      </c>
      <c r="B6" s="1" t="inlineStr">
        <is>
          <t>數值</t>
        </is>
      </c>
      <c r="C6" s="1" t="n">
        <v>5</v>
      </c>
      <c r="D6" s="1" t="inlineStr">
        <is>
          <t>range</t>
        </is>
      </c>
      <c r="E6" s="14" t="inlineStr">
        <is>
          <t>1,2359</t>
        </is>
      </c>
      <c r="F6" s="11" t="inlineStr">
        <is>
          <t>9797</t>
        </is>
      </c>
      <c r="G6" s="11" t="inlineStr">
        <is>
          <t>9898</t>
        </is>
      </c>
      <c r="H6" s="11" t="inlineStr">
        <is>
          <t>99996</t>
        </is>
      </c>
      <c r="I6" s="11">
        <f>H6</f>
        <v/>
      </c>
      <c r="J6" s="1">
        <f>"if  "&amp;A6&amp;"~="&amp;I6&amp;" "&amp;A6&amp;"_96=0."</f>
        <v/>
      </c>
      <c r="K6" s="1" t="n"/>
      <c r="L6" s="1" t="n"/>
      <c r="M6" s="1" t="n"/>
      <c r="N6" s="1" t="n"/>
      <c r="O6" s="1" t="n"/>
      <c r="P6" s="14" t="n"/>
      <c r="Q6" s="11" t="n"/>
      <c r="R6" s="11" t="n"/>
      <c r="S6" s="11" t="n"/>
    </row>
    <row r="7">
      <c r="A7" s="1" t="inlineStr">
        <is>
          <t>vE5sE5</t>
        </is>
      </c>
      <c r="B7" s="1" t="inlineStr">
        <is>
          <t>數值</t>
        </is>
      </c>
      <c r="C7" s="1" t="n">
        <v>5</v>
      </c>
      <c r="D7" s="1" t="inlineStr">
        <is>
          <t>range</t>
        </is>
      </c>
      <c r="E7" s="14" t="inlineStr">
        <is>
          <t>0,2359</t>
        </is>
      </c>
      <c r="F7" s="11" t="inlineStr">
        <is>
          <t>9797</t>
        </is>
      </c>
      <c r="G7" s="11" t="inlineStr">
        <is>
          <t>9898</t>
        </is>
      </c>
      <c r="H7" s="11" t="inlineStr">
        <is>
          <t>99996</t>
        </is>
      </c>
      <c r="I7" s="11">
        <f>H7</f>
        <v/>
      </c>
      <c r="J7" s="1">
        <f>"if  "&amp;A7&amp;"~="&amp;I7&amp;" "&amp;A7&amp;"_96=0."</f>
        <v/>
      </c>
      <c r="K7" s="1" t="n"/>
      <c r="L7" s="1" t="n"/>
      <c r="M7" s="1" t="n"/>
      <c r="N7" s="1" t="n"/>
      <c r="O7" s="1" t="n"/>
      <c r="P7" s="14" t="n"/>
      <c r="Q7" s="11" t="n"/>
      <c r="R7" s="11" t="n"/>
      <c r="S7" s="11" t="n"/>
    </row>
    <row r="8">
      <c r="A8" s="1" t="inlineStr">
        <is>
          <t>vE5sE6</t>
        </is>
      </c>
      <c r="B8" s="1" t="inlineStr">
        <is>
          <t>數值</t>
        </is>
      </c>
      <c r="C8" s="1" t="n">
        <v>5</v>
      </c>
      <c r="D8" s="1" t="inlineStr">
        <is>
          <t>range</t>
        </is>
      </c>
      <c r="E8" s="14" t="inlineStr">
        <is>
          <t>0,2359</t>
        </is>
      </c>
      <c r="F8" s="11" t="inlineStr">
        <is>
          <t>9797</t>
        </is>
      </c>
      <c r="G8" s="11" t="inlineStr">
        <is>
          <t>9898</t>
        </is>
      </c>
      <c r="H8" s="11" t="inlineStr">
        <is>
          <t>99996</t>
        </is>
      </c>
      <c r="I8" s="11">
        <f>H8</f>
        <v/>
      </c>
      <c r="J8" s="1">
        <f>"if  "&amp;A8&amp;"~="&amp;I8&amp;" "&amp;A8&amp;"_96=0."</f>
        <v/>
      </c>
      <c r="K8" s="1" t="n"/>
      <c r="L8" s="1" t="n"/>
      <c r="M8" s="1" t="n"/>
      <c r="N8" s="1" t="n"/>
      <c r="O8" s="1" t="n"/>
      <c r="P8" s="14" t="n"/>
      <c r="Q8" s="11" t="n"/>
      <c r="R8" s="11" t="n"/>
      <c r="S8" s="11" t="n"/>
    </row>
    <row r="9">
      <c r="A9" s="1" t="inlineStr">
        <is>
          <t>vE8sE8</t>
        </is>
      </c>
      <c r="B9" s="1" t="inlineStr">
        <is>
          <t>數值</t>
        </is>
      </c>
      <c r="C9" s="1" t="n">
        <v>5</v>
      </c>
      <c r="D9" s="1" t="inlineStr">
        <is>
          <t>range</t>
        </is>
      </c>
      <c r="E9" s="14" t="inlineStr">
        <is>
          <t>0,2359</t>
        </is>
      </c>
      <c r="F9" s="11" t="inlineStr">
        <is>
          <t>9797</t>
        </is>
      </c>
      <c r="G9" s="11" t="inlineStr">
        <is>
          <t>9898</t>
        </is>
      </c>
      <c r="H9" s="11" t="inlineStr">
        <is>
          <t>99996</t>
        </is>
      </c>
      <c r="I9" s="11">
        <f>H9</f>
        <v/>
      </c>
      <c r="J9" s="1">
        <f>"if  "&amp;A9&amp;"~="&amp;I9&amp;" "&amp;A9&amp;"_96=0."</f>
        <v/>
      </c>
      <c r="K9" s="1" t="n"/>
      <c r="L9" s="1" t="n"/>
      <c r="M9" s="1" t="n"/>
      <c r="N9" s="1" t="n"/>
      <c r="O9" s="1" t="n"/>
      <c r="P9" s="14" t="n"/>
      <c r="Q9" s="11" t="n"/>
      <c r="R9" s="11" t="n"/>
      <c r="S9" s="11" t="n"/>
    </row>
    <row r="10">
      <c r="A10" s="1" t="inlineStr">
        <is>
          <t>vE8sE9</t>
        </is>
      </c>
      <c r="B10" s="1" t="inlineStr">
        <is>
          <t>數值</t>
        </is>
      </c>
      <c r="C10" s="1" t="n">
        <v>5</v>
      </c>
      <c r="D10" s="1" t="inlineStr">
        <is>
          <t>range</t>
        </is>
      </c>
      <c r="E10" s="14" t="inlineStr">
        <is>
          <t>0,2359</t>
        </is>
      </c>
      <c r="F10" s="11" t="inlineStr">
        <is>
          <t>9797</t>
        </is>
      </c>
      <c r="G10" s="11" t="inlineStr">
        <is>
          <t>9898</t>
        </is>
      </c>
      <c r="H10" s="11" t="inlineStr">
        <is>
          <t>99996</t>
        </is>
      </c>
      <c r="I10" s="11">
        <f>H10</f>
        <v/>
      </c>
      <c r="J10" s="1">
        <f>"if  "&amp;A10&amp;"~="&amp;I10&amp;" "&amp;A10&amp;"_96=0."</f>
        <v/>
      </c>
      <c r="K10" s="1" t="n"/>
      <c r="L10" s="1" t="n"/>
      <c r="M10" s="1" t="n"/>
      <c r="N10" s="1" t="n"/>
      <c r="O10" s="1" t="n"/>
      <c r="P10" s="14" t="n"/>
      <c r="Q10" s="11" t="n"/>
      <c r="R10" s="11" t="n"/>
      <c r="S10" s="11" t="n"/>
    </row>
    <row r="11">
      <c r="A11" s="1" t="inlineStr">
        <is>
          <t>vE11sE11</t>
        </is>
      </c>
      <c r="B11" s="1" t="inlineStr">
        <is>
          <t>數值</t>
        </is>
      </c>
      <c r="C11" s="1" t="n">
        <v>5</v>
      </c>
      <c r="D11" s="1" t="inlineStr">
        <is>
          <t>range</t>
        </is>
      </c>
      <c r="E11" s="14" t="inlineStr">
        <is>
          <t>0,2359</t>
        </is>
      </c>
      <c r="F11" s="11" t="inlineStr">
        <is>
          <t>9797</t>
        </is>
      </c>
      <c r="G11" s="11" t="inlineStr">
        <is>
          <t>9898</t>
        </is>
      </c>
      <c r="H11" s="11" t="inlineStr">
        <is>
          <t>99996</t>
        </is>
      </c>
      <c r="I11" s="11">
        <f>H11</f>
        <v/>
      </c>
      <c r="J11" s="1">
        <f>"if  "&amp;A11&amp;"~="&amp;I11&amp;" "&amp;A11&amp;"_96=0."</f>
        <v/>
      </c>
      <c r="K11" s="1" t="n"/>
      <c r="L11" s="1" t="n"/>
      <c r="M11" s="1" t="n"/>
      <c r="N11" s="1" t="n"/>
      <c r="O11" s="1" t="n"/>
      <c r="P11" s="14" t="n"/>
      <c r="Q11" s="11" t="n"/>
      <c r="R11" s="11" t="n"/>
      <c r="S11" s="11" t="n"/>
    </row>
    <row r="12">
      <c r="A12" s="1" t="inlineStr">
        <is>
          <t>vE11sE12</t>
        </is>
      </c>
      <c r="B12" s="1" t="inlineStr">
        <is>
          <t>數值</t>
        </is>
      </c>
      <c r="C12" s="1" t="n">
        <v>5</v>
      </c>
      <c r="D12" s="1" t="inlineStr">
        <is>
          <t>range</t>
        </is>
      </c>
      <c r="E12" s="14" t="inlineStr">
        <is>
          <t>0,2359</t>
        </is>
      </c>
      <c r="F12" s="11" t="inlineStr">
        <is>
          <t>9797</t>
        </is>
      </c>
      <c r="G12" s="11" t="inlineStr">
        <is>
          <t>9898</t>
        </is>
      </c>
      <c r="H12" s="11" t="inlineStr">
        <is>
          <t>99996</t>
        </is>
      </c>
      <c r="I12" s="11">
        <f>H12</f>
        <v/>
      </c>
      <c r="J12" s="1">
        <f>"if  "&amp;A12&amp;"~="&amp;I12&amp;" "&amp;A12&amp;"_96=0."</f>
        <v/>
      </c>
      <c r="K12" s="1" t="n"/>
      <c r="L12" s="1" t="n"/>
      <c r="M12" s="1" t="n"/>
      <c r="N12" s="1" t="n"/>
      <c r="O12" s="1" t="n"/>
      <c r="P12" s="14" t="n"/>
      <c r="Q12" s="11" t="n"/>
      <c r="R12" s="11" t="n"/>
      <c r="S12" s="11" t="n"/>
    </row>
    <row r="13">
      <c r="A13" s="1" t="inlineStr">
        <is>
          <t>vE3</t>
        </is>
      </c>
      <c r="B13" s="1" t="inlineStr">
        <is>
          <t>數值</t>
        </is>
      </c>
      <c r="C13" s="1" t="n">
        <v>5</v>
      </c>
      <c r="D13" s="1" t="inlineStr">
        <is>
          <t>range</t>
        </is>
      </c>
      <c r="E13" s="14" t="inlineStr">
        <is>
          <t>1,2359</t>
        </is>
      </c>
      <c r="F13" s="11" t="inlineStr">
        <is>
          <t>9797</t>
        </is>
      </c>
      <c r="G13" s="11" t="inlineStr">
        <is>
          <t>9898</t>
        </is>
      </c>
      <c r="H13" s="11" t="inlineStr">
        <is>
          <t>99996</t>
        </is>
      </c>
      <c r="I13" s="11">
        <f>H13</f>
        <v/>
      </c>
      <c r="J13" s="1">
        <f>"if  "&amp;A13&amp;"~="&amp;I13&amp;" "&amp;A13&amp;"_96=0."</f>
        <v/>
      </c>
      <c r="K13" s="1" t="n"/>
      <c r="L13" s="1" t="n"/>
      <c r="M13" s="1" t="n"/>
      <c r="N13" s="1" t="n"/>
      <c r="O13" s="1" t="n"/>
      <c r="P13" s="14" t="n"/>
      <c r="Q13" s="11" t="n"/>
      <c r="R13" s="11" t="n"/>
      <c r="S13" s="11" t="n"/>
    </row>
    <row r="14">
      <c r="A14" s="1" t="inlineStr">
        <is>
          <t>vE14</t>
        </is>
      </c>
      <c r="B14" s="1" t="inlineStr">
        <is>
          <t>數值</t>
        </is>
      </c>
      <c r="C14" s="1" t="n">
        <v>7</v>
      </c>
      <c r="D14" s="1" t="inlineStr">
        <is>
          <t>range</t>
        </is>
      </c>
      <c r="E14" s="14" t="inlineStr">
        <is>
          <t>0,100000</t>
        </is>
      </c>
      <c r="F14" s="11" t="inlineStr">
        <is>
          <t>999991</t>
        </is>
      </c>
      <c r="G14" s="11" t="inlineStr">
        <is>
          <t>99997,99998</t>
        </is>
      </c>
      <c r="H14" s="11" t="inlineStr">
        <is>
          <t>9999996</t>
        </is>
      </c>
      <c r="I14" s="11">
        <f>H14</f>
        <v/>
      </c>
      <c r="J14" s="1">
        <f>"if  "&amp;A14&amp;"~="&amp;I14&amp;" "&amp;A14&amp;"_96=0."</f>
        <v/>
      </c>
      <c r="K14" s="1" t="n"/>
      <c r="L14" s="1" t="n"/>
      <c r="M14" s="1" t="n"/>
      <c r="N14" s="1" t="n"/>
      <c r="O14" s="1" t="n"/>
      <c r="P14" s="14" t="n"/>
      <c r="Q14" s="11" t="n"/>
      <c r="R14" s="11" t="n"/>
      <c r="S14" s="11" t="n"/>
    </row>
    <row r="15">
      <c r="A15" s="1" t="inlineStr">
        <is>
          <t>vF2</t>
        </is>
      </c>
      <c r="B15" s="1" t="inlineStr">
        <is>
          <t>數值</t>
        </is>
      </c>
      <c r="C15" s="1" t="n">
        <v>5</v>
      </c>
      <c r="D15" s="1" t="inlineStr">
        <is>
          <t>range</t>
        </is>
      </c>
      <c r="E15" s="14" t="inlineStr">
        <is>
          <t>1,2359</t>
        </is>
      </c>
      <c r="F15" s="11" t="inlineStr">
        <is>
          <t>9797</t>
        </is>
      </c>
      <c r="G15" s="11" t="inlineStr">
        <is>
          <t>9898</t>
        </is>
      </c>
      <c r="H15" s="11" t="inlineStr">
        <is>
          <t>99996</t>
        </is>
      </c>
      <c r="I15" s="11">
        <f>H15</f>
        <v/>
      </c>
      <c r="J15" s="1">
        <f>"if  "&amp;A15&amp;"~="&amp;I15&amp;" "&amp;A15&amp;"_96=0."</f>
        <v/>
      </c>
      <c r="K15" s="1" t="n"/>
      <c r="L15" s="1" t="n"/>
      <c r="M15" s="1" t="n"/>
      <c r="N15" s="1" t="n"/>
      <c r="O15" s="1" t="n"/>
      <c r="P15" s="14" t="n"/>
      <c r="Q15" s="11" t="n"/>
      <c r="R15" s="11" t="n"/>
      <c r="S15" s="11" t="n"/>
    </row>
    <row r="16">
      <c r="A16" s="1" t="inlineStr">
        <is>
          <t>vF4</t>
        </is>
      </c>
      <c r="B16" s="1" t="inlineStr">
        <is>
          <t>數值</t>
        </is>
      </c>
      <c r="C16" s="1" t="n">
        <v>5</v>
      </c>
      <c r="D16" s="1" t="inlineStr">
        <is>
          <t>range</t>
        </is>
      </c>
      <c r="E16" s="14" t="inlineStr">
        <is>
          <t>1,2359</t>
        </is>
      </c>
      <c r="F16" s="11" t="inlineStr">
        <is>
          <t>9797</t>
        </is>
      </c>
      <c r="G16" s="11" t="inlineStr">
        <is>
          <t>9898</t>
        </is>
      </c>
      <c r="H16" s="11" t="inlineStr">
        <is>
          <t>99996</t>
        </is>
      </c>
      <c r="I16" s="11">
        <f>H16</f>
        <v/>
      </c>
      <c r="J16" s="1">
        <f>"if  "&amp;A16&amp;"~="&amp;I16&amp;" "&amp;A16&amp;"_96=0."</f>
        <v/>
      </c>
      <c r="K16" s="1" t="n"/>
      <c r="L16" s="1" t="n"/>
      <c r="M16" s="1" t="n"/>
      <c r="N16" s="1" t="n"/>
      <c r="O16" s="1" t="n"/>
      <c r="P16" s="14" t="n"/>
      <c r="Q16" s="11" t="n"/>
      <c r="R16" s="11" t="n"/>
      <c r="S16" s="11" t="n"/>
    </row>
    <row r="17">
      <c r="A17" s="1" t="inlineStr">
        <is>
          <t>vG2</t>
        </is>
      </c>
      <c r="B17" s="1" t="inlineStr">
        <is>
          <t>數值</t>
        </is>
      </c>
      <c r="C17" s="1" t="n">
        <v>5</v>
      </c>
      <c r="D17" s="1" t="inlineStr">
        <is>
          <t>range</t>
        </is>
      </c>
      <c r="E17" s="14" t="inlineStr">
        <is>
          <t>1,2359</t>
        </is>
      </c>
      <c r="F17" s="11" t="inlineStr">
        <is>
          <t>9797</t>
        </is>
      </c>
      <c r="G17" s="11" t="inlineStr">
        <is>
          <t>9898</t>
        </is>
      </c>
      <c r="H17" s="11" t="inlineStr">
        <is>
          <t>99996</t>
        </is>
      </c>
      <c r="I17" s="11">
        <f>H17</f>
        <v/>
      </c>
      <c r="J17" s="1">
        <f>"if  "&amp;A17&amp;"~="&amp;I17&amp;" "&amp;A17&amp;"_96=0."</f>
        <v/>
      </c>
      <c r="K17" s="1" t="n"/>
      <c r="L17" s="1" t="n"/>
      <c r="M17" s="1" t="n"/>
      <c r="N17" s="1" t="n"/>
      <c r="O17" s="1" t="n"/>
      <c r="P17" s="14" t="n"/>
      <c r="Q17" s="11" t="n"/>
      <c r="R17" s="11" t="n"/>
      <c r="S17" s="11" t="n"/>
    </row>
    <row r="18">
      <c r="A18" s="1" t="inlineStr">
        <is>
          <t>vG5</t>
        </is>
      </c>
      <c r="B18" s="1" t="inlineStr">
        <is>
          <t>數值</t>
        </is>
      </c>
      <c r="C18" s="1" t="n">
        <v>5</v>
      </c>
      <c r="D18" s="1" t="inlineStr">
        <is>
          <t>range</t>
        </is>
      </c>
      <c r="E18" s="14" t="inlineStr">
        <is>
          <t>1,2359</t>
        </is>
      </c>
      <c r="F18" s="11" t="inlineStr">
        <is>
          <t>9797</t>
        </is>
      </c>
      <c r="G18" s="11" t="inlineStr">
        <is>
          <t>9898</t>
        </is>
      </c>
      <c r="H18" s="11" t="inlineStr">
        <is>
          <t>99996</t>
        </is>
      </c>
      <c r="I18" s="11">
        <f>H18</f>
        <v/>
      </c>
      <c r="J18" s="1">
        <f>"if  "&amp;A18&amp;"~="&amp;I18&amp;" "&amp;A18&amp;"_96=0."</f>
        <v/>
      </c>
      <c r="K18" s="1" t="n"/>
      <c r="L18" s="1" t="n"/>
      <c r="M18" s="1" t="n"/>
      <c r="N18" s="1" t="n"/>
      <c r="O18" s="1" t="n"/>
      <c r="P18" s="14" t="n"/>
      <c r="Q18" s="11" t="n"/>
      <c r="R18" s="11" t="n"/>
      <c r="S18" s="11" t="n"/>
    </row>
    <row r="19">
      <c r="A19" s="1" t="inlineStr">
        <is>
          <t>vH1</t>
        </is>
      </c>
      <c r="B19" s="1" t="inlineStr">
        <is>
          <t>數值</t>
        </is>
      </c>
      <c r="C19" s="1" t="n">
        <v>4</v>
      </c>
      <c r="D19" s="1" t="inlineStr">
        <is>
          <t>range</t>
        </is>
      </c>
      <c r="E19" s="14" t="inlineStr">
        <is>
          <t>0,990</t>
        </is>
      </c>
      <c r="F19" s="11" t="inlineStr">
        <is>
          <t>991</t>
        </is>
      </c>
      <c r="G19" s="11" t="inlineStr">
        <is>
          <t>997,998</t>
        </is>
      </c>
      <c r="H19" s="11" t="n"/>
      <c r="I19" s="11" t="inlineStr">
        <is>
          <t>9996</t>
        </is>
      </c>
      <c r="J19" s="1">
        <f>"if  "&amp;A19&amp;"~="&amp;I19&amp;" "&amp;A19&amp;"_96=0."</f>
        <v/>
      </c>
      <c r="K19" s="1" t="n"/>
      <c r="L19" s="1" t="n"/>
      <c r="M19" s="1" t="n"/>
      <c r="N19" s="1" t="n"/>
      <c r="O19" s="1" t="n"/>
      <c r="P19" s="14" t="n"/>
      <c r="Q19" s="11" t="n"/>
      <c r="R19" s="11" t="n"/>
      <c r="S19" s="11" t="n"/>
    </row>
    <row r="20">
      <c r="A20" s="1" t="inlineStr">
        <is>
          <t>vH4</t>
        </is>
      </c>
      <c r="B20" s="1" t="inlineStr">
        <is>
          <t>數值</t>
        </is>
      </c>
      <c r="C20" s="1" t="n">
        <v>4</v>
      </c>
      <c r="D20" s="1" t="inlineStr">
        <is>
          <t>range</t>
        </is>
      </c>
      <c r="E20" s="14" t="inlineStr">
        <is>
          <t>0,990</t>
        </is>
      </c>
      <c r="F20" s="11" t="inlineStr">
        <is>
          <t>991</t>
        </is>
      </c>
      <c r="G20" s="11" t="inlineStr">
        <is>
          <t>997,998</t>
        </is>
      </c>
      <c r="H20" s="11" t="inlineStr">
        <is>
          <t>9996</t>
        </is>
      </c>
      <c r="I20" s="11">
        <f>H20</f>
        <v/>
      </c>
      <c r="J20" s="1">
        <f>"if  "&amp;A20&amp;"~="&amp;I20&amp;" "&amp;A20&amp;"_96=0."</f>
        <v/>
      </c>
      <c r="K20" s="1" t="n"/>
      <c r="L20" s="1" t="n"/>
      <c r="M20" s="1" t="n"/>
      <c r="N20" s="1" t="n"/>
      <c r="O20" s="1" t="n"/>
      <c r="P20" s="14" t="n"/>
      <c r="Q20" s="11" t="n"/>
      <c r="R20" s="11" t="n"/>
      <c r="S20" s="11" t="n"/>
    </row>
    <row r="21">
      <c r="A21" s="1" t="inlineStr">
        <is>
          <t>vH7</t>
        </is>
      </c>
      <c r="B21" s="1" t="inlineStr">
        <is>
          <t>數值</t>
        </is>
      </c>
      <c r="C21" s="1" t="n">
        <v>4</v>
      </c>
      <c r="D21" s="1" t="inlineStr">
        <is>
          <t>range</t>
        </is>
      </c>
      <c r="E21" s="14" t="inlineStr">
        <is>
          <t>0,990</t>
        </is>
      </c>
      <c r="F21" s="11" t="inlineStr">
        <is>
          <t>991</t>
        </is>
      </c>
      <c r="G21" s="11" t="inlineStr">
        <is>
          <t>997,998</t>
        </is>
      </c>
      <c r="H21" s="11" t="inlineStr">
        <is>
          <t>9996</t>
        </is>
      </c>
      <c r="I21" s="11">
        <f>H21</f>
        <v/>
      </c>
      <c r="J21" s="1">
        <f>"if  "&amp;A21&amp;"~="&amp;I21&amp;" "&amp;A21&amp;"_96=0."</f>
        <v/>
      </c>
      <c r="K21" s="1" t="n"/>
      <c r="L21" s="1" t="n"/>
      <c r="M21" s="1" t="n"/>
      <c r="N21" s="1" t="n"/>
      <c r="O21" s="1" t="n"/>
      <c r="P21" s="14" t="n"/>
      <c r="Q21" s="11" t="n"/>
      <c r="R21" s="11" t="n"/>
      <c r="S21" s="11" t="n"/>
    </row>
    <row r="22">
      <c r="A22" s="1" t="inlineStr">
        <is>
          <t>vH7_1</t>
        </is>
      </c>
      <c r="B22" s="1" t="inlineStr">
        <is>
          <t>數值</t>
        </is>
      </c>
      <c r="C22" s="1" t="n">
        <v>4</v>
      </c>
      <c r="D22" s="1" t="inlineStr">
        <is>
          <t>range</t>
        </is>
      </c>
      <c r="E22" s="14" t="inlineStr">
        <is>
          <t>0,990</t>
        </is>
      </c>
      <c r="F22" s="11" t="inlineStr">
        <is>
          <t>991</t>
        </is>
      </c>
      <c r="G22" s="11" t="inlineStr">
        <is>
          <t>997,998</t>
        </is>
      </c>
      <c r="H22" s="11" t="inlineStr">
        <is>
          <t>9996</t>
        </is>
      </c>
      <c r="I22" s="11">
        <f>H22</f>
        <v/>
      </c>
      <c r="J22" s="1">
        <f>"if  "&amp;A22&amp;"~="&amp;I22&amp;" "&amp;A22&amp;"_96=0."</f>
        <v/>
      </c>
      <c r="K22" s="1" t="n"/>
      <c r="L22" s="1" t="n"/>
      <c r="M22" s="1" t="n"/>
      <c r="N22" s="1" t="n"/>
      <c r="O22" s="1" t="n"/>
      <c r="P22" s="14" t="n"/>
      <c r="Q22" s="11" t="n"/>
      <c r="R22" s="11" t="n"/>
      <c r="S22" s="11" t="n"/>
    </row>
    <row r="23">
      <c r="A23" s="1" t="inlineStr">
        <is>
          <t>vH7_2</t>
        </is>
      </c>
      <c r="B23" s="1" t="inlineStr">
        <is>
          <t>數值</t>
        </is>
      </c>
      <c r="C23" s="1" t="n">
        <v>4</v>
      </c>
      <c r="D23" s="1" t="inlineStr">
        <is>
          <t>range</t>
        </is>
      </c>
      <c r="E23" s="14" t="inlineStr">
        <is>
          <t>0,990</t>
        </is>
      </c>
      <c r="F23" s="11" t="inlineStr">
        <is>
          <t>991</t>
        </is>
      </c>
      <c r="G23" s="11" t="inlineStr">
        <is>
          <t>997,998</t>
        </is>
      </c>
      <c r="H23" s="11" t="inlineStr">
        <is>
          <t>9996</t>
        </is>
      </c>
      <c r="I23" s="11">
        <f>H23</f>
        <v/>
      </c>
      <c r="J23" s="1">
        <f>"if  "&amp;A23&amp;"~="&amp;I23&amp;" "&amp;A23&amp;"_96=0."</f>
        <v/>
      </c>
      <c r="K23" s="1" t="n"/>
      <c r="L23" s="1" t="n"/>
      <c r="M23" s="1" t="n"/>
      <c r="N23" s="1" t="n"/>
      <c r="O23" s="1" t="n"/>
      <c r="P23" s="14" t="n"/>
      <c r="Q23" s="11" t="n"/>
      <c r="R23" s="11" t="n"/>
      <c r="S23" s="11" t="n"/>
    </row>
    <row r="24">
      <c r="A24" s="1" t="inlineStr">
        <is>
          <t>vH7_3</t>
        </is>
      </c>
      <c r="B24" s="1" t="inlineStr">
        <is>
          <t>數值</t>
        </is>
      </c>
      <c r="C24" s="1" t="n">
        <v>4</v>
      </c>
      <c r="D24" s="1" t="inlineStr">
        <is>
          <t>range</t>
        </is>
      </c>
      <c r="E24" s="14" t="inlineStr">
        <is>
          <t>0,990</t>
        </is>
      </c>
      <c r="F24" s="11" t="inlineStr">
        <is>
          <t>991</t>
        </is>
      </c>
      <c r="G24" s="11" t="inlineStr">
        <is>
          <t>997,998</t>
        </is>
      </c>
      <c r="H24" s="11" t="inlineStr">
        <is>
          <t>9996</t>
        </is>
      </c>
      <c r="I24" s="11">
        <f>H24</f>
        <v/>
      </c>
      <c r="J24" s="1">
        <f>"if  "&amp;A24&amp;"~="&amp;I24&amp;" "&amp;A24&amp;"_96=0."</f>
        <v/>
      </c>
      <c r="K24" s="1" t="n"/>
      <c r="L24" s="1" t="n"/>
      <c r="M24" s="1" t="n"/>
      <c r="N24" s="1" t="n"/>
      <c r="O24" s="1" t="n"/>
      <c r="P24" s="14" t="n"/>
      <c r="Q24" s="11" t="n"/>
      <c r="R24" s="11" t="n"/>
      <c r="S24" s="11" t="n"/>
    </row>
    <row r="25">
      <c r="A25" s="1" t="inlineStr">
        <is>
          <t>vH8</t>
        </is>
      </c>
      <c r="B25" s="1" t="inlineStr">
        <is>
          <t>數值</t>
        </is>
      </c>
      <c r="C25" s="1" t="n">
        <v>4</v>
      </c>
      <c r="D25" s="1" t="inlineStr">
        <is>
          <t>range</t>
        </is>
      </c>
      <c r="E25" s="14" t="inlineStr">
        <is>
          <t>0,500</t>
        </is>
      </c>
      <c r="F25" s="11" t="inlineStr">
        <is>
          <t>991</t>
        </is>
      </c>
      <c r="G25" s="11" t="inlineStr">
        <is>
          <t>997,998</t>
        </is>
      </c>
      <c r="H25" s="11" t="n"/>
      <c r="I25" s="11" t="inlineStr">
        <is>
          <t>9996</t>
        </is>
      </c>
      <c r="J25" s="1">
        <f>"if  "&amp;A25&amp;"~="&amp;I25&amp;" "&amp;A25&amp;"_96=0."</f>
        <v/>
      </c>
      <c r="K25" s="1" t="n"/>
      <c r="L25" s="1" t="n"/>
      <c r="M25" s="1" t="n"/>
      <c r="N25" s="1" t="n"/>
      <c r="O25" s="1" t="n"/>
      <c r="P25" s="14" t="n"/>
      <c r="Q25" s="11" t="n"/>
      <c r="R25" s="11" t="n"/>
      <c r="S25" s="11" t="n"/>
    </row>
    <row r="26">
      <c r="A26" s="1" t="inlineStr">
        <is>
          <t>vI2</t>
        </is>
      </c>
      <c r="B26" s="1" t="inlineStr">
        <is>
          <t>數值</t>
        </is>
      </c>
      <c r="C26" s="1" t="n">
        <v>5</v>
      </c>
      <c r="D26" s="1" t="inlineStr">
        <is>
          <t>range</t>
        </is>
      </c>
      <c r="E26" s="14" t="inlineStr">
        <is>
          <t>1,2359</t>
        </is>
      </c>
      <c r="F26" s="11" t="inlineStr">
        <is>
          <t>9797</t>
        </is>
      </c>
      <c r="G26" s="11" t="inlineStr">
        <is>
          <t>9898</t>
        </is>
      </c>
      <c r="H26" s="11" t="inlineStr">
        <is>
          <t>99996</t>
        </is>
      </c>
      <c r="I26" s="11">
        <f>H26</f>
        <v/>
      </c>
      <c r="J26" s="1">
        <f>"if  "&amp;A26&amp;"~="&amp;I26&amp;" "&amp;A26&amp;"_96=0."</f>
        <v/>
      </c>
      <c r="K26" s="1" t="n"/>
      <c r="L26" s="1" t="n"/>
      <c r="M26" s="1" t="n"/>
      <c r="N26" s="1" t="n"/>
      <c r="O26" s="1" t="n"/>
      <c r="P26" s="14" t="n"/>
      <c r="Q26" s="11" t="n"/>
      <c r="R26" s="11" t="n"/>
      <c r="S26" s="11" t="n"/>
    </row>
    <row r="27">
      <c r="A27" s="1" t="inlineStr">
        <is>
          <t>vI4</t>
        </is>
      </c>
      <c r="B27" s="1" t="inlineStr">
        <is>
          <t>數值</t>
        </is>
      </c>
      <c r="C27" s="1" t="n">
        <v>5</v>
      </c>
      <c r="D27" s="1" t="inlineStr">
        <is>
          <t>range</t>
        </is>
      </c>
      <c r="E27" s="14" t="inlineStr">
        <is>
          <t>1,2359</t>
        </is>
      </c>
      <c r="F27" s="11" t="inlineStr">
        <is>
          <t>9797</t>
        </is>
      </c>
      <c r="G27" s="11" t="inlineStr">
        <is>
          <t>9898</t>
        </is>
      </c>
      <c r="H27" s="11" t="inlineStr">
        <is>
          <t>99996</t>
        </is>
      </c>
      <c r="I27" s="11">
        <f>H27</f>
        <v/>
      </c>
      <c r="J27" s="1">
        <f>"if  "&amp;A27&amp;"~="&amp;I27&amp;" "&amp;A27&amp;"_96=0."</f>
        <v/>
      </c>
      <c r="K27" s="1" t="n"/>
      <c r="L27" s="1" t="n"/>
      <c r="M27" s="1" t="n"/>
      <c r="N27" s="1" t="n"/>
      <c r="O27" s="1" t="n"/>
      <c r="P27" s="14" t="n"/>
      <c r="Q27" s="11" t="n"/>
      <c r="R27" s="11" t="n"/>
      <c r="S27" s="11" t="n"/>
    </row>
    <row r="28">
      <c r="A28" s="1" t="inlineStr">
        <is>
          <t>vKFB2</t>
        </is>
      </c>
      <c r="B28" s="1" t="inlineStr">
        <is>
          <t>數值</t>
        </is>
      </c>
      <c r="C28" s="1" t="n">
        <v>5</v>
      </c>
      <c r="D28" s="1" t="inlineStr">
        <is>
          <t>range</t>
        </is>
      </c>
      <c r="E28" s="14" t="inlineStr">
        <is>
          <t>1,2359</t>
        </is>
      </c>
      <c r="F28" s="11" t="inlineStr">
        <is>
          <t>9797</t>
        </is>
      </c>
      <c r="G28" s="11" t="inlineStr">
        <is>
          <t>9898</t>
        </is>
      </c>
      <c r="H28" s="11" t="inlineStr">
        <is>
          <t>99996</t>
        </is>
      </c>
      <c r="I28" s="11">
        <f>H28</f>
        <v/>
      </c>
      <c r="J28" s="1">
        <f>"if  "&amp;A28&amp;"~="&amp;I28&amp;" "&amp;A28&amp;"_96=0."</f>
        <v/>
      </c>
      <c r="K28" s="1" t="n"/>
      <c r="L28" s="1" t="n"/>
      <c r="M28" s="1" t="n"/>
      <c r="N28" s="1" t="n"/>
      <c r="O28" s="1" t="n"/>
      <c r="P28" s="14" t="n"/>
      <c r="Q28" s="11" t="n"/>
      <c r="R28" s="11" t="n"/>
      <c r="S28" s="11" t="n"/>
    </row>
    <row r="29">
      <c r="A29" s="1" t="inlineStr">
        <is>
          <t>vKIG2</t>
        </is>
      </c>
      <c r="B29" s="1" t="inlineStr">
        <is>
          <t>數值</t>
        </is>
      </c>
      <c r="C29" s="1" t="n">
        <v>5</v>
      </c>
      <c r="D29" s="1" t="inlineStr">
        <is>
          <t>range</t>
        </is>
      </c>
      <c r="E29" s="14" t="inlineStr">
        <is>
          <t>1,2359</t>
        </is>
      </c>
      <c r="F29" s="11" t="inlineStr">
        <is>
          <t>9797</t>
        </is>
      </c>
      <c r="G29" s="11" t="inlineStr">
        <is>
          <t>9898</t>
        </is>
      </c>
      <c r="H29" s="11" t="inlineStr">
        <is>
          <t>99996</t>
        </is>
      </c>
      <c r="I29" s="11">
        <f>H29</f>
        <v/>
      </c>
      <c r="J29" s="1">
        <f>"if  "&amp;A29&amp;"~="&amp;I29&amp;" "&amp;A29&amp;"_96=0."</f>
        <v/>
      </c>
      <c r="K29" s="1" t="n"/>
      <c r="L29" s="1" t="n"/>
      <c r="M29" s="1" t="n"/>
      <c r="N29" s="1" t="n"/>
      <c r="O29" s="1" t="n"/>
      <c r="P29" s="14" t="n"/>
      <c r="Q29" s="11" t="n"/>
      <c r="R29" s="11" t="n"/>
      <c r="S29" s="11" t="n"/>
    </row>
    <row r="30">
      <c r="A30" s="1" t="inlineStr">
        <is>
          <t>vKTT2</t>
        </is>
      </c>
      <c r="B30" s="1" t="inlineStr">
        <is>
          <t>數值</t>
        </is>
      </c>
      <c r="C30" s="1" t="n">
        <v>5</v>
      </c>
      <c r="D30" s="1" t="inlineStr">
        <is>
          <t>range</t>
        </is>
      </c>
      <c r="E30" s="14" t="inlineStr">
        <is>
          <t>1,2359</t>
        </is>
      </c>
      <c r="F30" s="11" t="inlineStr">
        <is>
          <t>9797</t>
        </is>
      </c>
      <c r="G30" s="11" t="inlineStr">
        <is>
          <t>9898</t>
        </is>
      </c>
      <c r="H30" s="11" t="inlineStr">
        <is>
          <t>99996</t>
        </is>
      </c>
      <c r="I30" s="11">
        <f>H30</f>
        <v/>
      </c>
      <c r="J30" s="1">
        <f>"if  "&amp;A30&amp;"~="&amp;I30&amp;" "&amp;A30&amp;"_96=0."</f>
        <v/>
      </c>
      <c r="K30" s="1" t="n"/>
      <c r="L30" s="1" t="n"/>
      <c r="M30" s="1" t="n"/>
      <c r="N30" s="1" t="n"/>
      <c r="O30" s="1" t="n"/>
      <c r="P30" s="14" t="n"/>
      <c r="Q30" s="11" t="n"/>
      <c r="R30" s="11" t="n"/>
      <c r="S30" s="11" t="n"/>
    </row>
    <row r="31">
      <c r="A31" s="1" t="inlineStr">
        <is>
          <t>vP2_2</t>
        </is>
      </c>
      <c r="B31" s="1" t="inlineStr">
        <is>
          <t>數值</t>
        </is>
      </c>
      <c r="C31" s="1" t="n">
        <v>6</v>
      </c>
      <c r="D31" s="1" t="inlineStr">
        <is>
          <t>range</t>
        </is>
      </c>
      <c r="E31" s="14" t="inlineStr">
        <is>
          <t>1,5000</t>
        </is>
      </c>
      <c r="F31" s="11" t="inlineStr">
        <is>
          <t>9991</t>
        </is>
      </c>
      <c r="G31" s="11" t="inlineStr">
        <is>
          <t>9997,9998</t>
        </is>
      </c>
      <c r="H31" s="11" t="inlineStr">
        <is>
          <t>999996</t>
        </is>
      </c>
      <c r="I31" s="11">
        <f>H31</f>
        <v/>
      </c>
      <c r="J31" s="1">
        <f>"if  "&amp;A31&amp;"~="&amp;I31&amp;" "&amp;A31&amp;"_96=0."</f>
        <v/>
      </c>
      <c r="K31" s="1" t="n"/>
      <c r="L31" s="1" t="n"/>
      <c r="M31" s="1" t="n"/>
      <c r="N31" s="1" t="n"/>
      <c r="O31" s="1" t="n"/>
      <c r="P31" s="14" t="n"/>
      <c r="Q31" s="11" t="n"/>
      <c r="R31" s="11" t="n"/>
      <c r="S31" s="11" t="n"/>
    </row>
    <row r="32">
      <c r="A32" s="1" t="inlineStr">
        <is>
          <t>vKLI2</t>
        </is>
      </c>
      <c r="B32" s="1" t="inlineStr">
        <is>
          <t>數值</t>
        </is>
      </c>
      <c r="C32" s="1" t="n">
        <v>5</v>
      </c>
      <c r="D32" s="1" t="inlineStr">
        <is>
          <t>range</t>
        </is>
      </c>
      <c r="E32" s="14" t="inlineStr">
        <is>
          <t>1,2359</t>
        </is>
      </c>
      <c r="F32" s="11" t="inlineStr">
        <is>
          <t>9797</t>
        </is>
      </c>
      <c r="G32" s="11" t="inlineStr">
        <is>
          <t>9898</t>
        </is>
      </c>
      <c r="H32" s="11" t="inlineStr">
        <is>
          <t>99996</t>
        </is>
      </c>
      <c r="I32" s="11">
        <f>H32</f>
        <v/>
      </c>
      <c r="J32" s="1">
        <f>"if  "&amp;A32&amp;"~="&amp;I32&amp;" "&amp;A32&amp;"_96=0."</f>
        <v/>
      </c>
      <c r="K32" s="1" t="n"/>
      <c r="L32" s="1" t="n"/>
      <c r="M32" s="1" t="n"/>
      <c r="N32" s="1" t="n"/>
      <c r="O32" s="1" t="n"/>
      <c r="P32" s="14" t="n"/>
      <c r="Q32" s="11" t="n"/>
      <c r="R32" s="11" t="n"/>
      <c r="S32" s="11" t="n"/>
    </row>
    <row r="33">
      <c r="A33" s="1" t="inlineStr">
        <is>
          <t>vKYT2</t>
        </is>
      </c>
      <c r="B33" s="1" t="inlineStr">
        <is>
          <t>數值</t>
        </is>
      </c>
      <c r="C33" s="1" t="n">
        <v>5</v>
      </c>
      <c r="D33" s="1" t="inlineStr">
        <is>
          <t>range</t>
        </is>
      </c>
      <c r="E33" s="14" t="inlineStr">
        <is>
          <t>1,2359</t>
        </is>
      </c>
      <c r="F33" s="11" t="inlineStr">
        <is>
          <t>9797</t>
        </is>
      </c>
      <c r="G33" s="11" t="inlineStr">
        <is>
          <t>9898</t>
        </is>
      </c>
      <c r="H33" s="11" t="inlineStr">
        <is>
          <t>99996</t>
        </is>
      </c>
      <c r="I33" s="11">
        <f>H33</f>
        <v/>
      </c>
      <c r="J33" s="1">
        <f>"if  "&amp;A33&amp;"~="&amp;I33&amp;" "&amp;A33&amp;"_96=0."</f>
        <v/>
      </c>
      <c r="K33" s="1" t="n"/>
      <c r="L33" s="1" t="n"/>
      <c r="M33" s="1" t="n"/>
      <c r="N33" s="1" t="n"/>
      <c r="O33" s="1" t="n"/>
      <c r="P33" s="14" t="n"/>
      <c r="Q33" s="11" t="n"/>
      <c r="R33" s="11" t="n"/>
      <c r="S33" s="11" t="n"/>
    </row>
    <row r="34">
      <c r="A34" s="1" t="inlineStr">
        <is>
          <t>vM1g1</t>
        </is>
      </c>
      <c r="B34" s="1" t="inlineStr">
        <is>
          <t>數值</t>
        </is>
      </c>
      <c r="C34" s="1" t="n">
        <v>4</v>
      </c>
      <c r="D34" s="1" t="inlineStr">
        <is>
          <t>range</t>
        </is>
      </c>
      <c r="E34" s="14" t="inlineStr">
        <is>
          <t>0,140</t>
        </is>
      </c>
      <c r="F34" s="11" t="inlineStr">
        <is>
          <t>995</t>
        </is>
      </c>
      <c r="G34" s="11" t="inlineStr">
        <is>
          <t>997,998</t>
        </is>
      </c>
      <c r="H34" s="11" t="n"/>
      <c r="I34" s="11" t="inlineStr">
        <is>
          <t>9996</t>
        </is>
      </c>
      <c r="J34" s="1">
        <f>"if  "&amp;A34&amp;"~="&amp;I34&amp;" "&amp;A34&amp;"_96=0."</f>
        <v/>
      </c>
      <c r="K34" s="1" t="n"/>
      <c r="L34" s="1" t="n"/>
      <c r="M34" s="1" t="n"/>
      <c r="N34" s="1" t="n"/>
      <c r="O34" s="1" t="n"/>
      <c r="P34" s="14" t="n"/>
      <c r="Q34" s="11" t="n"/>
      <c r="R34" s="11" t="n"/>
      <c r="S34" s="11" t="n"/>
    </row>
    <row r="35">
      <c r="A35" s="1" t="inlineStr">
        <is>
          <t>vO4B</t>
        </is>
      </c>
      <c r="B35" s="1" t="inlineStr">
        <is>
          <t>數值</t>
        </is>
      </c>
      <c r="C35" s="1" t="n">
        <v>5</v>
      </c>
      <c r="D35" s="1" t="inlineStr">
        <is>
          <t>range</t>
        </is>
      </c>
      <c r="E35" s="14" t="inlineStr">
        <is>
          <t>1,5000</t>
        </is>
      </c>
      <c r="F35" s="11" t="inlineStr">
        <is>
          <t>9991</t>
        </is>
      </c>
      <c r="G35" s="11" t="inlineStr">
        <is>
          <t>9997,9998</t>
        </is>
      </c>
      <c r="H35" s="11" t="inlineStr">
        <is>
          <t>99996</t>
        </is>
      </c>
      <c r="I35" s="11">
        <f>H35</f>
        <v/>
      </c>
      <c r="J35" s="1">
        <f>"if  "&amp;A35&amp;"~="&amp;I35&amp;" "&amp;A35&amp;"_96=0."</f>
        <v/>
      </c>
      <c r="K35" s="1" t="n"/>
      <c r="L35" s="1" t="n"/>
      <c r="M35" s="1" t="n"/>
      <c r="N35" s="1" t="n"/>
      <c r="O35" s="1" t="n"/>
      <c r="P35" s="14" t="n"/>
      <c r="Q35" s="11" t="n"/>
      <c r="R35" s="11" t="n"/>
      <c r="S35" s="11" t="n"/>
    </row>
  </sheetData>
  <autoFilter ref="A1:J35"/>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E885"/>
  <sheetViews>
    <sheetView workbookViewId="0">
      <selection activeCell="A1" sqref="A1:D1"/>
    </sheetView>
  </sheetViews>
  <sheetFormatPr baseColWidth="8" defaultRowHeight="16.5"/>
  <cols>
    <col width="8.875" customWidth="1" style="1" min="1" max="5"/>
  </cols>
  <sheetData>
    <row r="1" customFormat="1" s="1">
      <c r="A1" s="1" t="inlineStr">
        <is>
          <t>變項名稱</t>
        </is>
      </c>
      <c r="B1" s="1" t="inlineStr">
        <is>
          <t>變項屬性</t>
        </is>
      </c>
      <c r="C1" s="1" t="inlineStr">
        <is>
          <t>寬度</t>
        </is>
      </c>
      <c r="D1" s="1" t="inlineStr">
        <is>
          <t>小數點</t>
        </is>
      </c>
      <c r="E1" s="1" t="inlineStr">
        <is>
          <t>變項說明</t>
        </is>
      </c>
    </row>
    <row r="2">
      <c r="A2" s="1" t="inlineStr">
        <is>
          <t>vZA0</t>
        </is>
      </c>
      <c r="B2" s="1" t="inlineStr">
        <is>
          <t>數值</t>
        </is>
      </c>
      <c r="C2" s="1" t="n">
        <v>2</v>
      </c>
      <c r="D2" s="1" t="n">
        <v>0</v>
      </c>
      <c r="E2" s="1" t="inlineStr">
        <is>
          <t>ZA0 「為了保障您的權益，接下來的訪問，我們將進行錄音，也一定會遵守研究倫理與個人資料保護法的規定，保護您的回答，所有資料都只用於學術研究，請您放心。」</t>
        </is>
      </c>
    </row>
    <row r="3">
      <c r="A3" s="1" t="inlineStr">
        <is>
          <t>vSF0_1</t>
        </is>
      </c>
      <c r="B3" s="1" t="inlineStr">
        <is>
          <t>數值</t>
        </is>
      </c>
      <c r="C3" s="1" t="n">
        <v>2</v>
      </c>
      <c r="D3" s="1" t="n">
        <v>0</v>
      </c>
      <c r="E3" s="1" t="inlineStr">
        <is>
          <t>SF0_1 【此案為追蹤樣本】 我們訪問的目的在於了解台灣民眾對於媒體使用習慣及態度等相關問題。 這次訪問是採用一問一答的方式，大部分的問題都是選擇題，我們會將題目仔細唸給您聽，您�</t>
        </is>
      </c>
    </row>
    <row r="4">
      <c r="A4" s="1" t="inlineStr">
        <is>
          <t>vSF0_2</t>
        </is>
      </c>
      <c r="B4" s="1" t="inlineStr">
        <is>
          <t>數值</t>
        </is>
      </c>
      <c r="C4" s="1" t="n">
        <v>2</v>
      </c>
      <c r="D4" s="1" t="n">
        <v>0</v>
      </c>
      <c r="E4" s="1" t="inlineStr">
        <is>
          <t>SF0_2 【此案為新抽樣本】 我們訪問的目的在於了解台灣民眾對於媒體使用習慣及態度等相關問題。 這次訪問是採用一問一答的方式，大部分的問題都是選擇題，我們會將題目仔細唸給您聽，您�</t>
        </is>
      </c>
    </row>
    <row r="5">
      <c r="A5" s="1" t="inlineStr">
        <is>
          <t>vZA0_1</t>
        </is>
      </c>
      <c r="B5" s="1" t="inlineStr">
        <is>
          <t>數值</t>
        </is>
      </c>
      <c r="C5" s="1" t="n">
        <v>2</v>
      </c>
      <c r="D5" s="1" t="n">
        <v>0</v>
      </c>
      <c r="E5" s="1" t="inlineStr">
        <is>
          <t>ZA0_1 想跟您確定一下我的戶中抽樣結果是不是正確的？ 請問家中具有本國國籍，年滿18歲以上（民國95年12月底以前出生者），且最近三個月內住在【${A:add1}${A:add2}${A:add4}】這個地址「一星期有四</t>
        </is>
      </c>
    </row>
    <row r="6">
      <c r="A6" s="1" t="inlineStr">
        <is>
          <t>vZA1</t>
        </is>
      </c>
      <c r="B6" s="1" t="inlineStr">
        <is>
          <t>數值</t>
        </is>
      </c>
      <c r="C6" s="1" t="n">
        <v>2</v>
      </c>
      <c r="D6" s="1" t="n">
        <v>0</v>
      </c>
      <c r="E6" s="1" t="inlineStr">
        <is>
          <t>ZA1 請問您或您家人有沒有收到我們寄來的訪函？【訪員請出示訪函、信封】</t>
        </is>
      </c>
    </row>
    <row r="7">
      <c r="A7" s="1" t="inlineStr">
        <is>
          <t>vZA1o05</t>
        </is>
      </c>
      <c r="B7" s="1" t="inlineStr">
        <is>
          <t>字串</t>
        </is>
      </c>
      <c r="C7" s="1" t="n">
        <v>150</v>
      </c>
      <c r="D7" s="1" t="n">
        <v>0</v>
      </c>
      <c r="E7" s="1" t="inlineStr">
        <is>
          <t>ZA1 請問您或您家人有沒有收到我們寄來的訪函？【訪員請出示訪函、信封】 (05) 其他，請說明：</t>
        </is>
      </c>
    </row>
    <row r="8">
      <c r="A8" s="1" t="inlineStr">
        <is>
          <t>vR1</t>
        </is>
      </c>
      <c r="B8" s="1" t="inlineStr">
        <is>
          <t>數值</t>
        </is>
      </c>
      <c r="C8" s="1" t="n">
        <v>2</v>
      </c>
      <c r="D8" s="1" t="n">
        <v>0</v>
      </c>
      <c r="E8" s="1" t="inlineStr">
        <is>
          <t>R1 在訪問開始之前，我們想跟您確定一下您的個人資料。 請問您是${A:year}年出生的${A:name}${A:gen}嗎？ 訪員注意： 若無法確認是否為受訪者本人時，切勿訪問，請主動聯繫中心協辦人員。請點選�</t>
        </is>
      </c>
    </row>
    <row r="9">
      <c r="A9" s="1" t="inlineStr">
        <is>
          <t>vR1_1</t>
        </is>
      </c>
      <c r="B9" s="1" t="inlineStr">
        <is>
          <t>數值</t>
        </is>
      </c>
      <c r="C9" s="1" t="n">
        <v>2</v>
      </c>
      <c r="D9" s="1" t="n">
        <v>0</v>
      </c>
      <c r="E9" s="1" t="inlineStr">
        <is>
          <t>R1_1 【中止訪問】 請向受訪者說：「這份問卷調查需要由${A:name}${A:gen}本人親自接受訪問，您的身分與我們登記的資料不符合，想請您幫我們聯繫${A:name}${A:gen}本人，以協助調查的執行，感謝您的</t>
        </is>
      </c>
    </row>
    <row r="10">
      <c r="A10" s="1" t="inlineStr">
        <is>
          <t>vR9m01</t>
        </is>
      </c>
      <c r="B10" s="1" t="inlineStr">
        <is>
          <t>數值</t>
        </is>
      </c>
      <c r="C10" s="1" t="n">
        <v>2</v>
      </c>
      <c r="D10" s="1" t="n">
        <v>0</v>
      </c>
      <c r="E10" s="1" t="inlineStr">
        <is>
          <t>R9 您的身分資訊與中心登記的資料有些不符，您要更新的項目有哪些？(可複選)  (01) 姓名</t>
        </is>
      </c>
    </row>
    <row r="11">
      <c r="A11" s="1" t="inlineStr">
        <is>
          <t>vR9m02</t>
        </is>
      </c>
      <c r="B11" s="1" t="inlineStr">
        <is>
          <t>數值</t>
        </is>
      </c>
      <c r="C11" s="1" t="n">
        <v>2</v>
      </c>
      <c r="D11" s="1" t="n">
        <v>0</v>
      </c>
      <c r="E11" s="1" t="inlineStr">
        <is>
          <t>R9 您的身分資訊與中心登記的資料有些不符，您要更新的項目有哪些？(可複選)  (02) 年次</t>
        </is>
      </c>
    </row>
    <row r="12">
      <c r="A12" s="1" t="inlineStr">
        <is>
          <t>vR9m03</t>
        </is>
      </c>
      <c r="B12" s="1" t="inlineStr">
        <is>
          <t>數值</t>
        </is>
      </c>
      <c r="C12" s="1" t="n">
        <v>2</v>
      </c>
      <c r="D12" s="1" t="n">
        <v>0</v>
      </c>
      <c r="E12" s="1" t="inlineStr">
        <is>
          <t>R9 您的身分資訊與中心登記的資料有些不符，您要更新的項目有哪些？(可複選)  (03) 性別</t>
        </is>
      </c>
    </row>
    <row r="13">
      <c r="A13" s="1" t="inlineStr">
        <is>
          <t>vR9_1</t>
        </is>
      </c>
      <c r="B13" s="1" t="inlineStr">
        <is>
          <t>數值</t>
        </is>
      </c>
      <c r="C13" s="1" t="n">
        <v>2</v>
      </c>
      <c r="D13" s="1" t="n">
        <v>0</v>
      </c>
      <c r="E13" s="1" t="inlineStr">
        <is>
          <t>R9_1 【中止訪問】 請訪員先確認地址是否正確。地址確認正確後， 請向受訪者說：「您的姓名、年次與性別跟我們登記的資料不符合，我們會聯繫中心協辦人員確認，謝謝您。」</t>
        </is>
      </c>
    </row>
    <row r="14">
      <c r="A14" s="1" t="inlineStr">
        <is>
          <t>vR2</t>
        </is>
      </c>
      <c r="B14" s="1" t="inlineStr">
        <is>
          <t>字串</t>
        </is>
      </c>
      <c r="C14" s="1" t="n">
        <v>45</v>
      </c>
      <c r="D14" s="1" t="n">
        <v>0</v>
      </c>
      <c r="E14" s="1" t="inlineStr">
        <is>
          <t>R2 那請問您的正確姓名是什麼呢？ 原姓名貼題：${A:name} 如受訪者姓名改動較大，請訪員確認一下原因，以確保受訪者真的為本次追蹤調查的受訪者。</t>
        </is>
      </c>
    </row>
    <row r="15">
      <c r="A15" s="1" t="inlineStr">
        <is>
          <t>vA1</t>
        </is>
      </c>
      <c r="B15" s="1" t="inlineStr">
        <is>
          <t>數值</t>
        </is>
      </c>
      <c r="C15" s="1" t="n">
        <v>3</v>
      </c>
      <c r="D15" s="1" t="n">
        <v>0</v>
      </c>
      <c r="E15" s="1" t="inlineStr">
        <is>
          <t>A1 請問您是民國哪一年出生的？(出生年以身分證上的為主) 訪員注意：若不知道出生年，請依生肖及現在大約幾歲，再由提示卡A生肖表查詢出生年。</t>
        </is>
      </c>
    </row>
    <row r="16">
      <c r="A16" s="1" t="inlineStr">
        <is>
          <t>vA2</t>
        </is>
      </c>
      <c r="B16" s="1" t="inlineStr">
        <is>
          <t>數值</t>
        </is>
      </c>
      <c r="C16" s="1" t="n">
        <v>2</v>
      </c>
      <c r="D16" s="1" t="n">
        <v>0</v>
      </c>
      <c r="E16" s="1" t="inlineStr">
        <is>
          <t>A2 請問您今年大概幾歲？</t>
        </is>
      </c>
    </row>
    <row r="17">
      <c r="A17" s="1" t="inlineStr">
        <is>
          <t>vR3</t>
        </is>
      </c>
      <c r="B17" s="1" t="inlineStr">
        <is>
          <t>數值</t>
        </is>
      </c>
      <c r="C17" s="1" t="n">
        <v>2</v>
      </c>
      <c r="D17" s="1" t="n">
        <v>0</v>
      </c>
      <c r="E17" s="1" t="inlineStr">
        <is>
          <t>R3 那請問您的正確性別是什麼呢？</t>
        </is>
      </c>
    </row>
    <row r="18">
      <c r="A18" s="1" t="inlineStr">
        <is>
          <t>vR3o88</t>
        </is>
      </c>
      <c r="B18" s="1" t="inlineStr">
        <is>
          <t>字串</t>
        </is>
      </c>
      <c r="C18" s="1" t="n">
        <v>150</v>
      </c>
      <c r="D18" s="1" t="n">
        <v>0</v>
      </c>
      <c r="E18" s="1" t="inlineStr">
        <is>
          <t>R3 那請問您的正確性別是什麼呢？ (88) 其他，請說明</t>
        </is>
      </c>
    </row>
    <row r="19">
      <c r="A19" s="1" t="inlineStr">
        <is>
          <t>vT4_1</t>
        </is>
      </c>
      <c r="B19" s="1" t="inlineStr">
        <is>
          <t>數值</t>
        </is>
      </c>
      <c r="C19" s="1" t="n">
        <v>2</v>
      </c>
      <c r="D19" s="1" t="n">
        <v>0</v>
      </c>
      <c r="E19" s="1" t="inlineStr">
        <is>
          <t>T4_1 請問您有沒有視力上完全看不到或聽力完全聽不到？</t>
        </is>
      </c>
    </row>
    <row r="20">
      <c r="A20" s="1" t="inlineStr">
        <is>
          <t>vT4_2</t>
        </is>
      </c>
      <c r="B20" s="1" t="inlineStr">
        <is>
          <t>數值</t>
        </is>
      </c>
      <c r="C20" s="1" t="n">
        <v>2</v>
      </c>
      <c r="D20" s="1" t="n">
        <v>0</v>
      </c>
      <c r="E20" s="1" t="inlineStr">
        <is>
          <t>T4_2 訪員注意 1.請訪員告知受訪者：「因本計畫是要瞭解一般民眾對於媒體的使用習慣與態度，例如看電視、聽廣播等。如果視力完全看不到或聽力完全聽不到，將無法進行訪問，感謝您的協助�</t>
        </is>
      </c>
    </row>
    <row r="21">
      <c r="A21" s="1" t="inlineStr">
        <is>
          <t>vA3</t>
        </is>
      </c>
      <c r="B21" s="1" t="inlineStr">
        <is>
          <t>數值</t>
        </is>
      </c>
      <c r="C21" s="1" t="n">
        <v>2</v>
      </c>
      <c r="D21" s="1" t="n">
        <v>0</v>
      </c>
      <c r="E21" s="1" t="inlineStr">
        <is>
          <t>A3 請問您在哪一個縣市出生？ 訪員注意：若為國外出生，則請在（88）其他欄位中填寫「該國家名稱」。</t>
        </is>
      </c>
    </row>
    <row r="22">
      <c r="A22" s="1" t="inlineStr">
        <is>
          <t>vA3o88</t>
        </is>
      </c>
      <c r="B22" s="1" t="inlineStr">
        <is>
          <t>字串</t>
        </is>
      </c>
      <c r="C22" s="1" t="n">
        <v>150</v>
      </c>
      <c r="D22" s="1" t="n">
        <v>0</v>
      </c>
      <c r="E22" s="1" t="inlineStr">
        <is>
          <t>A3 請問您在哪一個縣市出生？ 訪員注意：若為國外出生，則請在（88）其他欄位中填寫「該國家名稱」。 (88) 其他，請說明</t>
        </is>
      </c>
    </row>
    <row r="23">
      <c r="A23" s="1" t="inlineStr">
        <is>
          <t>vR4city</t>
        </is>
      </c>
      <c r="B23" s="1" t="inlineStr">
        <is>
          <t>數值</t>
        </is>
      </c>
      <c r="C23" s="1" t="n">
        <v>2</v>
      </c>
      <c r="D23" s="1" t="n">
        <v>0</v>
      </c>
      <c r="E23" s="1" t="inlineStr">
        <is>
          <t>R4 那請問您現在的居住地是哪個縣市、哪個鄉鎮市區呢？</t>
        </is>
      </c>
    </row>
    <row r="24">
      <c r="A24" s="1" t="inlineStr">
        <is>
          <t>vR4city_oth</t>
        </is>
      </c>
      <c r="B24" s="1" t="inlineStr">
        <is>
          <t>字串</t>
        </is>
      </c>
      <c r="C24" s="1" t="n">
        <v>150</v>
      </c>
      <c r="D24" s="1" t="n">
        <v>0</v>
      </c>
      <c r="E24" s="1" t="inlineStr">
        <is>
          <t>R4 那請問您現在的居住地是哪個縣市、哪個鄉鎮市區呢？ (29) 其他</t>
        </is>
      </c>
    </row>
    <row r="25">
      <c r="A25" s="1" t="inlineStr">
        <is>
          <t>vR4town</t>
        </is>
      </c>
      <c r="B25" s="1" t="inlineStr">
        <is>
          <t>數值</t>
        </is>
      </c>
      <c r="C25" s="1" t="n">
        <v>4</v>
      </c>
      <c r="D25" s="1" t="n">
        <v>0</v>
      </c>
      <c r="E25" s="1" t="inlineStr">
        <is>
          <t>R4 那請問您現在的居住地是哪個縣市、哪個鄉鎮市區呢？</t>
        </is>
      </c>
    </row>
    <row r="26">
      <c r="A26" s="1" t="inlineStr">
        <is>
          <t>vA4</t>
        </is>
      </c>
      <c r="B26" s="1" t="inlineStr">
        <is>
          <t>數值</t>
        </is>
      </c>
      <c r="C26" s="1" t="n">
        <v>2</v>
      </c>
      <c r="D26" s="1" t="n">
        <v>0</v>
      </c>
      <c r="E26" s="1" t="inlineStr">
        <is>
          <t>A4 請問您現在的居住地是不是戶籍地呢？</t>
        </is>
      </c>
    </row>
    <row r="27">
      <c r="A27" s="1" t="inlineStr">
        <is>
          <t>vA5city</t>
        </is>
      </c>
      <c r="B27" s="1" t="inlineStr">
        <is>
          <t>數值</t>
        </is>
      </c>
      <c r="C27" s="1" t="n">
        <v>2</v>
      </c>
      <c r="D27" s="1" t="n">
        <v>0</v>
      </c>
      <c r="E27" s="1" t="inlineStr">
        <is>
          <t>A5 那請問您的戶籍所在地是哪個縣市、哪個鄉鎮市區呢？(以身分證上的為主)</t>
        </is>
      </c>
    </row>
    <row r="28">
      <c r="A28" s="1" t="inlineStr">
        <is>
          <t>vA5city_oth</t>
        </is>
      </c>
      <c r="B28" s="1" t="inlineStr">
        <is>
          <t>字串</t>
        </is>
      </c>
      <c r="C28" s="1" t="n">
        <v>150</v>
      </c>
      <c r="D28" s="1" t="n">
        <v>0</v>
      </c>
      <c r="E28" s="1" t="inlineStr">
        <is>
          <t>A5 那請問您的戶籍所在地是哪個縣市、哪個鄉鎮市區呢？(以身分證上的為主) (29) 其他</t>
        </is>
      </c>
    </row>
    <row r="29">
      <c r="A29" s="1" t="inlineStr">
        <is>
          <t>vA5town</t>
        </is>
      </c>
      <c r="B29" s="1" t="inlineStr">
        <is>
          <t>數值</t>
        </is>
      </c>
      <c r="C29" s="1" t="n">
        <v>4</v>
      </c>
      <c r="D29" s="1" t="n">
        <v>0</v>
      </c>
      <c r="E29" s="1" t="inlineStr">
        <is>
          <t>A5 那請問您的戶籍所在地是哪個縣市、哪個鄉鎮市區呢？(以身分證上的為主)</t>
        </is>
      </c>
    </row>
    <row r="30">
      <c r="A30" s="1" t="inlineStr">
        <is>
          <t>vA6</t>
        </is>
      </c>
      <c r="B30" s="1" t="inlineStr">
        <is>
          <t>數值</t>
        </is>
      </c>
      <c r="C30" s="1" t="n">
        <v>2</v>
      </c>
      <c r="D30" s="1" t="n">
        <v>0</v>
      </c>
      <c r="E30" s="1" t="inlineStr">
        <is>
          <t>A6 請問您父親是台灣閩南人、台灣客家人、大陸各省市、台灣原住民還是其他人？(卡1) 訪員注意：籍貫以父親的爸爸為主。 例如：若父親的爸爸是台灣閩南人、媽媽是台灣客家人，應勾選「（01</t>
        </is>
      </c>
    </row>
    <row r="31">
      <c r="A31" s="1" t="inlineStr">
        <is>
          <t>vA6o88</t>
        </is>
      </c>
      <c r="B31" s="1" t="inlineStr">
        <is>
          <t>字串</t>
        </is>
      </c>
      <c r="C31" s="1" t="n">
        <v>150</v>
      </c>
      <c r="D31" s="1" t="n">
        <v>0</v>
      </c>
      <c r="E31" s="1" t="inlineStr">
        <is>
          <t>A6 請問您父親是台灣閩南人、台灣客家人、大陸各省市、台灣原住民還是其他人？(卡1) 訪員注意：籍貫以父親的爸爸為主。 例如：若父親的爸爸是台灣閩南人、媽媽是台灣客家人，應勾選「（01</t>
        </is>
      </c>
    </row>
    <row r="32">
      <c r="A32" s="1" t="inlineStr">
        <is>
          <t>vA7</t>
        </is>
      </c>
      <c r="B32" s="1" t="inlineStr">
        <is>
          <t>數值</t>
        </is>
      </c>
      <c r="C32" s="1" t="n">
        <v>2</v>
      </c>
      <c r="D32" s="1" t="n">
        <v>0</v>
      </c>
      <c r="E32" s="1" t="inlineStr">
        <is>
          <t>A7 請問您母親是台灣閩南人、台灣客家人、大陸各省市、台灣原住民還是其他人？(卡1) 訪員注意：籍貫以母親的爸爸為主。 例如：若母親的爸爸是台灣閩南人、媽媽是台灣客家人，應勾選「（01</t>
        </is>
      </c>
    </row>
    <row r="33">
      <c r="A33" s="1" t="inlineStr">
        <is>
          <t>vA7o88</t>
        </is>
      </c>
      <c r="B33" s="1" t="inlineStr">
        <is>
          <t>字串</t>
        </is>
      </c>
      <c r="C33" s="1" t="n">
        <v>150</v>
      </c>
      <c r="D33" s="1" t="n">
        <v>0</v>
      </c>
      <c r="E33" s="1" t="inlineStr">
        <is>
          <t>A7 請問您母親是台灣閩南人、台灣客家人、大陸各省市、台灣原住民還是其他人？(卡1) 訪員注意：籍貫以母親的爸爸為主。 例如：若母親的爸爸是台灣閩南人、媽媽是台灣客家人，應勾選「（01</t>
        </is>
      </c>
    </row>
    <row r="34">
      <c r="A34" s="1" t="inlineStr">
        <is>
          <t>vA8</t>
        </is>
      </c>
      <c r="B34" s="1" t="inlineStr">
        <is>
          <t>數值</t>
        </is>
      </c>
      <c r="C34" s="1" t="n">
        <v>2</v>
      </c>
      <c r="D34" s="1" t="n">
        <v>0</v>
      </c>
      <c r="E34" s="1" t="inlineStr">
        <is>
          <t>A8 請問您目前的婚姻狀況是什麼？(卡2) 追蹤樣本：${A:marry} 訪員注意：若追蹤樣本受訪者回答(01)單身且從沒結過婚，但2023年訪問時婚姻狀況為已婚、離婚、喪偶或分居，請委婉追問實際婚姻狀�</t>
        </is>
      </c>
    </row>
    <row r="35">
      <c r="A35" s="1" t="inlineStr">
        <is>
          <t>vA8o88</t>
        </is>
      </c>
      <c r="B35" s="1" t="inlineStr">
        <is>
          <t>字串</t>
        </is>
      </c>
      <c r="C35" s="1" t="n">
        <v>150</v>
      </c>
      <c r="D35" s="1" t="n">
        <v>0</v>
      </c>
      <c r="E35" s="1" t="inlineStr">
        <is>
          <t>A8 請問您目前的婚姻狀況是什麼？(卡2) 追蹤樣本：${A:marry} 訪員注意：若追蹤樣本受訪者回答(01)單身且從沒結過婚，但2023年訪問時婚姻狀況為已婚、離婚、喪偶或分居，請委婉追問實際婚姻狀�</t>
        </is>
      </c>
    </row>
    <row r="36">
      <c r="A36" s="1" t="inlineStr">
        <is>
          <t>vA9</t>
        </is>
      </c>
      <c r="B36" s="1" t="inlineStr">
        <is>
          <t>數值</t>
        </is>
      </c>
      <c r="C36" s="1" t="n">
        <v>2</v>
      </c>
      <c r="D36" s="1" t="n">
        <v>0</v>
      </c>
      <c r="E36" s="1" t="inlineStr">
        <is>
          <t>A9 請問您的教育程度是什麼？包含肄業、就學中。 追蹤樣本：${A:edu}</t>
        </is>
      </c>
    </row>
    <row r="37">
      <c r="A37" s="1" t="inlineStr">
        <is>
          <t>vA9o88</t>
        </is>
      </c>
      <c r="B37" s="1" t="inlineStr">
        <is>
          <t>字串</t>
        </is>
      </c>
      <c r="C37" s="1" t="n">
        <v>150</v>
      </c>
      <c r="D37" s="1" t="n">
        <v>0</v>
      </c>
      <c r="E37" s="1" t="inlineStr">
        <is>
          <t>A9 請問您的教育程度是什麼？包含肄業、就學中。 追蹤樣本：${A:edu} (88) 其他，請說明</t>
        </is>
      </c>
    </row>
    <row r="38">
      <c r="A38" s="1" t="inlineStr">
        <is>
          <t>vB1</t>
        </is>
      </c>
      <c r="B38" s="1" t="inlineStr">
        <is>
          <t>數值</t>
        </is>
      </c>
      <c r="C38" s="1" t="n">
        <v>4</v>
      </c>
      <c r="D38" s="1" t="n">
        <v>0</v>
      </c>
      <c r="E38" s="1" t="inlineStr">
        <is>
          <t>B1 請問您每星期的星期一到星期五，平均有幾天會看電視？用網路方式「同步收看」電視頻道的節目也算。 訪員注意： 1.「看電視」必須真的在看或在聽才算有看。如果只是開著沒在注意，不算</t>
        </is>
      </c>
    </row>
    <row r="39">
      <c r="A39" s="1" t="inlineStr">
        <is>
          <t>vB2</t>
        </is>
      </c>
      <c r="B39" s="1" t="inlineStr">
        <is>
          <t>數值</t>
        </is>
      </c>
      <c r="C39" s="1" t="n">
        <v>5</v>
      </c>
      <c r="D39" s="1" t="n">
        <v>0</v>
      </c>
      <c r="E39" s="1" t="inlineStr">
        <is>
          <t>B2 在您有看電視的星期一到星期五，您一整天大概會看多久？ 訪員注意： 1.本題為數值題，請填入4位數，例如2小時30分，請填入「0230」。 2.若為區間請取「中間值」，例如：2~3小時，請填入「0</t>
        </is>
      </c>
    </row>
    <row r="40">
      <c r="A40" s="1" t="inlineStr">
        <is>
          <t>vB3</t>
        </is>
      </c>
      <c r="B40" s="1" t="inlineStr">
        <is>
          <t>數值</t>
        </is>
      </c>
      <c r="C40" s="1" t="n">
        <v>4</v>
      </c>
      <c r="D40" s="1" t="n">
        <v>0</v>
      </c>
      <c r="E40" s="1" t="inlineStr">
        <is>
          <t>B3 請問星期六和星期日兩天，您大概有幾天會看電視？用網路方式「同步收看」電視頻道的節目也算。</t>
        </is>
      </c>
    </row>
    <row r="41">
      <c r="A41" s="1" t="inlineStr">
        <is>
          <t>vB4</t>
        </is>
      </c>
      <c r="B41" s="1" t="inlineStr">
        <is>
          <t>數值</t>
        </is>
      </c>
      <c r="C41" s="1" t="n">
        <v>5</v>
      </c>
      <c r="D41" s="1" t="n">
        <v>0</v>
      </c>
      <c r="E41" s="1" t="inlineStr">
        <is>
          <t>B4 星期六和星期日有看電視的那一天，您一整天大概會看多久? 若星期六看5小時，星期日看3小時，因為都是一天，請以平均計算，請填入「0400」，並不是算觀看時間最久那天的時間。</t>
        </is>
      </c>
    </row>
    <row r="42">
      <c r="A42" s="1" t="inlineStr">
        <is>
          <t>vB5</t>
        </is>
      </c>
      <c r="B42" s="1" t="inlineStr">
        <is>
          <t>數值</t>
        </is>
      </c>
      <c r="C42" s="1" t="n">
        <v>4</v>
      </c>
      <c r="D42" s="1" t="n">
        <v>0</v>
      </c>
      <c r="E42" s="1" t="inlineStr">
        <is>
          <t>B5 您在前面題目回答：週一至週五平均看${Q:B1}天電視，週六至週日平均看${Q:B3}天電視，每週七天中，您平均有幾天會看電視新聞(包含在網路上同步看電視新聞直播)？</t>
        </is>
      </c>
    </row>
    <row r="43">
      <c r="A43" s="1" t="inlineStr">
        <is>
          <t>vCKB5</t>
        </is>
      </c>
      <c r="B43" s="1" t="inlineStr">
        <is>
          <t>數值</t>
        </is>
      </c>
      <c r="C43" s="1" t="n">
        <v>2</v>
      </c>
      <c r="D43" s="1" t="n">
        <v>0</v>
      </c>
      <c r="E43" s="1" t="inlineStr">
        <is>
          <t>CKB5 【請注意】 受訪者一週當中看${Q:B5}天的電視新聞(B5題)，超過 星期一到星期五看${Q:B1}天(B1題)+星期六和星期日看${Q:B3}天(B3題)電視的總和。 請回「上一題」(B5題)重新確認看電視新聞的天數，</t>
        </is>
      </c>
    </row>
    <row r="44">
      <c r="A44" s="1" t="inlineStr">
        <is>
          <t>vB6</t>
        </is>
      </c>
      <c r="B44" s="1" t="inlineStr">
        <is>
          <t>數值</t>
        </is>
      </c>
      <c r="C44" s="1" t="n">
        <v>5</v>
      </c>
      <c r="D44" s="1" t="n">
        <v>0</v>
      </c>
      <c r="E44" s="1" t="inlineStr">
        <is>
          <t>B6 在您有看電視新聞的那一天，您一整天大概會看多久？ 請以發生頻率較高(天數較多)來回答一整天收看時間，不是填觀看時間最久那天的時間。 例如星期一到星期四都是3小時，星期五到星期�</t>
        </is>
      </c>
    </row>
    <row r="45">
      <c r="A45" s="1" t="inlineStr">
        <is>
          <t>vB7am01</t>
        </is>
      </c>
      <c r="B45" s="1" t="inlineStr">
        <is>
          <t>數值</t>
        </is>
      </c>
      <c r="C45" s="1" t="n">
        <v>2</v>
      </c>
      <c r="D45" s="1" t="n">
        <v>0</v>
      </c>
      <c r="E45" s="1" t="inlineStr">
        <is>
          <t>B7a 請問您經常看哪幾台電視新聞？(可複選) (卡3) 訪員注意：同色選項表示該電視台有系列頻道，請再確認是哪一台，例如：答「TVBS」，請辨別是TVBS新聞台還是TVBS。  (01) TVBS新聞台 (55台，24小時</t>
        </is>
      </c>
    </row>
    <row r="46">
      <c r="A46" s="1" t="inlineStr">
        <is>
          <t>vB7am02</t>
        </is>
      </c>
      <c r="B46" s="1" t="inlineStr">
        <is>
          <t>數值</t>
        </is>
      </c>
      <c r="C46" s="1" t="n">
        <v>2</v>
      </c>
      <c r="D46" s="1" t="n">
        <v>0</v>
      </c>
      <c r="E46" s="1" t="inlineStr">
        <is>
          <t>B7a 請問您經常看哪幾台電視新聞？(可複選) (卡3) 訪員注意：同色選項表示該電視台有系列頻道，請再確認是哪一台，例如：答「TVBS」，請辨別是TVBS新聞台還是TVBS。  (02) TVBS(56台)</t>
        </is>
      </c>
    </row>
    <row r="47">
      <c r="A47" s="1" t="inlineStr">
        <is>
          <t>vB7am03</t>
        </is>
      </c>
      <c r="B47" s="1" t="inlineStr">
        <is>
          <t>數值</t>
        </is>
      </c>
      <c r="C47" s="1" t="n">
        <v>2</v>
      </c>
      <c r="D47" s="1" t="n">
        <v>0</v>
      </c>
      <c r="E47" s="1" t="inlineStr">
        <is>
          <t>B7a 請問您經常看哪幾台電視新聞？(可複選) (卡3) 訪員注意：同色選項表示該電視台有系列頻道，請再確認是哪一台，例如：答「TVBS」，請辨別是TVBS新聞台還是TVBS。  (03) 三立新聞台 (24小時新聞</t>
        </is>
      </c>
    </row>
    <row r="48">
      <c r="A48" s="1" t="inlineStr">
        <is>
          <t>vB7am04</t>
        </is>
      </c>
      <c r="B48" s="1" t="inlineStr">
        <is>
          <t>數值</t>
        </is>
      </c>
      <c r="C48" s="1" t="n">
        <v>2</v>
      </c>
      <c r="D48" s="1" t="n">
        <v>0</v>
      </c>
      <c r="E48" s="1" t="inlineStr">
        <is>
          <t>B7a 請問您經常看哪幾台電視新聞？(可複選) (卡3) 訪員注意：同色選項表示該電視台有系列頻道，請再確認是哪一台，例如：答「TVBS」，請辨別是TVBS新聞台還是TVBS。  (04) 三立台灣台</t>
        </is>
      </c>
    </row>
    <row r="49">
      <c r="A49" s="1" t="inlineStr">
        <is>
          <t>vB7am05</t>
        </is>
      </c>
      <c r="B49" s="1" t="inlineStr">
        <is>
          <t>數值</t>
        </is>
      </c>
      <c r="C49" s="1" t="n">
        <v>2</v>
      </c>
      <c r="D49" s="1" t="n">
        <v>0</v>
      </c>
      <c r="E49" s="1" t="inlineStr">
        <is>
          <t>B7a 請問您經常看哪幾台電視新聞？(可複選) (卡3) 訪員注意：同色選項表示該電視台有系列頻道，請再確認是哪一台，例如：答「TVBS」，請辨別是TVBS新聞台還是TVBS。  (05) 三立財經台 (iNEWS)</t>
        </is>
      </c>
    </row>
    <row r="50">
      <c r="A50" s="1" t="inlineStr">
        <is>
          <t>vB7am06</t>
        </is>
      </c>
      <c r="B50" s="1" t="inlineStr">
        <is>
          <t>數值</t>
        </is>
      </c>
      <c r="C50" s="1" t="n">
        <v>2</v>
      </c>
      <c r="D50" s="1" t="n">
        <v>0</v>
      </c>
      <c r="E50" s="1" t="inlineStr">
        <is>
          <t>B7a 請問您經常看哪幾台電視新聞？(可複選) (卡3) 訪員注意：同色選項表示該電視台有系列頻道，請再確認是哪一台，例如：答「TVBS」，請辨別是TVBS新聞台還是TVBS。  (06) 八大第一台</t>
        </is>
      </c>
    </row>
    <row r="51">
      <c r="A51" s="1" t="inlineStr">
        <is>
          <t>vB7am07</t>
        </is>
      </c>
      <c r="B51" s="1" t="inlineStr">
        <is>
          <t>數值</t>
        </is>
      </c>
      <c r="C51" s="1" t="n">
        <v>2</v>
      </c>
      <c r="D51" s="1" t="n">
        <v>0</v>
      </c>
      <c r="E51" s="1" t="inlineStr">
        <is>
          <t>B7a 請問您經常看哪幾台電視新聞？(可複選) (卡3) 訪員注意：同色選項表示該電視台有系列頻道，請再確認是哪一台，例如：答「TVBS」，請辨別是TVBS新聞台還是TVBS。  (07) 中視新聞台 (24小時新聞</t>
        </is>
      </c>
    </row>
    <row r="52">
      <c r="A52" s="1" t="inlineStr">
        <is>
          <t>vB7am08</t>
        </is>
      </c>
      <c r="B52" s="1" t="inlineStr">
        <is>
          <t>數值</t>
        </is>
      </c>
      <c r="C52" s="1" t="n">
        <v>2</v>
      </c>
      <c r="D52" s="1" t="n">
        <v>0</v>
      </c>
      <c r="E52" s="1" t="inlineStr">
        <is>
          <t>B7a 請問您經常看哪幾台電視新聞？(可複選) (卡3) 訪員注意：同色選項表示該電視台有系列頻道，請再確認是哪一台，例如：答「TVBS」，請辨別是TVBS新聞台還是TVBS。  (08) 中視</t>
        </is>
      </c>
    </row>
    <row r="53">
      <c r="A53" s="1" t="inlineStr">
        <is>
          <t>vB7am09</t>
        </is>
      </c>
      <c r="B53" s="1" t="inlineStr">
        <is>
          <t>數值</t>
        </is>
      </c>
      <c r="C53" s="1" t="n">
        <v>2</v>
      </c>
      <c r="D53" s="1" t="n">
        <v>0</v>
      </c>
      <c r="E53" s="1" t="inlineStr">
        <is>
          <t>B7a 請問您經常看哪幾台電視新聞？(可複選) (卡3) 訪員注意：同色選項表示該電視台有系列頻道，請再確認是哪一台，例如：答「TVBS」，請辨別是TVBS新聞台還是TVBS。  (09) 中視菁采台</t>
        </is>
      </c>
    </row>
    <row r="54">
      <c r="A54" s="1" t="inlineStr">
        <is>
          <t>vB7am10</t>
        </is>
      </c>
      <c r="B54" s="1" t="inlineStr">
        <is>
          <t>數值</t>
        </is>
      </c>
      <c r="C54" s="1" t="n">
        <v>2</v>
      </c>
      <c r="D54" s="1" t="n">
        <v>0</v>
      </c>
      <c r="E54" s="1" t="inlineStr">
        <is>
          <t>B7a 請問您經常看哪幾台電視新聞？(可複選) (卡3) 訪員注意：同色選項表示該電視台有系列頻道，請再確認是哪一台，例如：答「TVBS」，請辨別是TVBS新聞台還是TVBS。  (10) 中視經典台</t>
        </is>
      </c>
    </row>
    <row r="55">
      <c r="A55" s="1" t="inlineStr">
        <is>
          <t>vB7am11</t>
        </is>
      </c>
      <c r="B55" s="1" t="inlineStr">
        <is>
          <t>數值</t>
        </is>
      </c>
      <c r="C55" s="1" t="n">
        <v>2</v>
      </c>
      <c r="D55" s="1" t="n">
        <v>0</v>
      </c>
      <c r="E55" s="1" t="inlineStr">
        <is>
          <t>B7a 請問您經常看哪幾台電視新聞？(可複選) (卡3) 訪員注意：同色選項表示該電視台有系列頻道，請再確認是哪一台，例如：答「TVBS」，請辨別是TVBS新聞台還是TVBS。  (11) 公視</t>
        </is>
      </c>
    </row>
    <row r="56">
      <c r="A56" s="1" t="inlineStr">
        <is>
          <t>vB7am12</t>
        </is>
      </c>
      <c r="B56" s="1" t="inlineStr">
        <is>
          <t>數值</t>
        </is>
      </c>
      <c r="C56" s="1" t="n">
        <v>2</v>
      </c>
      <c r="D56" s="1" t="n">
        <v>0</v>
      </c>
      <c r="E56" s="1" t="inlineStr">
        <is>
          <t>B7a 請問您經常看哪幾台電視新聞？(可複選) (卡3) 訪員注意：同色選項表示該電視台有系列頻道，請再確認是哪一台，例如：答「TVBS」，請辨別是TVBS新聞台還是TVBS。  (12) 公視3台</t>
        </is>
      </c>
    </row>
    <row r="57">
      <c r="A57" s="1" t="inlineStr">
        <is>
          <t>vB7am13</t>
        </is>
      </c>
      <c r="B57" s="1" t="inlineStr">
        <is>
          <t>數值</t>
        </is>
      </c>
      <c r="C57" s="1" t="n">
        <v>2</v>
      </c>
      <c r="D57" s="1" t="n">
        <v>0</v>
      </c>
      <c r="E57" s="1" t="inlineStr">
        <is>
          <t>B7a 請問您經常看哪幾台電視新聞？(可複選) (卡3) 訪員注意：同色選項表示該電視台有系列頻道，請再確認是哪一台，例如：答「TVBS」，請辨別是TVBS新聞台還是TVBS。  (13) 公視台語台</t>
        </is>
      </c>
    </row>
    <row r="58">
      <c r="A58" s="1" t="inlineStr">
        <is>
          <t>vB7am14</t>
        </is>
      </c>
      <c r="B58" s="1" t="inlineStr">
        <is>
          <t>數值</t>
        </is>
      </c>
      <c r="C58" s="1" t="n">
        <v>2</v>
      </c>
      <c r="D58" s="1" t="n">
        <v>0</v>
      </c>
      <c r="E58" s="1" t="inlineStr">
        <is>
          <t>B7a 請問您經常看哪幾台電視新聞？(可複選) (卡3) 訪員注意：同色選項表示該電視台有系列頻道，請再確認是哪一台，例如：答「TVBS」，請辨別是TVBS新聞台還是TVBS。  (14) 台視新聞台 (24小時新聞</t>
        </is>
      </c>
    </row>
    <row r="59">
      <c r="A59" s="1" t="inlineStr">
        <is>
          <t>vB7am15</t>
        </is>
      </c>
      <c r="B59" s="1" t="inlineStr">
        <is>
          <t>數值</t>
        </is>
      </c>
      <c r="C59" s="1" t="n">
        <v>2</v>
      </c>
      <c r="D59" s="1" t="n">
        <v>0</v>
      </c>
      <c r="E59" s="1" t="inlineStr">
        <is>
          <t>B7a 請問您經常看哪幾台電視新聞？(可複選) (卡3) 訪員注意：同色選項表示該電視台有系列頻道，請再確認是哪一台，例如：答「TVBS」，請辨別是TVBS新聞台還是TVBS。  (15) 台視</t>
        </is>
      </c>
    </row>
    <row r="60">
      <c r="A60" s="1" t="inlineStr">
        <is>
          <t>vB7am16</t>
        </is>
      </c>
      <c r="B60" s="1" t="inlineStr">
        <is>
          <t>數值</t>
        </is>
      </c>
      <c r="C60" s="1" t="n">
        <v>2</v>
      </c>
      <c r="D60" s="1" t="n">
        <v>0</v>
      </c>
      <c r="E60" s="1" t="inlineStr">
        <is>
          <t>B7a 請問您經常看哪幾台電視新聞？(可複選) (卡3) 訪員注意：同色選項表示該電視台有系列頻道，請再確認是哪一台，例如：答「TVBS」，請辨別是TVBS新聞台還是TVBS。  (16) 台視財經台</t>
        </is>
      </c>
    </row>
    <row r="61">
      <c r="A61" s="1" t="inlineStr">
        <is>
          <t>vB7am17</t>
        </is>
      </c>
      <c r="B61" s="1" t="inlineStr">
        <is>
          <t>數值</t>
        </is>
      </c>
      <c r="C61" s="1" t="n">
        <v>2</v>
      </c>
      <c r="D61" s="1" t="n">
        <v>0</v>
      </c>
      <c r="E61" s="1" t="inlineStr">
        <is>
          <t>B7a 請問您經常看哪幾台電視新聞？(可複選) (卡3) 訪員注意：同色選項表示該電視台有系列頻道，請再確認是哪一台，例如：答「TVBS」，請辨別是TVBS新聞台還是TVBS。  (17) 民視新聞台 (24小時新聞</t>
        </is>
      </c>
    </row>
    <row r="62">
      <c r="A62" s="1" t="inlineStr">
        <is>
          <t>vB7am18</t>
        </is>
      </c>
      <c r="B62" s="1" t="inlineStr">
        <is>
          <t>數值</t>
        </is>
      </c>
      <c r="C62" s="1" t="n">
        <v>2</v>
      </c>
      <c r="D62" s="1" t="n">
        <v>0</v>
      </c>
      <c r="E62" s="1" t="inlineStr">
        <is>
          <t>B7a 請問您經常看哪幾台電視新聞？(可複選) (卡3) 訪員注意：同色選項表示該電視台有系列頻道，請再確認是哪一台，例如：答「TVBS」，請辨別是TVBS新聞台還是TVBS。  (18) 民視</t>
        </is>
      </c>
    </row>
    <row r="63">
      <c r="A63" s="1" t="inlineStr">
        <is>
          <t>vB7am19</t>
        </is>
      </c>
      <c r="B63" s="1" t="inlineStr">
        <is>
          <t>數值</t>
        </is>
      </c>
      <c r="C63" s="1" t="n">
        <v>2</v>
      </c>
      <c r="D63" s="1" t="n">
        <v>0</v>
      </c>
      <c r="E63" s="1" t="inlineStr">
        <is>
          <t>B7a 請問您經常看哪幾台電視新聞？(可複選) (卡3) 訪員注意：同色選項表示該電視台有系列頻道，請再確認是哪一台，例如：答「TVBS」，請辨別是TVBS新聞台還是TVBS。  (19) 民視台灣台</t>
        </is>
      </c>
    </row>
    <row r="64">
      <c r="A64" s="1" t="inlineStr">
        <is>
          <t>vB7am20</t>
        </is>
      </c>
      <c r="B64" s="1" t="inlineStr">
        <is>
          <t>數值</t>
        </is>
      </c>
      <c r="C64" s="1" t="n">
        <v>2</v>
      </c>
      <c r="D64" s="1" t="n">
        <v>0</v>
      </c>
      <c r="E64" s="1" t="inlineStr">
        <is>
          <t>B7a 請問您經常看哪幾台電視新聞？(可複選) (卡3) 訪員注意：同色選項表示該電視台有系列頻道，請再確認是哪一台，例如：答「TVBS」，請辨別是TVBS新聞台還是TVBS。  (20) 民視第一台</t>
        </is>
      </c>
    </row>
    <row r="65">
      <c r="A65" s="1" t="inlineStr">
        <is>
          <t>vB7am21</t>
        </is>
      </c>
      <c r="B65" s="1" t="inlineStr">
        <is>
          <t>數值</t>
        </is>
      </c>
      <c r="C65" s="1" t="n">
        <v>2</v>
      </c>
      <c r="D65" s="1" t="n">
        <v>0</v>
      </c>
      <c r="E65" s="1" t="inlineStr">
        <is>
          <t>B7a 請問您經常看哪幾台電視新聞？(可複選) (卡3) 訪員注意：同色選項表示該電視台有系列頻道，請再確認是哪一台，例如：答「TVBS」，請辨別是TVBS新聞台還是TVBS。  (21) 年代新聞</t>
        </is>
      </c>
    </row>
    <row r="66">
      <c r="A66" s="1" t="inlineStr">
        <is>
          <t>vB7am22</t>
        </is>
      </c>
      <c r="B66" s="1" t="inlineStr">
        <is>
          <t>數值</t>
        </is>
      </c>
      <c r="C66" s="1" t="n">
        <v>2</v>
      </c>
      <c r="D66" s="1" t="n">
        <v>0</v>
      </c>
      <c r="E66" s="1" t="inlineStr">
        <is>
          <t>B7a 請問您經常看哪幾台電視新聞？(可複選) (卡3) 訪員注意：同色選項表示該電視台有系列頻道，請再確認是哪一台，例如：答「TVBS」，請辨別是TVBS新聞台還是TVBS。  (22) 東森財經新聞</t>
        </is>
      </c>
    </row>
    <row r="67">
      <c r="A67" s="1" t="inlineStr">
        <is>
          <t>vB7am23</t>
        </is>
      </c>
      <c r="B67" s="1" t="inlineStr">
        <is>
          <t>數值</t>
        </is>
      </c>
      <c r="C67" s="1" t="n">
        <v>2</v>
      </c>
      <c r="D67" s="1" t="n">
        <v>0</v>
      </c>
      <c r="E67" s="1" t="inlineStr">
        <is>
          <t>B7a 請問您經常看哪幾台電視新聞？(可複選) (卡3) 訪員注意：同色選項表示該電視台有系列頻道，請再確認是哪一台，例如：答「TVBS」，請辨別是TVBS新聞台還是TVBS。  (23) 東森新聞</t>
        </is>
      </c>
    </row>
    <row r="68">
      <c r="A68" s="1" t="inlineStr">
        <is>
          <t>vB7am24</t>
        </is>
      </c>
      <c r="B68" s="1" t="inlineStr">
        <is>
          <t>數值</t>
        </is>
      </c>
      <c r="C68" s="1" t="n">
        <v>2</v>
      </c>
      <c r="D68" s="1" t="n">
        <v>0</v>
      </c>
      <c r="E68" s="1" t="inlineStr">
        <is>
          <t>B7a 請問您經常看哪幾台電視新聞？(可複選) (卡3) 訪員注意：同色選項表示該電視台有系列頻道，請再確認是哪一台，例如：答「TVBS」，請辨別是TVBS新聞台還是TVBS。  (24) 非凡新聞 (24小時新聞台</t>
        </is>
      </c>
    </row>
    <row r="69">
      <c r="A69" s="1" t="inlineStr">
        <is>
          <t>vB7am25</t>
        </is>
      </c>
      <c r="B69" s="1" t="inlineStr">
        <is>
          <t>數值</t>
        </is>
      </c>
      <c r="C69" s="1" t="n">
        <v>2</v>
      </c>
      <c r="D69" s="1" t="n">
        <v>0</v>
      </c>
      <c r="E69" s="1" t="inlineStr">
        <is>
          <t>B7a 請問您經常看哪幾台電視新聞？(可複選) (卡3) 訪員注意：同色選項表示該電視台有系列頻道，請再確認是哪一台，例如：答「TVBS」，請辨別是TVBS新聞台還是TVBS。  (25) 非凡商業台</t>
        </is>
      </c>
    </row>
    <row r="70">
      <c r="A70" s="1" t="inlineStr">
        <is>
          <t>vB7am26</t>
        </is>
      </c>
      <c r="B70" s="1" t="inlineStr">
        <is>
          <t>數值</t>
        </is>
      </c>
      <c r="C70" s="1" t="n">
        <v>2</v>
      </c>
      <c r="D70" s="1" t="n">
        <v>0</v>
      </c>
      <c r="E70" s="1" t="inlineStr">
        <is>
          <t>B7a 請問您經常看哪幾台電視新聞？(可複選) (卡3) 訪員注意：同色選項表示該電視台有系列頻道，請再確認是哪一台，例如：答「TVBS」，請辨別是TVBS新聞台還是TVBS。  (26) 客家電視台</t>
        </is>
      </c>
    </row>
    <row r="71">
      <c r="A71" s="1" t="inlineStr">
        <is>
          <t>vB7am27</t>
        </is>
      </c>
      <c r="B71" s="1" t="inlineStr">
        <is>
          <t>數值</t>
        </is>
      </c>
      <c r="C71" s="1" t="n">
        <v>2</v>
      </c>
      <c r="D71" s="1" t="n">
        <v>0</v>
      </c>
      <c r="E71" s="1" t="inlineStr">
        <is>
          <t>B7a 請問您經常看哪幾台電視新聞？(可複選) (卡3) 訪員注意：同色選項表示該電視台有系列頻道，請再確認是哪一台，例如：答「TVBS」，請辨別是TVBS新聞台還是TVBS。  (27) 原住民族電視台</t>
        </is>
      </c>
    </row>
    <row r="72">
      <c r="A72" s="1" t="inlineStr">
        <is>
          <t>vB7am28</t>
        </is>
      </c>
      <c r="B72" s="1" t="inlineStr">
        <is>
          <t>數值</t>
        </is>
      </c>
      <c r="C72" s="1" t="n">
        <v>2</v>
      </c>
      <c r="D72" s="1" t="n">
        <v>0</v>
      </c>
      <c r="E72" s="1" t="inlineStr">
        <is>
          <t>B7a 請問您經常看哪幾台電視新聞？(可複選) (卡3) 訪員注意：同色選項表示該電視台有系列頻道，請再確認是哪一台，例如：答「TVBS」，請辨別是TVBS新聞台還是TVBS。  (28) 壹電視新聞</t>
        </is>
      </c>
    </row>
    <row r="73">
      <c r="A73" s="1" t="inlineStr">
        <is>
          <t>vB7am29</t>
        </is>
      </c>
      <c r="B73" s="1" t="inlineStr">
        <is>
          <t>數值</t>
        </is>
      </c>
      <c r="C73" s="1" t="n">
        <v>2</v>
      </c>
      <c r="D73" s="1" t="n">
        <v>0</v>
      </c>
      <c r="E73" s="1" t="inlineStr">
        <is>
          <t>B7a 請問您經常看哪幾台電視新聞？(可複選) (卡3) 訪員注意：同色選項表示該電視台有系列頻道，請再確認是哪一台，例如：答「TVBS」，請辨別是TVBS新聞台還是TVBS。  (29) 華視新聞資訊台 (24小時</t>
        </is>
      </c>
    </row>
    <row r="74">
      <c r="A74" s="1" t="inlineStr">
        <is>
          <t>vB7am30</t>
        </is>
      </c>
      <c r="B74" s="1" t="inlineStr">
        <is>
          <t>數值</t>
        </is>
      </c>
      <c r="C74" s="1" t="n">
        <v>2</v>
      </c>
      <c r="D74" s="1" t="n">
        <v>0</v>
      </c>
      <c r="E74" s="1" t="inlineStr">
        <is>
          <t>B7a 請問您經常看哪幾台電視新聞？(可複選) (卡3) 訪員注意：同色選項表示該電視台有系列頻道，請再確認是哪一台，例如：答「TVBS」，請辨別是TVBS新聞台還是TVBS。  (30) 華視</t>
        </is>
      </c>
    </row>
    <row r="75">
      <c r="A75" s="1" t="inlineStr">
        <is>
          <t>vB7am31</t>
        </is>
      </c>
      <c r="B75" s="1" t="inlineStr">
        <is>
          <t>數值</t>
        </is>
      </c>
      <c r="C75" s="1" t="n">
        <v>2</v>
      </c>
      <c r="D75" s="1" t="n">
        <v>0</v>
      </c>
      <c r="E75" s="1" t="inlineStr">
        <is>
          <t>B7a 請問您經常看哪幾台電視新聞？(可複選) (卡3) 訪員注意：同色選項表示該電視台有系列頻道，請再確認是哪一台，例如：答「TVBS」，請辨別是TVBS新聞台還是TVBS。  (31) 新唐人亞太台</t>
        </is>
      </c>
    </row>
    <row r="76">
      <c r="A76" s="1" t="inlineStr">
        <is>
          <t>vB7am32</t>
        </is>
      </c>
      <c r="B76" s="1" t="inlineStr">
        <is>
          <t>數值</t>
        </is>
      </c>
      <c r="C76" s="1" t="n">
        <v>2</v>
      </c>
      <c r="D76" s="1" t="n">
        <v>0</v>
      </c>
      <c r="E76" s="1" t="inlineStr">
        <is>
          <t>B7a 請問您經常看哪幾台電視新聞？(可複選) (卡3) 訪員注意：同色選項表示該電視台有系列頻道，請再確認是哪一台，例如：答「TVBS」，請辨別是TVBS新聞台還是TVBS。  (32) 靖天資訊台</t>
        </is>
      </c>
    </row>
    <row r="77">
      <c r="A77" s="1" t="inlineStr">
        <is>
          <t>vB7am33</t>
        </is>
      </c>
      <c r="B77" s="1" t="inlineStr">
        <is>
          <t>數值</t>
        </is>
      </c>
      <c r="C77" s="1" t="n">
        <v>2</v>
      </c>
      <c r="D77" s="1" t="n">
        <v>0</v>
      </c>
      <c r="E77" s="1" t="inlineStr">
        <is>
          <t>B7a 請問您經常看哪幾台電視新聞？(可複選) (卡3) 訪員注意：同色選項表示該電視台有系列頻道，請再確認是哪一台，例如：答「TVBS」，請辨別是TVBS新聞台還是TVBS。  (33) 寰宇新聞台 (24小時新聞</t>
        </is>
      </c>
    </row>
    <row r="78">
      <c r="A78" s="1" t="inlineStr">
        <is>
          <t>vB7am34</t>
        </is>
      </c>
      <c r="B78" s="1" t="inlineStr">
        <is>
          <t>數值</t>
        </is>
      </c>
      <c r="C78" s="1" t="n">
        <v>2</v>
      </c>
      <c r="D78" s="1" t="n">
        <v>0</v>
      </c>
      <c r="E78" s="1" t="inlineStr">
        <is>
          <t>B7a 請問您經常看哪幾台電視新聞？(可複選) (卡3) 訪員注意：同色選項表示該電視台有系列頻道，請再確認是哪一台，例如：答「TVBS」，請辨別是TVBS新聞台還是TVBS。  (34) 寰宇新聞台灣台 (24小時</t>
        </is>
      </c>
    </row>
    <row r="79">
      <c r="A79" s="1" t="inlineStr">
        <is>
          <t>vB7am35</t>
        </is>
      </c>
      <c r="B79" s="1" t="inlineStr">
        <is>
          <t>數值</t>
        </is>
      </c>
      <c r="C79" s="1" t="n">
        <v>2</v>
      </c>
      <c r="D79" s="1" t="n">
        <v>0</v>
      </c>
      <c r="E79" s="1" t="inlineStr">
        <is>
          <t>B7a 請問您經常看哪幾台電視新聞？(可複選) (卡3) 訪員注意：同色選項表示該電視台有系列頻道，請再確認是哪一台，例如：答「TVBS」，請辨別是TVBS新聞台還是TVBS。  (35) 寰宇財經台</t>
        </is>
      </c>
    </row>
    <row r="80">
      <c r="A80" s="1" t="inlineStr">
        <is>
          <t>vB7am36</t>
        </is>
      </c>
      <c r="B80" s="1" t="inlineStr">
        <is>
          <t>數值</t>
        </is>
      </c>
      <c r="C80" s="1" t="n">
        <v>2</v>
      </c>
      <c r="D80" s="1" t="n">
        <v>0</v>
      </c>
      <c r="E80" s="1" t="inlineStr">
        <is>
          <t>B7a 請問您經常看哪幾台電視新聞？(可複選) (卡3) 訪員注意：同色選項表示該電視台有系列頻道，請再確認是哪一台，例如：答「TVBS」，請辨別是TVBS新聞台還是TVBS。  (36) BBC世界新聞台</t>
        </is>
      </c>
    </row>
    <row r="81">
      <c r="A81" s="1" t="inlineStr">
        <is>
          <t>vB7am37</t>
        </is>
      </c>
      <c r="B81" s="1" t="inlineStr">
        <is>
          <t>數值</t>
        </is>
      </c>
      <c r="C81" s="1" t="n">
        <v>2</v>
      </c>
      <c r="D81" s="1" t="n">
        <v>0</v>
      </c>
      <c r="E81" s="1" t="inlineStr">
        <is>
          <t>B7a 請問您經常看哪幾台電視新聞？(可複選) (卡3) 訪員注意：同色選項表示該電視台有系列頻道，請再確認是哪一台，例如：答「TVBS」，請辨別是TVBS新聞台還是TVBS。  (37) Channel News Asia</t>
        </is>
      </c>
    </row>
    <row r="82">
      <c r="A82" s="1" t="inlineStr">
        <is>
          <t>vB7am38</t>
        </is>
      </c>
      <c r="B82" s="1" t="inlineStr">
        <is>
          <t>數值</t>
        </is>
      </c>
      <c r="C82" s="1" t="n">
        <v>2</v>
      </c>
      <c r="D82" s="1" t="n">
        <v>0</v>
      </c>
      <c r="E82" s="1" t="inlineStr">
        <is>
          <t>B7a 請問您經常看哪幾台電視新聞？(可複選) (卡3) 訪員注意：同色選項表示該電視台有系列頻道，請再確認是哪一台，例如：答「TVBS」，請辨別是TVBS新聞台還是TVBS。  (38) CNBC Asia</t>
        </is>
      </c>
    </row>
    <row r="83">
      <c r="A83" s="1" t="inlineStr">
        <is>
          <t>vB7am39</t>
        </is>
      </c>
      <c r="B83" s="1" t="inlineStr">
        <is>
          <t>數值</t>
        </is>
      </c>
      <c r="C83" s="1" t="n">
        <v>2</v>
      </c>
      <c r="D83" s="1" t="n">
        <v>0</v>
      </c>
      <c r="E83" s="1" t="inlineStr">
        <is>
          <t>B7a 請問您經常看哪幾台電視新聞？(可複選) (卡3) 訪員注意：同色選項表示該電視台有系列頻道，請再確認是哪一台，例如：答「TVBS」，請辨別是TVBS新聞台還是TVBS。  (39) CNN</t>
        </is>
      </c>
    </row>
    <row r="84">
      <c r="A84" s="1" t="inlineStr">
        <is>
          <t>vB7am40</t>
        </is>
      </c>
      <c r="B84" s="1" t="inlineStr">
        <is>
          <t>數值</t>
        </is>
      </c>
      <c r="C84" s="1" t="n">
        <v>2</v>
      </c>
      <c r="D84" s="1" t="n">
        <v>0</v>
      </c>
      <c r="E84" s="1" t="inlineStr">
        <is>
          <t>B7a 請問您經常看哪幾台電視新聞？(可複選) (卡3) 訪員注意：同色選項表示該電視台有系列頻道，請再確認是哪一台，例如：答「TVBS」，請辨別是TVBS新聞台還是TVBS。  (40) NHK</t>
        </is>
      </c>
    </row>
    <row r="85">
      <c r="A85" s="1" t="inlineStr">
        <is>
          <t>vB7am41</t>
        </is>
      </c>
      <c r="B85" s="1" t="inlineStr">
        <is>
          <t>數值</t>
        </is>
      </c>
      <c r="C85" s="1" t="n">
        <v>2</v>
      </c>
      <c r="D85" s="1" t="n">
        <v>0</v>
      </c>
      <c r="E85" s="1" t="inlineStr">
        <is>
          <t>B7a 請問您經常看哪幾台電視新聞？(可複選) (卡3) 訪員注意：同色選項表示該電視台有系列頻道，請再確認是哪一台，例如：答「TVBS」，請辨別是TVBS新聞台還是TVBS。  (41) TFC</t>
        </is>
      </c>
    </row>
    <row r="86">
      <c r="A86" s="1" t="inlineStr">
        <is>
          <t>vB7am42</t>
        </is>
      </c>
      <c r="B86" s="1" t="inlineStr">
        <is>
          <t>數值</t>
        </is>
      </c>
      <c r="C86" s="1" t="n">
        <v>2</v>
      </c>
      <c r="D86" s="1" t="n">
        <v>0</v>
      </c>
      <c r="E86" s="1" t="inlineStr">
        <is>
          <t>B7a 請問您經常看哪幾台電視新聞？(可複選) (卡3) 訪員注意：同色選項表示該電視台有系列頻道，請再確認是哪一台，例如：答「TVBS」，請辨別是TVBS新聞台還是TVBS。  (42) TV5MONDE</t>
        </is>
      </c>
    </row>
    <row r="87">
      <c r="A87" s="1" t="inlineStr">
        <is>
          <t>vB7am43</t>
        </is>
      </c>
      <c r="B87" s="1" t="inlineStr">
        <is>
          <t>數值</t>
        </is>
      </c>
      <c r="C87" s="1" t="n">
        <v>2</v>
      </c>
      <c r="D87" s="1" t="n">
        <v>0</v>
      </c>
      <c r="E87" s="1" t="inlineStr">
        <is>
          <t>B7a 請問您經常看哪幾台電視新聞？(可複選) (卡3) 訪員注意：同色選項表示該電視台有系列頻道，請再確認是哪一台，例如：答「TVBS」，請辨別是TVBS新聞台還是TVBS。  (43) VTV4台</t>
        </is>
      </c>
    </row>
    <row r="88">
      <c r="A88" s="1" t="inlineStr">
        <is>
          <t>vB7am44</t>
        </is>
      </c>
      <c r="B88" s="1" t="inlineStr">
        <is>
          <t>數值</t>
        </is>
      </c>
      <c r="C88" s="1" t="n">
        <v>2</v>
      </c>
      <c r="D88" s="1" t="n">
        <v>0</v>
      </c>
      <c r="E88" s="1" t="inlineStr">
        <is>
          <t>B7a 請問您經常看哪幾台電視新聞？(可複選) (卡3) 訪員注意：同色選項表示該電視台有系列頻道，請再確認是哪一台，例如：答「TVBS」，請辨別是TVBS新聞台還是TVBS。  (44) 半島英語新聞台</t>
        </is>
      </c>
    </row>
    <row r="89">
      <c r="A89" s="1" t="inlineStr">
        <is>
          <t>vB7am45</t>
        </is>
      </c>
      <c r="B89" s="1" t="inlineStr">
        <is>
          <t>數值</t>
        </is>
      </c>
      <c r="C89" s="1" t="n">
        <v>2</v>
      </c>
      <c r="D89" s="1" t="n">
        <v>0</v>
      </c>
      <c r="E89" s="1" t="inlineStr">
        <is>
          <t>B7a 請問您經常看哪幾台電視新聞？(可複選) (卡3) 訪員注意：同色選項表示該電視台有系列頻道，請再確認是哪一台，例如：答「TVBS」，請辨別是TVBS新聞台還是TVBS。  (45) 阿里郎電視台Arirang TV</t>
        </is>
      </c>
    </row>
    <row r="90">
      <c r="A90" s="1" t="inlineStr">
        <is>
          <t>vB7am46</t>
        </is>
      </c>
      <c r="B90" s="1" t="inlineStr">
        <is>
          <t>數值</t>
        </is>
      </c>
      <c r="C90" s="1" t="n">
        <v>2</v>
      </c>
      <c r="D90" s="1" t="n">
        <v>0</v>
      </c>
      <c r="E90" s="1" t="inlineStr">
        <is>
          <t>B7a 請問您經常看哪幾台電視新聞？(可複選) (卡3) 訪員注意：同色選項表示該電視台有系列頻道，請再確認是哪一台，例如：答「TVBS」，請辨別是TVBS新聞台還是TVBS。  (46) 彭博財經頻道Bloomberg TV</t>
        </is>
      </c>
    </row>
    <row r="91">
      <c r="A91" s="1" t="inlineStr">
        <is>
          <t>vB7am47</t>
        </is>
      </c>
      <c r="B91" s="1" t="inlineStr">
        <is>
          <t>數值</t>
        </is>
      </c>
      <c r="C91" s="1" t="n">
        <v>2</v>
      </c>
      <c r="D91" s="1" t="n">
        <v>0</v>
      </c>
      <c r="E91" s="1" t="inlineStr">
        <is>
          <t>B7a 請問您經常看哪幾台電視新聞？(可複選) (卡3) 訪員注意：同色選項表示該電視台有系列頻道，請再確認是哪一台，例如：答「TVBS」，請辨別是TVBS新聞台還是TVBS。  (47) 德國之聲電視台</t>
        </is>
      </c>
    </row>
    <row r="92">
      <c r="A92" s="1" t="inlineStr">
        <is>
          <t>vB7am48</t>
        </is>
      </c>
      <c r="B92" s="1" t="inlineStr">
        <is>
          <t>數值</t>
        </is>
      </c>
      <c r="C92" s="1" t="n">
        <v>2</v>
      </c>
      <c r="D92" s="1" t="n">
        <v>0</v>
      </c>
      <c r="E92" s="1" t="inlineStr">
        <is>
          <t>B7a 請問您經常看哪幾台電視新聞？(可複選) (卡3) 訪員注意：同色選項表示該電視台有系列頻道，請再確認是哪一台，例如：答「TVBS」，請辨別是TVBS新聞台還是TVBS。  (48) 歐洲新聞台Euronews</t>
        </is>
      </c>
    </row>
    <row r="93">
      <c r="A93" s="1" t="inlineStr">
        <is>
          <t>vB7am49</t>
        </is>
      </c>
      <c r="B93" s="1" t="inlineStr">
        <is>
          <t>數值</t>
        </is>
      </c>
      <c r="C93" s="1" t="n">
        <v>2</v>
      </c>
      <c r="D93" s="1" t="n">
        <v>0</v>
      </c>
      <c r="E93" s="1" t="inlineStr">
        <is>
          <t>B7a 請問您經常看哪幾台電視新聞？(可複選) (卡3) 訪員注意：同色選項表示該電視台有系列頻道，請再確認是哪一台，例如：答「TVBS」，請辨別是TVBS新聞台還是TVBS。  (49) AMC</t>
        </is>
      </c>
    </row>
    <row r="94">
      <c r="A94" s="1" t="inlineStr">
        <is>
          <t>vB7am50</t>
        </is>
      </c>
      <c r="B94" s="1" t="inlineStr">
        <is>
          <t>數值</t>
        </is>
      </c>
      <c r="C94" s="1" t="n">
        <v>2</v>
      </c>
      <c r="D94" s="1" t="n">
        <v>0</v>
      </c>
      <c r="E94" s="1" t="inlineStr">
        <is>
          <t>B7a 請問您經常看哪幾台電視新聞？(可複選) (卡3) 訪員注意：同色選項表示該電視台有系列頻道，請再確認是哪一台，例如：答「TVBS」，請辨別是TVBS新聞台還是TVBS。  (50) 人間衛視</t>
        </is>
      </c>
    </row>
    <row r="95">
      <c r="A95" s="1" t="inlineStr">
        <is>
          <t>vB7am51</t>
        </is>
      </c>
      <c r="B95" s="1" t="inlineStr">
        <is>
          <t>數值</t>
        </is>
      </c>
      <c r="C95" s="1" t="n">
        <v>2</v>
      </c>
      <c r="D95" s="1" t="n">
        <v>0</v>
      </c>
      <c r="E95" s="1" t="inlineStr">
        <is>
          <t>B7a 請問您經常看哪幾台電視新聞？(可複選) (卡3) 訪員注意：同色選項表示該電視台有系列頻道，請再確認是哪一台，例如：答「TVBS」，請辨別是TVBS新聞台還是TVBS。  (51) 大愛</t>
        </is>
      </c>
    </row>
    <row r="96">
      <c r="A96" s="1" t="inlineStr">
        <is>
          <t>vB7am52</t>
        </is>
      </c>
      <c r="B96" s="1" t="inlineStr">
        <is>
          <t>數值</t>
        </is>
      </c>
      <c r="C96" s="1" t="n">
        <v>2</v>
      </c>
      <c r="D96" s="1" t="n">
        <v>0</v>
      </c>
      <c r="E96" s="1" t="inlineStr">
        <is>
          <t>B7a 請問您經常看哪幾台電視新聞？(可複選) (卡3) 訪員注意：同色選項表示該電視台有系列頻道，請再確認是哪一台，例如：答「TVBS」，請辨別是TVBS新聞台還是TVBS。  (52) 大愛二台</t>
        </is>
      </c>
    </row>
    <row r="97">
      <c r="A97" s="1" t="inlineStr">
        <is>
          <t>vB7am53</t>
        </is>
      </c>
      <c r="B97" s="1" t="inlineStr">
        <is>
          <t>數值</t>
        </is>
      </c>
      <c r="C97" s="1" t="n">
        <v>2</v>
      </c>
      <c r="D97" s="1" t="n">
        <v>0</v>
      </c>
      <c r="E97" s="1" t="inlineStr">
        <is>
          <t>B7a 請問您經常看哪幾台電視新聞？(可複選) (卡3) 訪員注意：同色選項表示該電視台有系列頻道，請再確認是哪一台，例如：答「TVBS」，請辨別是TVBS新聞台還是TVBS。  (53) 好消息</t>
        </is>
      </c>
    </row>
    <row r="98">
      <c r="A98" s="1" t="inlineStr">
        <is>
          <t>vB7am54</t>
        </is>
      </c>
      <c r="B98" s="1" t="inlineStr">
        <is>
          <t>數值</t>
        </is>
      </c>
      <c r="C98" s="1" t="n">
        <v>2</v>
      </c>
      <c r="D98" s="1" t="n">
        <v>0</v>
      </c>
      <c r="E98" s="1" t="inlineStr">
        <is>
          <t>B7a 請問您經常看哪幾台電視新聞？(可複選) (卡3) 訪員注意：同色選項表示該電視台有系列頻道，請再確認是哪一台，例如：答「TVBS」，請辨別是TVBS新聞台還是TVBS。  (54) 緯來體育台</t>
        </is>
      </c>
    </row>
    <row r="99">
      <c r="A99" s="1" t="inlineStr">
        <is>
          <t>vB7am88</t>
        </is>
      </c>
      <c r="B99" s="1" t="inlineStr">
        <is>
          <t>數值</t>
        </is>
      </c>
      <c r="C99" s="1" t="n">
        <v>2</v>
      </c>
      <c r="D99" s="1" t="n">
        <v>0</v>
      </c>
      <c r="E99" s="1" t="inlineStr">
        <is>
          <t>B7a 請問您經常看哪幾台電視新聞？(可複選) (卡3) 訪員注意：同色選項表示該電視台有系列頻道，請再確認是哪一台，例如：答「TVBS」，請辨別是TVBS新聞台還是TVBS。  (88) 其他，請說明</t>
        </is>
      </c>
    </row>
    <row r="100">
      <c r="A100" s="1" t="inlineStr">
        <is>
          <t>vB7ao88</t>
        </is>
      </c>
      <c r="B100" s="1" t="inlineStr">
        <is>
          <t>字串</t>
        </is>
      </c>
      <c r="C100" s="1" t="n">
        <v>150</v>
      </c>
      <c r="D100" s="1" t="n">
        <v>0</v>
      </c>
      <c r="E100" s="1" t="inlineStr">
        <is>
          <t>B7a 請問您經常看哪幾台電視新聞？(可複選) (卡3) 訪員注意：同色選項表示該電視台有系列頻道，請再確認是哪一台，例如：答「TVBS」，請辨別是TVBS新聞台還是TVBS。  (88) 其他，請說明</t>
        </is>
      </c>
    </row>
    <row r="101">
      <c r="A101" s="1" t="inlineStr">
        <is>
          <t>vB7</t>
        </is>
      </c>
      <c r="B101" s="1" t="inlineStr">
        <is>
          <t>數值</t>
        </is>
      </c>
      <c r="C101" s="1" t="n">
        <v>2</v>
      </c>
      <c r="D101" s="1" t="n">
        <v>0</v>
      </c>
      <c r="E101" s="1" t="inlineStr">
        <is>
          <t>B7 您最常看哪一台電視新聞？(卡3) 若會看不同台的電視新聞，請用受訪者一天「看最久」的那台來回答。</t>
        </is>
      </c>
    </row>
    <row r="102">
      <c r="A102" s="1" t="inlineStr">
        <is>
          <t>vB7o88</t>
        </is>
      </c>
      <c r="B102" s="1" t="inlineStr">
        <is>
          <t>字串</t>
        </is>
      </c>
      <c r="C102" s="1" t="n">
        <v>150</v>
      </c>
      <c r="D102" s="1" t="n">
        <v>0</v>
      </c>
      <c r="E102" s="1" t="inlineStr">
        <is>
          <t>B7 您最常看哪一台電視新聞？(卡3) 若會看不同台的電視新聞，請用受訪者一天「看最久」的那台來回答。 (88) 其他，請說明</t>
        </is>
      </c>
    </row>
    <row r="103">
      <c r="A103" s="1" t="inlineStr">
        <is>
          <t>vB8m01</t>
        </is>
      </c>
      <c r="B103" s="1" t="inlineStr">
        <is>
          <t>數值</t>
        </is>
      </c>
      <c r="C103" s="1" t="n">
        <v>2</v>
      </c>
      <c r="D103" s="1" t="n">
        <v>0</v>
      </c>
      <c r="E103" s="1" t="inlineStr">
        <is>
          <t>B8 最近一個月您經常看下列哪幾種類型的電視節目？(可複選)(卡4) 訪員注意： 1.括號內只是舉例，若有符合括號內其中一項就可以選。 2.若有看特定電視節目但不知道要選哪類，則請在（88）其�</t>
        </is>
      </c>
    </row>
    <row r="104">
      <c r="A104" s="1" t="inlineStr">
        <is>
          <t>vB8m02</t>
        </is>
      </c>
      <c r="B104" s="1" t="inlineStr">
        <is>
          <t>數值</t>
        </is>
      </c>
      <c r="C104" s="1" t="n">
        <v>2</v>
      </c>
      <c r="D104" s="1" t="n">
        <v>0</v>
      </c>
      <c r="E104" s="1" t="inlineStr">
        <is>
          <t>B8 最近一個月您經常看下列哪幾種類型的電視節目？(可複選)(卡4) 訪員注意： 1.括號內只是舉例，若有符合括號內其中一項就可以選。 2.若有看特定電視節目但不知道要選哪類，則請在（88）其�</t>
        </is>
      </c>
    </row>
    <row r="105">
      <c r="A105" s="1" t="inlineStr">
        <is>
          <t>vB8m03</t>
        </is>
      </c>
      <c r="B105" s="1" t="inlineStr">
        <is>
          <t>數值</t>
        </is>
      </c>
      <c r="C105" s="1" t="n">
        <v>2</v>
      </c>
      <c r="D105" s="1" t="n">
        <v>0</v>
      </c>
      <c r="E105" s="1" t="inlineStr">
        <is>
          <t>B8 最近一個月您經常看下列哪幾種類型的電視節目？(可複選)(卡4) 訪員注意： 1.括號內只是舉例，若有符合括號內其中一項就可以選。 2.若有看特定電視節目但不知道要選哪類，則請在（88）其�</t>
        </is>
      </c>
    </row>
    <row r="106">
      <c r="A106" s="1" t="inlineStr">
        <is>
          <t>vB8m04</t>
        </is>
      </c>
      <c r="B106" s="1" t="inlineStr">
        <is>
          <t>數值</t>
        </is>
      </c>
      <c r="C106" s="1" t="n">
        <v>2</v>
      </c>
      <c r="D106" s="1" t="n">
        <v>0</v>
      </c>
      <c r="E106" s="1" t="inlineStr">
        <is>
          <t>B8 最近一個月您經常看下列哪幾種類型的電視節目？(可複選)(卡4) 訪員注意： 1.括號內只是舉例，若有符合括號內其中一項就可以選。 2.若有看特定電視節目但不知道要選哪類，則請在（88）其�</t>
        </is>
      </c>
    </row>
    <row r="107">
      <c r="A107" s="1" t="inlineStr">
        <is>
          <t>vB8m05</t>
        </is>
      </c>
      <c r="B107" s="1" t="inlineStr">
        <is>
          <t>數值</t>
        </is>
      </c>
      <c r="C107" s="1" t="n">
        <v>2</v>
      </c>
      <c r="D107" s="1" t="n">
        <v>0</v>
      </c>
      <c r="E107" s="1" t="inlineStr">
        <is>
          <t>B8 最近一個月您經常看下列哪幾種類型的電視節目？(可複選)(卡4) 訪員注意： 1.括號內只是舉例，若有符合括號內其中一項就可以選。 2.若有看特定電視節目但不知道要選哪類，則請在（88）其�</t>
        </is>
      </c>
    </row>
    <row r="108">
      <c r="A108" s="1" t="inlineStr">
        <is>
          <t>vB8m06</t>
        </is>
      </c>
      <c r="B108" s="1" t="inlineStr">
        <is>
          <t>數值</t>
        </is>
      </c>
      <c r="C108" s="1" t="n">
        <v>2</v>
      </c>
      <c r="D108" s="1" t="n">
        <v>0</v>
      </c>
      <c r="E108" s="1" t="inlineStr">
        <is>
          <t>B8 最近一個月您經常看下列哪幾種類型的電視節目？(可複選)(卡4) 訪員注意： 1.括號內只是舉例，若有符合括號內其中一項就可以選。 2.若有看特定電視節目但不知道要選哪類，則請在（88）其�</t>
        </is>
      </c>
    </row>
    <row r="109">
      <c r="A109" s="1" t="inlineStr">
        <is>
          <t>vB8m07</t>
        </is>
      </c>
      <c r="B109" s="1" t="inlineStr">
        <is>
          <t>數值</t>
        </is>
      </c>
      <c r="C109" s="1" t="n">
        <v>2</v>
      </c>
      <c r="D109" s="1" t="n">
        <v>0</v>
      </c>
      <c r="E109" s="1" t="inlineStr">
        <is>
          <t>B8 最近一個月您經常看下列哪幾種類型的電視節目？(可複選)(卡4) 訪員注意： 1.括號內只是舉例，若有符合括號內其中一項就可以選。 2.若有看特定電視節目但不知道要選哪類，則請在（88）其�</t>
        </is>
      </c>
    </row>
    <row r="110">
      <c r="A110" s="1" t="inlineStr">
        <is>
          <t>vB8m08</t>
        </is>
      </c>
      <c r="B110" s="1" t="inlineStr">
        <is>
          <t>數值</t>
        </is>
      </c>
      <c r="C110" s="1" t="n">
        <v>2</v>
      </c>
      <c r="D110" s="1" t="n">
        <v>0</v>
      </c>
      <c r="E110" s="1" t="inlineStr">
        <is>
          <t>B8 最近一個月您經常看下列哪幾種類型的電視節目？(可複選)(卡4) 訪員注意： 1.括號內只是舉例，若有符合括號內其中一項就可以選。 2.若有看特定電視節目但不知道要選哪類，則請在（88）其�</t>
        </is>
      </c>
    </row>
    <row r="111">
      <c r="A111" s="1" t="inlineStr">
        <is>
          <t>vB8m09</t>
        </is>
      </c>
      <c r="B111" s="1" t="inlineStr">
        <is>
          <t>數值</t>
        </is>
      </c>
      <c r="C111" s="1" t="n">
        <v>2</v>
      </c>
      <c r="D111" s="1" t="n">
        <v>0</v>
      </c>
      <c r="E111" s="1" t="inlineStr">
        <is>
          <t>B8 最近一個月您經常看下列哪幾種類型的電視節目？(可複選)(卡4) 訪員注意： 1.括號內只是舉例，若有符合括號內其中一項就可以選。 2.若有看特定電視節目但不知道要選哪類，則請在（88）其�</t>
        </is>
      </c>
    </row>
    <row r="112">
      <c r="A112" s="1" t="inlineStr">
        <is>
          <t>vB8m10</t>
        </is>
      </c>
      <c r="B112" s="1" t="inlineStr">
        <is>
          <t>數值</t>
        </is>
      </c>
      <c r="C112" s="1" t="n">
        <v>2</v>
      </c>
      <c r="D112" s="1" t="n">
        <v>0</v>
      </c>
      <c r="E112" s="1" t="inlineStr">
        <is>
          <t>B8 最近一個月您經常看下列哪幾種類型的電視節目？(可複選)(卡4) 訪員注意： 1.括號內只是舉例，若有符合括號內其中一項就可以選。 2.若有看特定電視節目但不知道要選哪類，則請在（88）其�</t>
        </is>
      </c>
    </row>
    <row r="113">
      <c r="A113" s="1" t="inlineStr">
        <is>
          <t>vB8m88</t>
        </is>
      </c>
      <c r="B113" s="1" t="inlineStr">
        <is>
          <t>數值</t>
        </is>
      </c>
      <c r="C113" s="1" t="n">
        <v>2</v>
      </c>
      <c r="D113" s="1" t="n">
        <v>0</v>
      </c>
      <c r="E113" s="1" t="inlineStr">
        <is>
          <t>B8 最近一個月您經常看下列哪幾種類型的電視節目？(可複選)(卡4) 訪員注意： 1.括號內只是舉例，若有符合括號內其中一項就可以選。 2.若有看特定電視節目但不知道要選哪類，則請在（88）其�</t>
        </is>
      </c>
    </row>
    <row r="114">
      <c r="A114" s="1" t="inlineStr">
        <is>
          <t>vB8o88</t>
        </is>
      </c>
      <c r="B114" s="1" t="inlineStr">
        <is>
          <t>字串</t>
        </is>
      </c>
      <c r="C114" s="1" t="n">
        <v>150</v>
      </c>
      <c r="D114" s="1" t="n">
        <v>0</v>
      </c>
      <c r="E114" s="1" t="inlineStr">
        <is>
          <t>B8 最近一個月您經常看下列哪幾種類型的電視節目？(可複選)(卡4) 訪員注意： 1.括號內只是舉例，若有符合括號內其中一項就可以選。 2.若有看特定電視節目但不知道要選哪類，則請在（88）其�</t>
        </is>
      </c>
    </row>
    <row r="115">
      <c r="A115" s="1" t="inlineStr">
        <is>
          <t>vC1</t>
        </is>
      </c>
      <c r="B115" s="1" t="inlineStr">
        <is>
          <t>數值</t>
        </is>
      </c>
      <c r="C115" s="1" t="n">
        <v>4</v>
      </c>
      <c r="D115" s="1" t="n">
        <v>0</v>
      </c>
      <c r="E115" s="1" t="inlineStr">
        <is>
          <t>C1 請問您每週平均有幾天會聽廣播？ 訪員注意： 1.「聽廣播」不管專心聽或一邊做事一邊聽都算（例如：通勤、開車、工作、做家事）。 2.不論是用收音機聽、或用網站、手機APP等「同步收聽」</t>
        </is>
      </c>
    </row>
    <row r="116">
      <c r="A116" s="1" t="inlineStr">
        <is>
          <t>vC2</t>
        </is>
      </c>
      <c r="B116" s="1" t="inlineStr">
        <is>
          <t>數值</t>
        </is>
      </c>
      <c r="C116" s="1" t="n">
        <v>5</v>
      </c>
      <c r="D116" s="1" t="n">
        <v>0</v>
      </c>
      <c r="E116" s="1" t="inlineStr">
        <is>
          <t>C2 在您有聽廣播的那一天，您一整天大概會聽多久？ 訪員注意： 1.本題為數值題，請填入4位數，例如2小時30分，請填入「0230」。 2.若為區間請取「中間值」，例如：2~3小時，請填入「0230」。 3.</t>
        </is>
      </c>
    </row>
    <row r="117">
      <c r="A117" s="1" t="inlineStr">
        <is>
          <t>vC3m01</t>
        </is>
      </c>
      <c r="B117" s="1" t="inlineStr">
        <is>
          <t>數值</t>
        </is>
      </c>
      <c r="C117" s="1" t="n">
        <v>2</v>
      </c>
      <c r="D117" s="1" t="n">
        <v>0</v>
      </c>
      <c r="E117" s="1" t="inlineStr">
        <is>
          <t>C3 您聽廣播經常聽或經常聽到以下哪幾種類型的節目？(可複選)(卡5) 訪員注意： 1.括號內只是舉例，若有符合括號內其中一項就可以選。 2.若有聽特定廣播節目但不知道要選哪類，則請在（88）�</t>
        </is>
      </c>
    </row>
    <row r="118">
      <c r="A118" s="1" t="inlineStr">
        <is>
          <t>vC3m02</t>
        </is>
      </c>
      <c r="B118" s="1" t="inlineStr">
        <is>
          <t>數值</t>
        </is>
      </c>
      <c r="C118" s="1" t="n">
        <v>2</v>
      </c>
      <c r="D118" s="1" t="n">
        <v>0</v>
      </c>
      <c r="E118" s="1" t="inlineStr">
        <is>
          <t>C3 您聽廣播經常聽或經常聽到以下哪幾種類型的節目？(可複選)(卡5) 訪員注意： 1.括號內只是舉例，若有符合括號內其中一項就可以選。 2.若有聽特定廣播節目但不知道要選哪類，則請在（88）�</t>
        </is>
      </c>
    </row>
    <row r="119">
      <c r="A119" s="1" t="inlineStr">
        <is>
          <t>vC3m03</t>
        </is>
      </c>
      <c r="B119" s="1" t="inlineStr">
        <is>
          <t>數值</t>
        </is>
      </c>
      <c r="C119" s="1" t="n">
        <v>2</v>
      </c>
      <c r="D119" s="1" t="n">
        <v>0</v>
      </c>
      <c r="E119" s="1" t="inlineStr">
        <is>
          <t>C3 您聽廣播經常聽或經常聽到以下哪幾種類型的節目？(可複選)(卡5) 訪員注意： 1.括號內只是舉例，若有符合括號內其中一項就可以選。 2.若有聽特定廣播節目但不知道要選哪類，則請在（88）�</t>
        </is>
      </c>
    </row>
    <row r="120">
      <c r="A120" s="1" t="inlineStr">
        <is>
          <t>vC3m04</t>
        </is>
      </c>
      <c r="B120" s="1" t="inlineStr">
        <is>
          <t>數值</t>
        </is>
      </c>
      <c r="C120" s="1" t="n">
        <v>2</v>
      </c>
      <c r="D120" s="1" t="n">
        <v>0</v>
      </c>
      <c r="E120" s="1" t="inlineStr">
        <is>
          <t>C3 您聽廣播經常聽或經常聽到以下哪幾種類型的節目？(可複選)(卡5) 訪員注意： 1.括號內只是舉例，若有符合括號內其中一項就可以選。 2.若有聽特定廣播節目但不知道要選哪類，則請在（88）�</t>
        </is>
      </c>
    </row>
    <row r="121">
      <c r="A121" s="1" t="inlineStr">
        <is>
          <t>vC3m05</t>
        </is>
      </c>
      <c r="B121" s="1" t="inlineStr">
        <is>
          <t>數值</t>
        </is>
      </c>
      <c r="C121" s="1" t="n">
        <v>2</v>
      </c>
      <c r="D121" s="1" t="n">
        <v>0</v>
      </c>
      <c r="E121" s="1" t="inlineStr">
        <is>
          <t>C3 您聽廣播經常聽或經常聽到以下哪幾種類型的節目？(可複選)(卡5) 訪員注意： 1.括號內只是舉例，若有符合括號內其中一項就可以選。 2.若有聽特定廣播節目但不知道要選哪類，則請在（88）�</t>
        </is>
      </c>
    </row>
    <row r="122">
      <c r="A122" s="1" t="inlineStr">
        <is>
          <t>vC3m06</t>
        </is>
      </c>
      <c r="B122" s="1" t="inlineStr">
        <is>
          <t>數值</t>
        </is>
      </c>
      <c r="C122" s="1" t="n">
        <v>2</v>
      </c>
      <c r="D122" s="1" t="n">
        <v>0</v>
      </c>
      <c r="E122" s="1" t="inlineStr">
        <is>
          <t>C3 您聽廣播經常聽或經常聽到以下哪幾種類型的節目？(可複選)(卡5) 訪員注意： 1.括號內只是舉例，若有符合括號內其中一項就可以選。 2.若有聽特定廣播節目但不知道要選哪類，則請在（88）�</t>
        </is>
      </c>
    </row>
    <row r="123">
      <c r="A123" s="1" t="inlineStr">
        <is>
          <t>vC3m07</t>
        </is>
      </c>
      <c r="B123" s="1" t="inlineStr">
        <is>
          <t>數值</t>
        </is>
      </c>
      <c r="C123" s="1" t="n">
        <v>2</v>
      </c>
      <c r="D123" s="1" t="n">
        <v>0</v>
      </c>
      <c r="E123" s="1" t="inlineStr">
        <is>
          <t>C3 您聽廣播經常聽或經常聽到以下哪幾種類型的節目？(可複選)(卡5) 訪員注意： 1.括號內只是舉例，若有符合括號內其中一項就可以選。 2.若有聽特定廣播節目但不知道要選哪類，則請在（88）�</t>
        </is>
      </c>
    </row>
    <row r="124">
      <c r="A124" s="1" t="inlineStr">
        <is>
          <t>vC3m08</t>
        </is>
      </c>
      <c r="B124" s="1" t="inlineStr">
        <is>
          <t>數值</t>
        </is>
      </c>
      <c r="C124" s="1" t="n">
        <v>2</v>
      </c>
      <c r="D124" s="1" t="n">
        <v>0</v>
      </c>
      <c r="E124" s="1" t="inlineStr">
        <is>
          <t>C3 您聽廣播經常聽或經常聽到以下哪幾種類型的節目？(可複選)(卡5) 訪員注意： 1.括號內只是舉例，若有符合括號內其中一項就可以選。 2.若有聽特定廣播節目但不知道要選哪類，則請在（88）�</t>
        </is>
      </c>
    </row>
    <row r="125">
      <c r="A125" s="1" t="inlineStr">
        <is>
          <t>vC3m09</t>
        </is>
      </c>
      <c r="B125" s="1" t="inlineStr">
        <is>
          <t>數值</t>
        </is>
      </c>
      <c r="C125" s="1" t="n">
        <v>2</v>
      </c>
      <c r="D125" s="1" t="n">
        <v>0</v>
      </c>
      <c r="E125" s="1" t="inlineStr">
        <is>
          <t>C3 您聽廣播經常聽或經常聽到以下哪幾種類型的節目？(可複選)(卡5) 訪員注意： 1.括號內只是舉例，若有符合括號內其中一項就可以選。 2.若有聽特定廣播節目但不知道要選哪類，則請在（88）�</t>
        </is>
      </c>
    </row>
    <row r="126">
      <c r="A126" s="1" t="inlineStr">
        <is>
          <t>vC3m10</t>
        </is>
      </c>
      <c r="B126" s="1" t="inlineStr">
        <is>
          <t>數值</t>
        </is>
      </c>
      <c r="C126" s="1" t="n">
        <v>2</v>
      </c>
      <c r="D126" s="1" t="n">
        <v>0</v>
      </c>
      <c r="E126" s="1" t="inlineStr">
        <is>
          <t>C3 您聽廣播經常聽或經常聽到以下哪幾種類型的節目？(可複選)(卡5) 訪員注意： 1.括號內只是舉例，若有符合括號內其中一項就可以選。 2.若有聽特定廣播節目但不知道要選哪類，則請在（88）�</t>
        </is>
      </c>
    </row>
    <row r="127">
      <c r="A127" s="1" t="inlineStr">
        <is>
          <t>vC3m11</t>
        </is>
      </c>
      <c r="B127" s="1" t="inlineStr">
        <is>
          <t>數值</t>
        </is>
      </c>
      <c r="C127" s="1" t="n">
        <v>2</v>
      </c>
      <c r="D127" s="1" t="n">
        <v>0</v>
      </c>
      <c r="E127" s="1" t="inlineStr">
        <is>
          <t>C3 您聽廣播經常聽或經常聽到以下哪幾種類型的節目？(可複選)(卡5) 訪員注意： 1.括號內只是舉例，若有符合括號內其中一項就可以選。 2.若有聽特定廣播節目但不知道要選哪類，則請在（88）�</t>
        </is>
      </c>
    </row>
    <row r="128">
      <c r="A128" s="1" t="inlineStr">
        <is>
          <t>vC3m88</t>
        </is>
      </c>
      <c r="B128" s="1" t="inlineStr">
        <is>
          <t>數值</t>
        </is>
      </c>
      <c r="C128" s="1" t="n">
        <v>2</v>
      </c>
      <c r="D128" s="1" t="n">
        <v>0</v>
      </c>
      <c r="E128" s="1" t="inlineStr">
        <is>
          <t>C3 您聽廣播經常聽或經常聽到以下哪幾種類型的節目？(可複選)(卡5) 訪員注意： 1.括號內只是舉例，若有符合括號內其中一項就可以選。 2.若有聽特定廣播節目但不知道要選哪類，則請在（88）�</t>
        </is>
      </c>
    </row>
    <row r="129">
      <c r="A129" s="1" t="inlineStr">
        <is>
          <t>vC3o88</t>
        </is>
      </c>
      <c r="B129" s="1" t="inlineStr">
        <is>
          <t>字串</t>
        </is>
      </c>
      <c r="C129" s="1" t="n">
        <v>150</v>
      </c>
      <c r="D129" s="1" t="n">
        <v>0</v>
      </c>
      <c r="E129" s="1" t="inlineStr">
        <is>
          <t>C3 您聽廣播經常聽或經常聽到以下哪幾種類型的節目？(可複選)(卡5) 訪員注意： 1.括號內只是舉例，若有符合括號內其中一項就可以選。 2.若有聽特定廣播節目但不知道要選哪類，則請在（88）�</t>
        </is>
      </c>
    </row>
    <row r="130">
      <c r="A130" s="1" t="inlineStr">
        <is>
          <t>vD1</t>
        </is>
      </c>
      <c r="B130" s="1" t="inlineStr">
        <is>
          <t>數值</t>
        </is>
      </c>
      <c r="C130" s="1" t="n">
        <v>2</v>
      </c>
      <c r="D130" s="1" t="n">
        <v>0</v>
      </c>
      <c r="E130" s="1" t="inlineStr">
        <is>
          <t>D1 請問您平常有沒有在使用手機？不論是自己的手機或其他人的手機都算。 訪員注意： 1.這裡有「使用手機」是說眼睛必須看著手機螢幕，但在講電話時看不看螢幕都算。 2.包含上網行為(用LINE�</t>
        </is>
      </c>
    </row>
    <row r="131">
      <c r="A131" s="1" t="inlineStr">
        <is>
          <t>vD2</t>
        </is>
      </c>
      <c r="B131" s="1" t="inlineStr">
        <is>
          <t>數值</t>
        </is>
      </c>
      <c r="C131" s="1" t="n">
        <v>4</v>
      </c>
      <c r="D131" s="1" t="n">
        <v>0</v>
      </c>
      <c r="E131" s="1" t="inlineStr">
        <is>
          <t>D2 請問您每週平均有幾天會使用手機？</t>
        </is>
      </c>
    </row>
    <row r="132">
      <c r="A132" s="1" t="inlineStr">
        <is>
          <t>vD3</t>
        </is>
      </c>
      <c r="B132" s="1" t="inlineStr">
        <is>
          <t>數值</t>
        </is>
      </c>
      <c r="C132" s="1" t="n">
        <v>5</v>
      </c>
      <c r="D132" s="1" t="n">
        <v>0</v>
      </c>
      <c r="E132" s="1" t="inlineStr">
        <is>
          <t>D3 在您有使用手機的那一天，您一整天大概會使用多久？使用手機是指「講電話」或「眼睛有看著手機螢幕」，例如使用LINE、看影片或照片等都算。 訪員注意： 1.包含上網(用LINE、看網路影片等</t>
        </is>
      </c>
    </row>
    <row r="133">
      <c r="A133" s="1" t="inlineStr">
        <is>
          <t>vE1</t>
        </is>
      </c>
      <c r="B133" s="1" t="inlineStr">
        <is>
          <t>數值</t>
        </is>
      </c>
      <c r="C133" s="1" t="n">
        <v>2</v>
      </c>
      <c r="D133" s="1" t="n">
        <v>0</v>
      </c>
      <c r="E133" s="1" t="inlineStr">
        <is>
          <t>E1 接下來將詢問關於您最近一個月每週「上網」情況的題目。 請問您最近一個月有沒有在上網，例如：用LINE、滑臉書、看YouTube等？(卡23、24、25) 訪員注意： 1.「上網」是指用電腦、平板、手機�</t>
        </is>
      </c>
    </row>
    <row r="134">
      <c r="A134" s="1" t="inlineStr">
        <is>
          <t>vE1LI</t>
        </is>
      </c>
      <c r="B134" s="1" t="inlineStr">
        <is>
          <t>數值</t>
        </is>
      </c>
      <c r="C134" s="1" t="n">
        <v>2</v>
      </c>
      <c r="D134" s="1" t="n">
        <v>0</v>
      </c>
      <c r="E134" s="1" t="inlineStr">
        <is>
          <t>E1LI 那請問您最近一個月有沒有在使用LINE？ 訪員注意： 1.請出示提示卡23、24、25再請受訪者確認是否有使用卡片上的相關網路服務、APP、軟體或網站等。 2.如果受訪者有用LINE「傳訊息」或「講�</t>
        </is>
      </c>
    </row>
    <row r="135">
      <c r="A135" s="1" t="inlineStr">
        <is>
          <t>vE1VP</t>
        </is>
      </c>
      <c r="B135" s="1" t="inlineStr">
        <is>
          <t>數值</t>
        </is>
      </c>
      <c r="C135" s="1" t="n">
        <v>2</v>
      </c>
      <c r="D135" s="1" t="n">
        <v>0</v>
      </c>
      <c r="E135" s="1" t="inlineStr">
        <is>
          <t>E1VP 那請問您最近一個月有沒有在使用YouTube看影片或聽音樂？ 訪員注意：如果受訪者有用YouTube「看影片」或「聽音樂」的話，請都點選「（01）有」。</t>
        </is>
      </c>
    </row>
    <row r="136">
      <c r="A136" s="1" t="inlineStr">
        <is>
          <t>vE1YT</t>
        </is>
      </c>
      <c r="B136" s="1" t="inlineStr">
        <is>
          <t>數值</t>
        </is>
      </c>
      <c r="C136" s="1" t="n">
        <v>2</v>
      </c>
      <c r="D136" s="1" t="n">
        <v>0</v>
      </c>
      <c r="E136" s="1" t="inlineStr">
        <is>
          <t>E1YT 那請問您最近一個月在使用YouTube的時候，是只有看影片？還是只有聽音樂？還是都有？</t>
        </is>
      </c>
    </row>
    <row r="137">
      <c r="A137" s="1" t="inlineStr">
        <is>
          <t>vCKE1</t>
        </is>
      </c>
      <c r="B137" s="1" t="inlineStr">
        <is>
          <t>數值</t>
        </is>
      </c>
      <c r="C137" s="1" t="n">
        <v>2</v>
      </c>
      <c r="D137" s="1" t="n">
        <v>0</v>
      </c>
      <c r="E137" s="1" t="inlineStr">
        <is>
          <t>CKE1 【訪員自填】請依照受訪者使用網路的情況填寫上網行為判斷題。 受訪者最近一個月： 1.${Q:E1} 上網。 2.${Q:E1LI} 用LINE。 3.${Q:E1VP} 用YouTube，使用情況：${Q:E1YT}。</t>
        </is>
      </c>
    </row>
    <row r="138">
      <c r="A138" s="1" t="inlineStr">
        <is>
          <t>vE2m01</t>
        </is>
      </c>
      <c r="B138" s="1" t="inlineStr">
        <is>
          <t>數值</t>
        </is>
      </c>
      <c r="C138" s="1" t="n">
        <v>2</v>
      </c>
      <c r="D138" s="1" t="n">
        <v>0</v>
      </c>
      <c r="E138" s="1" t="inlineStr">
        <is>
          <t>E2 請問您平常是透過哪些方式上網？ (可複選，請訪員逐一唸出選項確認) (卡6)  (01) 手機</t>
        </is>
      </c>
    </row>
    <row r="139">
      <c r="A139" s="1" t="inlineStr">
        <is>
          <t>vE2m02</t>
        </is>
      </c>
      <c r="B139" s="1" t="inlineStr">
        <is>
          <t>數值</t>
        </is>
      </c>
      <c r="C139" s="1" t="n">
        <v>2</v>
      </c>
      <c r="D139" s="1" t="n">
        <v>0</v>
      </c>
      <c r="E139" s="1" t="inlineStr">
        <is>
          <t>E2 請問您平常是透過哪些方式上網？ (可複選，請訪員逐一唸出選項確認) (卡6)  (02) 平板</t>
        </is>
      </c>
    </row>
    <row r="140">
      <c r="A140" s="1" t="inlineStr">
        <is>
          <t>vE2m03</t>
        </is>
      </c>
      <c r="B140" s="1" t="inlineStr">
        <is>
          <t>數值</t>
        </is>
      </c>
      <c r="C140" s="1" t="n">
        <v>2</v>
      </c>
      <c r="D140" s="1" t="n">
        <v>0</v>
      </c>
      <c r="E140" s="1" t="inlineStr">
        <is>
          <t>E2 請問您平常是透過哪些方式上網？ (可複選，請訪員逐一唸出選項確認) (卡6)  (03) 電腦（包括桌機與筆電）</t>
        </is>
      </c>
    </row>
    <row r="141">
      <c r="A141" s="1" t="inlineStr">
        <is>
          <t>vE2m04</t>
        </is>
      </c>
      <c r="B141" s="1" t="inlineStr">
        <is>
          <t>數值</t>
        </is>
      </c>
      <c r="C141" s="1" t="n">
        <v>2</v>
      </c>
      <c r="D141" s="1" t="n">
        <v>0</v>
      </c>
      <c r="E141" s="1" t="inlineStr">
        <is>
          <t>E2 請問您平常是透過哪些方式上網？ (可複選，請訪員逐一唸出選項確認) (卡6)  (04) 智慧型電視/連網電視</t>
        </is>
      </c>
    </row>
    <row r="142">
      <c r="A142" s="1" t="inlineStr">
        <is>
          <t>vE2m88</t>
        </is>
      </c>
      <c r="B142" s="1" t="inlineStr">
        <is>
          <t>數值</t>
        </is>
      </c>
      <c r="C142" s="1" t="n">
        <v>2</v>
      </c>
      <c r="D142" s="1" t="n">
        <v>0</v>
      </c>
      <c r="E142" s="1" t="inlineStr">
        <is>
          <t>E2 請問您平常是透過哪些方式上網？ (可複選，請訪員逐一唸出選項確認) (卡6)  (88) 其他，請說明：</t>
        </is>
      </c>
    </row>
    <row r="143">
      <c r="A143" s="1" t="inlineStr">
        <is>
          <t>vE2o88</t>
        </is>
      </c>
      <c r="B143" s="1" t="inlineStr">
        <is>
          <t>字串</t>
        </is>
      </c>
      <c r="C143" s="1" t="n">
        <v>150</v>
      </c>
      <c r="D143" s="1" t="n">
        <v>0</v>
      </c>
      <c r="E143" s="1" t="inlineStr">
        <is>
          <t>E2 請問您平常是透過哪些方式上網？ (可複選，請訪員逐一唸出選項確認) (卡6)  (88) 其他，請說明：</t>
        </is>
      </c>
    </row>
    <row r="144">
      <c r="A144" s="1" t="inlineStr">
        <is>
          <t>vE17</t>
        </is>
      </c>
      <c r="B144" s="1" t="inlineStr">
        <is>
          <t>數值</t>
        </is>
      </c>
      <c r="C144" s="1" t="n">
        <v>2</v>
      </c>
      <c r="D144" s="1" t="n">
        <v>0</v>
      </c>
      <c r="E144" s="1" t="inlineStr">
        <is>
          <t>E17 請問您平常主要是透過哪種方式使用LINE？(卡6-1)</t>
        </is>
      </c>
    </row>
    <row r="145">
      <c r="A145" s="1" t="inlineStr">
        <is>
          <t>vE17o88</t>
        </is>
      </c>
      <c r="B145" s="1" t="inlineStr">
        <is>
          <t>字串</t>
        </is>
      </c>
      <c r="C145" s="1" t="n">
        <v>150</v>
      </c>
      <c r="D145" s="1" t="n">
        <v>0</v>
      </c>
      <c r="E145" s="1" t="inlineStr">
        <is>
          <t>E17 請問您平常主要是透過哪種方式使用LINE？(卡6-1) (88) 其他，請說明：</t>
        </is>
      </c>
    </row>
    <row r="146">
      <c r="A146" s="1" t="inlineStr">
        <is>
          <t>vE18</t>
        </is>
      </c>
      <c r="B146" s="1" t="inlineStr">
        <is>
          <t>數值</t>
        </is>
      </c>
      <c r="C146" s="1" t="n">
        <v>2</v>
      </c>
      <c r="D146" s="1" t="n">
        <v>0</v>
      </c>
      <c r="E146" s="1" t="inlineStr">
        <is>
          <t>E18 請問您平常主要是透過哪種方式使用YouTube？(卡6-1)</t>
        </is>
      </c>
    </row>
    <row r="147">
      <c r="A147" s="1" t="inlineStr">
        <is>
          <t>vE18o88</t>
        </is>
      </c>
      <c r="B147" s="1" t="inlineStr">
        <is>
          <t>字串</t>
        </is>
      </c>
      <c r="C147" s="1" t="n">
        <v>150</v>
      </c>
      <c r="D147" s="1" t="n">
        <v>0</v>
      </c>
      <c r="E147" s="1" t="inlineStr">
        <is>
          <t>E18 請問您平常主要是透過哪種方式使用YouTube？(卡6-1) (88) 其他，請說明：</t>
        </is>
      </c>
    </row>
    <row r="148">
      <c r="A148" s="1" t="inlineStr">
        <is>
          <t>vE4</t>
        </is>
      </c>
      <c r="B148" s="1" t="inlineStr">
        <is>
          <t>數值</t>
        </is>
      </c>
      <c r="C148" s="1" t="n">
        <v>4</v>
      </c>
      <c r="D148" s="1" t="n">
        <v>0</v>
      </c>
      <c r="E148" s="1" t="inlineStr">
        <is>
          <t>E4 您先前回答每週平均有${Q:D2}天會使用手機， 請問其中平均有幾天會透過手機上網，例如：用LINE、看YouTube，只算有用手機上網的天數？ 訪員注意： 1.本題為數值題，若為區間請取「中間值」�</t>
        </is>
      </c>
    </row>
    <row r="149">
      <c r="A149" s="1" t="inlineStr">
        <is>
          <t>vCKE4</t>
        </is>
      </c>
      <c r="B149" s="1" t="inlineStr">
        <is>
          <t>數值</t>
        </is>
      </c>
      <c r="C149" s="1" t="n">
        <v>2</v>
      </c>
      <c r="D149" s="1" t="n">
        <v>0</v>
      </c>
      <c r="E149" s="1" t="inlineStr">
        <is>
          <t>CKE4 受訪者回答每週： (E4題)透過手機上網${Q:E4}天，超過(D2題)使用手機的總天數${Q:D2}天。 請回「上一題」(E4題)重新確認透過手機上網的天數，或回到D2題重新確認使用手機的天數。</t>
        </is>
      </c>
    </row>
    <row r="150">
      <c r="A150" s="1" t="inlineStr">
        <is>
          <t>vE5sE5</t>
        </is>
      </c>
      <c r="B150" s="1" t="inlineStr">
        <is>
          <t>數值</t>
        </is>
      </c>
      <c r="C150" s="1" t="n">
        <v>5</v>
      </c>
      <c r="D150" s="1" t="n">
        <v>0</v>
      </c>
      <c r="E150" s="1" t="inlineStr">
        <is>
          <t>E5 您先前回答「手機大約使用${Q:D3}(時分4碼)」，我們想請教您： 訪員注意： 1.本題為數值題，請填入4位數，例如2小時30分，請填入「0230」。 2.若為區間請取「中間值」，例如：2~3小時，請填入</t>
        </is>
      </c>
    </row>
    <row r="151">
      <c r="A151" s="1" t="inlineStr">
        <is>
          <t>vE5sE6</t>
        </is>
      </c>
      <c r="B151" s="1" t="inlineStr">
        <is>
          <t>數值</t>
        </is>
      </c>
      <c r="C151" s="1" t="n">
        <v>5</v>
      </c>
      <c r="D151" s="1" t="n">
        <v>0</v>
      </c>
      <c r="E151" s="1" t="inlineStr">
        <is>
          <t>E5 您先前回答「手機大約使用${Q:D3}(時分4碼)」，我們想請教您： 訪員注意： 1.本題為數值題，請填入4位數，例如2小時30分，請填入「0230」。 2.若為區間請取「中間值」，例如：2~3小時，請填入</t>
        </is>
      </c>
    </row>
    <row r="152">
      <c r="A152" s="1" t="inlineStr">
        <is>
          <t>vE7</t>
        </is>
      </c>
      <c r="B152" s="1" t="inlineStr">
        <is>
          <t>數值</t>
        </is>
      </c>
      <c r="C152" s="1" t="n">
        <v>4</v>
      </c>
      <c r="D152" s="1" t="n">
        <v>0</v>
      </c>
      <c r="E152" s="1" t="inlineStr">
        <is>
          <t>E7 請問您每週平均有幾天會透過平板上網？</t>
        </is>
      </c>
    </row>
    <row r="153">
      <c r="A153" s="1" t="inlineStr">
        <is>
          <t>vE8sE8</t>
        </is>
      </c>
      <c r="B153" s="1" t="inlineStr">
        <is>
          <t>數值</t>
        </is>
      </c>
      <c r="C153" s="1" t="n">
        <v>5</v>
      </c>
      <c r="D153" s="1" t="n">
        <v>0</v>
      </c>
      <c r="E153" s="1" t="inlineStr">
        <is>
          <t>E8 在您有上網的那一天： 訪員注意：請以發生頻率較高(天數較多)來回答一整天使用時間，不是填用最長的時間。 例如星期一到星期四都是3小時，星期五到星期日都是6小時，則頻率較高為星期�</t>
        </is>
      </c>
    </row>
    <row r="154">
      <c r="A154" s="1" t="inlineStr">
        <is>
          <t>vE8sE9</t>
        </is>
      </c>
      <c r="B154" s="1" t="inlineStr">
        <is>
          <t>數值</t>
        </is>
      </c>
      <c r="C154" s="1" t="n">
        <v>5</v>
      </c>
      <c r="D154" s="1" t="n">
        <v>0</v>
      </c>
      <c r="E154" s="1" t="inlineStr">
        <is>
          <t>E8 在您有上網的那一天： 訪員注意：請以發生頻率較高(天數較多)來回答一整天使用時間，不是填用最長的時間。 例如星期一到星期四都是3小時，星期五到星期日都是6小時，則頻率較高為星期�</t>
        </is>
      </c>
    </row>
    <row r="155">
      <c r="A155" s="1" t="inlineStr">
        <is>
          <t>vE10</t>
        </is>
      </c>
      <c r="B155" s="1" t="inlineStr">
        <is>
          <t>數值</t>
        </is>
      </c>
      <c r="C155" s="1" t="n">
        <v>4</v>
      </c>
      <c r="D155" s="1" t="n">
        <v>0</v>
      </c>
      <c r="E155" s="1" t="inlineStr">
        <is>
          <t>E10 請問您每週平均有幾天會透過電腦上網(不含手機、平板上網)？</t>
        </is>
      </c>
    </row>
    <row r="156">
      <c r="A156" s="1" t="inlineStr">
        <is>
          <t>vE11sE11</t>
        </is>
      </c>
      <c r="B156" s="1" t="inlineStr">
        <is>
          <t>數值</t>
        </is>
      </c>
      <c r="C156" s="1" t="n">
        <v>5</v>
      </c>
      <c r="D156" s="1" t="n">
        <v>0</v>
      </c>
      <c r="E156" s="1" t="inlineStr">
        <is>
          <t>E11 在您有上網的那一天： 訪員注意：請以發生頻率較高(天數較多)來回答一整天使用時間，不是填用最長的時間。 例如星期一到星期四都是3小時，星期五到星期日都是6小時，則頻率較高為星期</t>
        </is>
      </c>
    </row>
    <row r="157">
      <c r="A157" s="1" t="inlineStr">
        <is>
          <t>vE11sE12</t>
        </is>
      </c>
      <c r="B157" s="1" t="inlineStr">
        <is>
          <t>數值</t>
        </is>
      </c>
      <c r="C157" s="1" t="n">
        <v>5</v>
      </c>
      <c r="D157" s="1" t="n">
        <v>0</v>
      </c>
      <c r="E157" s="1" t="inlineStr">
        <is>
          <t>E11 在您有上網的那一天： 訪員注意：請以發生頻率較高(天數較多)來回答一整天使用時間，不是填用最長的時間。 例如星期一到星期四都是3小時，星期五到星期日都是6小時，則頻率較高為星期</t>
        </is>
      </c>
    </row>
    <row r="158">
      <c r="A158" s="1" t="inlineStr">
        <is>
          <t>vE3_1</t>
        </is>
      </c>
      <c r="B158" s="1" t="inlineStr">
        <is>
          <t>字串</t>
        </is>
      </c>
      <c r="C158" s="1" t="n">
        <v>3000</v>
      </c>
      <c r="D158" s="1" t="n">
        <v>0</v>
      </c>
      <c r="E158" s="1" t="inlineStr">
        <is>
          <t>E3_1 您剛回答${Q:E2}因「工作與課業」或「不是工作或課業所需」的上網總時間超過24小時，想請問您原因為何？ 訪員注意：請確認受訪者是否同時使用多個裝置？ 手機因「工作與課業」上網：${Q</t>
        </is>
      </c>
    </row>
    <row r="159">
      <c r="A159" s="1" t="inlineStr">
        <is>
          <t>vE3</t>
        </is>
      </c>
      <c r="B159" s="1" t="inlineStr">
        <is>
          <t>數值</t>
        </is>
      </c>
      <c r="C159" s="1" t="n">
        <v>5</v>
      </c>
      <c r="D159" s="1" t="n">
        <v>0</v>
      </c>
      <c r="E159" s="1" t="inlineStr">
        <is>
          <t>E3 請問您一天上網的時間是多少？ 受訪者上網方式：${Q:CKE1} 。 請以受訪者上網方式調整E3題的問法。例如： 受訪者的上網方式只有使用LINE， 請調整為「請問您一天使用LINE的時間是多少？」 若</t>
        </is>
      </c>
    </row>
    <row r="160">
      <c r="A160" s="1" t="inlineStr">
        <is>
          <t>vE13m01</t>
        </is>
      </c>
      <c r="B160" s="1" t="inlineStr">
        <is>
          <t>數值</t>
        </is>
      </c>
      <c r="C160" s="1" t="n">
        <v>2</v>
      </c>
      <c r="D160" s="1" t="n">
        <v>0</v>
      </c>
      <c r="E160" s="1" t="inlineStr">
        <is>
          <t>E13 請問您上網的原因是什麼呢，包括用手機、平板或電腦等所有可上網裝置都算？(可複選) (卡7) 訪員注意：提示卡選項括號內只是舉例，若有符合括號內其中一項就可以選。  (01) 維繫友誼與他�</t>
        </is>
      </c>
    </row>
    <row r="161">
      <c r="A161" s="1" t="inlineStr">
        <is>
          <t>vE13m02</t>
        </is>
      </c>
      <c r="B161" s="1" t="inlineStr">
        <is>
          <t>數值</t>
        </is>
      </c>
      <c r="C161" s="1" t="n">
        <v>2</v>
      </c>
      <c r="D161" s="1" t="n">
        <v>0</v>
      </c>
      <c r="E161" s="1" t="inlineStr">
        <is>
          <t>E13 請問您上網的原因是什麼呢，包括用手機、平板或電腦等所有可上網裝置都算？(可複選) (卡7) 訪員注意：提示卡選項括號內只是舉例，若有符合括號內其中一項就可以選。  (02) 娛樂消遣*</t>
        </is>
      </c>
    </row>
    <row r="162">
      <c r="A162" s="1" t="inlineStr">
        <is>
          <t>vE13m03</t>
        </is>
      </c>
      <c r="B162" s="1" t="inlineStr">
        <is>
          <t>數值</t>
        </is>
      </c>
      <c r="C162" s="1" t="n">
        <v>2</v>
      </c>
      <c r="D162" s="1" t="n">
        <v>0</v>
      </c>
      <c r="E162" s="1" t="inlineStr">
        <is>
          <t>E13 請問您上網的原因是什麼呢，包括用手機、平板或電腦等所有可上網裝置都算？(可複選) (卡7) 訪員注意：提示卡選項括號內只是舉例，若有符合括號內其中一項就可以選。  (03) 獲得時事/新聞</t>
        </is>
      </c>
    </row>
    <row r="163">
      <c r="A163" s="1" t="inlineStr">
        <is>
          <t>vE13m04</t>
        </is>
      </c>
      <c r="B163" s="1" t="inlineStr">
        <is>
          <t>數值</t>
        </is>
      </c>
      <c r="C163" s="1" t="n">
        <v>2</v>
      </c>
      <c r="D163" s="1" t="n">
        <v>0</v>
      </c>
      <c r="E163" s="1" t="inlineStr">
        <is>
          <t>E13 請問您上網的原因是什麼呢，包括用手機、平板或電腦等所有可上網裝置都算？(可複選) (卡7) 訪員注意：提示卡選項括號內只是舉例，若有符合括號內其中一項就可以選。  (04) 獲得生活休閒�</t>
        </is>
      </c>
    </row>
    <row r="164">
      <c r="A164" s="1" t="inlineStr">
        <is>
          <t>vE13m05</t>
        </is>
      </c>
      <c r="B164" s="1" t="inlineStr">
        <is>
          <t>數值</t>
        </is>
      </c>
      <c r="C164" s="1" t="n">
        <v>2</v>
      </c>
      <c r="D164" s="1" t="n">
        <v>0</v>
      </c>
      <c r="E164" s="1" t="inlineStr">
        <is>
          <t>E13 請問您上網的原因是什麼呢，包括用手機、平板或電腦等所有可上網裝置都算？(可複選) (卡7) 訪員注意：提示卡選項括號內只是舉例，若有符合括號內其中一項就可以選。  (05) 理財消費購物*</t>
        </is>
      </c>
    </row>
    <row r="165">
      <c r="A165" s="1" t="inlineStr">
        <is>
          <t>vE13m06</t>
        </is>
      </c>
      <c r="B165" s="1" t="inlineStr">
        <is>
          <t>數值</t>
        </is>
      </c>
      <c r="C165" s="1" t="n">
        <v>2</v>
      </c>
      <c r="D165" s="1" t="n">
        <v>0</v>
      </c>
      <c r="E165" s="1" t="inlineStr">
        <is>
          <t>E13 請問您上網的原因是什麼呢，包括用手機、平板或電腦等所有可上網裝置都算？(可複選) (卡7) 訪員注意：提示卡選項括號內只是舉例，若有符合括號內其中一項就可以選。  (06) 工作或學習*</t>
        </is>
      </c>
    </row>
    <row r="166">
      <c r="A166" s="1" t="inlineStr">
        <is>
          <t>vE13m88</t>
        </is>
      </c>
      <c r="B166" s="1" t="inlineStr">
        <is>
          <t>數值</t>
        </is>
      </c>
      <c r="C166" s="1" t="n">
        <v>2</v>
      </c>
      <c r="D166" s="1" t="n">
        <v>0</v>
      </c>
      <c r="E166" s="1" t="inlineStr">
        <is>
          <t>E13 請問您上網的原因是什麼呢，包括用手機、平板或電腦等所有可上網裝置都算？(可複選) (卡7) 訪員注意：提示卡選項括號內只是舉例，若有符合括號內其中一項就可以選。  (88) 其他，請說明</t>
        </is>
      </c>
    </row>
    <row r="167">
      <c r="A167" s="1" t="inlineStr">
        <is>
          <t>vE13o88</t>
        </is>
      </c>
      <c r="B167" s="1" t="inlineStr">
        <is>
          <t>字串</t>
        </is>
      </c>
      <c r="C167" s="1" t="n">
        <v>150</v>
      </c>
      <c r="D167" s="1" t="n">
        <v>0</v>
      </c>
      <c r="E167" s="1" t="inlineStr">
        <is>
          <t>E13 請問您上網的原因是什麼呢，包括用手機、平板或電腦等所有可上網裝置都算？(可複選) (卡7) 訪員注意：提示卡選項括號內只是舉例，若有符合括號內其中一項就可以選。  (88) 其他，請說明</t>
        </is>
      </c>
    </row>
    <row r="168">
      <c r="A168" s="1" t="inlineStr">
        <is>
          <t>vE14</t>
        </is>
      </c>
      <c r="B168" s="1" t="inlineStr">
        <is>
          <t>數值</t>
        </is>
      </c>
      <c r="C168" s="1" t="n">
        <v>7</v>
      </c>
      <c r="D168" s="1" t="n">
        <v>0</v>
      </c>
      <c r="E168" s="1" t="inlineStr">
        <is>
          <t>E14 請問您每個月平均在網路上消費(買東西)大概花多少錢？ 1.網路上消費包含網路購物、購買遊戲點數、下載音樂或電影等。在網路上訂購、但是用其他方式付款，例如訂購後用網路轉帳、超商�</t>
        </is>
      </c>
    </row>
    <row r="169">
      <c r="A169" s="1" t="inlineStr">
        <is>
          <t>vQ1m01</t>
        </is>
      </c>
      <c r="B169" s="1" t="inlineStr">
        <is>
          <t>數值</t>
        </is>
      </c>
      <c r="C169" s="1" t="n">
        <v>2</v>
      </c>
      <c r="D169" s="1" t="n">
        <v>0</v>
      </c>
      <c r="E169" s="1" t="inlineStr">
        <is>
          <t>Q1 在最近一個月，您曾經透過哪些管道在網路上消費？(可複選) (卡8) 訪員注意：網購管道不論是在APP上或在網頁版上都算。  (01) 參與社群媒體的社團進行團購(例如：Facebook)</t>
        </is>
      </c>
    </row>
    <row r="170">
      <c r="A170" s="1" t="inlineStr">
        <is>
          <t>vQ1m02</t>
        </is>
      </c>
      <c r="B170" s="1" t="inlineStr">
        <is>
          <t>數值</t>
        </is>
      </c>
      <c r="C170" s="1" t="n">
        <v>2</v>
      </c>
      <c r="D170" s="1" t="n">
        <v>0</v>
      </c>
      <c r="E170" s="1" t="inlineStr">
        <is>
          <t>Q1 在最近一個月，您曾經透過哪些管道在網路上消費？(可複選) (卡8) 訪員注意：網購管道不論是在APP上或在網頁版上都算。  (02) 利用即時通訊軟體串連團購(例如：LINE)</t>
        </is>
      </c>
    </row>
    <row r="171">
      <c r="A171" s="1" t="inlineStr">
        <is>
          <t>vQ1m03</t>
        </is>
      </c>
      <c r="B171" s="1" t="inlineStr">
        <is>
          <t>數值</t>
        </is>
      </c>
      <c r="C171" s="1" t="n">
        <v>2</v>
      </c>
      <c r="D171" s="1" t="n">
        <v>0</v>
      </c>
      <c r="E171" s="1" t="inlineStr">
        <is>
          <t>Q1 在最近一個月，您曾經透過哪些管道在網路上消費？(可複選) (卡8) 訪員注意：網購管道不論是在APP上或在網頁版上都算。  (03) 外送平台(例如：Uber Eats)</t>
        </is>
      </c>
    </row>
    <row r="172">
      <c r="A172" s="1" t="inlineStr">
        <is>
          <t>vQ1m04</t>
        </is>
      </c>
      <c r="B172" s="1" t="inlineStr">
        <is>
          <t>數值</t>
        </is>
      </c>
      <c r="C172" s="1" t="n">
        <v>2</v>
      </c>
      <c r="D172" s="1" t="n">
        <v>0</v>
      </c>
      <c r="E172" s="1" t="inlineStr">
        <is>
          <t>Q1 在最近一個月，您曾經透過哪些管道在網路上消費？(可複選) (卡8) 訪員注意：網購管道不論是在APP上或在網頁版上都算。  (04) 叫車系統(例如：Uber)</t>
        </is>
      </c>
    </row>
    <row r="173">
      <c r="A173" s="1" t="inlineStr">
        <is>
          <t>vQ1m05</t>
        </is>
      </c>
      <c r="B173" s="1" t="inlineStr">
        <is>
          <t>數值</t>
        </is>
      </c>
      <c r="C173" s="1" t="n">
        <v>2</v>
      </c>
      <c r="D173" s="1" t="n">
        <v>0</v>
      </c>
      <c r="E173" s="1" t="inlineStr">
        <is>
          <t>Q1 在最近一個月，您曾經透過哪些管道在網路上消費？(可複選) (卡8) 訪員注意：網購管道不論是在APP上或在網頁版上都算。  (05) 電商平台(例如：Pchome 24h購物)</t>
        </is>
      </c>
    </row>
    <row r="174">
      <c r="A174" s="1" t="inlineStr">
        <is>
          <t>vQ1m06</t>
        </is>
      </c>
      <c r="B174" s="1" t="inlineStr">
        <is>
          <t>數值</t>
        </is>
      </c>
      <c r="C174" s="1" t="n">
        <v>2</v>
      </c>
      <c r="D174" s="1" t="n">
        <v>0</v>
      </c>
      <c r="E174" s="1" t="inlineStr">
        <is>
          <t>Q1 在最近一個月，您曾經透過哪些管道在網路上消費？(可複選) (卡8) 訪員注意：網購管道不論是在APP上或在網頁版上都算。  (06) 直播帶貨(例如： Facebook 直播)</t>
        </is>
      </c>
    </row>
    <row r="175">
      <c r="A175" s="1" t="inlineStr">
        <is>
          <t>vQ1m07</t>
        </is>
      </c>
      <c r="B175" s="1" t="inlineStr">
        <is>
          <t>數值</t>
        </is>
      </c>
      <c r="C175" s="1" t="n">
        <v>2</v>
      </c>
      <c r="D175" s="1" t="n">
        <v>0</v>
      </c>
      <c r="E175" s="1" t="inlineStr">
        <is>
          <t>Q1 在最近一個月，您曾經透過哪些管道在網路上消費？(可複選) (卡8) 訪員注意：網購管道不論是在APP上或在網頁版上都算。  (07) 商品品牌官方網站(例如：Apple商店)</t>
        </is>
      </c>
    </row>
    <row r="176">
      <c r="A176" s="1" t="inlineStr">
        <is>
          <t>vQ1m08</t>
        </is>
      </c>
      <c r="B176" s="1" t="inlineStr">
        <is>
          <t>數值</t>
        </is>
      </c>
      <c r="C176" s="1" t="n">
        <v>2</v>
      </c>
      <c r="D176" s="1" t="n">
        <v>0</v>
      </c>
      <c r="E176" s="1" t="inlineStr">
        <is>
          <t>Q1 在最近一個月，您曾經透過哪些管道在網路上消費？(可複選) (卡8) 訪員注意：網購管道不論是在APP上或在網頁版上都算。  (08) 旅行社線上平台(例如： ezTravel易遊網)</t>
        </is>
      </c>
    </row>
    <row r="177">
      <c r="A177" s="1" t="inlineStr">
        <is>
          <t>vQ1m09</t>
        </is>
      </c>
      <c r="B177" s="1" t="inlineStr">
        <is>
          <t>數值</t>
        </is>
      </c>
      <c r="C177" s="1" t="n">
        <v>2</v>
      </c>
      <c r="D177" s="1" t="n">
        <v>0</v>
      </c>
      <c r="E177" s="1" t="inlineStr">
        <is>
          <t>Q1 在最近一個月，您曾經透過哪些管道在網路上消費？(可複選) (卡8) 訪員注意：網購管道不論是在APP上或在網頁版上都算。  (09) 藝文娛樂線上訂票系統(例如：寬宏售票)</t>
        </is>
      </c>
    </row>
    <row r="178">
      <c r="A178" s="1" t="inlineStr">
        <is>
          <t>vQ1m10</t>
        </is>
      </c>
      <c r="B178" s="1" t="inlineStr">
        <is>
          <t>數值</t>
        </is>
      </c>
      <c r="C178" s="1" t="n">
        <v>2</v>
      </c>
      <c r="D178" s="1" t="n">
        <v>0</v>
      </c>
      <c r="E178" s="1" t="inlineStr">
        <is>
          <t>Q1 在最近一個月，您曾經透過哪些管道在網路上消費？(可複選) (卡8) 訪員注意：網購管道不論是在APP上或在網頁版上都算。  (10) 交通官方線上訂票系統(例如：台灣高鐵、中華航空)</t>
        </is>
      </c>
    </row>
    <row r="179">
      <c r="A179" s="1" t="inlineStr">
        <is>
          <t>vQ1m88</t>
        </is>
      </c>
      <c r="B179" s="1" t="inlineStr">
        <is>
          <t>數值</t>
        </is>
      </c>
      <c r="C179" s="1" t="n">
        <v>2</v>
      </c>
      <c r="D179" s="1" t="n">
        <v>0</v>
      </c>
      <c r="E179" s="1" t="inlineStr">
        <is>
          <t>Q1 在最近一個月，您曾經透過哪些管道在網路上消費？(可複選) (卡8) 訪員注意：網購管道不論是在APP上或在網頁版上都算。  (88) 其他網路消費管道，請說明</t>
        </is>
      </c>
    </row>
    <row r="180">
      <c r="A180" s="1" t="inlineStr">
        <is>
          <t>vQ1o88</t>
        </is>
      </c>
      <c r="B180" s="1" t="inlineStr">
        <is>
          <t>字串</t>
        </is>
      </c>
      <c r="C180" s="1" t="n">
        <v>150</v>
      </c>
      <c r="D180" s="1" t="n">
        <v>0</v>
      </c>
      <c r="E180" s="1" t="inlineStr">
        <is>
          <t>Q1 在最近一個月，您曾經透過哪些管道在網路上消費？(可複選) (卡8) 訪員注意：網購管道不論是在APP上或在網頁版上都算。  (88) 其他網路消費管道，請說明</t>
        </is>
      </c>
    </row>
    <row r="181">
      <c r="A181" s="1" t="inlineStr">
        <is>
          <t>vE15s01</t>
        </is>
      </c>
      <c r="B181" s="1" t="inlineStr">
        <is>
          <t>數值</t>
        </is>
      </c>
      <c r="C181" s="1" t="n">
        <v>2</v>
      </c>
      <c r="D181" s="1" t="n">
        <v>0</v>
      </c>
      <c r="E181" s="1" t="inlineStr">
        <is>
          <t>E15 請問您同不同意下列說法？(卡9) 01 沒有辦法上網時，您會很想上網。</t>
        </is>
      </c>
    </row>
    <row r="182">
      <c r="A182" s="1" t="inlineStr">
        <is>
          <t>vE15s02</t>
        </is>
      </c>
      <c r="B182" s="1" t="inlineStr">
        <is>
          <t>數值</t>
        </is>
      </c>
      <c r="C182" s="1" t="n">
        <v>2</v>
      </c>
      <c r="D182" s="1" t="n">
        <v>0</v>
      </c>
      <c r="E182" s="1" t="inlineStr">
        <is>
          <t>E15 請問您同不同意下列說法？(卡9) 02 您會因為不能使用網路而感到沮喪、心情不好、或覺得緊張，但是只要能上網，這些情況就會改善。</t>
        </is>
      </c>
    </row>
    <row r="183">
      <c r="A183" s="1" t="inlineStr">
        <is>
          <t>vE15s03</t>
        </is>
      </c>
      <c r="B183" s="1" t="inlineStr">
        <is>
          <t>數值</t>
        </is>
      </c>
      <c r="C183" s="1" t="n">
        <v>2</v>
      </c>
      <c r="D183" s="1" t="n">
        <v>0</v>
      </c>
      <c r="E183" s="1" t="inlineStr">
        <is>
          <t>E15 請問您同不同意下列說法？(卡9) 03 您經常藉由網路來擺脫生活中令人煩惱的事。</t>
        </is>
      </c>
    </row>
    <row r="184">
      <c r="A184" s="1" t="inlineStr">
        <is>
          <t>vQ2m01</t>
        </is>
      </c>
      <c r="B184" s="1" t="inlineStr">
        <is>
          <t>數值</t>
        </is>
      </c>
      <c r="C184" s="1" t="n">
        <v>2</v>
      </c>
      <c r="D184" s="1" t="n">
        <v>0</v>
      </c>
      <c r="E184" s="1" t="inlineStr">
        <is>
          <t>Q2 在最近一個月，當您有意識暫時遠離數位媒體裝置時（例如：智慧型手機、平板、電腦），您會做下面哪些事情？(可複選) (卡10)  (01) 將數位媒體裝置收起來</t>
        </is>
      </c>
    </row>
    <row r="185">
      <c r="A185" s="1" t="inlineStr">
        <is>
          <t>vQ2m02</t>
        </is>
      </c>
      <c r="B185" s="1" t="inlineStr">
        <is>
          <t>數值</t>
        </is>
      </c>
      <c r="C185" s="1" t="n">
        <v>2</v>
      </c>
      <c r="D185" s="1" t="n">
        <v>0</v>
      </c>
      <c r="E185" s="1" t="inlineStr">
        <is>
          <t>Q2 在最近一個月，當您有意識暫時遠離數位媒體裝置時（例如：智慧型手機、平板、電腦），您會做下面哪些事情？(可複選) (卡10)  (02) 將數位媒體裝置翻面放置(螢幕朝下)</t>
        </is>
      </c>
    </row>
    <row r="186">
      <c r="A186" s="1" t="inlineStr">
        <is>
          <t>vQ2m03</t>
        </is>
      </c>
      <c r="B186" s="1" t="inlineStr">
        <is>
          <t>數值</t>
        </is>
      </c>
      <c r="C186" s="1" t="n">
        <v>2</v>
      </c>
      <c r="D186" s="1" t="n">
        <v>0</v>
      </c>
      <c r="E186" s="1" t="inlineStr">
        <is>
          <t>Q2 在最近一個月，當您有意識暫時遠離數位媒體裝置時（例如：智慧型手機、平板、電腦），您會做下面哪些事情？(可複選) (卡10)  (03) 告訴自己不要使用數位媒體裝置</t>
        </is>
      </c>
    </row>
    <row r="187">
      <c r="A187" s="1" t="inlineStr">
        <is>
          <t>vQ2m04</t>
        </is>
      </c>
      <c r="B187" s="1" t="inlineStr">
        <is>
          <t>數值</t>
        </is>
      </c>
      <c r="C187" s="1" t="n">
        <v>2</v>
      </c>
      <c r="D187" s="1" t="n">
        <v>0</v>
      </c>
      <c r="E187" s="1" t="inlineStr">
        <is>
          <t>Q2 在最近一個月，當您有意識暫時遠離數位媒體裝置時（例如：智慧型手機、平板、電腦），您會做下面哪些事情？(可複選) (卡10)  (04) 關閉數位媒體裝置的網路功能(例如：飛航模式或「請勿打�</t>
        </is>
      </c>
    </row>
    <row r="188">
      <c r="A188" s="1" t="inlineStr">
        <is>
          <t>vQ2m88</t>
        </is>
      </c>
      <c r="B188" s="1" t="inlineStr">
        <is>
          <t>數值</t>
        </is>
      </c>
      <c r="C188" s="1" t="n">
        <v>2</v>
      </c>
      <c r="D188" s="1" t="n">
        <v>0</v>
      </c>
      <c r="E188" s="1" t="inlineStr">
        <is>
          <t>Q2 在最近一個月，當您有意識暫時遠離數位媒體裝置時（例如：智慧型手機、平板、電腦），您會做下面哪些事情？(可複選) (卡10)  (88) 以其他方式暫時遠離數位媒體裝置，請說明</t>
        </is>
      </c>
    </row>
    <row r="189">
      <c r="A189" s="1" t="inlineStr">
        <is>
          <t>vQ2m90</t>
        </is>
      </c>
      <c r="B189" s="1" t="inlineStr">
        <is>
          <t>數值</t>
        </is>
      </c>
      <c r="C189" s="1" t="n">
        <v>2</v>
      </c>
      <c r="D189" s="1" t="n">
        <v>0</v>
      </c>
      <c r="E189" s="1" t="inlineStr">
        <is>
          <t>Q2 在最近一個月，當您有意識暫時遠離數位媒體裝置時（例如：智慧型手機、平板、電腦），您會做下面哪些事情？(可複選) (卡10)  (90) 您並未採取任何方式來暫時遠離數位媒體裝置</t>
        </is>
      </c>
    </row>
    <row r="190">
      <c r="A190" s="1" t="inlineStr">
        <is>
          <t>vQ2o88</t>
        </is>
      </c>
      <c r="B190" s="1" t="inlineStr">
        <is>
          <t>字串</t>
        </is>
      </c>
      <c r="C190" s="1" t="n">
        <v>150</v>
      </c>
      <c r="D190" s="1" t="n">
        <v>0</v>
      </c>
      <c r="E190" s="1" t="inlineStr">
        <is>
          <t>Q2 在最近一個月，當您有意識暫時遠離數位媒體裝置時（例如：智慧型手機、平板、電腦），您會做下面哪些事情？(可複選) (卡10)  (88) 以其他方式暫時遠離數位媒體裝置，請說明</t>
        </is>
      </c>
    </row>
    <row r="191">
      <c r="A191" s="1" t="inlineStr">
        <is>
          <t>vQ3m01</t>
        </is>
      </c>
      <c r="B191" s="1" t="inlineStr">
        <is>
          <t>數值</t>
        </is>
      </c>
      <c r="C191" s="1" t="n">
        <v>2</v>
      </c>
      <c r="D191" s="1" t="n">
        <v>0</v>
      </c>
      <c r="E191" s="1" t="inlineStr">
        <is>
          <t>Q3 在最近一個月，當您有意識暫時遠離數位媒體時(例如：網站，或應用程式軟體APP)，您會做下面哪些事情？(可複選) (卡11)  (01) 告訴自己不要查看特定網站或應用程式(例如：電子郵件、新聞或�</t>
        </is>
      </c>
    </row>
    <row r="192">
      <c r="A192" s="1" t="inlineStr">
        <is>
          <t>vQ3m02</t>
        </is>
      </c>
      <c r="B192" s="1" t="inlineStr">
        <is>
          <t>數值</t>
        </is>
      </c>
      <c r="C192" s="1" t="n">
        <v>2</v>
      </c>
      <c r="D192" s="1" t="n">
        <v>0</v>
      </c>
      <c r="E192" s="1" t="inlineStr">
        <is>
          <t>Q3 在最近一個月，當您有意識暫時遠離數位媒體時(例如：網站，或應用程式軟體APP)，您會做下面哪些事情？(可複選) (卡11)  (02) 關閉程式、應用程式或網站(例如：電子郵件、新聞或社群媒體)</t>
        </is>
      </c>
    </row>
    <row r="193">
      <c r="A193" s="1" t="inlineStr">
        <is>
          <t>vQ3m03</t>
        </is>
      </c>
      <c r="B193" s="1" t="inlineStr">
        <is>
          <t>數值</t>
        </is>
      </c>
      <c r="C193" s="1" t="n">
        <v>2</v>
      </c>
      <c r="D193" s="1" t="n">
        <v>0</v>
      </c>
      <c r="E193" s="1" t="inlineStr">
        <is>
          <t>Q3 在最近一個月，當您有意識暫時遠離數位媒體時(例如：網站，或應用程式軟體APP)，您會做下面哪些事情？(可複選) (卡11)  (03) 關閉數位媒體的通知(例如：來自電子郵件、新聞或社群媒體的通�</t>
        </is>
      </c>
    </row>
    <row r="194">
      <c r="A194" s="1" t="inlineStr">
        <is>
          <t>vQ3m88</t>
        </is>
      </c>
      <c r="B194" s="1" t="inlineStr">
        <is>
          <t>數值</t>
        </is>
      </c>
      <c r="C194" s="1" t="n">
        <v>2</v>
      </c>
      <c r="D194" s="1" t="n">
        <v>0</v>
      </c>
      <c r="E194" s="1" t="inlineStr">
        <is>
          <t>Q3 在最近一個月，當您有意識暫時遠離數位媒體時(例如：網站，或應用程式軟體APP)，您會做下面哪些事情？(可複選) (卡11)  (88) 以其他方式暫時遠離數位媒體，請說明</t>
        </is>
      </c>
    </row>
    <row r="195">
      <c r="A195" s="1" t="inlineStr">
        <is>
          <t>vQ3m90</t>
        </is>
      </c>
      <c r="B195" s="1" t="inlineStr">
        <is>
          <t>數值</t>
        </is>
      </c>
      <c r="C195" s="1" t="n">
        <v>2</v>
      </c>
      <c r="D195" s="1" t="n">
        <v>0</v>
      </c>
      <c r="E195" s="1" t="inlineStr">
        <is>
          <t>Q3 在最近一個月，當您有意識暫時遠離數位媒體時(例如：網站，或應用程式軟體APP)，您會做下面哪些事情？(可複選) (卡11)  (90) 您並未採取任何方式來暫時遠離數位媒體</t>
        </is>
      </c>
    </row>
    <row r="196">
      <c r="A196" s="1" t="inlineStr">
        <is>
          <t>vQ3o88</t>
        </is>
      </c>
      <c r="B196" s="1" t="inlineStr">
        <is>
          <t>字串</t>
        </is>
      </c>
      <c r="C196" s="1" t="n">
        <v>150</v>
      </c>
      <c r="D196" s="1" t="n">
        <v>0</v>
      </c>
      <c r="E196" s="1" t="inlineStr">
        <is>
          <t>Q3 在最近一個月，當您有意識暫時遠離數位媒體時(例如：網站，或應用程式軟體APP)，您會做下面哪些事情？(可複選) (卡11)  (88) 以其他方式暫時遠離數位媒體，請說明</t>
        </is>
      </c>
    </row>
    <row r="197">
      <c r="A197" s="1" t="inlineStr">
        <is>
          <t>vE16m01</t>
        </is>
      </c>
      <c r="B197" s="1" t="inlineStr">
        <is>
          <t>數值</t>
        </is>
      </c>
      <c r="C197" s="1" t="n">
        <v>2</v>
      </c>
      <c r="D197" s="1" t="n">
        <v>0</v>
      </c>
      <c r="E197" s="1" t="inlineStr">
        <is>
          <t>E16 您知道怎麼做下面這些事情嗎？(可複選) (卡12) 訪員注意： 1.請家人或別人幫忙做就不算。 2.如果受訪者回答「都不會做」，請追問是「不知道怎麼做？」還是「不需要做？」 如果是「不知道</t>
        </is>
      </c>
    </row>
    <row r="198">
      <c r="A198" s="1" t="inlineStr">
        <is>
          <t>vE16m02</t>
        </is>
      </c>
      <c r="B198" s="1" t="inlineStr">
        <is>
          <t>數值</t>
        </is>
      </c>
      <c r="C198" s="1" t="n">
        <v>2</v>
      </c>
      <c r="D198" s="1" t="n">
        <v>0</v>
      </c>
      <c r="E198" s="1" t="inlineStr">
        <is>
          <t>E16 您知道怎麼做下面這些事情嗎？(可複選) (卡12) 訪員注意： 1.請家人或別人幫忙做就不算。 2.如果受訪者回答「都不會做」，請追問是「不知道怎麼做？」還是「不需要做？」 如果是「不知道</t>
        </is>
      </c>
    </row>
    <row r="199">
      <c r="A199" s="1" t="inlineStr">
        <is>
          <t>vE16m03</t>
        </is>
      </c>
      <c r="B199" s="1" t="inlineStr">
        <is>
          <t>數值</t>
        </is>
      </c>
      <c r="C199" s="1" t="n">
        <v>2</v>
      </c>
      <c r="D199" s="1" t="n">
        <v>0</v>
      </c>
      <c r="E199" s="1" t="inlineStr">
        <is>
          <t>E16 您知道怎麼做下面這些事情嗎？(可複選) (卡12) 訪員注意： 1.請家人或別人幫忙做就不算。 2.如果受訪者回答「都不會做」，請追問是「不知道怎麼做？」還是「不需要做？」 如果是「不知道</t>
        </is>
      </c>
    </row>
    <row r="200">
      <c r="A200" s="1" t="inlineStr">
        <is>
          <t>vE16m04</t>
        </is>
      </c>
      <c r="B200" s="1" t="inlineStr">
        <is>
          <t>數值</t>
        </is>
      </c>
      <c r="C200" s="1" t="n">
        <v>2</v>
      </c>
      <c r="D200" s="1" t="n">
        <v>0</v>
      </c>
      <c r="E200" s="1" t="inlineStr">
        <is>
          <t>E16 您知道怎麼做下面這些事情嗎？(可複選) (卡12) 訪員注意： 1.請家人或別人幫忙做就不算。 2.如果受訪者回答「都不會做」，請追問是「不知道怎麼做？」還是「不需要做？」 如果是「不知道</t>
        </is>
      </c>
    </row>
    <row r="201">
      <c r="A201" s="1" t="inlineStr">
        <is>
          <t>vE16m05</t>
        </is>
      </c>
      <c r="B201" s="1" t="inlineStr">
        <is>
          <t>數值</t>
        </is>
      </c>
      <c r="C201" s="1" t="n">
        <v>2</v>
      </c>
      <c r="D201" s="1" t="n">
        <v>0</v>
      </c>
      <c r="E201" s="1" t="inlineStr">
        <is>
          <t>E16 您知道怎麼做下面這些事情嗎？(可複選) (卡12) 訪員注意： 1.請家人或別人幫忙做就不算。 2.如果受訪者回答「都不會做」，請追問是「不知道怎麼做？」還是「不需要做？」 如果是「不知道</t>
        </is>
      </c>
    </row>
    <row r="202">
      <c r="A202" s="1" t="inlineStr">
        <is>
          <t>vE16m88</t>
        </is>
      </c>
      <c r="B202" s="1" t="inlineStr">
        <is>
          <t>數值</t>
        </is>
      </c>
      <c r="C202" s="1" t="n">
        <v>2</v>
      </c>
      <c r="D202" s="1" t="n">
        <v>0</v>
      </c>
      <c r="E202" s="1" t="inlineStr">
        <is>
          <t>E16 您知道怎麼做下面這些事情嗎？(可複選) (卡12) 訪員注意： 1.請家人或別人幫忙做就不算。 2.如果受訪者回答「都不會做」，請追問是「不知道怎麼做？」還是「不需要做？」 如果是「不知道</t>
        </is>
      </c>
    </row>
    <row r="203">
      <c r="A203" s="1" t="inlineStr">
        <is>
          <t>vE16m90</t>
        </is>
      </c>
      <c r="B203" s="1" t="inlineStr">
        <is>
          <t>數值</t>
        </is>
      </c>
      <c r="C203" s="1" t="n">
        <v>2</v>
      </c>
      <c r="D203" s="1" t="n">
        <v>0</v>
      </c>
      <c r="E203" s="1" t="inlineStr">
        <is>
          <t>E16 您知道怎麼做下面這些事情嗎？(可複選) (卡12) 訪員注意： 1.請家人或別人幫忙做就不算。 2.如果受訪者回答「都不會做」，請追問是「不知道怎麼做？」還是「不需要做？」 如果是「不知道</t>
        </is>
      </c>
    </row>
    <row r="204">
      <c r="A204" s="1" t="inlineStr">
        <is>
          <t>vE16o88</t>
        </is>
      </c>
      <c r="B204" s="1" t="inlineStr">
        <is>
          <t>字串</t>
        </is>
      </c>
      <c r="C204" s="1" t="n">
        <v>150</v>
      </c>
      <c r="D204" s="1" t="n">
        <v>0</v>
      </c>
      <c r="E204" s="1" t="inlineStr">
        <is>
          <t>E16 您知道怎麼做下面這些事情嗎？(可複選) (卡12) 訪員注意： 1.請家人或別人幫忙做就不算。 2.如果受訪者回答「都不會做」，請追問是「不知道怎麼做？」還是「不需要做？」 如果是「不知道</t>
        </is>
      </c>
    </row>
    <row r="205">
      <c r="A205" s="1" t="inlineStr">
        <is>
          <t>vF1</t>
        </is>
      </c>
      <c r="B205" s="1" t="inlineStr">
        <is>
          <t>數值</t>
        </is>
      </c>
      <c r="C205" s="1" t="n">
        <v>5</v>
      </c>
      <c r="D205" s="1" t="n">
        <v>0</v>
      </c>
      <c r="E205" s="1" t="inlineStr">
        <is>
          <t>F1 請問您每個月平均有幾天會看紙本雜誌(網路雜誌不算)？ 訪員注意： 1.「紙本雜誌」是指有固定刊名、定期出版、裝訂成書的印刷讀物，例如：天下雜誌、康健雜誌、空中英語教室、ELLE她雜誌</t>
        </is>
      </c>
    </row>
    <row r="206">
      <c r="A206" s="1" t="inlineStr">
        <is>
          <t>vF2</t>
        </is>
      </c>
      <c r="B206" s="1" t="inlineStr">
        <is>
          <t>數值</t>
        </is>
      </c>
      <c r="C206" s="1" t="n">
        <v>5</v>
      </c>
      <c r="D206" s="1" t="n">
        <v>0</v>
      </c>
      <c r="E206" s="1" t="inlineStr">
        <is>
          <t>F2 在您有看紙本雜誌(網路雜誌不算)的那一天，您一整天大概會看多久？ 訪員注意： 1.本題為數值題，請填入4位數，例如2小時30分，請填入「0230」。 2.若為區間請取「中間值」，例如：2~3小時�</t>
        </is>
      </c>
    </row>
    <row r="207">
      <c r="A207" s="1" t="inlineStr">
        <is>
          <t>vF3</t>
        </is>
      </c>
      <c r="B207" s="1" t="inlineStr">
        <is>
          <t>數值</t>
        </is>
      </c>
      <c r="C207" s="1" t="n">
        <v>5</v>
      </c>
      <c r="D207" s="1" t="n">
        <v>0</v>
      </c>
      <c r="E207" s="1" t="inlineStr">
        <is>
          <t>F3 請問您每個月平均有幾天會在網路上看雜誌？</t>
        </is>
      </c>
    </row>
    <row r="208">
      <c r="A208" s="1" t="inlineStr">
        <is>
          <t>vF4</t>
        </is>
      </c>
      <c r="B208" s="1" t="inlineStr">
        <is>
          <t>數值</t>
        </is>
      </c>
      <c r="C208" s="1" t="n">
        <v>5</v>
      </c>
      <c r="D208" s="1" t="n">
        <v>0</v>
      </c>
      <c r="E208" s="1" t="inlineStr">
        <is>
          <t>F4 在您有看網路雜誌的那一天，您一整天大概會看多久？ 訪員注意：請受訪者考慮一個月30或31天的話，請以發生頻率較高(天數較多)來回答一整天看的時間，不是填看最長的時間。 例如1號到20�</t>
        </is>
      </c>
    </row>
    <row r="209">
      <c r="A209" s="1" t="inlineStr">
        <is>
          <t>vF5m01</t>
        </is>
      </c>
      <c r="B209" s="1" t="inlineStr">
        <is>
          <t>數值</t>
        </is>
      </c>
      <c r="C209" s="1" t="n">
        <v>2</v>
      </c>
      <c r="D209" s="1" t="n">
        <v>0</v>
      </c>
      <c r="E209" s="1" t="inlineStr">
        <is>
          <t>F5 您看雜誌(包含紙本和網路雜誌)經常看下列哪幾種內容？(可複選)(卡13) 訪員注意： 1.括號內只是舉例，若有符合括號內其中一項就可以選。 2.若有看特定雜誌但不知道要選哪類，則請在（88）�</t>
        </is>
      </c>
    </row>
    <row r="210">
      <c r="A210" s="1" t="inlineStr">
        <is>
          <t>vF5m02</t>
        </is>
      </c>
      <c r="B210" s="1" t="inlineStr">
        <is>
          <t>數值</t>
        </is>
      </c>
      <c r="C210" s="1" t="n">
        <v>2</v>
      </c>
      <c r="D210" s="1" t="n">
        <v>0</v>
      </c>
      <c r="E210" s="1" t="inlineStr">
        <is>
          <t>F5 您看雜誌(包含紙本和網路雜誌)經常看下列哪幾種內容？(可複選)(卡13) 訪員注意： 1.括號內只是舉例，若有符合括號內其中一項就可以選。 2.若有看特定雜誌但不知道要選哪類，則請在（88）�</t>
        </is>
      </c>
    </row>
    <row r="211">
      <c r="A211" s="1" t="inlineStr">
        <is>
          <t>vF5m03</t>
        </is>
      </c>
      <c r="B211" s="1" t="inlineStr">
        <is>
          <t>數值</t>
        </is>
      </c>
      <c r="C211" s="1" t="n">
        <v>2</v>
      </c>
      <c r="D211" s="1" t="n">
        <v>0</v>
      </c>
      <c r="E211" s="1" t="inlineStr">
        <is>
          <t>F5 您看雜誌(包含紙本和網路雜誌)經常看下列哪幾種內容？(可複選)(卡13) 訪員注意： 1.括號內只是舉例，若有符合括號內其中一項就可以選。 2.若有看特定雜誌但不知道要選哪類，則請在（88）�</t>
        </is>
      </c>
    </row>
    <row r="212">
      <c r="A212" s="1" t="inlineStr">
        <is>
          <t>vF5m04</t>
        </is>
      </c>
      <c r="B212" s="1" t="inlineStr">
        <is>
          <t>數值</t>
        </is>
      </c>
      <c r="C212" s="1" t="n">
        <v>2</v>
      </c>
      <c r="D212" s="1" t="n">
        <v>0</v>
      </c>
      <c r="E212" s="1" t="inlineStr">
        <is>
          <t>F5 您看雜誌(包含紙本和網路雜誌)經常看下列哪幾種內容？(可複選)(卡13) 訪員注意： 1.括號內只是舉例，若有符合括號內其中一項就可以選。 2.若有看特定雜誌但不知道要選哪類，則請在（88）�</t>
        </is>
      </c>
    </row>
    <row r="213">
      <c r="A213" s="1" t="inlineStr">
        <is>
          <t>vF5m05</t>
        </is>
      </c>
      <c r="B213" s="1" t="inlineStr">
        <is>
          <t>數值</t>
        </is>
      </c>
      <c r="C213" s="1" t="n">
        <v>2</v>
      </c>
      <c r="D213" s="1" t="n">
        <v>0</v>
      </c>
      <c r="E213" s="1" t="inlineStr">
        <is>
          <t>F5 您看雜誌(包含紙本和網路雜誌)經常看下列哪幾種內容？(可複選)(卡13) 訪員注意： 1.括號內只是舉例，若有符合括號內其中一項就可以選。 2.若有看特定雜誌但不知道要選哪類，則請在（88）�</t>
        </is>
      </c>
    </row>
    <row r="214">
      <c r="A214" s="1" t="inlineStr">
        <is>
          <t>vF5m06</t>
        </is>
      </c>
      <c r="B214" s="1" t="inlineStr">
        <is>
          <t>數值</t>
        </is>
      </c>
      <c r="C214" s="1" t="n">
        <v>2</v>
      </c>
      <c r="D214" s="1" t="n">
        <v>0</v>
      </c>
      <c r="E214" s="1" t="inlineStr">
        <is>
          <t>F5 您看雜誌(包含紙本和網路雜誌)經常看下列哪幾種內容？(可複選)(卡13) 訪員注意： 1.括號內只是舉例，若有符合括號內其中一項就可以選。 2.若有看特定雜誌但不知道要選哪類，則請在（88）�</t>
        </is>
      </c>
    </row>
    <row r="215">
      <c r="A215" s="1" t="inlineStr">
        <is>
          <t>vF5m07</t>
        </is>
      </c>
      <c r="B215" s="1" t="inlineStr">
        <is>
          <t>數值</t>
        </is>
      </c>
      <c r="C215" s="1" t="n">
        <v>2</v>
      </c>
      <c r="D215" s="1" t="n">
        <v>0</v>
      </c>
      <c r="E215" s="1" t="inlineStr">
        <is>
          <t>F5 您看雜誌(包含紙本和網路雜誌)經常看下列哪幾種內容？(可複選)(卡13) 訪員注意： 1.括號內只是舉例，若有符合括號內其中一項就可以選。 2.若有看特定雜誌但不知道要選哪類，則請在（88）�</t>
        </is>
      </c>
    </row>
    <row r="216">
      <c r="A216" s="1" t="inlineStr">
        <is>
          <t>vF5m08</t>
        </is>
      </c>
      <c r="B216" s="1" t="inlineStr">
        <is>
          <t>數值</t>
        </is>
      </c>
      <c r="C216" s="1" t="n">
        <v>2</v>
      </c>
      <c r="D216" s="1" t="n">
        <v>0</v>
      </c>
      <c r="E216" s="1" t="inlineStr">
        <is>
          <t>F5 您看雜誌(包含紙本和網路雜誌)經常看下列哪幾種內容？(可複選)(卡13) 訪員注意： 1.括號內只是舉例，若有符合括號內其中一項就可以選。 2.若有看特定雜誌但不知道要選哪類，則請在（88）�</t>
        </is>
      </c>
    </row>
    <row r="217">
      <c r="A217" s="1" t="inlineStr">
        <is>
          <t>vF5m88</t>
        </is>
      </c>
      <c r="B217" s="1" t="inlineStr">
        <is>
          <t>數值</t>
        </is>
      </c>
      <c r="C217" s="1" t="n">
        <v>2</v>
      </c>
      <c r="D217" s="1" t="n">
        <v>0</v>
      </c>
      <c r="E217" s="1" t="inlineStr">
        <is>
          <t>F5 您看雜誌(包含紙本和網路雜誌)經常看下列哪幾種內容？(可複選)(卡13) 訪員注意： 1.括號內只是舉例，若有符合括號內其中一項就可以選。 2.若有看特定雜誌但不知道要選哪類，則請在（88）�</t>
        </is>
      </c>
    </row>
    <row r="218">
      <c r="A218" s="1" t="inlineStr">
        <is>
          <t>vF5o88</t>
        </is>
      </c>
      <c r="B218" s="1" t="inlineStr">
        <is>
          <t>字串</t>
        </is>
      </c>
      <c r="C218" s="1" t="n">
        <v>150</v>
      </c>
      <c r="D218" s="1" t="n">
        <v>0</v>
      </c>
      <c r="E218" s="1" t="inlineStr">
        <is>
          <t>F5 您看雜誌(包含紙本和網路雜誌)經常看下列哪幾種內容？(可複選)(卡13) 訪員注意： 1.括號內只是舉例，若有符合括號內其中一項就可以選。 2.若有看特定雜誌但不知道要選哪類，則請在（88）�</t>
        </is>
      </c>
    </row>
    <row r="219">
      <c r="A219" s="1" t="inlineStr">
        <is>
          <t>vG1</t>
        </is>
      </c>
      <c r="B219" s="1" t="inlineStr">
        <is>
          <t>數值</t>
        </is>
      </c>
      <c r="C219" s="1" t="n">
        <v>4</v>
      </c>
      <c r="D219" s="1" t="n">
        <v>0</v>
      </c>
      <c r="E219" s="1" t="inlineStr">
        <is>
          <t>G1 請問您每週平均有幾天會看紙本報紙？ 訪員注意： 1.「紙本報紙」是指定期出刊（通常是每天或每週）的紙本印刷讀物，一般會有針對國內、國際、地方新聞的報導，也有體育、娛樂等其他主</t>
        </is>
      </c>
    </row>
    <row r="220">
      <c r="A220" s="1" t="inlineStr">
        <is>
          <t>vG2</t>
        </is>
      </c>
      <c r="B220" s="1" t="inlineStr">
        <is>
          <t>數值</t>
        </is>
      </c>
      <c r="C220" s="1" t="n">
        <v>5</v>
      </c>
      <c r="D220" s="1" t="n">
        <v>0</v>
      </c>
      <c r="E220" s="1" t="inlineStr">
        <is>
          <t>G2 在您有看紙本報紙的那一天，您一整天大概會看多久？ 訪員注意： 1.本題為數值題，請填入4位數，例如2小時30分，請填入「0230」。 2.若為區間請取「中間值」，例如：2~3小時，請填入「0230」</t>
        </is>
      </c>
    </row>
    <row r="221">
      <c r="A221" s="1" t="inlineStr">
        <is>
          <t>vG3m01</t>
        </is>
      </c>
      <c r="B221" s="1" t="inlineStr">
        <is>
          <t>數值</t>
        </is>
      </c>
      <c r="C221" s="1" t="n">
        <v>2</v>
      </c>
      <c r="D221" s="1" t="n">
        <v>0</v>
      </c>
      <c r="E221" s="1" t="inlineStr">
        <is>
          <t>G3 請問您經常看哪幾份紙本報紙？(可複選) (卡14)  (01) 自由時報</t>
        </is>
      </c>
    </row>
    <row r="222">
      <c r="A222" s="1" t="inlineStr">
        <is>
          <t>vG3m02</t>
        </is>
      </c>
      <c r="B222" s="1" t="inlineStr">
        <is>
          <t>數值</t>
        </is>
      </c>
      <c r="C222" s="1" t="n">
        <v>2</v>
      </c>
      <c r="D222" s="1" t="n">
        <v>0</v>
      </c>
      <c r="E222" s="1" t="inlineStr">
        <is>
          <t>G3 請問您經常看哪幾份紙本報紙？(可複選) (卡14)  (02) 聯合報</t>
        </is>
      </c>
    </row>
    <row r="223">
      <c r="A223" s="1" t="inlineStr">
        <is>
          <t>vG3m03</t>
        </is>
      </c>
      <c r="B223" s="1" t="inlineStr">
        <is>
          <t>數值</t>
        </is>
      </c>
      <c r="C223" s="1" t="n">
        <v>2</v>
      </c>
      <c r="D223" s="1" t="n">
        <v>0</v>
      </c>
      <c r="E223" s="1" t="inlineStr">
        <is>
          <t>G3 請問您經常看哪幾份紙本報紙？(可複選) (卡14)  (03) 中國時報</t>
        </is>
      </c>
    </row>
    <row r="224">
      <c r="A224" s="1" t="inlineStr">
        <is>
          <t>vG3m04</t>
        </is>
      </c>
      <c r="B224" s="1" t="inlineStr">
        <is>
          <t>數值</t>
        </is>
      </c>
      <c r="C224" s="1" t="n">
        <v>2</v>
      </c>
      <c r="D224" s="1" t="n">
        <v>0</v>
      </c>
      <c r="E224" s="1" t="inlineStr">
        <is>
          <t>G3 請問您經常看哪幾份紙本報紙？(可複選) (卡14)  (04) 經濟日報</t>
        </is>
      </c>
    </row>
    <row r="225">
      <c r="A225" s="1" t="inlineStr">
        <is>
          <t>vG3m05</t>
        </is>
      </c>
      <c r="B225" s="1" t="inlineStr">
        <is>
          <t>數值</t>
        </is>
      </c>
      <c r="C225" s="1" t="n">
        <v>2</v>
      </c>
      <c r="D225" s="1" t="n">
        <v>0</v>
      </c>
      <c r="E225" s="1" t="inlineStr">
        <is>
          <t>G3 請問您經常看哪幾份紙本報紙？(可複選) (卡14)  (05) 工商時報</t>
        </is>
      </c>
    </row>
    <row r="226">
      <c r="A226" s="1" t="inlineStr">
        <is>
          <t>vG3m06</t>
        </is>
      </c>
      <c r="B226" s="1" t="inlineStr">
        <is>
          <t>數值</t>
        </is>
      </c>
      <c r="C226" s="1" t="n">
        <v>2</v>
      </c>
      <c r="D226" s="1" t="n">
        <v>0</v>
      </c>
      <c r="E226" s="1" t="inlineStr">
        <is>
          <t>G3 請問您經常看哪幾份紙本報紙？(可複選) (卡14)  (06) 更生日報（花蓮、臺東縣）</t>
        </is>
      </c>
    </row>
    <row r="227">
      <c r="A227" s="1" t="inlineStr">
        <is>
          <t>vG3m07</t>
        </is>
      </c>
      <c r="B227" s="1" t="inlineStr">
        <is>
          <t>數值</t>
        </is>
      </c>
      <c r="C227" s="1" t="n">
        <v>2</v>
      </c>
      <c r="D227" s="1" t="n">
        <v>0</v>
      </c>
      <c r="E227" s="1" t="inlineStr">
        <is>
          <t>G3 請問您經常看哪幾份紙本報紙？(可複選) (卡14)  (07) 人間福報</t>
        </is>
      </c>
    </row>
    <row r="228">
      <c r="A228" s="1" t="inlineStr">
        <is>
          <t>vG3m08</t>
        </is>
      </c>
      <c r="B228" s="1" t="inlineStr">
        <is>
          <t>數值</t>
        </is>
      </c>
      <c r="C228" s="1" t="n">
        <v>2</v>
      </c>
      <c r="D228" s="1" t="n">
        <v>0</v>
      </c>
      <c r="E228" s="1" t="inlineStr">
        <is>
          <t>G3 請問您經常看哪幾份紙本報紙？(可複選) (卡14)  (08) 大紀元時報</t>
        </is>
      </c>
    </row>
    <row r="229">
      <c r="A229" s="1" t="inlineStr">
        <is>
          <t>vG3m09</t>
        </is>
      </c>
      <c r="B229" s="1" t="inlineStr">
        <is>
          <t>數值</t>
        </is>
      </c>
      <c r="C229" s="1" t="n">
        <v>2</v>
      </c>
      <c r="D229" s="1" t="n">
        <v>0</v>
      </c>
      <c r="E229" s="1" t="inlineStr">
        <is>
          <t>G3 請問您經常看哪幾份紙本報紙？(可複選) (卡14)  (09) 中華日報（臺南市）</t>
        </is>
      </c>
    </row>
    <row r="230">
      <c r="A230" s="1" t="inlineStr">
        <is>
          <t>vG3m10</t>
        </is>
      </c>
      <c r="B230" s="1" t="inlineStr">
        <is>
          <t>數值</t>
        </is>
      </c>
      <c r="C230" s="1" t="n">
        <v>2</v>
      </c>
      <c r="D230" s="1" t="n">
        <v>0</v>
      </c>
      <c r="E230" s="1" t="inlineStr">
        <is>
          <t>G3 請問您經常看哪幾份紙本報紙？(可複選) (卡14)  (10) 國語日報</t>
        </is>
      </c>
    </row>
    <row r="231">
      <c r="A231" s="1" t="inlineStr">
        <is>
          <t>vG3m11</t>
        </is>
      </c>
      <c r="B231" s="1" t="inlineStr">
        <is>
          <t>數值</t>
        </is>
      </c>
      <c r="C231" s="1" t="n">
        <v>2</v>
      </c>
      <c r="D231" s="1" t="n">
        <v>0</v>
      </c>
      <c r="E231" s="1" t="inlineStr">
        <is>
          <t>G3 請問您經常看哪幾份紙本報紙？(可複選) (卡14)  (11) 旺報</t>
        </is>
      </c>
    </row>
    <row r="232">
      <c r="A232" s="1" t="inlineStr">
        <is>
          <t>vG3m12</t>
        </is>
      </c>
      <c r="B232" s="1" t="inlineStr">
        <is>
          <t>數值</t>
        </is>
      </c>
      <c r="C232" s="1" t="n">
        <v>2</v>
      </c>
      <c r="D232" s="1" t="n">
        <v>0</v>
      </c>
      <c r="E232" s="1" t="inlineStr">
        <is>
          <t>G3 請問您經常看哪幾份紙本報紙？(可複選) (卡14)  (12) 臺灣時報（高雄市）</t>
        </is>
      </c>
    </row>
    <row r="233">
      <c r="A233" s="1" t="inlineStr">
        <is>
          <t>vG3m13</t>
        </is>
      </c>
      <c r="B233" s="1" t="inlineStr">
        <is>
          <t>數值</t>
        </is>
      </c>
      <c r="C233" s="1" t="n">
        <v>2</v>
      </c>
      <c r="D233" s="1" t="n">
        <v>0</v>
      </c>
      <c r="E233" s="1" t="inlineStr">
        <is>
          <t>G3 請問您經常看哪幾份紙本報紙？(可複選) (卡14)  (13) 青年日報</t>
        </is>
      </c>
    </row>
    <row r="234">
      <c r="A234" s="1" t="inlineStr">
        <is>
          <t>vG3m14</t>
        </is>
      </c>
      <c r="B234" s="1" t="inlineStr">
        <is>
          <t>數值</t>
        </is>
      </c>
      <c r="C234" s="1" t="n">
        <v>2</v>
      </c>
      <c r="D234" s="1" t="n">
        <v>0</v>
      </c>
      <c r="E234" s="1" t="inlineStr">
        <is>
          <t>G3 請問您經常看哪幾份紙本報紙？(可複選) (卡14)  (14) Taipei Times</t>
        </is>
      </c>
    </row>
    <row r="235">
      <c r="A235" s="1" t="inlineStr">
        <is>
          <t>vG3m15</t>
        </is>
      </c>
      <c r="B235" s="1" t="inlineStr">
        <is>
          <t>數值</t>
        </is>
      </c>
      <c r="C235" s="1" t="n">
        <v>2</v>
      </c>
      <c r="D235" s="1" t="n">
        <v>0</v>
      </c>
      <c r="E235" s="1" t="inlineStr">
        <is>
          <t>G3 請問您經常看哪幾份紙本報紙？(可複選) (卡14)  (15) 電子時報</t>
        </is>
      </c>
    </row>
    <row r="236">
      <c r="A236" s="1" t="inlineStr">
        <is>
          <t>vG3m16</t>
        </is>
      </c>
      <c r="B236" s="1" t="inlineStr">
        <is>
          <t>數值</t>
        </is>
      </c>
      <c r="C236" s="1" t="n">
        <v>2</v>
      </c>
      <c r="D236" s="1" t="n">
        <v>0</v>
      </c>
      <c r="E236" s="1" t="inlineStr">
        <is>
          <t>G3 請問您經常看哪幾份紙本報紙？(可複選) (卡14)  (16) Taiwan News</t>
        </is>
      </c>
    </row>
    <row r="237">
      <c r="A237" s="1" t="inlineStr">
        <is>
          <t>vG3m18</t>
        </is>
      </c>
      <c r="B237" s="1" t="inlineStr">
        <is>
          <t>數值</t>
        </is>
      </c>
      <c r="C237" s="1" t="n">
        <v>2</v>
      </c>
      <c r="D237" s="1" t="n">
        <v>0</v>
      </c>
      <c r="E237" s="1" t="inlineStr">
        <is>
          <t>G3 請問您經常看哪幾份紙本報紙？(可複選) (卡14)  (18) 台灣新生報</t>
        </is>
      </c>
    </row>
    <row r="238">
      <c r="A238" s="1" t="inlineStr">
        <is>
          <t>vG3m19</t>
        </is>
      </c>
      <c r="B238" s="1" t="inlineStr">
        <is>
          <t>數值</t>
        </is>
      </c>
      <c r="C238" s="1" t="n">
        <v>2</v>
      </c>
      <c r="D238" s="1" t="n">
        <v>0</v>
      </c>
      <c r="E238" s="1" t="inlineStr">
        <is>
          <t>G3 請問您經常看哪幾份紙本報紙？(可複選) (卡14)  (19) China Post</t>
        </is>
      </c>
    </row>
    <row r="239">
      <c r="A239" s="1" t="inlineStr">
        <is>
          <t>vG3m20</t>
        </is>
      </c>
      <c r="B239" s="1" t="inlineStr">
        <is>
          <t>數值</t>
        </is>
      </c>
      <c r="C239" s="1" t="n">
        <v>2</v>
      </c>
      <c r="D239" s="1" t="n">
        <v>0</v>
      </c>
      <c r="E239" s="1" t="inlineStr">
        <is>
          <t>G3 請問您經常看哪幾份紙本報紙？(可複選) (卡14)  (20) 馬祖日報</t>
        </is>
      </c>
    </row>
    <row r="240">
      <c r="A240" s="1" t="inlineStr">
        <is>
          <t>vG3m21</t>
        </is>
      </c>
      <c r="B240" s="1" t="inlineStr">
        <is>
          <t>數值</t>
        </is>
      </c>
      <c r="C240" s="1" t="n">
        <v>2</v>
      </c>
      <c r="D240" s="1" t="n">
        <v>0</v>
      </c>
      <c r="E240" s="1" t="inlineStr">
        <is>
          <t>G3 請問您經常看哪幾份紙本報紙？(可複選) (卡14)  (21) 金門日報</t>
        </is>
      </c>
    </row>
    <row r="241">
      <c r="A241" s="1" t="inlineStr">
        <is>
          <t>vG3m22</t>
        </is>
      </c>
      <c r="B241" s="1" t="inlineStr">
        <is>
          <t>數值</t>
        </is>
      </c>
      <c r="C241" s="1" t="n">
        <v>2</v>
      </c>
      <c r="D241" s="1" t="n">
        <v>0</v>
      </c>
      <c r="E241" s="1" t="inlineStr">
        <is>
          <t>G3 請問您經常看哪幾份紙本報紙？(可複選) (卡14)  (22) 民眾日報（高雄市）</t>
        </is>
      </c>
    </row>
    <row r="242">
      <c r="A242" s="1" t="inlineStr">
        <is>
          <t>vG3m23</t>
        </is>
      </c>
      <c r="B242" s="1" t="inlineStr">
        <is>
          <t>數值</t>
        </is>
      </c>
      <c r="C242" s="1" t="n">
        <v>2</v>
      </c>
      <c r="D242" s="1" t="n">
        <v>0</v>
      </c>
      <c r="E242" s="1" t="inlineStr">
        <is>
          <t>G3 請問您經常看哪幾份紙本報紙？(可複選) (卡14)  (23) 台中時報（臺中市）</t>
        </is>
      </c>
    </row>
    <row r="243">
      <c r="A243" s="1" t="inlineStr">
        <is>
          <t>vG3m24</t>
        </is>
      </c>
      <c r="B243" s="1" t="inlineStr">
        <is>
          <t>數值</t>
        </is>
      </c>
      <c r="C243" s="1" t="n">
        <v>2</v>
      </c>
      <c r="D243" s="1" t="n">
        <v>0</v>
      </c>
      <c r="E243" s="1" t="inlineStr">
        <is>
          <t>G3 請問您經常看哪幾份紙本報紙？(可複選) (卡14)  (24) 巨報（嘉義縣、嘉義市）</t>
        </is>
      </c>
    </row>
    <row r="244">
      <c r="A244" s="1" t="inlineStr">
        <is>
          <t>vG3m25</t>
        </is>
      </c>
      <c r="B244" s="1" t="inlineStr">
        <is>
          <t>數值</t>
        </is>
      </c>
      <c r="C244" s="1" t="n">
        <v>2</v>
      </c>
      <c r="D244" s="1" t="n">
        <v>0</v>
      </c>
      <c r="E244" s="1" t="inlineStr">
        <is>
          <t>G3 請問您經常看哪幾份紙本報紙？(可複選) (卡14)  (25) 台灣教會公報</t>
        </is>
      </c>
    </row>
    <row r="245">
      <c r="A245" s="1" t="inlineStr">
        <is>
          <t>vG3m26</t>
        </is>
      </c>
      <c r="B245" s="1" t="inlineStr">
        <is>
          <t>數值</t>
        </is>
      </c>
      <c r="C245" s="1" t="n">
        <v>2</v>
      </c>
      <c r="D245" s="1" t="n">
        <v>0</v>
      </c>
      <c r="E245" s="1" t="inlineStr">
        <is>
          <t>G3 請問您經常看哪幾份紙本報紙？(可複選) (卡14)  (26) 基督教論壇報</t>
        </is>
      </c>
    </row>
    <row r="246">
      <c r="A246" s="1" t="inlineStr">
        <is>
          <t>vG3m27</t>
        </is>
      </c>
      <c r="B246" s="1" t="inlineStr">
        <is>
          <t>數值</t>
        </is>
      </c>
      <c r="C246" s="1" t="n">
        <v>2</v>
      </c>
      <c r="D246" s="1" t="n">
        <v>0</v>
      </c>
      <c r="E246" s="1" t="inlineStr">
        <is>
          <t>G3 請問您經常看哪幾份紙本報紙？(可複選) (卡14)  (27) 天主教週報</t>
        </is>
      </c>
    </row>
    <row r="247">
      <c r="A247" s="1" t="inlineStr">
        <is>
          <t>vG3m28</t>
        </is>
      </c>
      <c r="B247" s="1" t="inlineStr">
        <is>
          <t>數值</t>
        </is>
      </c>
      <c r="C247" s="1" t="n">
        <v>2</v>
      </c>
      <c r="D247" s="1" t="n">
        <v>0</v>
      </c>
      <c r="E247" s="1" t="inlineStr">
        <is>
          <t>G3 請問您經常看哪幾份紙本報紙？(可複選) (卡14)  (28) 前鋒招標日報</t>
        </is>
      </c>
    </row>
    <row r="248">
      <c r="A248" s="1" t="inlineStr">
        <is>
          <t>vG3m29</t>
        </is>
      </c>
      <c r="B248" s="1" t="inlineStr">
        <is>
          <t>數值</t>
        </is>
      </c>
      <c r="C248" s="1" t="n">
        <v>2</v>
      </c>
      <c r="D248" s="1" t="n">
        <v>0</v>
      </c>
      <c r="E248" s="1" t="inlineStr">
        <is>
          <t>G3 請問您經常看哪幾份紙本報紙？(可複選) (卡14)  (29) 國語週刊</t>
        </is>
      </c>
    </row>
    <row r="249">
      <c r="A249" s="1" t="inlineStr">
        <is>
          <t>vG3m30</t>
        </is>
      </c>
      <c r="B249" s="1" t="inlineStr">
        <is>
          <t>數值</t>
        </is>
      </c>
      <c r="C249" s="1" t="n">
        <v>2</v>
      </c>
      <c r="D249" s="1" t="n">
        <v>0</v>
      </c>
      <c r="E249" s="1" t="inlineStr">
        <is>
          <t>G3 請問您經常看哪幾份紙本報紙？(可複選) (卡14)  (30) 台灣立報</t>
        </is>
      </c>
    </row>
    <row r="250">
      <c r="A250" s="1" t="inlineStr">
        <is>
          <t>vG3m31</t>
        </is>
      </c>
      <c r="B250" s="1" t="inlineStr">
        <is>
          <t>數值</t>
        </is>
      </c>
      <c r="C250" s="1" t="n">
        <v>2</v>
      </c>
      <c r="D250" s="1" t="n">
        <v>0</v>
      </c>
      <c r="E250" s="1" t="inlineStr">
        <is>
          <t>G3 請問您經常看哪幾份紙本報紙？(可複選) (卡14)  (31) 都會時報</t>
        </is>
      </c>
    </row>
    <row r="251">
      <c r="A251" s="1" t="inlineStr">
        <is>
          <t>vG3m32</t>
        </is>
      </c>
      <c r="B251" s="1" t="inlineStr">
        <is>
          <t>數值</t>
        </is>
      </c>
      <c r="C251" s="1" t="n">
        <v>2</v>
      </c>
      <c r="D251" s="1" t="n">
        <v>0</v>
      </c>
      <c r="E251" s="1" t="inlineStr">
        <is>
          <t>G3 請問您經常看哪幾份紙本報紙？(可複選) (卡14)  (32) The Affairs週刊編集</t>
        </is>
      </c>
    </row>
    <row r="252">
      <c r="A252" s="1" t="inlineStr">
        <is>
          <t>vG3m33</t>
        </is>
      </c>
      <c r="B252" s="1" t="inlineStr">
        <is>
          <t>數值</t>
        </is>
      </c>
      <c r="C252" s="1" t="n">
        <v>2</v>
      </c>
      <c r="D252" s="1" t="n">
        <v>0</v>
      </c>
      <c r="E252" s="1" t="inlineStr">
        <is>
          <t>G3 請問您經常看哪幾份紙本報紙？(可複選) (卡14)  (33) 真晨報</t>
        </is>
      </c>
    </row>
    <row r="253">
      <c r="A253" s="1" t="inlineStr">
        <is>
          <t>vG3m88</t>
        </is>
      </c>
      <c r="B253" s="1" t="inlineStr">
        <is>
          <t>數值</t>
        </is>
      </c>
      <c r="C253" s="1" t="n">
        <v>2</v>
      </c>
      <c r="D253" s="1" t="n">
        <v>0</v>
      </c>
      <c r="E253" s="1" t="inlineStr">
        <is>
          <t>G3 請問您經常看哪幾份紙本報紙？(可複選) (卡14)  (88) 其他，請說明</t>
        </is>
      </c>
    </row>
    <row r="254">
      <c r="A254" s="1" t="inlineStr">
        <is>
          <t>vG3o88</t>
        </is>
      </c>
      <c r="B254" s="1" t="inlineStr">
        <is>
          <t>字串</t>
        </is>
      </c>
      <c r="C254" s="1" t="n">
        <v>150</v>
      </c>
      <c r="D254" s="1" t="n">
        <v>0</v>
      </c>
      <c r="E254" s="1" t="inlineStr">
        <is>
          <t>G3 請問您經常看哪幾份紙本報紙？(可複選) (卡14)  (88) 其他，請說明</t>
        </is>
      </c>
    </row>
    <row r="255">
      <c r="A255" s="1" t="inlineStr">
        <is>
          <t>vG4</t>
        </is>
      </c>
      <c r="B255" s="1" t="inlineStr">
        <is>
          <t>數值</t>
        </is>
      </c>
      <c r="C255" s="1" t="n">
        <v>4</v>
      </c>
      <c r="D255" s="1" t="n">
        <v>0</v>
      </c>
      <c r="E255" s="1" t="inlineStr">
        <is>
          <t>G4 請問您每週平均有幾天會上網看新聞？ 訪員注意：「網路新聞」是指將新聞內容放上網路，不論是文字或影音都算。 (1)文字：包括新聞網站(例：東森新聞網)、手機app(例：整合網路新聞app、�</t>
        </is>
      </c>
    </row>
    <row r="256">
      <c r="A256" s="1" t="inlineStr">
        <is>
          <t>vG5</t>
        </is>
      </c>
      <c r="B256" s="1" t="inlineStr">
        <is>
          <t>數值</t>
        </is>
      </c>
      <c r="C256" s="1" t="n">
        <v>5</v>
      </c>
      <c r="D256" s="1" t="n">
        <v>0</v>
      </c>
      <c r="E256" s="1" t="inlineStr">
        <is>
          <t>G5 在您有上網看新聞的那一天，您一整天大概會看多久？ 訪員注意：請以發生頻率較高(天數較多)來回答一整天看的時間，不是填看最長的時間。 例如星期一到星期四都是3小時，星期五到星期�</t>
        </is>
      </c>
    </row>
    <row r="257">
      <c r="A257" s="1" t="inlineStr">
        <is>
          <t>vG6m01</t>
        </is>
      </c>
      <c r="B257" s="1" t="inlineStr">
        <is>
          <t>數值</t>
        </is>
      </c>
      <c r="C257" s="1" t="n">
        <v>2</v>
      </c>
      <c r="D257" s="1" t="n">
        <v>0</v>
      </c>
      <c r="E257" s="1" t="inlineStr">
        <is>
          <t>G6 您在前面題目(G4題)回答：每週平均看${Q:G4}天網路新聞。請問您經常會透過下列哪些管道來看網路新聞？(可複選)(卡15) 訪員注意：若是使用手機APP看新聞，有特定名稱的APP(例如：自由時報、中</t>
        </is>
      </c>
    </row>
    <row r="258">
      <c r="A258" s="1" t="inlineStr">
        <is>
          <t>vG6m02</t>
        </is>
      </c>
      <c r="B258" s="1" t="inlineStr">
        <is>
          <t>數值</t>
        </is>
      </c>
      <c r="C258" s="1" t="n">
        <v>2</v>
      </c>
      <c r="D258" s="1" t="n">
        <v>0</v>
      </c>
      <c r="E258" s="1" t="inlineStr">
        <is>
          <t>G6 您在前面題目(G4題)回答：每週平均看${Q:G4}天網路新聞。請問您經常會透過下列哪些管道來看網路新聞？(可複選)(卡15) 訪員注意：若是使用手機APP看新聞，有特定名稱的APP(例如：自由時報、中</t>
        </is>
      </c>
    </row>
    <row r="259">
      <c r="A259" s="1" t="inlineStr">
        <is>
          <t>vG6m03</t>
        </is>
      </c>
      <c r="B259" s="1" t="inlineStr">
        <is>
          <t>數值</t>
        </is>
      </c>
      <c r="C259" s="1" t="n">
        <v>2</v>
      </c>
      <c r="D259" s="1" t="n">
        <v>0</v>
      </c>
      <c r="E259" s="1" t="inlineStr">
        <is>
          <t>G6 您在前面題目(G4題)回答：每週平均看${Q:G4}天網路新聞。請問您經常會透過下列哪些管道來看網路新聞？(可複選)(卡15) 訪員注意：若是使用手機APP看新聞，有特定名稱的APP(例如：自由時報、中</t>
        </is>
      </c>
    </row>
    <row r="260">
      <c r="A260" s="1" t="inlineStr">
        <is>
          <t>vG6m04</t>
        </is>
      </c>
      <c r="B260" s="1" t="inlineStr">
        <is>
          <t>數值</t>
        </is>
      </c>
      <c r="C260" s="1" t="n">
        <v>2</v>
      </c>
      <c r="D260" s="1" t="n">
        <v>0</v>
      </c>
      <c r="E260" s="1" t="inlineStr">
        <is>
          <t>G6 您在前面題目(G4題)回答：每週平均看${Q:G4}天網路新聞。請問您經常會透過下列哪些管道來看網路新聞？(可複選)(卡15) 訪員注意：若是使用手機APP看新聞，有特定名稱的APP(例如：自由時報、中</t>
        </is>
      </c>
    </row>
    <row r="261">
      <c r="A261" s="1" t="inlineStr">
        <is>
          <t>vG6m05</t>
        </is>
      </c>
      <c r="B261" s="1" t="inlineStr">
        <is>
          <t>數值</t>
        </is>
      </c>
      <c r="C261" s="1" t="n">
        <v>2</v>
      </c>
      <c r="D261" s="1" t="n">
        <v>0</v>
      </c>
      <c r="E261" s="1" t="inlineStr">
        <is>
          <t>G6 您在前面題目(G4題)回答：每週平均看${Q:G4}天網路新聞。請問您經常會透過下列哪些管道來看網路新聞？(可複選)(卡15) 訪員注意：若是使用手機APP看新聞，有特定名稱的APP(例如：自由時報、中</t>
        </is>
      </c>
    </row>
    <row r="262">
      <c r="A262" s="1" t="inlineStr">
        <is>
          <t>vG6m88</t>
        </is>
      </c>
      <c r="B262" s="1" t="inlineStr">
        <is>
          <t>數值</t>
        </is>
      </c>
      <c r="C262" s="1" t="n">
        <v>2</v>
      </c>
      <c r="D262" s="1" t="n">
        <v>0</v>
      </c>
      <c r="E262" s="1" t="inlineStr">
        <is>
          <t>G6 您在前面題目(G4題)回答：每週平均看${Q:G4}天網路新聞。請問您經常會透過下列哪些管道來看網路新聞？(可複選)(卡15) 訪員注意：若是使用手機APP看新聞，有特定名稱的APP(例如：自由時報、中</t>
        </is>
      </c>
    </row>
    <row r="263">
      <c r="A263" s="1" t="inlineStr">
        <is>
          <t>vG6o88</t>
        </is>
      </c>
      <c r="B263" s="1" t="inlineStr">
        <is>
          <t>字串</t>
        </is>
      </c>
      <c r="C263" s="1" t="n">
        <v>150</v>
      </c>
      <c r="D263" s="1" t="n">
        <v>0</v>
      </c>
      <c r="E263" s="1" t="inlineStr">
        <is>
          <t>G6 您在前面題目(G4題)回答：每週平均看${Q:G4}天網路新聞。請問您經常會透過下列哪些管道來看網路新聞？(可複選)(卡15) 訪員注意：若是使用手機APP看新聞，有特定名稱的APP(例如：自由時報、中</t>
        </is>
      </c>
    </row>
    <row r="264">
      <c r="A264" s="1" t="inlineStr">
        <is>
          <t>vG7m01</t>
        </is>
      </c>
      <c r="B264" s="1" t="inlineStr">
        <is>
          <t>數值</t>
        </is>
      </c>
      <c r="C264" s="1" t="n">
        <v>2</v>
      </c>
      <c r="D264" s="1" t="n">
        <v>0</v>
      </c>
      <c r="E264" s="1" t="inlineStr">
        <is>
          <t>G7 【訪員讀題完畢後，請將平板轉給受訪者選擇，並由訪員協助點選】 您在前面題目(G6題)回答：您會透過社群媒體、入口網站及整合新聞網站來看網路新聞。 請問您經常透過哪一些社群媒體、�</t>
        </is>
      </c>
    </row>
    <row r="265">
      <c r="A265" s="1" t="inlineStr">
        <is>
          <t>vG7m02</t>
        </is>
      </c>
      <c r="B265" s="1" t="inlineStr">
        <is>
          <t>數值</t>
        </is>
      </c>
      <c r="C265" s="1" t="n">
        <v>2</v>
      </c>
      <c r="D265" s="1" t="n">
        <v>0</v>
      </c>
      <c r="E265" s="1" t="inlineStr">
        <is>
          <t>G7 【訪員讀題完畢後，請將平板轉給受訪者選擇，並由訪員協助點選】 您在前面題目(G6題)回答：您會透過社群媒體、入口網站及整合新聞網站來看網路新聞。 請問您經常透過哪一些社群媒體、�</t>
        </is>
      </c>
    </row>
    <row r="266">
      <c r="A266" s="1" t="inlineStr">
        <is>
          <t>vG7m03</t>
        </is>
      </c>
      <c r="B266" s="1" t="inlineStr">
        <is>
          <t>數值</t>
        </is>
      </c>
      <c r="C266" s="1" t="n">
        <v>2</v>
      </c>
      <c r="D266" s="1" t="n">
        <v>0</v>
      </c>
      <c r="E266" s="1" t="inlineStr">
        <is>
          <t>G7 【訪員讀題完畢後，請將平板轉給受訪者選擇，並由訪員協助點選】 您在前面題目(G6題)回答：您會透過社群媒體、入口網站及整合新聞網站來看網路新聞。 請問您經常透過哪一些社群媒體、�</t>
        </is>
      </c>
    </row>
    <row r="267">
      <c r="A267" s="1" t="inlineStr">
        <is>
          <t>vG7m05</t>
        </is>
      </c>
      <c r="B267" s="1" t="inlineStr">
        <is>
          <t>數值</t>
        </is>
      </c>
      <c r="C267" s="1" t="n">
        <v>2</v>
      </c>
      <c r="D267" s="1" t="n">
        <v>0</v>
      </c>
      <c r="E267" s="1" t="inlineStr">
        <is>
          <t>G7 【訪員讀題完畢後，請將平板轉給受訪者選擇，並由訪員協助點選】 您在前面題目(G6題)回答：您會透過社群媒體、入口網站及整合新聞網站來看網路新聞。 請問您經常透過哪一些社群媒體、�</t>
        </is>
      </c>
    </row>
    <row r="268">
      <c r="A268" s="1" t="inlineStr">
        <is>
          <t>vG7m06</t>
        </is>
      </c>
      <c r="B268" s="1" t="inlineStr">
        <is>
          <t>數值</t>
        </is>
      </c>
      <c r="C268" s="1" t="n">
        <v>2</v>
      </c>
      <c r="D268" s="1" t="n">
        <v>0</v>
      </c>
      <c r="E268" s="1" t="inlineStr">
        <is>
          <t>G7 【訪員讀題完畢後，請將平板轉給受訪者選擇，並由訪員協助點選】 您在前面題目(G6題)回答：您會透過社群媒體、入口網站及整合新聞網站來看網路新聞。 請問您經常透過哪一些社群媒體、�</t>
        </is>
      </c>
    </row>
    <row r="269">
      <c r="A269" s="1" t="inlineStr">
        <is>
          <t>vG7m07</t>
        </is>
      </c>
      <c r="B269" s="1" t="inlineStr">
        <is>
          <t>數值</t>
        </is>
      </c>
      <c r="C269" s="1" t="n">
        <v>2</v>
      </c>
      <c r="D269" s="1" t="n">
        <v>0</v>
      </c>
      <c r="E269" s="1" t="inlineStr">
        <is>
          <t>G7 【訪員讀題完畢後，請將平板轉給受訪者選擇，並由訪員協助點選】 您在前面題目(G6題)回答：您會透過社群媒體、入口網站及整合新聞網站來看網路新聞。 請問您經常透過哪一些社群媒體、�</t>
        </is>
      </c>
    </row>
    <row r="270">
      <c r="A270" s="1" t="inlineStr">
        <is>
          <t>vG7m08</t>
        </is>
      </c>
      <c r="B270" s="1" t="inlineStr">
        <is>
          <t>數值</t>
        </is>
      </c>
      <c r="C270" s="1" t="n">
        <v>2</v>
      </c>
      <c r="D270" s="1" t="n">
        <v>0</v>
      </c>
      <c r="E270" s="1" t="inlineStr">
        <is>
          <t>G7 【訪員讀題完畢後，請將平板轉給受訪者選擇，並由訪員協助點選】 您在前面題目(G6題)回答：您會透過社群媒體、入口網站及整合新聞網站來看網路新聞。 請問您經常透過哪一些社群媒體、�</t>
        </is>
      </c>
    </row>
    <row r="271">
      <c r="A271" s="1" t="inlineStr">
        <is>
          <t>vG7m09</t>
        </is>
      </c>
      <c r="B271" s="1" t="inlineStr">
        <is>
          <t>數值</t>
        </is>
      </c>
      <c r="C271" s="1" t="n">
        <v>2</v>
      </c>
      <c r="D271" s="1" t="n">
        <v>0</v>
      </c>
      <c r="E271" s="1" t="inlineStr">
        <is>
          <t>G7 【訪員讀題完畢後，請將平板轉給受訪者選擇，並由訪員協助點選】 您在前面題目(G6題)回答：您會透過社群媒體、入口網站及整合新聞網站來看網路新聞。 請問您經常透過哪一些社群媒體、�</t>
        </is>
      </c>
    </row>
    <row r="272">
      <c r="A272" s="1" t="inlineStr">
        <is>
          <t>vG7m10</t>
        </is>
      </c>
      <c r="B272" s="1" t="inlineStr">
        <is>
          <t>數值</t>
        </is>
      </c>
      <c r="C272" s="1" t="n">
        <v>2</v>
      </c>
      <c r="D272" s="1" t="n">
        <v>0</v>
      </c>
      <c r="E272" s="1" t="inlineStr">
        <is>
          <t>G7 【訪員讀題完畢後，請將平板轉給受訪者選擇，並由訪員協助點選】 您在前面題目(G6題)回答：您會透過社群媒體、入口網站及整合新聞網站來看網路新聞。 請問您經常透過哪一些社群媒體、�</t>
        </is>
      </c>
    </row>
    <row r="273">
      <c r="A273" s="1" t="inlineStr">
        <is>
          <t>vG7m11</t>
        </is>
      </c>
      <c r="B273" s="1" t="inlineStr">
        <is>
          <t>數值</t>
        </is>
      </c>
      <c r="C273" s="1" t="n">
        <v>2</v>
      </c>
      <c r="D273" s="1" t="n">
        <v>0</v>
      </c>
      <c r="E273" s="1" t="inlineStr">
        <is>
          <t>G7 【訪員讀題完畢後，請將平板轉給受訪者選擇，並由訪員協助點選】 您在前面題目(G6題)回答：您會透過社群媒體、入口網站及整合新聞網站來看網路新聞。 請問您經常透過哪一些社群媒體、�</t>
        </is>
      </c>
    </row>
    <row r="274">
      <c r="A274" s="1" t="inlineStr">
        <is>
          <t>vG7m12</t>
        </is>
      </c>
      <c r="B274" s="1" t="inlineStr">
        <is>
          <t>數值</t>
        </is>
      </c>
      <c r="C274" s="1" t="n">
        <v>2</v>
      </c>
      <c r="D274" s="1" t="n">
        <v>0</v>
      </c>
      <c r="E274" s="1" t="inlineStr">
        <is>
          <t>G7 【訪員讀題完畢後，請將平板轉給受訪者選擇，並由訪員協助點選】 您在前面題目(G6題)回答：您會透過社群媒體、入口網站及整合新聞網站來看網路新聞。 請問您經常透過哪一些社群媒體、�</t>
        </is>
      </c>
    </row>
    <row r="275">
      <c r="A275" s="1" t="inlineStr">
        <is>
          <t>vG7m88</t>
        </is>
      </c>
      <c r="B275" s="1" t="inlineStr">
        <is>
          <t>數值</t>
        </is>
      </c>
      <c r="C275" s="1" t="n">
        <v>2</v>
      </c>
      <c r="D275" s="1" t="n">
        <v>0</v>
      </c>
      <c r="E275" s="1" t="inlineStr">
        <is>
          <t>G7 【訪員讀題完畢後，請將平板轉給受訪者選擇，並由訪員協助點選】 您在前面題目(G6題)回答：您會透過社群媒體、入口網站及整合新聞網站來看網路新聞。 請問您經常透過哪一些社群媒體、�</t>
        </is>
      </c>
    </row>
    <row r="276">
      <c r="A276" s="1" t="inlineStr">
        <is>
          <t>vG7o88</t>
        </is>
      </c>
      <c r="B276" s="1" t="inlineStr">
        <is>
          <t>字串</t>
        </is>
      </c>
      <c r="C276" s="1" t="n">
        <v>150</v>
      </c>
      <c r="D276" s="1" t="n">
        <v>0</v>
      </c>
      <c r="E276" s="1" t="inlineStr">
        <is>
          <t>G7 【訪員讀題完畢後，請將平板轉給受訪者選擇，並由訪員協助點選】 您在前面題目(G6題)回答：您會透過社群媒體、入口網站及整合新聞網站來看網路新聞。 請問您經常透過哪一些社群媒體、�</t>
        </is>
      </c>
    </row>
    <row r="277">
      <c r="A277" s="1" t="inlineStr">
        <is>
          <t>vG8m01</t>
        </is>
      </c>
      <c r="B277" s="1" t="inlineStr">
        <is>
          <t>數值</t>
        </is>
      </c>
      <c r="C277" s="1" t="n">
        <v>2</v>
      </c>
      <c r="D277" s="1" t="n">
        <v>0</v>
      </c>
      <c r="E277" s="1" t="inlineStr">
        <is>
          <t>G8 【訪員讀題完畢後，請將平板轉給受訪者選擇，並由訪員協助點選】 您在前面題目(G6題)回答：您會透過電視台的網站來看網路新聞。 那請問您經常透過哪一些電視台的網站來看網路新聞？不�</t>
        </is>
      </c>
    </row>
    <row r="278">
      <c r="A278" s="1" t="inlineStr">
        <is>
          <t>vG8m02</t>
        </is>
      </c>
      <c r="B278" s="1" t="inlineStr">
        <is>
          <t>數值</t>
        </is>
      </c>
      <c r="C278" s="1" t="n">
        <v>2</v>
      </c>
      <c r="D278" s="1" t="n">
        <v>0</v>
      </c>
      <c r="E278" s="1" t="inlineStr">
        <is>
          <t>G8 【訪員讀題完畢後，請將平板轉給受訪者選擇，並由訪員協助點選】 您在前面題目(G6題)回答：您會透過電視台的網站來看網路新聞。 那請問您經常透過哪一些電視台的網站來看網路新聞？不�</t>
        </is>
      </c>
    </row>
    <row r="279">
      <c r="A279" s="1" t="inlineStr">
        <is>
          <t>vG8m03</t>
        </is>
      </c>
      <c r="B279" s="1" t="inlineStr">
        <is>
          <t>數值</t>
        </is>
      </c>
      <c r="C279" s="1" t="n">
        <v>2</v>
      </c>
      <c r="D279" s="1" t="n">
        <v>0</v>
      </c>
      <c r="E279" s="1" t="inlineStr">
        <is>
          <t>G8 【訪員讀題完畢後，請將平板轉給受訪者選擇，並由訪員協助點選】 您在前面題目(G6題)回答：您會透過電視台的網站來看網路新聞。 那請問您經常透過哪一些電視台的網站來看網路新聞？不�</t>
        </is>
      </c>
    </row>
    <row r="280">
      <c r="A280" s="1" t="inlineStr">
        <is>
          <t>vG8m04</t>
        </is>
      </c>
      <c r="B280" s="1" t="inlineStr">
        <is>
          <t>數值</t>
        </is>
      </c>
      <c r="C280" s="1" t="n">
        <v>2</v>
      </c>
      <c r="D280" s="1" t="n">
        <v>0</v>
      </c>
      <c r="E280" s="1" t="inlineStr">
        <is>
          <t>G8 【訪員讀題完畢後，請將平板轉給受訪者選擇，並由訪員協助點選】 您在前面題目(G6題)回答：您會透過電視台的網站來看網路新聞。 那請問您經常透過哪一些電視台的網站來看網路新聞？不�</t>
        </is>
      </c>
    </row>
    <row r="281">
      <c r="A281" s="1" t="inlineStr">
        <is>
          <t>vG8m05</t>
        </is>
      </c>
      <c r="B281" s="1" t="inlineStr">
        <is>
          <t>數值</t>
        </is>
      </c>
      <c r="C281" s="1" t="n">
        <v>2</v>
      </c>
      <c r="D281" s="1" t="n">
        <v>0</v>
      </c>
      <c r="E281" s="1" t="inlineStr">
        <is>
          <t>G8 【訪員讀題完畢後，請將平板轉給受訪者選擇，並由訪員協助點選】 您在前面題目(G6題)回答：您會透過電視台的網站來看網路新聞。 那請問您經常透過哪一些電視台的網站來看網路新聞？不�</t>
        </is>
      </c>
    </row>
    <row r="282">
      <c r="A282" s="1" t="inlineStr">
        <is>
          <t>vG8m06</t>
        </is>
      </c>
      <c r="B282" s="1" t="inlineStr">
        <is>
          <t>數值</t>
        </is>
      </c>
      <c r="C282" s="1" t="n">
        <v>2</v>
      </c>
      <c r="D282" s="1" t="n">
        <v>0</v>
      </c>
      <c r="E282" s="1" t="inlineStr">
        <is>
          <t>G8 【訪員讀題完畢後，請將平板轉給受訪者選擇，並由訪員協助點選】 您在前面題目(G6題)回答：您會透過電視台的網站來看網路新聞。 那請問您經常透過哪一些電視台的網站來看網路新聞？不�</t>
        </is>
      </c>
    </row>
    <row r="283">
      <c r="A283" s="1" t="inlineStr">
        <is>
          <t>vG8m07</t>
        </is>
      </c>
      <c r="B283" s="1" t="inlineStr">
        <is>
          <t>數值</t>
        </is>
      </c>
      <c r="C283" s="1" t="n">
        <v>2</v>
      </c>
      <c r="D283" s="1" t="n">
        <v>0</v>
      </c>
      <c r="E283" s="1" t="inlineStr">
        <is>
          <t>G8 【訪員讀題完畢後，請將平板轉給受訪者選擇，並由訪員協助點選】 您在前面題目(G6題)回答：您會透過電視台的網站來看網路新聞。 那請問您經常透過哪一些電視台的網站來看網路新聞？不�</t>
        </is>
      </c>
    </row>
    <row r="284">
      <c r="A284" s="1" t="inlineStr">
        <is>
          <t>vG8m08</t>
        </is>
      </c>
      <c r="B284" s="1" t="inlineStr">
        <is>
          <t>數值</t>
        </is>
      </c>
      <c r="C284" s="1" t="n">
        <v>2</v>
      </c>
      <c r="D284" s="1" t="n">
        <v>0</v>
      </c>
      <c r="E284" s="1" t="inlineStr">
        <is>
          <t>G8 【訪員讀題完畢後，請將平板轉給受訪者選擇，並由訪員協助點選】 您在前面題目(G6題)回答：您會透過電視台的網站來看網路新聞。 那請問您經常透過哪一些電視台的網站來看網路新聞？不�</t>
        </is>
      </c>
    </row>
    <row r="285">
      <c r="A285" s="1" t="inlineStr">
        <is>
          <t>vG8m09</t>
        </is>
      </c>
      <c r="B285" s="1" t="inlineStr">
        <is>
          <t>數值</t>
        </is>
      </c>
      <c r="C285" s="1" t="n">
        <v>2</v>
      </c>
      <c r="D285" s="1" t="n">
        <v>0</v>
      </c>
      <c r="E285" s="1" t="inlineStr">
        <is>
          <t>G8 【訪員讀題完畢後，請將平板轉給受訪者選擇，並由訪員協助點選】 您在前面題目(G6題)回答：您會透過電視台的網站來看網路新聞。 那請問您經常透過哪一些電視台的網站來看網路新聞？不�</t>
        </is>
      </c>
    </row>
    <row r="286">
      <c r="A286" s="1" t="inlineStr">
        <is>
          <t>vG8m10</t>
        </is>
      </c>
      <c r="B286" s="1" t="inlineStr">
        <is>
          <t>數值</t>
        </is>
      </c>
      <c r="C286" s="1" t="n">
        <v>2</v>
      </c>
      <c r="D286" s="1" t="n">
        <v>0</v>
      </c>
      <c r="E286" s="1" t="inlineStr">
        <is>
          <t>G8 【訪員讀題完畢後，請將平板轉給受訪者選擇，並由訪員協助點選】 您在前面題目(G6題)回答：您會透過電視台的網站來看網路新聞。 那請問您經常透過哪一些電視台的網站來看網路新聞？不�</t>
        </is>
      </c>
    </row>
    <row r="287">
      <c r="A287" s="1" t="inlineStr">
        <is>
          <t>vG8m11</t>
        </is>
      </c>
      <c r="B287" s="1" t="inlineStr">
        <is>
          <t>數值</t>
        </is>
      </c>
      <c r="C287" s="1" t="n">
        <v>2</v>
      </c>
      <c r="D287" s="1" t="n">
        <v>0</v>
      </c>
      <c r="E287" s="1" t="inlineStr">
        <is>
          <t>G8 【訪員讀題完畢後，請將平板轉給受訪者選擇，並由訪員協助點選】 您在前面題目(G6題)回答：您會透過電視台的網站來看網路新聞。 那請問您經常透過哪一些電視台的網站來看網路新聞？不�</t>
        </is>
      </c>
    </row>
    <row r="288">
      <c r="A288" s="1" t="inlineStr">
        <is>
          <t>vG8m12</t>
        </is>
      </c>
      <c r="B288" s="1" t="inlineStr">
        <is>
          <t>數值</t>
        </is>
      </c>
      <c r="C288" s="1" t="n">
        <v>2</v>
      </c>
      <c r="D288" s="1" t="n">
        <v>0</v>
      </c>
      <c r="E288" s="1" t="inlineStr">
        <is>
          <t>G8 【訪員讀題完畢後，請將平板轉給受訪者選擇，並由訪員協助點選】 您在前面題目(G6題)回答：您會透過電視台的網站來看網路新聞。 那請問您經常透過哪一些電視台的網站來看網路新聞？不�</t>
        </is>
      </c>
    </row>
    <row r="289">
      <c r="A289" s="1" t="inlineStr">
        <is>
          <t>vG8m13</t>
        </is>
      </c>
      <c r="B289" s="1" t="inlineStr">
        <is>
          <t>數值</t>
        </is>
      </c>
      <c r="C289" s="1" t="n">
        <v>2</v>
      </c>
      <c r="D289" s="1" t="n">
        <v>0</v>
      </c>
      <c r="E289" s="1" t="inlineStr">
        <is>
          <t>G8 【訪員讀題完畢後，請將平板轉給受訪者選擇，並由訪員協助點選】 您在前面題目(G6題)回答：您會透過電視台的網站來看網路新聞。 那請問您經常透過哪一些電視台的網站來看網路新聞？不�</t>
        </is>
      </c>
    </row>
    <row r="290">
      <c r="A290" s="1" t="inlineStr">
        <is>
          <t>vG8m14</t>
        </is>
      </c>
      <c r="B290" s="1" t="inlineStr">
        <is>
          <t>數值</t>
        </is>
      </c>
      <c r="C290" s="1" t="n">
        <v>2</v>
      </c>
      <c r="D290" s="1" t="n">
        <v>0</v>
      </c>
      <c r="E290" s="1" t="inlineStr">
        <is>
          <t>G8 【訪員讀題完畢後，請將平板轉給受訪者選擇，並由訪員協助點選】 您在前面題目(G6題)回答：您會透過電視台的網站來看網路新聞。 那請問您經常透過哪一些電視台的網站來看網路新聞？不�</t>
        </is>
      </c>
    </row>
    <row r="291">
      <c r="A291" s="1" t="inlineStr">
        <is>
          <t>vG8m15</t>
        </is>
      </c>
      <c r="B291" s="1" t="inlineStr">
        <is>
          <t>數值</t>
        </is>
      </c>
      <c r="C291" s="1" t="n">
        <v>2</v>
      </c>
      <c r="D291" s="1" t="n">
        <v>0</v>
      </c>
      <c r="E291" s="1" t="inlineStr">
        <is>
          <t>G8 【訪員讀題完畢後，請將平板轉給受訪者選擇，並由訪員協助點選】 您在前面題目(G6題)回答：您會透過電視台的網站來看網路新聞。 那請問您經常透過哪一些電視台的網站來看網路新聞？不�</t>
        </is>
      </c>
    </row>
    <row r="292">
      <c r="A292" s="1" t="inlineStr">
        <is>
          <t>vG8m16</t>
        </is>
      </c>
      <c r="B292" s="1" t="inlineStr">
        <is>
          <t>數值</t>
        </is>
      </c>
      <c r="C292" s="1" t="n">
        <v>2</v>
      </c>
      <c r="D292" s="1" t="n">
        <v>0</v>
      </c>
      <c r="E292" s="1" t="inlineStr">
        <is>
          <t>G8 【訪員讀題完畢後，請將平板轉給受訪者選擇，並由訪員協助點選】 您在前面題目(G6題)回答：您會透過電視台的網站來看網路新聞。 那請問您經常透過哪一些電視台的網站來看網路新聞？不�</t>
        </is>
      </c>
    </row>
    <row r="293">
      <c r="A293" s="1" t="inlineStr">
        <is>
          <t>vG8m88</t>
        </is>
      </c>
      <c r="B293" s="1" t="inlineStr">
        <is>
          <t>數值</t>
        </is>
      </c>
      <c r="C293" s="1" t="n">
        <v>2</v>
      </c>
      <c r="D293" s="1" t="n">
        <v>0</v>
      </c>
      <c r="E293" s="1" t="inlineStr">
        <is>
          <t>G8 【訪員讀題完畢後，請將平板轉給受訪者選擇，並由訪員協助點選】 您在前面題目(G6題)回答：您會透過電視台的網站來看網路新聞。 那請問您經常透過哪一些電視台的網站來看網路新聞？不�</t>
        </is>
      </c>
    </row>
    <row r="294">
      <c r="A294" s="1" t="inlineStr">
        <is>
          <t>vG8o88</t>
        </is>
      </c>
      <c r="B294" s="1" t="inlineStr">
        <is>
          <t>字串</t>
        </is>
      </c>
      <c r="C294" s="1" t="n">
        <v>150</v>
      </c>
      <c r="D294" s="1" t="n">
        <v>0</v>
      </c>
      <c r="E294" s="1" t="inlineStr">
        <is>
          <t>G8 【訪員讀題完畢後，請將平板轉給受訪者選擇，並由訪員協助點選】 您在前面題目(G6題)回答：您會透過電視台的網站來看網路新聞。 那請問您經常透過哪一些電視台的網站來看網路新聞？不�</t>
        </is>
      </c>
    </row>
    <row r="295">
      <c r="A295" s="1" t="inlineStr">
        <is>
          <t>vG9m01</t>
        </is>
      </c>
      <c r="B295" s="1" t="inlineStr">
        <is>
          <t>數值</t>
        </is>
      </c>
      <c r="C295" s="1" t="n">
        <v>2</v>
      </c>
      <c r="D295" s="1" t="n">
        <v>0</v>
      </c>
      <c r="E295" s="1" t="inlineStr">
        <is>
          <t>G9 【訪員讀題完畢後，請將平板轉給受訪者選擇，並由訪員協助點選】 您在前面題目(G6題)回答：您會透過電子報網站來看網路新聞。 那請問您經常透過哪一些電子報網站來看網路新聞？(可複選</t>
        </is>
      </c>
    </row>
    <row r="296">
      <c r="A296" s="1" t="inlineStr">
        <is>
          <t>vG9m02</t>
        </is>
      </c>
      <c r="B296" s="1" t="inlineStr">
        <is>
          <t>數值</t>
        </is>
      </c>
      <c r="C296" s="1" t="n">
        <v>2</v>
      </c>
      <c r="D296" s="1" t="n">
        <v>0</v>
      </c>
      <c r="E296" s="1" t="inlineStr">
        <is>
          <t>G9 【訪員讀題完畢後，請將平板轉給受訪者選擇，並由訪員協助點選】 您在前面題目(G6題)回答：您會透過電子報網站來看網路新聞。 那請問您經常透過哪一些電子報網站來看網路新聞？(可複選</t>
        </is>
      </c>
    </row>
    <row r="297">
      <c r="A297" s="1" t="inlineStr">
        <is>
          <t>vG9m03</t>
        </is>
      </c>
      <c r="B297" s="1" t="inlineStr">
        <is>
          <t>數值</t>
        </is>
      </c>
      <c r="C297" s="1" t="n">
        <v>2</v>
      </c>
      <c r="D297" s="1" t="n">
        <v>0</v>
      </c>
      <c r="E297" s="1" t="inlineStr">
        <is>
          <t>G9 【訪員讀題完畢後，請將平板轉給受訪者選擇，並由訪員協助點選】 您在前面題目(G6題)回答：您會透過電子報網站來看網路新聞。 那請問您經常透過哪一些電子報網站來看網路新聞？(可複選</t>
        </is>
      </c>
    </row>
    <row r="298">
      <c r="A298" s="1" t="inlineStr">
        <is>
          <t>vG9m04</t>
        </is>
      </c>
      <c r="B298" s="1" t="inlineStr">
        <is>
          <t>數值</t>
        </is>
      </c>
      <c r="C298" s="1" t="n">
        <v>2</v>
      </c>
      <c r="D298" s="1" t="n">
        <v>0</v>
      </c>
      <c r="E298" s="1" t="inlineStr">
        <is>
          <t>G9 【訪員讀題完畢後，請將平板轉給受訪者選擇，並由訪員協助點選】 您在前面題目(G6題)回答：您會透過電子報網站來看網路新聞。 那請問您經常透過哪一些電子報網站來看網路新聞？(可複選</t>
        </is>
      </c>
    </row>
    <row r="299">
      <c r="A299" s="1" t="inlineStr">
        <is>
          <t>vG9m05</t>
        </is>
      </c>
      <c r="B299" s="1" t="inlineStr">
        <is>
          <t>數值</t>
        </is>
      </c>
      <c r="C299" s="1" t="n">
        <v>2</v>
      </c>
      <c r="D299" s="1" t="n">
        <v>0</v>
      </c>
      <c r="E299" s="1" t="inlineStr">
        <is>
          <t>G9 【訪員讀題完畢後，請將平板轉給受訪者選擇，並由訪員協助點選】 您在前面題目(G6題)回答：您會透過電子報網站來看網路新聞。 那請問您經常透過哪一些電子報網站來看網路新聞？(可複選</t>
        </is>
      </c>
    </row>
    <row r="300">
      <c r="A300" s="1" t="inlineStr">
        <is>
          <t>vG9m06</t>
        </is>
      </c>
      <c r="B300" s="1" t="inlineStr">
        <is>
          <t>數值</t>
        </is>
      </c>
      <c r="C300" s="1" t="n">
        <v>2</v>
      </c>
      <c r="D300" s="1" t="n">
        <v>0</v>
      </c>
      <c r="E300" s="1" t="inlineStr">
        <is>
          <t>G9 【訪員讀題完畢後，請將平板轉給受訪者選擇，並由訪員協助點選】 您在前面題目(G6題)回答：您會透過電子報網站來看網路新聞。 那請問您經常透過哪一些電子報網站來看網路新聞？(可複選</t>
        </is>
      </c>
    </row>
    <row r="301">
      <c r="A301" s="1" t="inlineStr">
        <is>
          <t>vG9m07</t>
        </is>
      </c>
      <c r="B301" s="1" t="inlineStr">
        <is>
          <t>數值</t>
        </is>
      </c>
      <c r="C301" s="1" t="n">
        <v>2</v>
      </c>
      <c r="D301" s="1" t="n">
        <v>0</v>
      </c>
      <c r="E301" s="1" t="inlineStr">
        <is>
          <t>G9 【訪員讀題完畢後，請將平板轉給受訪者選擇，並由訪員協助點選】 您在前面題目(G6題)回答：您會透過電子報網站來看網路新聞。 那請問您經常透過哪一些電子報網站來看網路新聞？(可複選</t>
        </is>
      </c>
    </row>
    <row r="302">
      <c r="A302" s="1" t="inlineStr">
        <is>
          <t>vG9m08</t>
        </is>
      </c>
      <c r="B302" s="1" t="inlineStr">
        <is>
          <t>數值</t>
        </is>
      </c>
      <c r="C302" s="1" t="n">
        <v>2</v>
      </c>
      <c r="D302" s="1" t="n">
        <v>0</v>
      </c>
      <c r="E302" s="1" t="inlineStr">
        <is>
          <t>G9 【訪員讀題完畢後，請將平板轉給受訪者選擇，並由訪員協助點選】 您在前面題目(G6題)回答：您會透過電子報網站來看網路新聞。 那請問您經常透過哪一些電子報網站來看網路新聞？(可複選</t>
        </is>
      </c>
    </row>
    <row r="303">
      <c r="A303" s="1" t="inlineStr">
        <is>
          <t>vG9m09</t>
        </is>
      </c>
      <c r="B303" s="1" t="inlineStr">
        <is>
          <t>數值</t>
        </is>
      </c>
      <c r="C303" s="1" t="n">
        <v>2</v>
      </c>
      <c r="D303" s="1" t="n">
        <v>0</v>
      </c>
      <c r="E303" s="1" t="inlineStr">
        <is>
          <t>G9 【訪員讀題完畢後，請將平板轉給受訪者選擇，並由訪員協助點選】 您在前面題目(G6題)回答：您會透過電子報網站來看網路新聞。 那請問您經常透過哪一些電子報網站來看網路新聞？(可複選</t>
        </is>
      </c>
    </row>
    <row r="304">
      <c r="A304" s="1" t="inlineStr">
        <is>
          <t>vG9m10</t>
        </is>
      </c>
      <c r="B304" s="1" t="inlineStr">
        <is>
          <t>數值</t>
        </is>
      </c>
      <c r="C304" s="1" t="n">
        <v>2</v>
      </c>
      <c r="D304" s="1" t="n">
        <v>0</v>
      </c>
      <c r="E304" s="1" t="inlineStr">
        <is>
          <t>G9 【訪員讀題完畢後，請將平板轉給受訪者選擇，並由訪員協助點選】 您在前面題目(G6題)回答：您會透過電子報網站來看網路新聞。 那請問您經常透過哪一些電子報網站來看網路新聞？(可複選</t>
        </is>
      </c>
    </row>
    <row r="305">
      <c r="A305" s="1" t="inlineStr">
        <is>
          <t>vG9m11</t>
        </is>
      </c>
      <c r="B305" s="1" t="inlineStr">
        <is>
          <t>數值</t>
        </is>
      </c>
      <c r="C305" s="1" t="n">
        <v>2</v>
      </c>
      <c r="D305" s="1" t="n">
        <v>0</v>
      </c>
      <c r="E305" s="1" t="inlineStr">
        <is>
          <t>G9 【訪員讀題完畢後，請將平板轉給受訪者選擇，並由訪員協助點選】 您在前面題目(G6題)回答：您會透過電子報網站來看網路新聞。 那請問您經常透過哪一些電子報網站來看網路新聞？(可複選</t>
        </is>
      </c>
    </row>
    <row r="306">
      <c r="A306" s="1" t="inlineStr">
        <is>
          <t>vG9m12</t>
        </is>
      </c>
      <c r="B306" s="1" t="inlineStr">
        <is>
          <t>數值</t>
        </is>
      </c>
      <c r="C306" s="1" t="n">
        <v>2</v>
      </c>
      <c r="D306" s="1" t="n">
        <v>0</v>
      </c>
      <c r="E306" s="1" t="inlineStr">
        <is>
          <t>G9 【訪員讀題完畢後，請將平板轉給受訪者選擇，並由訪員協助點選】 您在前面題目(G6題)回答：您會透過電子報網站來看網路新聞。 那請問您經常透過哪一些電子報網站來看網路新聞？(可複選</t>
        </is>
      </c>
    </row>
    <row r="307">
      <c r="A307" s="1" t="inlineStr">
        <is>
          <t>vG9m13</t>
        </is>
      </c>
      <c r="B307" s="1" t="inlineStr">
        <is>
          <t>數值</t>
        </is>
      </c>
      <c r="C307" s="1" t="n">
        <v>2</v>
      </c>
      <c r="D307" s="1" t="n">
        <v>0</v>
      </c>
      <c r="E307" s="1" t="inlineStr">
        <is>
          <t>G9 【訪員讀題完畢後，請將平板轉給受訪者選擇，並由訪員協助點選】 您在前面題目(G6題)回答：您會透過電子報網站來看網路新聞。 那請問您經常透過哪一些電子報網站來看網路新聞？(可複選</t>
        </is>
      </c>
    </row>
    <row r="308">
      <c r="A308" s="1" t="inlineStr">
        <is>
          <t>vG9m88</t>
        </is>
      </c>
      <c r="B308" s="1" t="inlineStr">
        <is>
          <t>數值</t>
        </is>
      </c>
      <c r="C308" s="1" t="n">
        <v>2</v>
      </c>
      <c r="D308" s="1" t="n">
        <v>0</v>
      </c>
      <c r="E308" s="1" t="inlineStr">
        <is>
          <t>G9 【訪員讀題完畢後，請將平板轉給受訪者選擇，並由訪員協助點選】 您在前面題目(G6題)回答：您會透過電子報網站來看網路新聞。 那請問您經常透過哪一些電子報網站來看網路新聞？(可複選</t>
        </is>
      </c>
    </row>
    <row r="309">
      <c r="A309" s="1" t="inlineStr">
        <is>
          <t>vG9o88</t>
        </is>
      </c>
      <c r="B309" s="1" t="inlineStr">
        <is>
          <t>字串</t>
        </is>
      </c>
      <c r="C309" s="1" t="n">
        <v>150</v>
      </c>
      <c r="D309" s="1" t="n">
        <v>0</v>
      </c>
      <c r="E309" s="1" t="inlineStr">
        <is>
          <t>G9 【訪員讀題完畢後，請將平板轉給受訪者選擇，並由訪員協助點選】 您在前面題目(G6題)回答：您會透過電子報網站來看網路新聞。 那請問您經常透過哪一些電子報網站來看網路新聞？(可複選</t>
        </is>
      </c>
    </row>
    <row r="310">
      <c r="A310" s="1" t="inlineStr">
        <is>
          <t>vG10m01</t>
        </is>
      </c>
      <c r="B310" s="1" t="inlineStr">
        <is>
          <t>數值</t>
        </is>
      </c>
      <c r="C310" s="1" t="n">
        <v>2</v>
      </c>
      <c r="D310" s="1" t="n">
        <v>0</v>
      </c>
      <c r="E310" s="1" t="inlineStr">
        <is>
          <t>G10 【訪員讀題完畢後，請將平板轉給受訪者選擇，並由訪員協助點選】 您在前面題目(G6題)回答：您會透過獨立媒體及通訊社網站來看網路新聞。 那請問您經常透過哪一些獨立媒體及通訊社網站</t>
        </is>
      </c>
    </row>
    <row r="311">
      <c r="A311" s="1" t="inlineStr">
        <is>
          <t>vG10m02</t>
        </is>
      </c>
      <c r="B311" s="1" t="inlineStr">
        <is>
          <t>數值</t>
        </is>
      </c>
      <c r="C311" s="1" t="n">
        <v>2</v>
      </c>
      <c r="D311" s="1" t="n">
        <v>0</v>
      </c>
      <c r="E311" s="1" t="inlineStr">
        <is>
          <t>G10 【訪員讀題完畢後，請將平板轉給受訪者選擇，並由訪員協助點選】 您在前面題目(G6題)回答：您會透過獨立媒體及通訊社網站來看網路新聞。 那請問您經常透過哪一些獨立媒體及通訊社網站</t>
        </is>
      </c>
    </row>
    <row r="312">
      <c r="A312" s="1" t="inlineStr">
        <is>
          <t>vG10m03</t>
        </is>
      </c>
      <c r="B312" s="1" t="inlineStr">
        <is>
          <t>數值</t>
        </is>
      </c>
      <c r="C312" s="1" t="n">
        <v>2</v>
      </c>
      <c r="D312" s="1" t="n">
        <v>0</v>
      </c>
      <c r="E312" s="1" t="inlineStr">
        <is>
          <t>G10 【訪員讀題完畢後，請將平板轉給受訪者選擇，並由訪員協助點選】 您在前面題目(G6題)回答：您會透過獨立媒體及通訊社網站來看網路新聞。 那請問您經常透過哪一些獨立媒體及通訊社網站</t>
        </is>
      </c>
    </row>
    <row r="313">
      <c r="A313" s="1" t="inlineStr">
        <is>
          <t>vG10m04</t>
        </is>
      </c>
      <c r="B313" s="1" t="inlineStr">
        <is>
          <t>數值</t>
        </is>
      </c>
      <c r="C313" s="1" t="n">
        <v>2</v>
      </c>
      <c r="D313" s="1" t="n">
        <v>0</v>
      </c>
      <c r="E313" s="1" t="inlineStr">
        <is>
          <t>G10 【訪員讀題完畢後，請將平板轉給受訪者選擇，並由訪員協助點選】 您在前面題目(G6題)回答：您會透過獨立媒體及通訊社網站來看網路新聞。 那請問您經常透過哪一些獨立媒體及通訊社網站</t>
        </is>
      </c>
    </row>
    <row r="314">
      <c r="A314" s="1" t="inlineStr">
        <is>
          <t>vG10m05</t>
        </is>
      </c>
      <c r="B314" s="1" t="inlineStr">
        <is>
          <t>數值</t>
        </is>
      </c>
      <c r="C314" s="1" t="n">
        <v>2</v>
      </c>
      <c r="D314" s="1" t="n">
        <v>0</v>
      </c>
      <c r="E314" s="1" t="inlineStr">
        <is>
          <t>G10 【訪員讀題完畢後，請將平板轉給受訪者選擇，並由訪員協助點選】 您在前面題目(G6題)回答：您會透過獨立媒體及通訊社網站來看網路新聞。 那請問您經常透過哪一些獨立媒體及通訊社網站</t>
        </is>
      </c>
    </row>
    <row r="315">
      <c r="A315" s="1" t="inlineStr">
        <is>
          <t>vG10m06</t>
        </is>
      </c>
      <c r="B315" s="1" t="inlineStr">
        <is>
          <t>數值</t>
        </is>
      </c>
      <c r="C315" s="1" t="n">
        <v>2</v>
      </c>
      <c r="D315" s="1" t="n">
        <v>0</v>
      </c>
      <c r="E315" s="1" t="inlineStr">
        <is>
          <t>G10 【訪員讀題完畢後，請將平板轉給受訪者選擇，並由訪員協助點選】 您在前面題目(G6題)回答：您會透過獨立媒體及通訊社網站來看網路新聞。 那請問您經常透過哪一些獨立媒體及通訊社網站</t>
        </is>
      </c>
    </row>
    <row r="316">
      <c r="A316" s="1" t="inlineStr">
        <is>
          <t>vG10m07</t>
        </is>
      </c>
      <c r="B316" s="1" t="inlineStr">
        <is>
          <t>數值</t>
        </is>
      </c>
      <c r="C316" s="1" t="n">
        <v>2</v>
      </c>
      <c r="D316" s="1" t="n">
        <v>0</v>
      </c>
      <c r="E316" s="1" t="inlineStr">
        <is>
          <t>G10 【訪員讀題完畢後，請將平板轉給受訪者選擇，並由訪員協助點選】 您在前面題目(G6題)回答：您會透過獨立媒體及通訊社網站來看網路新聞。 那請問您經常透過哪一些獨立媒體及通訊社網站</t>
        </is>
      </c>
    </row>
    <row r="317">
      <c r="A317" s="1" t="inlineStr">
        <is>
          <t>vG10m08</t>
        </is>
      </c>
      <c r="B317" s="1" t="inlineStr">
        <is>
          <t>數值</t>
        </is>
      </c>
      <c r="C317" s="1" t="n">
        <v>2</v>
      </c>
      <c r="D317" s="1" t="n">
        <v>0</v>
      </c>
      <c r="E317" s="1" t="inlineStr">
        <is>
          <t>G10 【訪員讀題完畢後，請將平板轉給受訪者選擇，並由訪員協助點選】 您在前面題目(G6題)回答：您會透過獨立媒體及通訊社網站來看網路新聞。 那請問您經常透過哪一些獨立媒體及通訊社網站</t>
        </is>
      </c>
    </row>
    <row r="318">
      <c r="A318" s="1" t="inlineStr">
        <is>
          <t>vG10m09</t>
        </is>
      </c>
      <c r="B318" s="1" t="inlineStr">
        <is>
          <t>數值</t>
        </is>
      </c>
      <c r="C318" s="1" t="n">
        <v>2</v>
      </c>
      <c r="D318" s="1" t="n">
        <v>0</v>
      </c>
      <c r="E318" s="1" t="inlineStr">
        <is>
          <t>G10 【訪員讀題完畢後，請將平板轉給受訪者選擇，並由訪員協助點選】 您在前面題目(G6題)回答：您會透過獨立媒體及通訊社網站來看網路新聞。 那請問您經常透過哪一些獨立媒體及通訊社網站</t>
        </is>
      </c>
    </row>
    <row r="319">
      <c r="A319" s="1" t="inlineStr">
        <is>
          <t>vG10m10</t>
        </is>
      </c>
      <c r="B319" s="1" t="inlineStr">
        <is>
          <t>數值</t>
        </is>
      </c>
      <c r="C319" s="1" t="n">
        <v>2</v>
      </c>
      <c r="D319" s="1" t="n">
        <v>0</v>
      </c>
      <c r="E319" s="1" t="inlineStr">
        <is>
          <t>G10 【訪員讀題完畢後，請將平板轉給受訪者選擇，並由訪員協助點選】 您在前面題目(G6題)回答：您會透過獨立媒體及通訊社網站來看網路新聞。 那請問您經常透過哪一些獨立媒體及通訊社網站</t>
        </is>
      </c>
    </row>
    <row r="320">
      <c r="A320" s="1" t="inlineStr">
        <is>
          <t>vG10m11</t>
        </is>
      </c>
      <c r="B320" s="1" t="inlineStr">
        <is>
          <t>數值</t>
        </is>
      </c>
      <c r="C320" s="1" t="n">
        <v>2</v>
      </c>
      <c r="D320" s="1" t="n">
        <v>0</v>
      </c>
      <c r="E320" s="1" t="inlineStr">
        <is>
          <t>G10 【訪員讀題完畢後，請將平板轉給受訪者選擇，並由訪員協助點選】 您在前面題目(G6題)回答：您會透過獨立媒體及通訊社網站來看網路新聞。 那請問您經常透過哪一些獨立媒體及通訊社網站</t>
        </is>
      </c>
    </row>
    <row r="321">
      <c r="A321" s="1" t="inlineStr">
        <is>
          <t>vG10m12</t>
        </is>
      </c>
      <c r="B321" s="1" t="inlineStr">
        <is>
          <t>數值</t>
        </is>
      </c>
      <c r="C321" s="1" t="n">
        <v>2</v>
      </c>
      <c r="D321" s="1" t="n">
        <v>0</v>
      </c>
      <c r="E321" s="1" t="inlineStr">
        <is>
          <t>G10 【訪員讀題完畢後，請將平板轉給受訪者選擇，並由訪員協助點選】 您在前面題目(G6題)回答：您會透過獨立媒體及通訊社網站來看網路新聞。 那請問您經常透過哪一些獨立媒體及通訊社網站</t>
        </is>
      </c>
    </row>
    <row r="322">
      <c r="A322" s="1" t="inlineStr">
        <is>
          <t>vG10m13</t>
        </is>
      </c>
      <c r="B322" s="1" t="inlineStr">
        <is>
          <t>數值</t>
        </is>
      </c>
      <c r="C322" s="1" t="n">
        <v>2</v>
      </c>
      <c r="D322" s="1" t="n">
        <v>0</v>
      </c>
      <c r="E322" s="1" t="inlineStr">
        <is>
          <t>G10 【訪員讀題完畢後，請將平板轉給受訪者選擇，並由訪員協助點選】 您在前面題目(G6題)回答：您會透過獨立媒體及通訊社網站來看網路新聞。 那請問您經常透過哪一些獨立媒體及通訊社網站</t>
        </is>
      </c>
    </row>
    <row r="323">
      <c r="A323" s="1" t="inlineStr">
        <is>
          <t>vG10m14</t>
        </is>
      </c>
      <c r="B323" s="1" t="inlineStr">
        <is>
          <t>數值</t>
        </is>
      </c>
      <c r="C323" s="1" t="n">
        <v>2</v>
      </c>
      <c r="D323" s="1" t="n">
        <v>0</v>
      </c>
      <c r="E323" s="1" t="inlineStr">
        <is>
          <t>G10 【訪員讀題完畢後，請將平板轉給受訪者選擇，並由訪員協助點選】 您在前面題目(G6題)回答：您會透過獨立媒體及通訊社網站來看網路新聞。 那請問您經常透過哪一些獨立媒體及通訊社網站</t>
        </is>
      </c>
    </row>
    <row r="324">
      <c r="A324" s="1" t="inlineStr">
        <is>
          <t>vG10m15</t>
        </is>
      </c>
      <c r="B324" s="1" t="inlineStr">
        <is>
          <t>數值</t>
        </is>
      </c>
      <c r="C324" s="1" t="n">
        <v>2</v>
      </c>
      <c r="D324" s="1" t="n">
        <v>0</v>
      </c>
      <c r="E324" s="1" t="inlineStr">
        <is>
          <t>G10 【訪員讀題完畢後，請將平板轉給受訪者選擇，並由訪員協助點選】 您在前面題目(G6題)回答：您會透過獨立媒體及通訊社網站來看網路新聞。 那請問您經常透過哪一些獨立媒體及通訊社網站</t>
        </is>
      </c>
    </row>
    <row r="325">
      <c r="A325" s="1" t="inlineStr">
        <is>
          <t>vG10m16</t>
        </is>
      </c>
      <c r="B325" s="1" t="inlineStr">
        <is>
          <t>數值</t>
        </is>
      </c>
      <c r="C325" s="1" t="n">
        <v>2</v>
      </c>
      <c r="D325" s="1" t="n">
        <v>0</v>
      </c>
      <c r="E325" s="1" t="inlineStr">
        <is>
          <t>G10 【訪員讀題完畢後，請將平板轉給受訪者選擇，並由訪員協助點選】 您在前面題目(G6題)回答：您會透過獨立媒體及通訊社網站來看網路新聞。 那請問您經常透過哪一些獨立媒體及通訊社網站</t>
        </is>
      </c>
    </row>
    <row r="326">
      <c r="A326" s="1" t="inlineStr">
        <is>
          <t>vG10m17</t>
        </is>
      </c>
      <c r="B326" s="1" t="inlineStr">
        <is>
          <t>數值</t>
        </is>
      </c>
      <c r="C326" s="1" t="n">
        <v>2</v>
      </c>
      <c r="D326" s="1" t="n">
        <v>0</v>
      </c>
      <c r="E326" s="1" t="inlineStr">
        <is>
          <t>G10 【訪員讀題完畢後，請將平板轉給受訪者選擇，並由訪員協助點選】 您在前面題目(G6題)回答：您會透過獨立媒體及通訊社網站來看網路新聞。 那請問您經常透過哪一些獨立媒體及通訊社網站</t>
        </is>
      </c>
    </row>
    <row r="327">
      <c r="A327" s="1" t="inlineStr">
        <is>
          <t>vG10m18</t>
        </is>
      </c>
      <c r="B327" s="1" t="inlineStr">
        <is>
          <t>數值</t>
        </is>
      </c>
      <c r="C327" s="1" t="n">
        <v>2</v>
      </c>
      <c r="D327" s="1" t="n">
        <v>0</v>
      </c>
      <c r="E327" s="1" t="inlineStr">
        <is>
          <t>G10 【訪員讀題完畢後，請將平板轉給受訪者選擇，並由訪員協助點選】 您在前面題目(G6題)回答：您會透過獨立媒體及通訊社網站來看網路新聞。 那請問您經常透過哪一些獨立媒體及通訊社網站</t>
        </is>
      </c>
    </row>
    <row r="328">
      <c r="A328" s="1" t="inlineStr">
        <is>
          <t>vG10m19</t>
        </is>
      </c>
      <c r="B328" s="1" t="inlineStr">
        <is>
          <t>數值</t>
        </is>
      </c>
      <c r="C328" s="1" t="n">
        <v>2</v>
      </c>
      <c r="D328" s="1" t="n">
        <v>0</v>
      </c>
      <c r="E328" s="1" t="inlineStr">
        <is>
          <t>G10 【訪員讀題完畢後，請將平板轉給受訪者選擇，並由訪員協助點選】 您在前面題目(G6題)回答：您會透過獨立媒體及通訊社網站來看網路新聞。 那請問您經常透過哪一些獨立媒體及通訊社網站</t>
        </is>
      </c>
    </row>
    <row r="329">
      <c r="A329" s="1" t="inlineStr">
        <is>
          <t>vG10m88</t>
        </is>
      </c>
      <c r="B329" s="1" t="inlineStr">
        <is>
          <t>數值</t>
        </is>
      </c>
      <c r="C329" s="1" t="n">
        <v>2</v>
      </c>
      <c r="D329" s="1" t="n">
        <v>0</v>
      </c>
      <c r="E329" s="1" t="inlineStr">
        <is>
          <t>G10 【訪員讀題完畢後，請將平板轉給受訪者選擇，並由訪員協助點選】 您在前面題目(G6題)回答：您會透過獨立媒體及通訊社網站來看網路新聞。 那請問您經常透過哪一些獨立媒體及通訊社網站</t>
        </is>
      </c>
    </row>
    <row r="330">
      <c r="A330" s="1" t="inlineStr">
        <is>
          <t>vG10o88</t>
        </is>
      </c>
      <c r="B330" s="1" t="inlineStr">
        <is>
          <t>字串</t>
        </is>
      </c>
      <c r="C330" s="1" t="n">
        <v>150</v>
      </c>
      <c r="D330" s="1" t="n">
        <v>0</v>
      </c>
      <c r="E330" s="1" t="inlineStr">
        <is>
          <t>G10 【訪員讀題完畢後，請將平板轉給受訪者選擇，並由訪員協助點選】 您在前面題目(G6題)回答：您會透過獨立媒體及通訊社網站來看網路新聞。 那請問您經常透過哪一些獨立媒體及通訊社網站</t>
        </is>
      </c>
    </row>
    <row r="331">
      <c r="A331" s="1" t="inlineStr">
        <is>
          <t>vG11m01</t>
        </is>
      </c>
      <c r="B331" s="1" t="inlineStr">
        <is>
          <t>數值</t>
        </is>
      </c>
      <c r="C331" s="1" t="n">
        <v>2</v>
      </c>
      <c r="D331" s="1" t="n">
        <v>0</v>
      </c>
      <c r="E331" s="1" t="inlineStr">
        <is>
          <t>G11 【訪員讀題完畢後，請將平板轉給受訪者選擇，並由訪員協助點選】 您在前面題目(G6題)回答：您會透過國際媒體的網站來看網路新聞。 那再請問您經常透過哪一些國際媒體的網站來看網路新</t>
        </is>
      </c>
    </row>
    <row r="332">
      <c r="A332" s="1" t="inlineStr">
        <is>
          <t>vG11m02</t>
        </is>
      </c>
      <c r="B332" s="1" t="inlineStr">
        <is>
          <t>數值</t>
        </is>
      </c>
      <c r="C332" s="1" t="n">
        <v>2</v>
      </c>
      <c r="D332" s="1" t="n">
        <v>0</v>
      </c>
      <c r="E332" s="1" t="inlineStr">
        <is>
          <t>G11 【訪員讀題完畢後，請將平板轉給受訪者選擇，並由訪員協助點選】 您在前面題目(G6題)回答：您會透過國際媒體的網站來看網路新聞。 那再請問您經常透過哪一些國際媒體的網站來看網路新</t>
        </is>
      </c>
    </row>
    <row r="333">
      <c r="A333" s="1" t="inlineStr">
        <is>
          <t>vG11m03</t>
        </is>
      </c>
      <c r="B333" s="1" t="inlineStr">
        <is>
          <t>數值</t>
        </is>
      </c>
      <c r="C333" s="1" t="n">
        <v>2</v>
      </c>
      <c r="D333" s="1" t="n">
        <v>0</v>
      </c>
      <c r="E333" s="1" t="inlineStr">
        <is>
          <t>G11 【訪員讀題完畢後，請將平板轉給受訪者選擇，並由訪員協助點選】 您在前面題目(G6題)回答：您會透過國際媒體的網站來看網路新聞。 那再請問您經常透過哪一些國際媒體的網站來看網路新</t>
        </is>
      </c>
    </row>
    <row r="334">
      <c r="A334" s="1" t="inlineStr">
        <is>
          <t>vG11m04</t>
        </is>
      </c>
      <c r="B334" s="1" t="inlineStr">
        <is>
          <t>數值</t>
        </is>
      </c>
      <c r="C334" s="1" t="n">
        <v>2</v>
      </c>
      <c r="D334" s="1" t="n">
        <v>0</v>
      </c>
      <c r="E334" s="1" t="inlineStr">
        <is>
          <t>G11 【訪員讀題完畢後，請將平板轉給受訪者選擇，並由訪員協助點選】 您在前面題目(G6題)回答：您會透過國際媒體的網站來看網路新聞。 那再請問您經常透過哪一些國際媒體的網站來看網路新</t>
        </is>
      </c>
    </row>
    <row r="335">
      <c r="A335" s="1" t="inlineStr">
        <is>
          <t>vG11m05</t>
        </is>
      </c>
      <c r="B335" s="1" t="inlineStr">
        <is>
          <t>數值</t>
        </is>
      </c>
      <c r="C335" s="1" t="n">
        <v>2</v>
      </c>
      <c r="D335" s="1" t="n">
        <v>0</v>
      </c>
      <c r="E335" s="1" t="inlineStr">
        <is>
          <t>G11 【訪員讀題完畢後，請將平板轉給受訪者選擇，並由訪員協助點選】 您在前面題目(G6題)回答：您會透過國際媒體的網站來看網路新聞。 那再請問您經常透過哪一些國際媒體的網站來看網路新</t>
        </is>
      </c>
    </row>
    <row r="336">
      <c r="A336" s="1" t="inlineStr">
        <is>
          <t>vG11m88</t>
        </is>
      </c>
      <c r="B336" s="1" t="inlineStr">
        <is>
          <t>數值</t>
        </is>
      </c>
      <c r="C336" s="1" t="n">
        <v>2</v>
      </c>
      <c r="D336" s="1" t="n">
        <v>0</v>
      </c>
      <c r="E336" s="1" t="inlineStr">
        <is>
          <t>G11 【訪員讀題完畢後，請將平板轉給受訪者選擇，並由訪員協助點選】 您在前面題目(G6題)回答：您會透過國際媒體的網站來看網路新聞。 那再請問您經常透過哪一些國際媒體的網站來看網路新</t>
        </is>
      </c>
    </row>
    <row r="337">
      <c r="A337" s="1" t="inlineStr">
        <is>
          <t>vG11o88</t>
        </is>
      </c>
      <c r="B337" s="1" t="inlineStr">
        <is>
          <t>字串</t>
        </is>
      </c>
      <c r="C337" s="1" t="n">
        <v>150</v>
      </c>
      <c r="D337" s="1" t="n">
        <v>0</v>
      </c>
      <c r="E337" s="1" t="inlineStr">
        <is>
          <t>G11 【訪員讀題完畢後，請將平板轉給受訪者選擇，並由訪員協助點選】 您在前面題目(G6題)回答：您會透過國際媒體的網站來看網路新聞。 那再請問您經常透過哪一些國際媒體的網站來看網路新</t>
        </is>
      </c>
    </row>
    <row r="338">
      <c r="A338" s="1" t="inlineStr">
        <is>
          <t>vG12m01</t>
        </is>
      </c>
      <c r="B338" s="1" t="inlineStr">
        <is>
          <t>數值</t>
        </is>
      </c>
      <c r="C338" s="1" t="n">
        <v>2</v>
      </c>
      <c r="D338" s="1" t="n">
        <v>0</v>
      </c>
      <c r="E338" s="1" t="inlineStr">
        <is>
          <t>G12 您看紙本報紙、新聞網站，或以App看新聞經常看下列哪幾種內容？(可複選)(卡16) 訪員注意： 1.括號內只是舉例，若有符合括號內其中一項就可以選。 2.選項（05）的宗教報紙有：台灣教會公報</t>
        </is>
      </c>
    </row>
    <row r="339">
      <c r="A339" s="1" t="inlineStr">
        <is>
          <t>vG12m02</t>
        </is>
      </c>
      <c r="B339" s="1" t="inlineStr">
        <is>
          <t>數值</t>
        </is>
      </c>
      <c r="C339" s="1" t="n">
        <v>2</v>
      </c>
      <c r="D339" s="1" t="n">
        <v>0</v>
      </c>
      <c r="E339" s="1" t="inlineStr">
        <is>
          <t>G12 您看紙本報紙、新聞網站，或以App看新聞經常看下列哪幾種內容？(可複選)(卡16) 訪員注意： 1.括號內只是舉例，若有符合括號內其中一項就可以選。 2.選項（05）的宗教報紙有：台灣教會公報</t>
        </is>
      </c>
    </row>
    <row r="340">
      <c r="A340" s="1" t="inlineStr">
        <is>
          <t>vG12m03</t>
        </is>
      </c>
      <c r="B340" s="1" t="inlineStr">
        <is>
          <t>數值</t>
        </is>
      </c>
      <c r="C340" s="1" t="n">
        <v>2</v>
      </c>
      <c r="D340" s="1" t="n">
        <v>0</v>
      </c>
      <c r="E340" s="1" t="inlineStr">
        <is>
          <t>G12 您看紙本報紙、新聞網站，或以App看新聞經常看下列哪幾種內容？(可複選)(卡16) 訪員注意： 1.括號內只是舉例，若有符合括號內其中一項就可以選。 2.選項（05）的宗教報紙有：台灣教會公報</t>
        </is>
      </c>
    </row>
    <row r="341">
      <c r="A341" s="1" t="inlineStr">
        <is>
          <t>vG12m04</t>
        </is>
      </c>
      <c r="B341" s="1" t="inlineStr">
        <is>
          <t>數值</t>
        </is>
      </c>
      <c r="C341" s="1" t="n">
        <v>2</v>
      </c>
      <c r="D341" s="1" t="n">
        <v>0</v>
      </c>
      <c r="E341" s="1" t="inlineStr">
        <is>
          <t>G12 您看紙本報紙、新聞網站，或以App看新聞經常看下列哪幾種內容？(可複選)(卡16) 訪員注意： 1.括號內只是舉例，若有符合括號內其中一項就可以選。 2.選項（05）的宗教報紙有：台灣教會公報</t>
        </is>
      </c>
    </row>
    <row r="342">
      <c r="A342" s="1" t="inlineStr">
        <is>
          <t>vG12m05</t>
        </is>
      </c>
      <c r="B342" s="1" t="inlineStr">
        <is>
          <t>數值</t>
        </is>
      </c>
      <c r="C342" s="1" t="n">
        <v>2</v>
      </c>
      <c r="D342" s="1" t="n">
        <v>0</v>
      </c>
      <c r="E342" s="1" t="inlineStr">
        <is>
          <t>G12 您看紙本報紙、新聞網站，或以App看新聞經常看下列哪幾種內容？(可複選)(卡16) 訪員注意： 1.括號內只是舉例，若有符合括號內其中一項就可以選。 2.選項（05）的宗教報紙有：台灣教會公報</t>
        </is>
      </c>
    </row>
    <row r="343">
      <c r="A343" s="1" t="inlineStr">
        <is>
          <t>vG12m06</t>
        </is>
      </c>
      <c r="B343" s="1" t="inlineStr">
        <is>
          <t>數值</t>
        </is>
      </c>
      <c r="C343" s="1" t="n">
        <v>2</v>
      </c>
      <c r="D343" s="1" t="n">
        <v>0</v>
      </c>
      <c r="E343" s="1" t="inlineStr">
        <is>
          <t>G12 您看紙本報紙、新聞網站，或以App看新聞經常看下列哪幾種內容？(可複選)(卡16) 訪員注意： 1.括號內只是舉例，若有符合括號內其中一項就可以選。 2.選項（05）的宗教報紙有：台灣教會公報</t>
        </is>
      </c>
    </row>
    <row r="344">
      <c r="A344" s="1" t="inlineStr">
        <is>
          <t>vG12m07</t>
        </is>
      </c>
      <c r="B344" s="1" t="inlineStr">
        <is>
          <t>數值</t>
        </is>
      </c>
      <c r="C344" s="1" t="n">
        <v>2</v>
      </c>
      <c r="D344" s="1" t="n">
        <v>0</v>
      </c>
      <c r="E344" s="1" t="inlineStr">
        <is>
          <t>G12 您看紙本報紙、新聞網站，或以App看新聞經常看下列哪幾種內容？(可複選)(卡16) 訪員注意： 1.括號內只是舉例，若有符合括號內其中一項就可以選。 2.選項（05）的宗教報紙有：台灣教會公報</t>
        </is>
      </c>
    </row>
    <row r="345">
      <c r="A345" s="1" t="inlineStr">
        <is>
          <t>vG12m08</t>
        </is>
      </c>
      <c r="B345" s="1" t="inlineStr">
        <is>
          <t>數值</t>
        </is>
      </c>
      <c r="C345" s="1" t="n">
        <v>2</v>
      </c>
      <c r="D345" s="1" t="n">
        <v>0</v>
      </c>
      <c r="E345" s="1" t="inlineStr">
        <is>
          <t>G12 您看紙本報紙、新聞網站，或以App看新聞經常看下列哪幾種內容？(可複選)(卡16) 訪員注意： 1.括號內只是舉例，若有符合括號內其中一項就可以選。 2.選項（05）的宗教報紙有：台灣教會公報</t>
        </is>
      </c>
    </row>
    <row r="346">
      <c r="A346" s="1" t="inlineStr">
        <is>
          <t>vG12m88</t>
        </is>
      </c>
      <c r="B346" s="1" t="inlineStr">
        <is>
          <t>數值</t>
        </is>
      </c>
      <c r="C346" s="1" t="n">
        <v>2</v>
      </c>
      <c r="D346" s="1" t="n">
        <v>0</v>
      </c>
      <c r="E346" s="1" t="inlineStr">
        <is>
          <t>G12 您看紙本報紙、新聞網站，或以App看新聞經常看下列哪幾種內容？(可複選)(卡16) 訪員注意： 1.括號內只是舉例，若有符合括號內其中一項就可以選。 2.選項（05）的宗教報紙有：台灣教會公報</t>
        </is>
      </c>
    </row>
    <row r="347">
      <c r="A347" s="1" t="inlineStr">
        <is>
          <t>vG12o88</t>
        </is>
      </c>
      <c r="B347" s="1" t="inlineStr">
        <is>
          <t>字串</t>
        </is>
      </c>
      <c r="C347" s="1" t="n">
        <v>150</v>
      </c>
      <c r="D347" s="1" t="n">
        <v>0</v>
      </c>
      <c r="E347" s="1" t="inlineStr">
        <is>
          <t>G12 您看紙本報紙、新聞網站，或以App看新聞經常看下列哪幾種內容？(可複選)(卡16) 訪員注意： 1.括號內只是舉例，若有符合括號內其中一項就可以選。 2.選項（05）的宗教報紙有：台灣教會公報</t>
        </is>
      </c>
    </row>
    <row r="348">
      <c r="A348" s="1" t="inlineStr">
        <is>
          <t>vCKG12</t>
        </is>
      </c>
      <c r="B348" s="1" t="inlineStr">
        <is>
          <t>數值</t>
        </is>
      </c>
      <c r="C348" s="1" t="n">
        <v>2</v>
      </c>
      <c r="D348" s="1" t="n">
        <v>0</v>
      </c>
      <c r="E348" s="1" t="inlineStr">
        <is>
          <t>CKG12 我們後續會詢問您關於媒體的其他問題，這邊再跟您確認您使用以下媒體的天數是不是正確？ 受訪者每星期 (B1題)(B3題) 電視：星期一至星期五看${Q:B1}天；星期六至星期日看${Q:B3}天 (G1題) 紙</t>
        </is>
      </c>
    </row>
    <row r="349">
      <c r="A349" s="1" t="inlineStr">
        <is>
          <t>vH1</t>
        </is>
      </c>
      <c r="B349" s="1" t="inlineStr">
        <is>
          <t>數值</t>
        </is>
      </c>
      <c r="C349" s="1" t="n">
        <v>4</v>
      </c>
      <c r="D349" s="1" t="n">
        <v>0</v>
      </c>
      <c r="E349" s="1" t="inlineStr">
        <is>
          <t>H1 接下來，想要請教您有關「平常與人接觸程度」的題目。 請問您平常一天會固定「面對面」接觸且認識的人有幾位？ 包括互相點頭、打招呼、講話，對方與您認識才算，認識指的是彼此叫得�</t>
        </is>
      </c>
    </row>
    <row r="350">
      <c r="A350" s="1" t="inlineStr">
        <is>
          <t>vH2</t>
        </is>
      </c>
      <c r="B350" s="1" t="inlineStr">
        <is>
          <t>數值</t>
        </is>
      </c>
      <c r="C350" s="1" t="n">
        <v>2</v>
      </c>
      <c r="D350" s="1" t="n">
        <v>0</v>
      </c>
      <c r="E350" s="1" t="inlineStr">
        <is>
          <t>H2 那比較接近下面哪個答案？</t>
        </is>
      </c>
    </row>
    <row r="351">
      <c r="A351" s="1" t="inlineStr">
        <is>
          <t>vH3</t>
        </is>
      </c>
      <c r="B351" s="1" t="inlineStr">
        <is>
          <t>數值</t>
        </is>
      </c>
      <c r="C351" s="1" t="n">
        <v>2</v>
      </c>
      <c r="D351" s="1" t="n">
        <v>0</v>
      </c>
      <c r="E351" s="1" t="inlineStr">
        <is>
          <t>H3 那這些與您「面對面」接觸且認識的人裡面，大概有多少跟您很熟？(卡17)</t>
        </is>
      </c>
    </row>
    <row r="352">
      <c r="A352" s="1" t="inlineStr">
        <is>
          <t>vH4</t>
        </is>
      </c>
      <c r="B352" s="1" t="inlineStr">
        <is>
          <t>數值</t>
        </is>
      </c>
      <c r="C352" s="1" t="n">
        <v>4</v>
      </c>
      <c r="D352" s="1" t="n">
        <v>0</v>
      </c>
      <c r="E352" s="1" t="inlineStr">
        <is>
          <t>H4 請問您平常一天會固定「透過網路」接觸且認識的人有幾位？ 例如在臉書、LINE、線上遊戲平台互相傳訊息或貼圖，叫得出名字或暱稱才算。 訪員注意： 1.有互相傳訊息或貼圖才算，只在受訪�</t>
        </is>
      </c>
    </row>
    <row r="353">
      <c r="A353" s="1" t="inlineStr">
        <is>
          <t>vH5</t>
        </is>
      </c>
      <c r="B353" s="1" t="inlineStr">
        <is>
          <t>數值</t>
        </is>
      </c>
      <c r="C353" s="1" t="n">
        <v>2</v>
      </c>
      <c r="D353" s="1" t="n">
        <v>0</v>
      </c>
      <c r="E353" s="1" t="inlineStr">
        <is>
          <t>H5 那比較接近下面哪個答案？</t>
        </is>
      </c>
    </row>
    <row r="354">
      <c r="A354" s="1" t="inlineStr">
        <is>
          <t>vH6</t>
        </is>
      </c>
      <c r="B354" s="1" t="inlineStr">
        <is>
          <t>數值</t>
        </is>
      </c>
      <c r="C354" s="1" t="n">
        <v>2</v>
      </c>
      <c r="D354" s="1" t="n">
        <v>0</v>
      </c>
      <c r="E354" s="1" t="inlineStr">
        <is>
          <t>H6 請問這些「透過網路」接觸且認識的人裡面，大概有多少跟您很熟？(卡17)</t>
        </is>
      </c>
    </row>
    <row r="355">
      <c r="A355" s="1" t="inlineStr">
        <is>
          <t>vH7</t>
        </is>
      </c>
      <c r="B355" s="1" t="inlineStr">
        <is>
          <t>數值</t>
        </is>
      </c>
      <c r="C355" s="1" t="n">
        <v>4</v>
      </c>
      <c r="D355" s="1" t="n">
        <v>0</v>
      </c>
      <c r="E355" s="1" t="inlineStr">
        <is>
          <t>H7 您平常一天會固定面對面接觸且認識的人有${Q:H1}人 ， 會透過網路（例如：LINE）接觸且認識的人有${Q:H4} 人， 請問這兩群人中您會面對面同時也會透過網路接觸且認識的人有幾位？</t>
        </is>
      </c>
    </row>
    <row r="356">
      <c r="A356" s="1" t="inlineStr">
        <is>
          <t>vH7_1</t>
        </is>
      </c>
      <c r="B356" s="1" t="inlineStr">
        <is>
          <t>數值</t>
        </is>
      </c>
      <c r="C356" s="1" t="n">
        <v>4</v>
      </c>
      <c r="D356" s="1" t="n">
        <v>0</v>
      </c>
      <c r="E356" s="1" t="inlineStr">
        <is>
          <t>H7_1 您平常一天會固定面對面接觸且認識的人有${Q:H1}人， 會透過網路(例如：LINE)接觸且認識的人有${Q:H5}， 請問這兩群人中您會面對面同時也會透過網路接觸且認識的人有幾位？</t>
        </is>
      </c>
    </row>
    <row r="357">
      <c r="A357" s="1" t="inlineStr">
        <is>
          <t>vH7_2</t>
        </is>
      </c>
      <c r="B357" s="1" t="inlineStr">
        <is>
          <t>數值</t>
        </is>
      </c>
      <c r="C357" s="1" t="n">
        <v>4</v>
      </c>
      <c r="D357" s="1" t="n">
        <v>0</v>
      </c>
      <c r="E357" s="1" t="inlineStr">
        <is>
          <t>H7_2 您平常一天會固定面對面接觸且認識的人有${Q:H2}， 會透過網路(例如：LINE)接觸且認識的人有${Q:H4}人， 請問這兩群人中您會面對面同時也會透過網路接觸且認識的人有幾位？</t>
        </is>
      </c>
    </row>
    <row r="358">
      <c r="A358" s="1" t="inlineStr">
        <is>
          <t>vH7_3</t>
        </is>
      </c>
      <c r="B358" s="1" t="inlineStr">
        <is>
          <t>數值</t>
        </is>
      </c>
      <c r="C358" s="1" t="n">
        <v>4</v>
      </c>
      <c r="D358" s="1" t="n">
        <v>0</v>
      </c>
      <c r="E358" s="1" t="inlineStr">
        <is>
          <t>H7_3 您平常一天會固定面對面接觸且認識的人有${Q:H2}， 會透過網路(例如：LINE)接觸且認識的人有${Q:H5}， 請問這兩群人中您會面對面同時也會透過網路接觸且認識的人有幾位？</t>
        </is>
      </c>
    </row>
    <row r="359">
      <c r="A359" s="1" t="inlineStr">
        <is>
          <t>vCKH7</t>
        </is>
      </c>
      <c r="B359" s="1" t="inlineStr">
        <is>
          <t>數值</t>
        </is>
      </c>
      <c r="C359" s="1" t="n">
        <v>14</v>
      </c>
      <c r="D359" s="1" t="n">
        <v>0</v>
      </c>
      <c r="E359" s="1" t="inlineStr">
        <is>
          <t>CKH7 【請注意】 受訪者會面對面同時也會透過網路接觸且認識的有${Q:H7}人， 不應超過之前答平常一天會固定面對面接觸且認識的${Q:H1}人， 也不應超過透過網路接觸且認識的 ${Q:H4}人， 請按「上</t>
        </is>
      </c>
    </row>
    <row r="360">
      <c r="A360" s="1" t="inlineStr">
        <is>
          <t>vCKH7_1</t>
        </is>
      </c>
      <c r="B360" s="1" t="inlineStr">
        <is>
          <t>數值</t>
        </is>
      </c>
      <c r="C360" s="1" t="n">
        <v>14</v>
      </c>
      <c r="D360" s="1" t="n">
        <v>0</v>
      </c>
      <c r="E360" s="1" t="inlineStr">
        <is>
          <t>CKH7_1 【請注意】 受訪者會面對面同時也會透過網路接觸且認識的有${Q:H7_1}人， 不應超過之前答平常一天會固定面對面接觸且認識的${Q:H1}人， 也不應超過透過網路接觸且認識的${Q:H5}， 請按「上</t>
        </is>
      </c>
    </row>
    <row r="361">
      <c r="A361" s="1" t="inlineStr">
        <is>
          <t>vCKH7_2</t>
        </is>
      </c>
      <c r="B361" s="1" t="inlineStr">
        <is>
          <t>數值</t>
        </is>
      </c>
      <c r="C361" s="1" t="n">
        <v>14</v>
      </c>
      <c r="D361" s="1" t="n">
        <v>0</v>
      </c>
      <c r="E361" s="1" t="inlineStr">
        <is>
          <t>CKH7_2 【請注意】 受訪者會面對面同時也會透過網路接觸且認識的有${Q:H7_2}人， 不應超過之前答平常一天會固定面對面接觸且認識的${Q:H2}， 也不應超過透過網路接觸且認識的${Q:H4}人， 請按「上</t>
        </is>
      </c>
    </row>
    <row r="362">
      <c r="A362" s="1" t="inlineStr">
        <is>
          <t>vCKH7_3</t>
        </is>
      </c>
      <c r="B362" s="1" t="inlineStr">
        <is>
          <t>數值</t>
        </is>
      </c>
      <c r="C362" s="1" t="n">
        <v>14</v>
      </c>
      <c r="D362" s="1" t="n">
        <v>0</v>
      </c>
      <c r="E362" s="1" t="inlineStr">
        <is>
          <t>CKH7_3 【請注意】 受訪者會面對面同時也會透過網路接觸且認識的有${Q:H7_3}人， 不應超過之前答平常一天會固定面對面接觸且認識的${Q:H2}， 也不應超過透過網路接觸且認識的${Q:H5}， 請按「上一</t>
        </is>
      </c>
    </row>
    <row r="363">
      <c r="A363" s="1" t="inlineStr">
        <is>
          <t>vH8</t>
        </is>
      </c>
      <c r="B363" s="1" t="inlineStr">
        <is>
          <t>數值</t>
        </is>
      </c>
      <c r="C363" s="1" t="n">
        <v>4</v>
      </c>
      <c r="D363" s="1" t="n">
        <v>0</v>
      </c>
      <c r="E363" s="1" t="inlineStr">
        <is>
          <t>H8 請問您會經常一起討論「個人」的重要問題或分享心事(台語：講心內話)的人，有幾位？ 訪員注意： 1.若為區間請取「中間值」後四捨五入，例如：10~15人，填「13」人。 2.請填寫整數，若超過</t>
        </is>
      </c>
    </row>
    <row r="364">
      <c r="A364" s="1" t="inlineStr">
        <is>
          <t>vI1</t>
        </is>
      </c>
      <c r="B364" s="1" t="inlineStr">
        <is>
          <t>數值</t>
        </is>
      </c>
      <c r="C364" s="1" t="n">
        <v>4</v>
      </c>
      <c r="D364" s="1" t="n">
        <v>0</v>
      </c>
      <c r="E364" s="1" t="inlineStr">
        <is>
          <t>I1 接下來將詢問您有關「看戲劇」的題目。 請問您每星期的星期一到星期五，平均有幾天會看戲劇節目? 訪員注意： 1.「戲劇」是指有故事劇情的節目，例如：鄉土劇、偶像劇、韓劇、影集、歌�</t>
        </is>
      </c>
    </row>
    <row r="365">
      <c r="A365" s="1" t="inlineStr">
        <is>
          <t>vI2</t>
        </is>
      </c>
      <c r="B365" s="1" t="inlineStr">
        <is>
          <t>數值</t>
        </is>
      </c>
      <c r="C365" s="1" t="n">
        <v>5</v>
      </c>
      <c r="D365" s="1" t="n">
        <v>0</v>
      </c>
      <c r="E365" s="1" t="inlineStr">
        <is>
          <t>I2 在您有看戲劇節目的星期一到星期五，您一整天大概會看多久？ 訪員注意： 1.本題為數值題，請填入4位數，例如2小時30分，請填入「0230」。 2.若為區間請取「中間值」，例如：2~3小時，請填�</t>
        </is>
      </c>
    </row>
    <row r="366">
      <c r="A366" s="1" t="inlineStr">
        <is>
          <t>vI3</t>
        </is>
      </c>
      <c r="B366" s="1" t="inlineStr">
        <is>
          <t>數值</t>
        </is>
      </c>
      <c r="C366" s="1" t="n">
        <v>4</v>
      </c>
      <c r="D366" s="1" t="n">
        <v>0</v>
      </c>
      <c r="E366" s="1" t="inlineStr">
        <is>
          <t>I3 請問星期六和星期日兩天，您大概有幾天會看戲劇節目？</t>
        </is>
      </c>
    </row>
    <row r="367">
      <c r="A367" s="1" t="inlineStr">
        <is>
          <t>vI4</t>
        </is>
      </c>
      <c r="B367" s="1" t="inlineStr">
        <is>
          <t>數值</t>
        </is>
      </c>
      <c r="C367" s="1" t="n">
        <v>5</v>
      </c>
      <c r="D367" s="1" t="n">
        <v>0</v>
      </c>
      <c r="E367" s="1" t="inlineStr">
        <is>
          <t>I4 星期六和星期日有看戲劇節目的那一天，您一整天大概會看多久？ 訪員注意：若星期六看5小時，星期日看3小時，因為都是一天，請以平均計算，請填入「0400」，並不是算觀看時間最久那天的</t>
        </is>
      </c>
    </row>
    <row r="368">
      <c r="A368" s="1" t="inlineStr">
        <is>
          <t>vI5m01</t>
        </is>
      </c>
      <c r="B368" s="1" t="inlineStr">
        <is>
          <t>數值</t>
        </is>
      </c>
      <c r="C368" s="1" t="n">
        <v>2</v>
      </c>
      <c r="D368" s="1" t="n">
        <v>0</v>
      </c>
      <c r="E368" s="1" t="inlineStr">
        <is>
          <t>I5 請問您最常看哪些類型的戲劇節目？(可複選)(卡18) 訪員注意： 1.括號內只是舉例，若有符合括號內其中一項就可以選。 2.若都固定看某電視頻道的戲劇，請在（88）其他中說明是哪個頻道、哪�</t>
        </is>
      </c>
    </row>
    <row r="369">
      <c r="A369" s="1" t="inlineStr">
        <is>
          <t>vI5m02</t>
        </is>
      </c>
      <c r="B369" s="1" t="inlineStr">
        <is>
          <t>數值</t>
        </is>
      </c>
      <c r="C369" s="1" t="n">
        <v>2</v>
      </c>
      <c r="D369" s="1" t="n">
        <v>0</v>
      </c>
      <c r="E369" s="1" t="inlineStr">
        <is>
          <t>I5 請問您最常看哪些類型的戲劇節目？(可複選)(卡18) 訪員注意： 1.括號內只是舉例，若有符合括號內其中一項就可以選。 2.若都固定看某電視頻道的戲劇，請在（88）其他中說明是哪個頻道、哪�</t>
        </is>
      </c>
    </row>
    <row r="370">
      <c r="A370" s="1" t="inlineStr">
        <is>
          <t>vI5m03</t>
        </is>
      </c>
      <c r="B370" s="1" t="inlineStr">
        <is>
          <t>數值</t>
        </is>
      </c>
      <c r="C370" s="1" t="n">
        <v>2</v>
      </c>
      <c r="D370" s="1" t="n">
        <v>0</v>
      </c>
      <c r="E370" s="1" t="inlineStr">
        <is>
          <t>I5 請問您最常看哪些類型的戲劇節目？(可複選)(卡18) 訪員注意： 1.括號內只是舉例，若有符合括號內其中一項就可以選。 2.若都固定看某電視頻道的戲劇，請在（88）其他中說明是哪個頻道、哪�</t>
        </is>
      </c>
    </row>
    <row r="371">
      <c r="A371" s="1" t="inlineStr">
        <is>
          <t>vI5m04</t>
        </is>
      </c>
      <c r="B371" s="1" t="inlineStr">
        <is>
          <t>數值</t>
        </is>
      </c>
      <c r="C371" s="1" t="n">
        <v>2</v>
      </c>
      <c r="D371" s="1" t="n">
        <v>0</v>
      </c>
      <c r="E371" s="1" t="inlineStr">
        <is>
          <t>I5 請問您最常看哪些類型的戲劇節目？(可複選)(卡18) 訪員注意： 1.括號內只是舉例，若有符合括號內其中一項就可以選。 2.若都固定看某電視頻道的戲劇，請在（88）其他中說明是哪個頻道、哪�</t>
        </is>
      </c>
    </row>
    <row r="372">
      <c r="A372" s="1" t="inlineStr">
        <is>
          <t>vI5m05</t>
        </is>
      </c>
      <c r="B372" s="1" t="inlineStr">
        <is>
          <t>數值</t>
        </is>
      </c>
      <c r="C372" s="1" t="n">
        <v>2</v>
      </c>
      <c r="D372" s="1" t="n">
        <v>0</v>
      </c>
      <c r="E372" s="1" t="inlineStr">
        <is>
          <t>I5 請問您最常看哪些類型的戲劇節目？(可複選)(卡18) 訪員注意： 1.括號內只是舉例，若有符合括號內其中一項就可以選。 2.若都固定看某電視頻道的戲劇，請在（88）其他中說明是哪個頻道、哪�</t>
        </is>
      </c>
    </row>
    <row r="373">
      <c r="A373" s="1" t="inlineStr">
        <is>
          <t>vI5m06</t>
        </is>
      </c>
      <c r="B373" s="1" t="inlineStr">
        <is>
          <t>數值</t>
        </is>
      </c>
      <c r="C373" s="1" t="n">
        <v>2</v>
      </c>
      <c r="D373" s="1" t="n">
        <v>0</v>
      </c>
      <c r="E373" s="1" t="inlineStr">
        <is>
          <t>I5 請問您最常看哪些類型的戲劇節目？(可複選)(卡18) 訪員注意： 1.括號內只是舉例，若有符合括號內其中一項就可以選。 2.若都固定看某電視頻道的戲劇，請在（88）其他中說明是哪個頻道、哪�</t>
        </is>
      </c>
    </row>
    <row r="374">
      <c r="A374" s="1" t="inlineStr">
        <is>
          <t>vI5m07</t>
        </is>
      </c>
      <c r="B374" s="1" t="inlineStr">
        <is>
          <t>數值</t>
        </is>
      </c>
      <c r="C374" s="1" t="n">
        <v>2</v>
      </c>
      <c r="D374" s="1" t="n">
        <v>0</v>
      </c>
      <c r="E374" s="1" t="inlineStr">
        <is>
          <t>I5 請問您最常看哪些類型的戲劇節目？(可複選)(卡18) 訪員注意： 1.括號內只是舉例，若有符合括號內其中一項就可以選。 2.若都固定看某電視頻道的戲劇，請在（88）其他中說明是哪個頻道、哪�</t>
        </is>
      </c>
    </row>
    <row r="375">
      <c r="A375" s="1" t="inlineStr">
        <is>
          <t>vI5m08</t>
        </is>
      </c>
      <c r="B375" s="1" t="inlineStr">
        <is>
          <t>數值</t>
        </is>
      </c>
      <c r="C375" s="1" t="n">
        <v>2</v>
      </c>
      <c r="D375" s="1" t="n">
        <v>0</v>
      </c>
      <c r="E375" s="1" t="inlineStr">
        <is>
          <t>I5 請問您最常看哪些類型的戲劇節目？(可複選)(卡18) 訪員注意： 1.括號內只是舉例，若有符合括號內其中一項就可以選。 2.若都固定看某電視頻道的戲劇，請在（88）其他中說明是哪個頻道、哪�</t>
        </is>
      </c>
    </row>
    <row r="376">
      <c r="A376" s="1" t="inlineStr">
        <is>
          <t>vI5m09</t>
        </is>
      </c>
      <c r="B376" s="1" t="inlineStr">
        <is>
          <t>數值</t>
        </is>
      </c>
      <c r="C376" s="1" t="n">
        <v>2</v>
      </c>
      <c r="D376" s="1" t="n">
        <v>0</v>
      </c>
      <c r="E376" s="1" t="inlineStr">
        <is>
          <t>I5 請問您最常看哪些類型的戲劇節目？(可複選)(卡18) 訪員注意： 1.括號內只是舉例，若有符合括號內其中一項就可以選。 2.若都固定看某電視頻道的戲劇，請在（88）其他中說明是哪個頻道、哪�</t>
        </is>
      </c>
    </row>
    <row r="377">
      <c r="A377" s="1" t="inlineStr">
        <is>
          <t>vI5m10</t>
        </is>
      </c>
      <c r="B377" s="1" t="inlineStr">
        <is>
          <t>數值</t>
        </is>
      </c>
      <c r="C377" s="1" t="n">
        <v>2</v>
      </c>
      <c r="D377" s="1" t="n">
        <v>0</v>
      </c>
      <c r="E377" s="1" t="inlineStr">
        <is>
          <t>I5 請問您最常看哪些類型的戲劇節目？(可複選)(卡18) 訪員注意： 1.括號內只是舉例，若有符合括號內其中一項就可以選。 2.若都固定看某電視頻道的戲劇，請在（88）其他中說明是哪個頻道、哪�</t>
        </is>
      </c>
    </row>
    <row r="378">
      <c r="A378" s="1" t="inlineStr">
        <is>
          <t>vI5m11</t>
        </is>
      </c>
      <c r="B378" s="1" t="inlineStr">
        <is>
          <t>數值</t>
        </is>
      </c>
      <c r="C378" s="1" t="n">
        <v>2</v>
      </c>
      <c r="D378" s="1" t="n">
        <v>0</v>
      </c>
      <c r="E378" s="1" t="inlineStr">
        <is>
          <t>I5 請問您最常看哪些類型的戲劇節目？(可複選)(卡18) 訪員注意： 1.括號內只是舉例，若有符合括號內其中一項就可以選。 2.若都固定看某電視頻道的戲劇，請在（88）其他中說明是哪個頻道、哪�</t>
        </is>
      </c>
    </row>
    <row r="379">
      <c r="A379" s="1" t="inlineStr">
        <is>
          <t>vI5m12</t>
        </is>
      </c>
      <c r="B379" s="1" t="inlineStr">
        <is>
          <t>數值</t>
        </is>
      </c>
      <c r="C379" s="1" t="n">
        <v>2</v>
      </c>
      <c r="D379" s="1" t="n">
        <v>0</v>
      </c>
      <c r="E379" s="1" t="inlineStr">
        <is>
          <t>I5 請問您最常看哪些類型的戲劇節目？(可複選)(卡18) 訪員注意： 1.括號內只是舉例，若有符合括號內其中一項就可以選。 2.若都固定看某電視頻道的戲劇，請在（88）其他中說明是哪個頻道、哪�</t>
        </is>
      </c>
    </row>
    <row r="380">
      <c r="A380" s="1" t="inlineStr">
        <is>
          <t>vI5m13</t>
        </is>
      </c>
      <c r="B380" s="1" t="inlineStr">
        <is>
          <t>數值</t>
        </is>
      </c>
      <c r="C380" s="1" t="n">
        <v>2</v>
      </c>
      <c r="D380" s="1" t="n">
        <v>0</v>
      </c>
      <c r="E380" s="1" t="inlineStr">
        <is>
          <t>I5 請問您最常看哪些類型的戲劇節目？(可複選)(卡18) 訪員注意： 1.括號內只是舉例，若有符合括號內其中一項就可以選。 2.若都固定看某電視頻道的戲劇，請在（88）其他中說明是哪個頻道、哪�</t>
        </is>
      </c>
    </row>
    <row r="381">
      <c r="A381" s="1" t="inlineStr">
        <is>
          <t>vI5m88</t>
        </is>
      </c>
      <c r="B381" s="1" t="inlineStr">
        <is>
          <t>數值</t>
        </is>
      </c>
      <c r="C381" s="1" t="n">
        <v>2</v>
      </c>
      <c r="D381" s="1" t="n">
        <v>0</v>
      </c>
      <c r="E381" s="1" t="inlineStr">
        <is>
          <t>I5 請問您最常看哪些類型的戲劇節目？(可複選)(卡18) 訪員注意： 1.括號內只是舉例，若有符合括號內其中一項就可以選。 2.若都固定看某電視頻道的戲劇，請在（88）其他中說明是哪個頻道、哪�</t>
        </is>
      </c>
    </row>
    <row r="382">
      <c r="A382" s="1" t="inlineStr">
        <is>
          <t>vI5o88</t>
        </is>
      </c>
      <c r="B382" s="1" t="inlineStr">
        <is>
          <t>字串</t>
        </is>
      </c>
      <c r="C382" s="1" t="n">
        <v>150</v>
      </c>
      <c r="D382" s="1" t="n">
        <v>0</v>
      </c>
      <c r="E382" s="1" t="inlineStr">
        <is>
          <t>I5 請問您最常看哪些類型的戲劇節目？(可複選)(卡18) 訪員注意： 1.括號內只是舉例，若有符合括號內其中一項就可以選。 2.若都固定看某電視頻道的戲劇，請在（88）其他中說明是哪個頻道、哪�</t>
        </is>
      </c>
    </row>
    <row r="383">
      <c r="A383" s="1" t="inlineStr">
        <is>
          <t>vI6</t>
        </is>
      </c>
      <c r="B383" s="1" t="inlineStr">
        <is>
          <t>數值</t>
        </is>
      </c>
      <c r="C383" s="1" t="n">
        <v>2</v>
      </c>
      <c r="D383" s="1" t="n">
        <v>0</v>
      </c>
      <c r="E383" s="1" t="inlineStr">
        <is>
          <t>I6 請列出您最近看的三個戲劇節目(至少一個)。 訪員注意： 1.若不知道劇名，請說明頻道及播出時段。 2.請先鍵入一個，若還有看其他戲劇請按「確定」後繼續鍵入。</t>
        </is>
      </c>
    </row>
    <row r="384">
      <c r="A384" s="1" t="inlineStr">
        <is>
          <t>vI6o01</t>
        </is>
      </c>
      <c r="B384" s="1" t="inlineStr">
        <is>
          <t>字串</t>
        </is>
      </c>
      <c r="C384" s="1" t="n">
        <v>150</v>
      </c>
      <c r="D384" s="1" t="n">
        <v>0</v>
      </c>
      <c r="E384" s="1" t="inlineStr">
        <is>
          <t>I6 請列出您最近看的三個戲劇節目(至少一個)。 訪員注意： 1.若不知道劇名，請說明頻道及播出時段。 2.請先鍵入一個，若還有看其他戲劇請按「確定」後繼續鍵入。 (01) 戲劇名稱：</t>
        </is>
      </c>
    </row>
    <row r="385">
      <c r="A385" s="1" t="inlineStr">
        <is>
          <t>vI7</t>
        </is>
      </c>
      <c r="B385" s="1" t="inlineStr">
        <is>
          <t>數值</t>
        </is>
      </c>
      <c r="C385" s="1" t="n">
        <v>2</v>
      </c>
      <c r="D385" s="1" t="n">
        <v>0</v>
      </c>
      <c r="E385" s="1" t="inlineStr">
        <is>
          <t>I7 請列出您最近看的三個戲劇節目。 訪員注意： 1.若不知道劇名，請說明頻道及播出時段。 2.若沒有看其他戲劇，請選「（90）沒有看」。</t>
        </is>
      </c>
    </row>
    <row r="386">
      <c r="A386" s="1" t="inlineStr">
        <is>
          <t>vI7o02</t>
        </is>
      </c>
      <c r="B386" s="1" t="inlineStr">
        <is>
          <t>字串</t>
        </is>
      </c>
      <c r="C386" s="1" t="n">
        <v>150</v>
      </c>
      <c r="D386" s="1" t="n">
        <v>0</v>
      </c>
      <c r="E386" s="1" t="inlineStr">
        <is>
          <t>I7 請列出您最近看的三個戲劇節目。 訪員注意： 1.若不知道劇名，請說明頻道及播出時段。 2.若沒有看其他戲劇，請選「（90）沒有看」。 (02) 戲劇名稱：</t>
        </is>
      </c>
    </row>
    <row r="387">
      <c r="A387" s="1" t="inlineStr">
        <is>
          <t>vI8</t>
        </is>
      </c>
      <c r="B387" s="1" t="inlineStr">
        <is>
          <t>數值</t>
        </is>
      </c>
      <c r="C387" s="1" t="n">
        <v>2</v>
      </c>
      <c r="D387" s="1" t="n">
        <v>0</v>
      </c>
      <c r="E387" s="1" t="inlineStr">
        <is>
          <t>I8 請列出您最近看的三個戲劇節目。 訪員注意： 1.若不知道劇名，請說明頻道及播出時段。 2.若沒有看其他戲劇，請選「（90）沒有看」。</t>
        </is>
      </c>
    </row>
    <row r="388">
      <c r="A388" s="1" t="inlineStr">
        <is>
          <t>vI8o03</t>
        </is>
      </c>
      <c r="B388" s="1" t="inlineStr">
        <is>
          <t>字串</t>
        </is>
      </c>
      <c r="C388" s="1" t="n">
        <v>150</v>
      </c>
      <c r="D388" s="1" t="n">
        <v>0</v>
      </c>
      <c r="E388" s="1" t="inlineStr">
        <is>
          <t>I8 請列出您最近看的三個戲劇節目。 訪員注意： 1.若不知道劇名，請說明頻道及播出時段。 2.若沒有看其他戲劇，請選「（90）沒有看」。 (03) 戲劇名稱：</t>
        </is>
      </c>
    </row>
    <row r="389">
      <c r="A389" s="1" t="inlineStr">
        <is>
          <t>vI9</t>
        </is>
      </c>
      <c r="B389" s="1" t="inlineStr">
        <is>
          <t>數值</t>
        </is>
      </c>
      <c r="C389" s="1" t="n">
        <v>2</v>
      </c>
      <c r="D389" s="1" t="n">
        <v>0</v>
      </c>
      <c r="E389" s="1" t="inlineStr">
        <is>
          <t>I9 那請問您主要是透過電視頻道、還是網路影音平台、還是其他管道來收看戲劇節目呢？ 提醒您在前面題目回答： 每星期的星期一到星期五，平均有${Q:B1}天會看電視。 每星期的星期六和星期日</t>
        </is>
      </c>
    </row>
    <row r="390">
      <c r="A390" s="1" t="inlineStr">
        <is>
          <t>vI9o88</t>
        </is>
      </c>
      <c r="B390" s="1" t="inlineStr">
        <is>
          <t>字串</t>
        </is>
      </c>
      <c r="C390" s="1" t="n">
        <v>150</v>
      </c>
      <c r="D390" s="1" t="n">
        <v>0</v>
      </c>
      <c r="E390" s="1" t="inlineStr">
        <is>
          <t>I9 那請問您主要是透過電視頻道、還是網路影音平台、還是其他管道來收看戲劇節目呢？ 提醒您在前面題目回答： 每星期的星期一到星期五，平均有${Q:B1}天會看電視。 每星期的星期六和星期日</t>
        </is>
      </c>
    </row>
    <row r="391">
      <c r="A391" s="1" t="inlineStr">
        <is>
          <t>vI10_1</t>
        </is>
      </c>
      <c r="B391" s="1" t="inlineStr">
        <is>
          <t>數值</t>
        </is>
      </c>
      <c r="C391" s="1" t="n">
        <v>2</v>
      </c>
      <c r="D391" s="1" t="n">
        <v>0</v>
      </c>
      <c r="E391" s="1" t="inlineStr">
        <is>
          <t>I10_1 請問是下列哪一種類型的電視頻道？(卡19)</t>
        </is>
      </c>
    </row>
    <row r="392">
      <c r="A392" s="1" t="inlineStr">
        <is>
          <t>vI10_1o88</t>
        </is>
      </c>
      <c r="B392" s="1" t="inlineStr">
        <is>
          <t>字串</t>
        </is>
      </c>
      <c r="C392" s="1" t="n">
        <v>150</v>
      </c>
      <c r="D392" s="1" t="n">
        <v>0</v>
      </c>
      <c r="E392" s="1" t="inlineStr">
        <is>
          <t>I10_1 請問是下列哪一種類型的電視頻道？(卡19) (88) 其他，請說明</t>
        </is>
      </c>
    </row>
    <row r="393">
      <c r="A393" s="1" t="inlineStr">
        <is>
          <t>vI10_2</t>
        </is>
      </c>
      <c r="B393" s="1" t="inlineStr">
        <is>
          <t>數值</t>
        </is>
      </c>
      <c r="C393" s="1" t="n">
        <v>2</v>
      </c>
      <c r="D393" s="1" t="n">
        <v>0</v>
      </c>
      <c r="E393" s="1" t="inlineStr">
        <is>
          <t>I10_2 請問是下列哪一個影音平台？(卡20)</t>
        </is>
      </c>
    </row>
    <row r="394">
      <c r="A394" s="1" t="inlineStr">
        <is>
          <t>vI10_2o88</t>
        </is>
      </c>
      <c r="B394" s="1" t="inlineStr">
        <is>
          <t>字串</t>
        </is>
      </c>
      <c r="C394" s="1" t="n">
        <v>150</v>
      </c>
      <c r="D394" s="1" t="n">
        <v>0</v>
      </c>
      <c r="E394" s="1" t="inlineStr">
        <is>
          <t>I10_2 請問是下列哪一個影音平台？(卡20) (88) 其他，請說明</t>
        </is>
      </c>
    </row>
    <row r="395">
      <c r="A395" s="1" t="inlineStr">
        <is>
          <t>vI11m01</t>
        </is>
      </c>
      <c r="B395" s="1" t="inlineStr">
        <is>
          <t>數值</t>
        </is>
      </c>
      <c r="C395" s="1" t="n">
        <v>2</v>
      </c>
      <c r="D395" s="1" t="n">
        <v>0</v>
      </c>
      <c r="E395" s="1" t="inlineStr">
        <is>
          <t>I11 請問您想看戲劇節目的原因是什麼呢？(可複選)(卡21)  (01) 因為看戲劇節目很享受</t>
        </is>
      </c>
    </row>
    <row r="396">
      <c r="A396" s="1" t="inlineStr">
        <is>
          <t>vI11m02</t>
        </is>
      </c>
      <c r="B396" s="1" t="inlineStr">
        <is>
          <t>數值</t>
        </is>
      </c>
      <c r="C396" s="1" t="n">
        <v>2</v>
      </c>
      <c r="D396" s="1" t="n">
        <v>0</v>
      </c>
      <c r="E396" s="1" t="inlineStr">
        <is>
          <t>I11 請問您想看戲劇節目的原因是什麼呢？(可複選)(卡21)  (02) 可以讓人開心</t>
        </is>
      </c>
    </row>
    <row r="397">
      <c r="A397" s="1" t="inlineStr">
        <is>
          <t>vI11m03</t>
        </is>
      </c>
      <c r="B397" s="1" t="inlineStr">
        <is>
          <t>數值</t>
        </is>
      </c>
      <c r="C397" s="1" t="n">
        <v>2</v>
      </c>
      <c r="D397" s="1" t="n">
        <v>0</v>
      </c>
      <c r="E397" s="1" t="inlineStr">
        <is>
          <t>I11 請問您想看戲劇節目的原因是什麼呢？(可複選)(卡21)  (03) 可以讓人放鬆</t>
        </is>
      </c>
    </row>
    <row r="398">
      <c r="A398" s="1" t="inlineStr">
        <is>
          <t>vI11m04</t>
        </is>
      </c>
      <c r="B398" s="1" t="inlineStr">
        <is>
          <t>數值</t>
        </is>
      </c>
      <c r="C398" s="1" t="n">
        <v>2</v>
      </c>
      <c r="D398" s="1" t="n">
        <v>0</v>
      </c>
      <c r="E398" s="1" t="inlineStr">
        <is>
          <t>I11 請問您想看戲劇節目的原因是什麼呢？(可複選)(卡21)  (04) 可以打發時間</t>
        </is>
      </c>
    </row>
    <row r="399">
      <c r="A399" s="1" t="inlineStr">
        <is>
          <t>vI11m05</t>
        </is>
      </c>
      <c r="B399" s="1" t="inlineStr">
        <is>
          <t>數值</t>
        </is>
      </c>
      <c r="C399" s="1" t="n">
        <v>2</v>
      </c>
      <c r="D399" s="1" t="n">
        <v>0</v>
      </c>
      <c r="E399" s="1" t="inlineStr">
        <is>
          <t>I11 請問您想看戲劇節目的原因是什麼呢？(可複選)(卡21)  (05) 因為無聊沒事做</t>
        </is>
      </c>
    </row>
    <row r="400">
      <c r="A400" s="1" t="inlineStr">
        <is>
          <t>vI11m06</t>
        </is>
      </c>
      <c r="B400" s="1" t="inlineStr">
        <is>
          <t>數值</t>
        </is>
      </c>
      <c r="C400" s="1" t="n">
        <v>2</v>
      </c>
      <c r="D400" s="1" t="n">
        <v>0</v>
      </c>
      <c r="E400" s="1" t="inlineStr">
        <is>
          <t>I11 請問您想看戲劇節目的原因是什麼呢？(可複選)(卡21)  (06) 可以暫時拋開生活壓力</t>
        </is>
      </c>
    </row>
    <row r="401">
      <c r="A401" s="1" t="inlineStr">
        <is>
          <t>vI11m07</t>
        </is>
      </c>
      <c r="B401" s="1" t="inlineStr">
        <is>
          <t>數值</t>
        </is>
      </c>
      <c r="C401" s="1" t="n">
        <v>2</v>
      </c>
      <c r="D401" s="1" t="n">
        <v>0</v>
      </c>
      <c r="E401" s="1" t="inlineStr">
        <is>
          <t>I11 請問您想看戲劇節目的原因是什麼呢？(可複選)(卡21)  (07) 可以從戲劇中瞭解人生的意義</t>
        </is>
      </c>
    </row>
    <row r="402">
      <c r="A402" s="1" t="inlineStr">
        <is>
          <t>vI11m08</t>
        </is>
      </c>
      <c r="B402" s="1" t="inlineStr">
        <is>
          <t>數值</t>
        </is>
      </c>
      <c r="C402" s="1" t="n">
        <v>2</v>
      </c>
      <c r="D402" s="1" t="n">
        <v>0</v>
      </c>
      <c r="E402" s="1" t="inlineStr">
        <is>
          <t>I11 請問您想看戲劇節目的原因是什麼呢？(可複選)(卡21)  (08) 可以從戲劇中探索關係（親情、友情、愛情）的意義</t>
        </is>
      </c>
    </row>
    <row r="403">
      <c r="A403" s="1" t="inlineStr">
        <is>
          <t>vI11m09</t>
        </is>
      </c>
      <c r="B403" s="1" t="inlineStr">
        <is>
          <t>數值</t>
        </is>
      </c>
      <c r="C403" s="1" t="n">
        <v>2</v>
      </c>
      <c r="D403" s="1" t="n">
        <v>0</v>
      </c>
      <c r="E403" s="1" t="inlineStr">
        <is>
          <t>I11 請問您想看戲劇節目的原因是什麼呢？(可複選)(卡21)  (09) 可以從戲劇中知道別人如何過生活</t>
        </is>
      </c>
    </row>
    <row r="404">
      <c r="A404" s="1" t="inlineStr">
        <is>
          <t>vI11m10</t>
        </is>
      </c>
      <c r="B404" s="1" t="inlineStr">
        <is>
          <t>數值</t>
        </is>
      </c>
      <c r="C404" s="1" t="n">
        <v>2</v>
      </c>
      <c r="D404" s="1" t="n">
        <v>0</v>
      </c>
      <c r="E404" s="1" t="inlineStr">
        <is>
          <t>I11 請問您想看戲劇節目的原因是什麼呢？(可複選)(卡21)  (10) 可以從戲劇中瞭解各行各業</t>
        </is>
      </c>
    </row>
    <row r="405">
      <c r="A405" s="1" t="inlineStr">
        <is>
          <t>vI11m11</t>
        </is>
      </c>
      <c r="B405" s="1" t="inlineStr">
        <is>
          <t>數值</t>
        </is>
      </c>
      <c r="C405" s="1" t="n">
        <v>2</v>
      </c>
      <c r="D405" s="1" t="n">
        <v>0</v>
      </c>
      <c r="E405" s="1" t="inlineStr">
        <is>
          <t>I11 請問您想看戲劇節目的原因是什麼呢？(可複選)(卡21)  (11) 可以從戲劇中知道歷史故事</t>
        </is>
      </c>
    </row>
    <row r="406">
      <c r="A406" s="1" t="inlineStr">
        <is>
          <t>vI11m12</t>
        </is>
      </c>
      <c r="B406" s="1" t="inlineStr">
        <is>
          <t>數值</t>
        </is>
      </c>
      <c r="C406" s="1" t="n">
        <v>2</v>
      </c>
      <c r="D406" s="1" t="n">
        <v>0</v>
      </c>
      <c r="E406" s="1" t="inlineStr">
        <is>
          <t>I11 請問您想看戲劇節目的原因是什麼呢？(可複選)(卡21)  (12) 因為看戲劇時會覺得好像有人陪伴</t>
        </is>
      </c>
    </row>
    <row r="407">
      <c r="A407" s="1" t="inlineStr">
        <is>
          <t>vI11m13</t>
        </is>
      </c>
      <c r="B407" s="1" t="inlineStr">
        <is>
          <t>數值</t>
        </is>
      </c>
      <c r="C407" s="1" t="n">
        <v>2</v>
      </c>
      <c r="D407" s="1" t="n">
        <v>0</v>
      </c>
      <c r="E407" s="1" t="inlineStr">
        <is>
          <t>I11 請問您想看戲劇節目的原因是什麼呢？(可複選)(卡21)  (13) 因為喜歡裡面的演員</t>
        </is>
      </c>
    </row>
    <row r="408">
      <c r="A408" s="1" t="inlineStr">
        <is>
          <t>vI11m14</t>
        </is>
      </c>
      <c r="B408" s="1" t="inlineStr">
        <is>
          <t>數值</t>
        </is>
      </c>
      <c r="C408" s="1" t="n">
        <v>2</v>
      </c>
      <c r="D408" s="1" t="n">
        <v>0</v>
      </c>
      <c r="E408" s="1" t="inlineStr">
        <is>
          <t>I11 請問您想看戲劇節目的原因是什麼呢？(可複選)(卡21)  (14) 可以跟朋友討論戲劇的內容</t>
        </is>
      </c>
    </row>
    <row r="409">
      <c r="A409" s="1" t="inlineStr">
        <is>
          <t>vI11m15</t>
        </is>
      </c>
      <c r="B409" s="1" t="inlineStr">
        <is>
          <t>數值</t>
        </is>
      </c>
      <c r="C409" s="1" t="n">
        <v>2</v>
      </c>
      <c r="D409" s="1" t="n">
        <v>0</v>
      </c>
      <c r="E409" s="1" t="inlineStr">
        <is>
          <t>I11 請問您想看戲劇節目的原因是什麼呢？(可複選)(卡21)  (15) 怕大家在討論某些戲劇時不知道他們在講什麼</t>
        </is>
      </c>
    </row>
    <row r="410">
      <c r="A410" s="1" t="inlineStr">
        <is>
          <t>vI11m16</t>
        </is>
      </c>
      <c r="B410" s="1" t="inlineStr">
        <is>
          <t>數值</t>
        </is>
      </c>
      <c r="C410" s="1" t="n">
        <v>2</v>
      </c>
      <c r="D410" s="1" t="n">
        <v>0</v>
      </c>
      <c r="E410" s="1" t="inlineStr">
        <is>
          <t>I11 請問您想看戲劇節目的原因是什麼呢？(可複選)(卡21)  (16) 習慣</t>
        </is>
      </c>
    </row>
    <row r="411">
      <c r="A411" s="1" t="inlineStr">
        <is>
          <t>vI11m88</t>
        </is>
      </c>
      <c r="B411" s="1" t="inlineStr">
        <is>
          <t>數值</t>
        </is>
      </c>
      <c r="C411" s="1" t="n">
        <v>2</v>
      </c>
      <c r="D411" s="1" t="n">
        <v>0</v>
      </c>
      <c r="E411" s="1" t="inlineStr">
        <is>
          <t>I11 請問您想看戲劇節目的原因是什麼呢？(可複選)(卡21)  (88) 其他，請說明</t>
        </is>
      </c>
    </row>
    <row r="412">
      <c r="A412" s="1" t="inlineStr">
        <is>
          <t>vI11o88</t>
        </is>
      </c>
      <c r="B412" s="1" t="inlineStr">
        <is>
          <t>字串</t>
        </is>
      </c>
      <c r="C412" s="1" t="n">
        <v>150</v>
      </c>
      <c r="D412" s="1" t="n">
        <v>0</v>
      </c>
      <c r="E412" s="1" t="inlineStr">
        <is>
          <t>I11 請問您想看戲劇節目的原因是什麼呢？(可複選)(卡21)  (88) 其他，請說明</t>
        </is>
      </c>
    </row>
    <row r="413">
      <c r="A413" s="1" t="inlineStr">
        <is>
          <t>vI12s01</t>
        </is>
      </c>
      <c r="B413" s="1" t="inlineStr">
        <is>
          <t>數值</t>
        </is>
      </c>
      <c r="C413" s="1" t="n">
        <v>2</v>
      </c>
      <c r="D413" s="1" t="n">
        <v>0</v>
      </c>
      <c r="E413" s="1" t="inlineStr">
        <is>
          <t>I12 請問您同不同意下列說法？(卡22) 01 您心裡常常想著沒看完的戲劇節目後面結局會是如何。</t>
        </is>
      </c>
    </row>
    <row r="414">
      <c r="A414" s="1" t="inlineStr">
        <is>
          <t>vI12s02</t>
        </is>
      </c>
      <c r="B414" s="1" t="inlineStr">
        <is>
          <t>數值</t>
        </is>
      </c>
      <c r="C414" s="1" t="n">
        <v>2</v>
      </c>
      <c r="D414" s="1" t="n">
        <v>0</v>
      </c>
      <c r="E414" s="1" t="inlineStr">
        <is>
          <t>I12 請問您同不同意下列說法？(卡22) 02 您花在看戲劇節目的時間經常超過自己預計的時間。</t>
        </is>
      </c>
    </row>
    <row r="415">
      <c r="A415" s="1" t="inlineStr">
        <is>
          <t>vI12s03</t>
        </is>
      </c>
      <c r="B415" s="1" t="inlineStr">
        <is>
          <t>數值</t>
        </is>
      </c>
      <c r="C415" s="1" t="n">
        <v>2</v>
      </c>
      <c r="D415" s="1" t="n">
        <v>0</v>
      </c>
      <c r="E415" s="1" t="inlineStr">
        <is>
          <t>I12 請問您同不同意下列說法？(卡22) 03 您一看戲劇節目，就停不下來。</t>
        </is>
      </c>
    </row>
    <row r="416">
      <c r="A416" s="1" t="inlineStr">
        <is>
          <t>vI12s04</t>
        </is>
      </c>
      <c r="B416" s="1" t="inlineStr">
        <is>
          <t>數值</t>
        </is>
      </c>
      <c r="C416" s="1" t="n">
        <v>2</v>
      </c>
      <c r="D416" s="1" t="n">
        <v>0</v>
      </c>
      <c r="E416" s="1" t="inlineStr">
        <is>
          <t>I12 請問您同不同意下列說法？(卡22) 04 如果可能的話，您會連續看一集以上的戲劇節目或影集。</t>
        </is>
      </c>
    </row>
    <row r="417">
      <c r="A417" s="1" t="inlineStr">
        <is>
          <t>vK1m01</t>
        </is>
      </c>
      <c r="B417" s="1" t="inlineStr">
        <is>
          <t>數值</t>
        </is>
      </c>
      <c r="C417" s="1" t="n">
        <v>2</v>
      </c>
      <c r="D417" s="1" t="n">
        <v>0</v>
      </c>
      <c r="E417" s="1" t="inlineStr">
        <is>
          <t>K1 請問您最近一個月有沒有使用下列即時通訊軟體？不論是透過手機、平板或電腦都算，要使用APP或網頁版才算。(可複選)(卡23) 受訪者上網情形：${Q:CKE1} 訪員注意： 1.「即時通訊軟體」指的是�</t>
        </is>
      </c>
    </row>
    <row r="418">
      <c r="A418" s="1" t="inlineStr">
        <is>
          <t>vK1m02</t>
        </is>
      </c>
      <c r="B418" s="1" t="inlineStr">
        <is>
          <t>數值</t>
        </is>
      </c>
      <c r="C418" s="1" t="n">
        <v>2</v>
      </c>
      <c r="D418" s="1" t="n">
        <v>0</v>
      </c>
      <c r="E418" s="1" t="inlineStr">
        <is>
          <t>K1 請問您最近一個月有沒有使用下列即時通訊軟體？不論是透過手機、平板或電腦都算，要使用APP或網頁版才算。(可複選)(卡23) 受訪者上網情形：${Q:CKE1} 訪員注意： 1.「即時通訊軟體」指的是�</t>
        </is>
      </c>
    </row>
    <row r="419">
      <c r="A419" s="1" t="inlineStr">
        <is>
          <t>vK1m03</t>
        </is>
      </c>
      <c r="B419" s="1" t="inlineStr">
        <is>
          <t>數值</t>
        </is>
      </c>
      <c r="C419" s="1" t="n">
        <v>2</v>
      </c>
      <c r="D419" s="1" t="n">
        <v>0</v>
      </c>
      <c r="E419" s="1" t="inlineStr">
        <is>
          <t>K1 請問您最近一個月有沒有使用下列即時通訊軟體？不論是透過手機、平板或電腦都算，要使用APP或網頁版才算。(可複選)(卡23) 受訪者上網情形：${Q:CKE1} 訪員注意： 1.「即時通訊軟體」指的是�</t>
        </is>
      </c>
    </row>
    <row r="420">
      <c r="A420" s="1" t="inlineStr">
        <is>
          <t>vK1m04</t>
        </is>
      </c>
      <c r="B420" s="1" t="inlineStr">
        <is>
          <t>數值</t>
        </is>
      </c>
      <c r="C420" s="1" t="n">
        <v>2</v>
      </c>
      <c r="D420" s="1" t="n">
        <v>0</v>
      </c>
      <c r="E420" s="1" t="inlineStr">
        <is>
          <t>K1 請問您最近一個月有沒有使用下列即時通訊軟體？不論是透過手機、平板或電腦都算，要使用APP或網頁版才算。(可複選)(卡23) 受訪者上網情形：${Q:CKE1} 訪員注意： 1.「即時通訊軟體」指的是�</t>
        </is>
      </c>
    </row>
    <row r="421">
      <c r="A421" s="1" t="inlineStr">
        <is>
          <t>vK1m05</t>
        </is>
      </c>
      <c r="B421" s="1" t="inlineStr">
        <is>
          <t>數值</t>
        </is>
      </c>
      <c r="C421" s="1" t="n">
        <v>2</v>
      </c>
      <c r="D421" s="1" t="n">
        <v>0</v>
      </c>
      <c r="E421" s="1" t="inlineStr">
        <is>
          <t>K1 請問您最近一個月有沒有使用下列即時通訊軟體？不論是透過手機、平板或電腦都算，要使用APP或網頁版才算。(可複選)(卡23) 受訪者上網情形：${Q:CKE1} 訪員注意： 1.「即時通訊軟體」指的是�</t>
        </is>
      </c>
    </row>
    <row r="422">
      <c r="A422" s="1" t="inlineStr">
        <is>
          <t>vK1m06</t>
        </is>
      </c>
      <c r="B422" s="1" t="inlineStr">
        <is>
          <t>數值</t>
        </is>
      </c>
      <c r="C422" s="1" t="n">
        <v>2</v>
      </c>
      <c r="D422" s="1" t="n">
        <v>0</v>
      </c>
      <c r="E422" s="1" t="inlineStr">
        <is>
          <t>K1 請問您最近一個月有沒有使用下列即時通訊軟體？不論是透過手機、平板或電腦都算，要使用APP或網頁版才算。(可複選)(卡23) 受訪者上網情形：${Q:CKE1} 訪員注意： 1.「即時通訊軟體」指的是�</t>
        </is>
      </c>
    </row>
    <row r="423">
      <c r="A423" s="1" t="inlineStr">
        <is>
          <t>vK1m07</t>
        </is>
      </c>
      <c r="B423" s="1" t="inlineStr">
        <is>
          <t>數值</t>
        </is>
      </c>
      <c r="C423" s="1" t="n">
        <v>2</v>
      </c>
      <c r="D423" s="1" t="n">
        <v>0</v>
      </c>
      <c r="E423" s="1" t="inlineStr">
        <is>
          <t>K1 請問您最近一個月有沒有使用下列即時通訊軟體？不論是透過手機、平板或電腦都算，要使用APP或網頁版才算。(可複選)(卡23) 受訪者上網情形：${Q:CKE1} 訪員注意： 1.「即時通訊軟體」指的是�</t>
        </is>
      </c>
    </row>
    <row r="424">
      <c r="A424" s="1" t="inlineStr">
        <is>
          <t>vK1m08</t>
        </is>
      </c>
      <c r="B424" s="1" t="inlineStr">
        <is>
          <t>數值</t>
        </is>
      </c>
      <c r="C424" s="1" t="n">
        <v>2</v>
      </c>
      <c r="D424" s="1" t="n">
        <v>0</v>
      </c>
      <c r="E424" s="1" t="inlineStr">
        <is>
          <t>K1 請問您最近一個月有沒有使用下列即時通訊軟體？不論是透過手機、平板或電腦都算，要使用APP或網頁版才算。(可複選)(卡23) 受訪者上網情形：${Q:CKE1} 訪員注意： 1.「即時通訊軟體」指的是�</t>
        </is>
      </c>
    </row>
    <row r="425">
      <c r="A425" s="1" t="inlineStr">
        <is>
          <t>vK1m09</t>
        </is>
      </c>
      <c r="B425" s="1" t="inlineStr">
        <is>
          <t>數值</t>
        </is>
      </c>
      <c r="C425" s="1" t="n">
        <v>2</v>
      </c>
      <c r="D425" s="1" t="n">
        <v>0</v>
      </c>
      <c r="E425" s="1" t="inlineStr">
        <is>
          <t>K1 請問您最近一個月有沒有使用下列即時通訊軟體？不論是透過手機、平板或電腦都算，要使用APP或網頁版才算。(可複選)(卡23) 受訪者上網情形：${Q:CKE1} 訪員注意： 1.「即時通訊軟體」指的是�</t>
        </is>
      </c>
    </row>
    <row r="426">
      <c r="A426" s="1" t="inlineStr">
        <is>
          <t>vK1m10</t>
        </is>
      </c>
      <c r="B426" s="1" t="inlineStr">
        <is>
          <t>數值</t>
        </is>
      </c>
      <c r="C426" s="1" t="n">
        <v>2</v>
      </c>
      <c r="D426" s="1" t="n">
        <v>0</v>
      </c>
      <c r="E426" s="1" t="inlineStr">
        <is>
          <t>K1 請問您最近一個月有沒有使用下列即時通訊軟體？不論是透過手機、平板或電腦都算，要使用APP或網頁版才算。(可複選)(卡23) 受訪者上網情形：${Q:CKE1} 訪員注意： 1.「即時通訊軟體」指的是�</t>
        </is>
      </c>
    </row>
    <row r="427">
      <c r="A427" s="1" t="inlineStr">
        <is>
          <t>vK1m88</t>
        </is>
      </c>
      <c r="B427" s="1" t="inlineStr">
        <is>
          <t>數值</t>
        </is>
      </c>
      <c r="C427" s="1" t="n">
        <v>2</v>
      </c>
      <c r="D427" s="1" t="n">
        <v>0</v>
      </c>
      <c r="E427" s="1" t="inlineStr">
        <is>
          <t>K1 請問您最近一個月有沒有使用下列即時通訊軟體？不論是透過手機、平板或電腦都算，要使用APP或網頁版才算。(可複選)(卡23) 受訪者上網情形：${Q:CKE1} 訪員注意： 1.「即時通訊軟體」指的是�</t>
        </is>
      </c>
    </row>
    <row r="428">
      <c r="A428" s="1" t="inlineStr">
        <is>
          <t>vK1m90</t>
        </is>
      </c>
      <c r="B428" s="1" t="inlineStr">
        <is>
          <t>數值</t>
        </is>
      </c>
      <c r="C428" s="1" t="n">
        <v>2</v>
      </c>
      <c r="D428" s="1" t="n">
        <v>0</v>
      </c>
      <c r="E428" s="1" t="inlineStr">
        <is>
          <t>K1 請問您最近一個月有沒有使用下列即時通訊軟體？不論是透過手機、平板或電腦都算，要使用APP或網頁版才算。(可複選)(卡23) 受訪者上網情形：${Q:CKE1} 訪員注意： 1.「即時通訊軟體」指的是�</t>
        </is>
      </c>
    </row>
    <row r="429">
      <c r="A429" s="1" t="inlineStr">
        <is>
          <t>vK1o88</t>
        </is>
      </c>
      <c r="B429" s="1" t="inlineStr">
        <is>
          <t>字串</t>
        </is>
      </c>
      <c r="C429" s="1" t="n">
        <v>150</v>
      </c>
      <c r="D429" s="1" t="n">
        <v>0</v>
      </c>
      <c r="E429" s="1" t="inlineStr">
        <is>
          <t>K1 請問您最近一個月有沒有使用下列即時通訊軟體？不論是透過手機、平板或電腦都算，要使用APP或網頁版才算。(可複選)(卡23) 受訪者上網情形：${Q:CKE1} 訪員注意： 1.「即時通訊軟體」指的是�</t>
        </is>
      </c>
    </row>
    <row r="430">
      <c r="A430" s="1" t="inlineStr">
        <is>
          <t>vCKK1</t>
        </is>
      </c>
      <c r="B430" s="1" t="inlineStr">
        <is>
          <t>數值</t>
        </is>
      </c>
      <c r="C430" s="1" t="n">
        <v>2</v>
      </c>
      <c r="D430" s="1" t="n">
        <v>0</v>
      </c>
      <c r="E430" s="1" t="inlineStr">
        <is>
          <t>CKK1 【請注意】請訪員出示提示卡23，並向受訪者確認： 您剛剛您剛剛(E1)回答不會上網， 但即時通訊軟體種類(K1)有使用【${Q:K1}】，請問是否正確？ 這樣也算是上網，請點選修改答案，回到E1題�</t>
        </is>
      </c>
    </row>
    <row r="431">
      <c r="A431" s="1" t="inlineStr">
        <is>
          <t>vK2m01</t>
        </is>
      </c>
      <c r="B431" s="1" t="inlineStr">
        <is>
          <t>數值</t>
        </is>
      </c>
      <c r="C431" s="1" t="n">
        <v>2</v>
      </c>
      <c r="D431" s="1" t="n">
        <v>0</v>
      </c>
      <c r="E431" s="1" t="inlineStr">
        <is>
          <t>K2 請問您最近一個月有沒有使用下列社群媒體？(可複選)(卡24) 訪員注意： 1.「社群媒體」指的是提供多種讓用戶互動的方式(公開)，像是看朋友的動態、自己PO文、按讚、留言等平台。例如：臉�</t>
        </is>
      </c>
    </row>
    <row r="432">
      <c r="A432" s="1" t="inlineStr">
        <is>
          <t>vK2m02</t>
        </is>
      </c>
      <c r="B432" s="1" t="inlineStr">
        <is>
          <t>數值</t>
        </is>
      </c>
      <c r="C432" s="1" t="n">
        <v>2</v>
      </c>
      <c r="D432" s="1" t="n">
        <v>0</v>
      </c>
      <c r="E432" s="1" t="inlineStr">
        <is>
          <t>K2 請問您最近一個月有沒有使用下列社群媒體？(可複選)(卡24) 訪員注意： 1.「社群媒體」指的是提供多種讓用戶互動的方式(公開)，像是看朋友的動態、自己PO文、按讚、留言等平台。例如：臉�</t>
        </is>
      </c>
    </row>
    <row r="433">
      <c r="A433" s="1" t="inlineStr">
        <is>
          <t>vK2m03</t>
        </is>
      </c>
      <c r="B433" s="1" t="inlineStr">
        <is>
          <t>數值</t>
        </is>
      </c>
      <c r="C433" s="1" t="n">
        <v>2</v>
      </c>
      <c r="D433" s="1" t="n">
        <v>0</v>
      </c>
      <c r="E433" s="1" t="inlineStr">
        <is>
          <t>K2 請問您最近一個月有沒有使用下列社群媒體？(可複選)(卡24) 訪員注意： 1.「社群媒體」指的是提供多種讓用戶互動的方式(公開)，像是看朋友的動態、自己PO文、按讚、留言等平台。例如：臉�</t>
        </is>
      </c>
    </row>
    <row r="434">
      <c r="A434" s="1" t="inlineStr">
        <is>
          <t>vK2m04</t>
        </is>
      </c>
      <c r="B434" s="1" t="inlineStr">
        <is>
          <t>數值</t>
        </is>
      </c>
      <c r="C434" s="1" t="n">
        <v>2</v>
      </c>
      <c r="D434" s="1" t="n">
        <v>0</v>
      </c>
      <c r="E434" s="1" t="inlineStr">
        <is>
          <t>K2 請問您最近一個月有沒有使用下列社群媒體？(可複選)(卡24) 訪員注意： 1.「社群媒體」指的是提供多種讓用戶互動的方式(公開)，像是看朋友的動態、自己PO文、按讚、留言等平台。例如：臉�</t>
        </is>
      </c>
    </row>
    <row r="435">
      <c r="A435" s="1" t="inlineStr">
        <is>
          <t>vK2m05</t>
        </is>
      </c>
      <c r="B435" s="1" t="inlineStr">
        <is>
          <t>數值</t>
        </is>
      </c>
      <c r="C435" s="1" t="n">
        <v>2</v>
      </c>
      <c r="D435" s="1" t="n">
        <v>0</v>
      </c>
      <c r="E435" s="1" t="inlineStr">
        <is>
          <t>K2 請問您最近一個月有沒有使用下列社群媒體？(可複選)(卡24) 訪員注意： 1.「社群媒體」指的是提供多種讓用戶互動的方式(公開)，像是看朋友的動態、自己PO文、按讚、留言等平台。例如：臉�</t>
        </is>
      </c>
    </row>
    <row r="436">
      <c r="A436" s="1" t="inlineStr">
        <is>
          <t>vK2m06</t>
        </is>
      </c>
      <c r="B436" s="1" t="inlineStr">
        <is>
          <t>數值</t>
        </is>
      </c>
      <c r="C436" s="1" t="n">
        <v>2</v>
      </c>
      <c r="D436" s="1" t="n">
        <v>0</v>
      </c>
      <c r="E436" s="1" t="inlineStr">
        <is>
          <t>K2 請問您最近一個月有沒有使用下列社群媒體？(可複選)(卡24) 訪員注意： 1.「社群媒體」指的是提供多種讓用戶互動的方式(公開)，像是看朋友的動態、自己PO文、按讚、留言等平台。例如：臉�</t>
        </is>
      </c>
    </row>
    <row r="437">
      <c r="A437" s="1" t="inlineStr">
        <is>
          <t>vK2m07</t>
        </is>
      </c>
      <c r="B437" s="1" t="inlineStr">
        <is>
          <t>數值</t>
        </is>
      </c>
      <c r="C437" s="1" t="n">
        <v>2</v>
      </c>
      <c r="D437" s="1" t="n">
        <v>0</v>
      </c>
      <c r="E437" s="1" t="inlineStr">
        <is>
          <t>K2 請問您最近一個月有沒有使用下列社群媒體？(可複選)(卡24) 訪員注意： 1.「社群媒體」指的是提供多種讓用戶互動的方式(公開)，像是看朋友的動態、自己PO文、按讚、留言等平台。例如：臉�</t>
        </is>
      </c>
    </row>
    <row r="438">
      <c r="A438" s="1" t="inlineStr">
        <is>
          <t>vK2m08</t>
        </is>
      </c>
      <c r="B438" s="1" t="inlineStr">
        <is>
          <t>數值</t>
        </is>
      </c>
      <c r="C438" s="1" t="n">
        <v>2</v>
      </c>
      <c r="D438" s="1" t="n">
        <v>0</v>
      </c>
      <c r="E438" s="1" t="inlineStr">
        <is>
          <t>K2 請問您最近一個月有沒有使用下列社群媒體？(可複選)(卡24) 訪員注意： 1.「社群媒體」指的是提供多種讓用戶互動的方式(公開)，像是看朋友的動態、自己PO文、按讚、留言等平台。例如：臉�</t>
        </is>
      </c>
    </row>
    <row r="439">
      <c r="A439" s="1" t="inlineStr">
        <is>
          <t>vK2m09</t>
        </is>
      </c>
      <c r="B439" s="1" t="inlineStr">
        <is>
          <t>數值</t>
        </is>
      </c>
      <c r="C439" s="1" t="n">
        <v>2</v>
      </c>
      <c r="D439" s="1" t="n">
        <v>0</v>
      </c>
      <c r="E439" s="1" t="inlineStr">
        <is>
          <t>K2 請問您最近一個月有沒有使用下列社群媒體？(可複選)(卡24) 訪員注意： 1.「社群媒體」指的是提供多種讓用戶互動的方式(公開)，像是看朋友的動態、自己PO文、按讚、留言等平台。例如：臉�</t>
        </is>
      </c>
    </row>
    <row r="440">
      <c r="A440" s="1" t="inlineStr">
        <is>
          <t>vK2m10</t>
        </is>
      </c>
      <c r="B440" s="1" t="inlineStr">
        <is>
          <t>數值</t>
        </is>
      </c>
      <c r="C440" s="1" t="n">
        <v>2</v>
      </c>
      <c r="D440" s="1" t="n">
        <v>0</v>
      </c>
      <c r="E440" s="1" t="inlineStr">
        <is>
          <t>K2 請問您最近一個月有沒有使用下列社群媒體？(可複選)(卡24) 訪員注意： 1.「社群媒體」指的是提供多種讓用戶互動的方式(公開)，像是看朋友的動態、自己PO文、按讚、留言等平台。例如：臉�</t>
        </is>
      </c>
    </row>
    <row r="441">
      <c r="A441" s="1" t="inlineStr">
        <is>
          <t>vK2m11</t>
        </is>
      </c>
      <c r="B441" s="1" t="inlineStr">
        <is>
          <t>數值</t>
        </is>
      </c>
      <c r="C441" s="1" t="n">
        <v>2</v>
      </c>
      <c r="D441" s="1" t="n">
        <v>0</v>
      </c>
      <c r="E441" s="1" t="inlineStr">
        <is>
          <t>K2 請問您最近一個月有沒有使用下列社群媒體？(可複選)(卡24) 訪員注意： 1.「社群媒體」指的是提供多種讓用戶互動的方式(公開)，像是看朋友的動態、自己PO文、按讚、留言等平台。例如：臉�</t>
        </is>
      </c>
    </row>
    <row r="442">
      <c r="A442" s="1" t="inlineStr">
        <is>
          <t>vK2m12</t>
        </is>
      </c>
      <c r="B442" s="1" t="inlineStr">
        <is>
          <t>數值</t>
        </is>
      </c>
      <c r="C442" s="1" t="n">
        <v>2</v>
      </c>
      <c r="D442" s="1" t="n">
        <v>0</v>
      </c>
      <c r="E442" s="1" t="inlineStr">
        <is>
          <t>K2 請問您最近一個月有沒有使用下列社群媒體？(可複選)(卡24) 訪員注意： 1.「社群媒體」指的是提供多種讓用戶互動的方式(公開)，像是看朋友的動態、自己PO文、按讚、留言等平台。例如：臉�</t>
        </is>
      </c>
    </row>
    <row r="443">
      <c r="A443" s="1" t="inlineStr">
        <is>
          <t>vK2m88</t>
        </is>
      </c>
      <c r="B443" s="1" t="inlineStr">
        <is>
          <t>數值</t>
        </is>
      </c>
      <c r="C443" s="1" t="n">
        <v>2</v>
      </c>
      <c r="D443" s="1" t="n">
        <v>0</v>
      </c>
      <c r="E443" s="1" t="inlineStr">
        <is>
          <t>K2 請問您最近一個月有沒有使用下列社群媒體？(可複選)(卡24) 訪員注意： 1.「社群媒體」指的是提供多種讓用戶互動的方式(公開)，像是看朋友的動態、自己PO文、按讚、留言等平台。例如：臉�</t>
        </is>
      </c>
    </row>
    <row r="444">
      <c r="A444" s="1" t="inlineStr">
        <is>
          <t>vK2m90</t>
        </is>
      </c>
      <c r="B444" s="1" t="inlineStr">
        <is>
          <t>數值</t>
        </is>
      </c>
      <c r="C444" s="1" t="n">
        <v>2</v>
      </c>
      <c r="D444" s="1" t="n">
        <v>0</v>
      </c>
      <c r="E444" s="1" t="inlineStr">
        <is>
          <t>K2 請問您最近一個月有沒有使用下列社群媒體？(可複選)(卡24) 訪員注意： 1.「社群媒體」指的是提供多種讓用戶互動的方式(公開)，像是看朋友的動態、自己PO文、按讚、留言等平台。例如：臉�</t>
        </is>
      </c>
    </row>
    <row r="445">
      <c r="A445" s="1" t="inlineStr">
        <is>
          <t>vK2o88</t>
        </is>
      </c>
      <c r="B445" s="1" t="inlineStr">
        <is>
          <t>字串</t>
        </is>
      </c>
      <c r="C445" s="1" t="n">
        <v>150</v>
      </c>
      <c r="D445" s="1" t="n">
        <v>0</v>
      </c>
      <c r="E445" s="1" t="inlineStr">
        <is>
          <t>K2 請問您最近一個月有沒有使用下列社群媒體？(可複選)(卡24) 訪員注意： 1.「社群媒體」指的是提供多種讓用戶互動的方式(公開)，像是看朋友的動態、自己PO文、按讚、留言等平台。例如：臉�</t>
        </is>
      </c>
    </row>
    <row r="446">
      <c r="A446" s="1" t="inlineStr">
        <is>
          <t>vCKFB1</t>
        </is>
      </c>
      <c r="B446" s="1" t="inlineStr">
        <is>
          <t>數值</t>
        </is>
      </c>
      <c r="C446" s="1" t="n">
        <v>14</v>
      </c>
      <c r="D446" s="1" t="n">
        <v>0</v>
      </c>
      <c r="E446" s="1" t="inlineStr">
        <is>
          <t>CKFB1 【請注意】請向受訪者說明： 請訪員出示提示卡23、24，並向受訪者確認： 您剛剛 K1回答 有 使用FB Messenger(臉書聊天室) ， K2同時也回答 沒有 使用臉書(Facebook) ，請問是否正確？ 正確請點選</t>
        </is>
      </c>
    </row>
    <row r="447">
      <c r="A447" s="1" t="inlineStr">
        <is>
          <t>vCKFB2</t>
        </is>
      </c>
      <c r="B447" s="1" t="inlineStr">
        <is>
          <t>數值</t>
        </is>
      </c>
      <c r="C447" s="1" t="n">
        <v>14</v>
      </c>
      <c r="D447" s="1" t="n">
        <v>0</v>
      </c>
      <c r="E447" s="1" t="inlineStr">
        <is>
          <t>CKFB2 【請注意】請向受訪者說明： 請訪員出示提示卡23、24，並向受訪者確認： 您剛剛 K2回答 有 使用臉書(Facebook) ， K1回答同時也 沒有 使用FB Messenger(臉書聊天室) ， 請問是否正確？ 正確請點�</t>
        </is>
      </c>
    </row>
    <row r="448">
      <c r="A448" s="1" t="inlineStr">
        <is>
          <t>vCKFB3</t>
        </is>
      </c>
      <c r="B448" s="1" t="inlineStr">
        <is>
          <t>數值</t>
        </is>
      </c>
      <c r="C448" s="1" t="n">
        <v>14</v>
      </c>
      <c r="D448" s="1" t="n">
        <v>0</v>
      </c>
      <c r="E448" s="1" t="inlineStr">
        <is>
          <t>CKFB3 【請注意】請訪員出示提示卡20、24，並向受訪者說明： 您剛剛 I10_2回答 有 使用FB Watch觀看戲劇， K2在社群媒體平台的題目回答 沒有 使用臉書(Facebook)，請問是否正確? 正確請點選「確定」�</t>
        </is>
      </c>
    </row>
    <row r="449">
      <c r="A449" s="1" t="inlineStr">
        <is>
          <t>vCKIG1</t>
        </is>
      </c>
      <c r="B449" s="1" t="inlineStr">
        <is>
          <t>數值</t>
        </is>
      </c>
      <c r="C449" s="1" t="n">
        <v>14</v>
      </c>
      <c r="D449" s="1" t="n">
        <v>0</v>
      </c>
      <c r="E449" s="1" t="inlineStr">
        <is>
          <t>CKIG1 【請注意】請訪員出示提示卡23、24，並向受訪者確認： 您剛剛 K1回答 有 使用IG 聊天室 ， K2在社群媒體題回答 沒有 使用Instagram，請問是否正確？ 正確請點選「確定」繼續訪問 若受訪者回�</t>
        </is>
      </c>
    </row>
    <row r="450">
      <c r="A450" s="1" t="inlineStr">
        <is>
          <t>vCKIG2</t>
        </is>
      </c>
      <c r="B450" s="1" t="inlineStr">
        <is>
          <t>數值</t>
        </is>
      </c>
      <c r="C450" s="1" t="n">
        <v>14</v>
      </c>
      <c r="D450" s="1" t="n">
        <v>0</v>
      </c>
      <c r="E450" s="1" t="inlineStr">
        <is>
          <t>CKIG2 【請注意】請訪員出示提示卡23、24，並向受訪者確認： 您剛剛 K2回答 有 使用Instagram ， K1即時通訊軟體題回答 沒有 使用IG 聊天室，請問是否正確？ 正確請點選「確定」繼續訪問， 若受訪�</t>
        </is>
      </c>
    </row>
    <row r="451">
      <c r="A451" s="1" t="inlineStr">
        <is>
          <t>vK3m01</t>
        </is>
      </c>
      <c r="B451" s="1" t="inlineStr">
        <is>
          <t>數值</t>
        </is>
      </c>
      <c r="C451" s="1" t="n">
        <v>2</v>
      </c>
      <c r="D451" s="1" t="n">
        <v>0</v>
      </c>
      <c r="E451" s="1" t="inlineStr">
        <is>
          <t>K3 請問您最近一個月有沒有使用下列影音平台？(可複選)(卡25) 受訪者上網情形：${Q:CKE1} 訪員注意： 1.若是在LINE上看到YouTube影片，有點開YouTube網頁或APP才算有使用。 2.不論是透過手機、平板或�</t>
        </is>
      </c>
    </row>
    <row r="452">
      <c r="A452" s="1" t="inlineStr">
        <is>
          <t>vK3m02</t>
        </is>
      </c>
      <c r="B452" s="1" t="inlineStr">
        <is>
          <t>數值</t>
        </is>
      </c>
      <c r="C452" s="1" t="n">
        <v>2</v>
      </c>
      <c r="D452" s="1" t="n">
        <v>0</v>
      </c>
      <c r="E452" s="1" t="inlineStr">
        <is>
          <t>K3 請問您最近一個月有沒有使用下列影音平台？(可複選)(卡25) 受訪者上網情形：${Q:CKE1} 訪員注意： 1.若是在LINE上看到YouTube影片，有點開YouTube網頁或APP才算有使用。 2.不論是透過手機、平板或�</t>
        </is>
      </c>
    </row>
    <row r="453">
      <c r="A453" s="1" t="inlineStr">
        <is>
          <t>vK3m03</t>
        </is>
      </c>
      <c r="B453" s="1" t="inlineStr">
        <is>
          <t>數值</t>
        </is>
      </c>
      <c r="C453" s="1" t="n">
        <v>2</v>
      </c>
      <c r="D453" s="1" t="n">
        <v>0</v>
      </c>
      <c r="E453" s="1" t="inlineStr">
        <is>
          <t>K3 請問您最近一個月有沒有使用下列影音平台？(可複選)(卡25) 受訪者上網情形：${Q:CKE1} 訪員注意： 1.若是在LINE上看到YouTube影片，有點開YouTube網頁或APP才算有使用。 2.不論是透過手機、平板或�</t>
        </is>
      </c>
    </row>
    <row r="454">
      <c r="A454" s="1" t="inlineStr">
        <is>
          <t>vK3m04</t>
        </is>
      </c>
      <c r="B454" s="1" t="inlineStr">
        <is>
          <t>數值</t>
        </is>
      </c>
      <c r="C454" s="1" t="n">
        <v>2</v>
      </c>
      <c r="D454" s="1" t="n">
        <v>0</v>
      </c>
      <c r="E454" s="1" t="inlineStr">
        <is>
          <t>K3 請問您最近一個月有沒有使用下列影音平台？(可複選)(卡25) 受訪者上網情形：${Q:CKE1} 訪員注意： 1.若是在LINE上看到YouTube影片，有點開YouTube網頁或APP才算有使用。 2.不論是透過手機、平板或�</t>
        </is>
      </c>
    </row>
    <row r="455">
      <c r="A455" s="1" t="inlineStr">
        <is>
          <t>vK3m05</t>
        </is>
      </c>
      <c r="B455" s="1" t="inlineStr">
        <is>
          <t>數值</t>
        </is>
      </c>
      <c r="C455" s="1" t="n">
        <v>2</v>
      </c>
      <c r="D455" s="1" t="n">
        <v>0</v>
      </c>
      <c r="E455" s="1" t="inlineStr">
        <is>
          <t>K3 請問您最近一個月有沒有使用下列影音平台？(可複選)(卡25) 受訪者上網情形：${Q:CKE1} 訪員注意： 1.若是在LINE上看到YouTube影片，有點開YouTube網頁或APP才算有使用。 2.不論是透過手機、平板或�</t>
        </is>
      </c>
    </row>
    <row r="456">
      <c r="A456" s="1" t="inlineStr">
        <is>
          <t>vK3m06</t>
        </is>
      </c>
      <c r="B456" s="1" t="inlineStr">
        <is>
          <t>數值</t>
        </is>
      </c>
      <c r="C456" s="1" t="n">
        <v>2</v>
      </c>
      <c r="D456" s="1" t="n">
        <v>0</v>
      </c>
      <c r="E456" s="1" t="inlineStr">
        <is>
          <t>K3 請問您最近一個月有沒有使用下列影音平台？(可複選)(卡25) 受訪者上網情形：${Q:CKE1} 訪員注意： 1.若是在LINE上看到YouTube影片，有點開YouTube網頁或APP才算有使用。 2.不論是透過手機、平板或�</t>
        </is>
      </c>
    </row>
    <row r="457">
      <c r="A457" s="1" t="inlineStr">
        <is>
          <t>vK3m07</t>
        </is>
      </c>
      <c r="B457" s="1" t="inlineStr">
        <is>
          <t>數值</t>
        </is>
      </c>
      <c r="C457" s="1" t="n">
        <v>2</v>
      </c>
      <c r="D457" s="1" t="n">
        <v>0</v>
      </c>
      <c r="E457" s="1" t="inlineStr">
        <is>
          <t>K3 請問您最近一個月有沒有使用下列影音平台？(可複選)(卡25) 受訪者上網情形：${Q:CKE1} 訪員注意： 1.若是在LINE上看到YouTube影片，有點開YouTube網頁或APP才算有使用。 2.不論是透過手機、平板或�</t>
        </is>
      </c>
    </row>
    <row r="458">
      <c r="A458" s="1" t="inlineStr">
        <is>
          <t>vK3m08</t>
        </is>
      </c>
      <c r="B458" s="1" t="inlineStr">
        <is>
          <t>數值</t>
        </is>
      </c>
      <c r="C458" s="1" t="n">
        <v>2</v>
      </c>
      <c r="D458" s="1" t="n">
        <v>0</v>
      </c>
      <c r="E458" s="1" t="inlineStr">
        <is>
          <t>K3 請問您最近一個月有沒有使用下列影音平台？(可複選)(卡25) 受訪者上網情形：${Q:CKE1} 訪員注意： 1.若是在LINE上看到YouTube影片，有點開YouTube網頁或APP才算有使用。 2.不論是透過手機、平板或�</t>
        </is>
      </c>
    </row>
    <row r="459">
      <c r="A459" s="1" t="inlineStr">
        <is>
          <t>vK3m09</t>
        </is>
      </c>
      <c r="B459" s="1" t="inlineStr">
        <is>
          <t>數值</t>
        </is>
      </c>
      <c r="C459" s="1" t="n">
        <v>2</v>
      </c>
      <c r="D459" s="1" t="n">
        <v>0</v>
      </c>
      <c r="E459" s="1" t="inlineStr">
        <is>
          <t>K3 請問您最近一個月有沒有使用下列影音平台？(可複選)(卡25) 受訪者上網情形：${Q:CKE1} 訪員注意： 1.若是在LINE上看到YouTube影片，有點開YouTube網頁或APP才算有使用。 2.不論是透過手機、平板或�</t>
        </is>
      </c>
    </row>
    <row r="460">
      <c r="A460" s="1" t="inlineStr">
        <is>
          <t>vK3m88</t>
        </is>
      </c>
      <c r="B460" s="1" t="inlineStr">
        <is>
          <t>數值</t>
        </is>
      </c>
      <c r="C460" s="1" t="n">
        <v>2</v>
      </c>
      <c r="D460" s="1" t="n">
        <v>0</v>
      </c>
      <c r="E460" s="1" t="inlineStr">
        <is>
          <t>K3 請問您最近一個月有沒有使用下列影音平台？(可複選)(卡25) 受訪者上網情形：${Q:CKE1} 訪員注意： 1.若是在LINE上看到YouTube影片，有點開YouTube網頁或APP才算有使用。 2.不論是透過手機、平板或�</t>
        </is>
      </c>
    </row>
    <row r="461">
      <c r="A461" s="1" t="inlineStr">
        <is>
          <t>vK3m90</t>
        </is>
      </c>
      <c r="B461" s="1" t="inlineStr">
        <is>
          <t>數值</t>
        </is>
      </c>
      <c r="C461" s="1" t="n">
        <v>2</v>
      </c>
      <c r="D461" s="1" t="n">
        <v>0</v>
      </c>
      <c r="E461" s="1" t="inlineStr">
        <is>
          <t>K3 請問您最近一個月有沒有使用下列影音平台？(可複選)(卡25) 受訪者上網情形：${Q:CKE1} 訪員注意： 1.若是在LINE上看到YouTube影片，有點開YouTube網頁或APP才算有使用。 2.不論是透過手機、平板或�</t>
        </is>
      </c>
    </row>
    <row r="462">
      <c r="A462" s="1" t="inlineStr">
        <is>
          <t>vK3o88</t>
        </is>
      </c>
      <c r="B462" s="1" t="inlineStr">
        <is>
          <t>字串</t>
        </is>
      </c>
      <c r="C462" s="1" t="n">
        <v>150</v>
      </c>
      <c r="D462" s="1" t="n">
        <v>0</v>
      </c>
      <c r="E462" s="1" t="inlineStr">
        <is>
          <t>K3 請問您最近一個月有沒有使用下列影音平台？(可複選)(卡25) 受訪者上網情形：${Q:CKE1} 訪員注意： 1.若是在LINE上看到YouTube影片，有點開YouTube網頁或APP才算有使用。 2.不論是透過手機、平板或�</t>
        </is>
      </c>
    </row>
    <row r="463">
      <c r="A463" s="1" t="inlineStr">
        <is>
          <t>vCKK3</t>
        </is>
      </c>
      <c r="B463" s="1" t="inlineStr">
        <is>
          <t>數值</t>
        </is>
      </c>
      <c r="C463" s="1" t="n">
        <v>2</v>
      </c>
      <c r="D463" s="1" t="n">
        <v>0</v>
      </c>
      <c r="E463" s="1" t="inlineStr">
        <is>
          <t>CKK3 【請注意】請訪員出示提示卡25，並向受訪者確認： 您剛剛 (E1)回答不會上網， 但影音平台種類(K3)有使用【${Q:K3}】，請問是否正確？ 這樣也算是上網，請點選修改答案，回到E1題勾選(01)有</t>
        </is>
      </c>
    </row>
    <row r="464">
      <c r="A464" s="1" t="inlineStr">
        <is>
          <t>vCKYT</t>
        </is>
      </c>
      <c r="B464" s="1" t="inlineStr">
        <is>
          <t>數值</t>
        </is>
      </c>
      <c r="C464" s="1" t="n">
        <v>2</v>
      </c>
      <c r="D464" s="1" t="n">
        <v>0</v>
      </c>
      <c r="E464" s="1" t="inlineStr">
        <is>
          <t>CKYT 【請注意】請訪員出示提示卡25，並向受訪者確認： 您剛剛 I10_2回答 有 使用Youtube觀看戲劇 ， K3影音平台題回答 沒有 使用Youtube， 想再跟您確認一下，最近一個月是否有在使用Youtube呢? 若受</t>
        </is>
      </c>
    </row>
    <row r="465">
      <c r="A465" s="1" t="inlineStr">
        <is>
          <t>vCKQY</t>
        </is>
      </c>
      <c r="B465" s="1" t="inlineStr">
        <is>
          <t>數值</t>
        </is>
      </c>
      <c r="C465" s="1" t="n">
        <v>2</v>
      </c>
      <c r="D465" s="1" t="n">
        <v>0</v>
      </c>
      <c r="E465" s="1" t="inlineStr">
        <is>
          <t>CKQY 【請注意】請訪員出示提示卡25，並向受訪者確認： 您剛剛 I10_2回答 有 使用愛奇藝觀看戲劇 ， K3影音平台題回答 沒有 使用愛奇藝， 想再跟您確認一下，最近一個月是否有在使用愛奇藝呢�</t>
        </is>
      </c>
    </row>
    <row r="466">
      <c r="A466" s="1" t="inlineStr">
        <is>
          <t>vCKNFX</t>
        </is>
      </c>
      <c r="B466" s="1" t="inlineStr">
        <is>
          <t>數值</t>
        </is>
      </c>
      <c r="C466" s="1" t="n">
        <v>2</v>
      </c>
      <c r="D466" s="1" t="n">
        <v>0</v>
      </c>
      <c r="E466" s="1" t="inlineStr">
        <is>
          <t>CKNFX 【請注意】請訪員出示提示卡25，並向受訪者確認： 您剛剛 I10_2回答 有 使用Netflix網飛觀看戲劇 ， K3影音平台題回答 沒有 使用Netflix網飛， 想再跟您確認一下，最近一個月是否有在使用Netfl</t>
        </is>
      </c>
    </row>
    <row r="467">
      <c r="A467" s="1" t="inlineStr">
        <is>
          <t>vCKLTV</t>
        </is>
      </c>
      <c r="B467" s="1" t="inlineStr">
        <is>
          <t>數值</t>
        </is>
      </c>
      <c r="C467" s="1" t="n">
        <v>2</v>
      </c>
      <c r="D467" s="1" t="n">
        <v>0</v>
      </c>
      <c r="E467" s="1" t="inlineStr">
        <is>
          <t>CKLTV 【請注意】請訪員出示提示卡25，並向受訪者確認： 您剛剛 I10_2回答 有 使用LINE TV觀看戲劇 ， K3影音平台題回答 沒有 使用LINE TV， 想再跟您確認一下，最近一個月是否有在使用LINE TV呢? 若�</t>
        </is>
      </c>
    </row>
    <row r="468">
      <c r="A468" s="1" t="inlineStr">
        <is>
          <t>vCKDS</t>
        </is>
      </c>
      <c r="B468" s="1" t="inlineStr">
        <is>
          <t>數值</t>
        </is>
      </c>
      <c r="C468" s="1" t="n">
        <v>2</v>
      </c>
      <c r="D468" s="1" t="n">
        <v>0</v>
      </c>
      <c r="E468" s="1" t="inlineStr">
        <is>
          <t>CKDS 【請注意】請訪員出示提示卡25，並向受訪者確認： 您剛剛 I10_2回答 有 使用Disney +觀看戲劇 ， K3影音平台題回答 沒有 使用Disney +， 想再跟您確認一下，最近一個月是否有在使用Disney +呢? 若</t>
        </is>
      </c>
    </row>
    <row r="469">
      <c r="A469" s="1" t="inlineStr">
        <is>
          <t>vKFB1</t>
        </is>
      </c>
      <c r="B469" s="1" t="inlineStr">
        <is>
          <t>數值</t>
        </is>
      </c>
      <c r="C469" s="1" t="n">
        <v>4</v>
      </c>
      <c r="D469" s="1" t="n">
        <v>0</v>
      </c>
      <c r="E469" s="1" t="inlineStr">
        <is>
          <t>KFB1 請問您每週平均有幾天使用臉書(Facebook或FB)？ 訪員注意： 1.本題為數值題，若為區間請取「中間值」，例如：3~4天，請填入「3.5」天。 2.答案無法填答時（例如：一個月只看1天）或每週平均</t>
        </is>
      </c>
    </row>
    <row r="470">
      <c r="A470" s="1" t="inlineStr">
        <is>
          <t>vKFB2</t>
        </is>
      </c>
      <c r="B470" s="1" t="inlineStr">
        <is>
          <t>數值</t>
        </is>
      </c>
      <c r="C470" s="1" t="n">
        <v>5</v>
      </c>
      <c r="D470" s="1" t="n">
        <v>0</v>
      </c>
      <c r="E470" s="1" t="inlineStr">
        <is>
          <t>KFB2 在您有使用臉書(Facebook)的那一天，您一整天大概會使用多久(真的有在用臉書的時間)？ 訪員注意： 1.若使用時間很分散，只要有空就會用，請受訪者儘量回想在什麼場合會用臉書（Facebook）�</t>
        </is>
      </c>
    </row>
    <row r="471">
      <c r="A471" s="1" t="inlineStr">
        <is>
          <t>vKIG1</t>
        </is>
      </c>
      <c r="B471" s="1" t="inlineStr">
        <is>
          <t>數值</t>
        </is>
      </c>
      <c r="C471" s="1" t="n">
        <v>4</v>
      </c>
      <c r="D471" s="1" t="n">
        <v>0</v>
      </c>
      <c r="E471" s="1" t="inlineStr">
        <is>
          <t>KIG1 請問您每週平均有幾天使用Instagram(IG)？</t>
        </is>
      </c>
    </row>
    <row r="472">
      <c r="A472" s="1" t="inlineStr">
        <is>
          <t>vKIG2</t>
        </is>
      </c>
      <c r="B472" s="1" t="inlineStr">
        <is>
          <t>數值</t>
        </is>
      </c>
      <c r="C472" s="1" t="n">
        <v>5</v>
      </c>
      <c r="D472" s="1" t="n">
        <v>0</v>
      </c>
      <c r="E472" s="1" t="inlineStr">
        <is>
          <t>KIG2 在您有使用Instagram(IG)的那一天，您一整天大概會使用多久(真的有在用Instagram(IG)的時間)？ 訪員注意： 1.若使用時間很分散，只要有空就會用，請受訪者儘量回想在什麼場合會用Instagram(IG)，�</t>
        </is>
      </c>
    </row>
    <row r="473">
      <c r="A473" s="1" t="inlineStr">
        <is>
          <t>vKTT1</t>
        </is>
      </c>
      <c r="B473" s="1" t="inlineStr">
        <is>
          <t>數值</t>
        </is>
      </c>
      <c r="C473" s="1" t="n">
        <v>4</v>
      </c>
      <c r="D473" s="1" t="n">
        <v>0</v>
      </c>
      <c r="E473" s="1" t="inlineStr">
        <is>
          <t>KTT1 請問您每週平均有幾天使用抖音(TikTok)？</t>
        </is>
      </c>
    </row>
    <row r="474">
      <c r="A474" s="1" t="inlineStr">
        <is>
          <t>vKTT2</t>
        </is>
      </c>
      <c r="B474" s="1" t="inlineStr">
        <is>
          <t>數值</t>
        </is>
      </c>
      <c r="C474" s="1" t="n">
        <v>5</v>
      </c>
      <c r="D474" s="1" t="n">
        <v>0</v>
      </c>
      <c r="E474" s="1" t="inlineStr">
        <is>
          <t>KTT2 在您有使用抖音(TikTok)的那一天，您一整天大概會使用多久(真的有在用抖音(TikTok)的時間)？ 訪員注意： 1.若使用時間很分散，只要有空就會用，請受訪者儘量回想在什麼場合會用抖音(TikTok)�</t>
        </is>
      </c>
    </row>
    <row r="475">
      <c r="A475" s="1" t="inlineStr">
        <is>
          <t>vP3sP3_1</t>
        </is>
      </c>
      <c r="B475" s="1" t="inlineStr">
        <is>
          <t>數值</t>
        </is>
      </c>
      <c r="C475" s="1" t="n">
        <v>2</v>
      </c>
      <c r="D475" s="1" t="n">
        <v>0</v>
      </c>
      <c r="E475" s="1" t="inlineStr">
        <is>
          <t>P3 (卡26) 如果受訪者回答「沒有遇到問題」、「沒有壓力」、「沒有困難」，請一律點選「（01）從來沒有」。 P3_1 請問您有多常在社群媒體上談到您遇到的問題呢？</t>
        </is>
      </c>
    </row>
    <row r="476">
      <c r="A476" s="1" t="inlineStr">
        <is>
          <t>vP3sP3_2</t>
        </is>
      </c>
      <c r="B476" s="1" t="inlineStr">
        <is>
          <t>數值</t>
        </is>
      </c>
      <c r="C476" s="1" t="n">
        <v>2</v>
      </c>
      <c r="D476" s="1" t="n">
        <v>0</v>
      </c>
      <c r="E476" s="1" t="inlineStr">
        <is>
          <t>P3 (卡26) 如果受訪者回答「沒有遇到問題」、「沒有壓力」、「沒有困難」，請一律點選「（01）從來沒有」。 P3_2 那您有多常在社群媒體上談到您承受的壓力呢？</t>
        </is>
      </c>
    </row>
    <row r="477">
      <c r="A477" s="1" t="inlineStr">
        <is>
          <t>vP3sP3_3</t>
        </is>
      </c>
      <c r="B477" s="1" t="inlineStr">
        <is>
          <t>數值</t>
        </is>
      </c>
      <c r="C477" s="1" t="n">
        <v>2</v>
      </c>
      <c r="D477" s="1" t="n">
        <v>0</v>
      </c>
      <c r="E477" s="1" t="inlineStr">
        <is>
          <t>P3 (卡26) 如果受訪者回答「沒有遇到問題」、「沒有壓力」、「沒有困難」，請一律點選「（01）從來沒有」。 P3_3 那您有多常在社群媒體上談到您個人的困難呢？</t>
        </is>
      </c>
    </row>
    <row r="478">
      <c r="A478" s="1" t="inlineStr">
        <is>
          <t>vP3_4sP3_4</t>
        </is>
      </c>
      <c r="B478" s="1" t="inlineStr">
        <is>
          <t>數值</t>
        </is>
      </c>
      <c r="C478" s="1" t="n">
        <v>2</v>
      </c>
      <c r="D478" s="1" t="n">
        <v>0</v>
      </c>
      <c r="E478" s="1" t="inlineStr">
        <is>
          <t>P3_4 接下來，我們想請問您，當您遇到困難的時候，請問您同不同意社群媒體對您會有以下的幫助？(卡27) P3_4 請問您同不同意，當您遇到困難的時候， 在社群媒體上有人會挺您或站在您這邊呢？</t>
        </is>
      </c>
    </row>
    <row r="479">
      <c r="A479" s="1" t="inlineStr">
        <is>
          <t>vP3_4sP3_5</t>
        </is>
      </c>
      <c r="B479" s="1" t="inlineStr">
        <is>
          <t>數值</t>
        </is>
      </c>
      <c r="C479" s="1" t="n">
        <v>2</v>
      </c>
      <c r="D479" s="1" t="n">
        <v>0</v>
      </c>
      <c r="E479" s="1" t="inlineStr">
        <is>
          <t>P3_4 接下來，我們想請問您，當您遇到困難的時候，請問您同不同意社群媒體對您會有以下的幫助？(卡27) P3_5 那您同不同意，當您遇到困難的時候， 在社群媒體上有人會安慰並且鼓勵您呢？</t>
        </is>
      </c>
    </row>
    <row r="480">
      <c r="A480" s="1" t="inlineStr">
        <is>
          <t>vP3_4sP3_6</t>
        </is>
      </c>
      <c r="B480" s="1" t="inlineStr">
        <is>
          <t>數值</t>
        </is>
      </c>
      <c r="C480" s="1" t="n">
        <v>2</v>
      </c>
      <c r="D480" s="1" t="n">
        <v>0</v>
      </c>
      <c r="E480" s="1" t="inlineStr">
        <is>
          <t>P3_4 接下來，我們想請問您，當您遇到困難的時候，請問您同不同意社群媒體對您會有以下的幫助？(卡27) P3_6 那您同不同意，當您遇到困難的時候， 在社群媒體上有人會對您表示關心呢？</t>
        </is>
      </c>
    </row>
    <row r="481">
      <c r="A481" s="1" t="inlineStr">
        <is>
          <t>vP3_7sP3_7</t>
        </is>
      </c>
      <c r="B481" s="1" t="inlineStr">
        <is>
          <t>數值</t>
        </is>
      </c>
      <c r="C481" s="1" t="n">
        <v>2</v>
      </c>
      <c r="D481" s="1" t="n">
        <v>0</v>
      </c>
      <c r="E481" s="1" t="inlineStr">
        <is>
          <t>P3_7 接下來，我們想請問您，當您遇到困難的時候，社群媒體會不會對您有些幫助？(卡27) P3_7 那您同不同意，當您遇到困難的時候， 在社群媒體上有人會提供有用的建議給您呢？</t>
        </is>
      </c>
    </row>
    <row r="482">
      <c r="A482" s="1" t="inlineStr">
        <is>
          <t>vP3_7sP3_8</t>
        </is>
      </c>
      <c r="B482" s="1" t="inlineStr">
        <is>
          <t>數值</t>
        </is>
      </c>
      <c r="C482" s="1" t="n">
        <v>2</v>
      </c>
      <c r="D482" s="1" t="n">
        <v>0</v>
      </c>
      <c r="E482" s="1" t="inlineStr">
        <is>
          <t>P3_7 接下來，我們想請問您，當您遇到困難的時候，社群媒體會不會對您有些幫助？(卡27) P3_8 那您同不同意，當您遇到困難的時候，在社群媒體上有人會提供有幫助的資訊給您呢？</t>
        </is>
      </c>
    </row>
    <row r="483">
      <c r="A483" s="1" t="inlineStr">
        <is>
          <t>vP3_7sP3_9</t>
        </is>
      </c>
      <c r="B483" s="1" t="inlineStr">
        <is>
          <t>數值</t>
        </is>
      </c>
      <c r="C483" s="1" t="n">
        <v>2</v>
      </c>
      <c r="D483" s="1" t="n">
        <v>0</v>
      </c>
      <c r="E483" s="1" t="inlineStr">
        <is>
          <t>P3_7 接下來，我們想請問您，當您遇到困難的時候，社群媒體會不會對您有些幫助？(卡27) P3_9 那您同不同意，當您遇到困難的時候， 如果您需要幫助，在社群媒體上有人會告訴您可以去哪裡尋求</t>
        </is>
      </c>
    </row>
    <row r="484">
      <c r="A484" s="1" t="inlineStr">
        <is>
          <t>vP6_1</t>
        </is>
      </c>
      <c r="B484" s="1" t="inlineStr">
        <is>
          <t>數值</t>
        </is>
      </c>
      <c r="C484" s="1" t="n">
        <v>2</v>
      </c>
      <c r="D484" s="1" t="n">
        <v>0</v>
      </c>
      <c r="E484" s="1" t="inlineStr">
        <is>
          <t>P6_1 請確認受訪者上網行為與社群媒體使用狀況，並依照狀況選取適當答案。 若受訪者是微上網，或不會上網，或都沒有使用社群媒體，請直接選(95)，方便跳過後續題目。 若受訪者會上網、且�</t>
        </is>
      </c>
    </row>
    <row r="485">
      <c r="A485" s="1" t="inlineStr">
        <is>
          <t>vP6_2</t>
        </is>
      </c>
      <c r="B485" s="1" t="inlineStr">
        <is>
          <t>數值</t>
        </is>
      </c>
      <c r="C485" s="1" t="n">
        <v>2</v>
      </c>
      <c r="D485" s="1" t="n">
        <v>0</v>
      </c>
      <c r="E485" s="1" t="inlineStr">
        <is>
          <t>P6_2 請問您同不同意，您在社群媒體上的發文(含照片)、轉發、按讚、留言，完全反應您的真實狀態。(卡27)</t>
        </is>
      </c>
    </row>
    <row r="486">
      <c r="A486" s="1" t="inlineStr">
        <is>
          <t>vP6_3</t>
        </is>
      </c>
      <c r="B486" s="1" t="inlineStr">
        <is>
          <t>數值</t>
        </is>
      </c>
      <c r="C486" s="1" t="n">
        <v>2</v>
      </c>
      <c r="D486" s="1" t="n">
        <v>0</v>
      </c>
      <c r="E486" s="1" t="inlineStr">
        <is>
          <t>P6_3 請問您同不同意，您在社群媒體上發文(含照片)、轉發、按讚、留言的時候，會真誠地分享您的心情。(卡27)</t>
        </is>
      </c>
    </row>
    <row r="487">
      <c r="A487" s="1" t="inlineStr">
        <is>
          <t>vP6_4</t>
        </is>
      </c>
      <c r="B487" s="1" t="inlineStr">
        <is>
          <t>數值</t>
        </is>
      </c>
      <c r="C487" s="1" t="n">
        <v>2</v>
      </c>
      <c r="D487" s="1" t="n">
        <v>0</v>
      </c>
      <c r="E487" s="1" t="inlineStr">
        <is>
          <t>P6_4 請問您同不同意，您在社群媒體上發文(含照片)、轉發、按讚、留言的心情，會真實傳達您的感受。(卡27)</t>
        </is>
      </c>
    </row>
    <row r="488">
      <c r="A488" s="1" t="inlineStr">
        <is>
          <t>vP6sP6_5</t>
        </is>
      </c>
      <c r="B488" s="1" t="inlineStr">
        <is>
          <t>數值</t>
        </is>
      </c>
      <c r="C488" s="1" t="n">
        <v>2</v>
      </c>
      <c r="D488" s="1" t="n">
        <v>0</v>
      </c>
      <c r="E488" s="1" t="inlineStr">
        <is>
          <t>P6 (卡28) 訪員注意：如果受訪者回答「沒有開心的事」或「沒有不開心的事」，請一律點選「（01）從來沒有」。 P6_5 您多常在社群媒體上，分享日常生活中開心的事？</t>
        </is>
      </c>
    </row>
    <row r="489">
      <c r="A489" s="1" t="inlineStr">
        <is>
          <t>vP6sP6_6</t>
        </is>
      </c>
      <c r="B489" s="1" t="inlineStr">
        <is>
          <t>數值</t>
        </is>
      </c>
      <c r="C489" s="1" t="n">
        <v>2</v>
      </c>
      <c r="D489" s="1" t="n">
        <v>0</v>
      </c>
      <c r="E489" s="1" t="inlineStr">
        <is>
          <t>P6 (卡28) 訪員注意：如果受訪者回答「沒有開心的事」或「沒有不開心的事」，請一律點選「（01）從來沒有」。 P6_6 您多常在社群媒體上，分享日常生活中不開心的事？</t>
        </is>
      </c>
    </row>
    <row r="490">
      <c r="A490" s="1" t="inlineStr">
        <is>
          <t>vP4</t>
        </is>
      </c>
      <c r="B490" s="1" t="inlineStr">
        <is>
          <t>數值</t>
        </is>
      </c>
      <c r="C490" s="1" t="n">
        <v>14</v>
      </c>
      <c r="D490" s="1" t="n">
        <v>0</v>
      </c>
      <c r="E490" s="1" t="inlineStr">
        <is>
          <t>P4 訪員注意：此處請出示提示卡29，並依照提示卡上面的文字逐一讀出，讀出文字時請用手指指出提示卡文字大致位置，帶領受訪者一起聽讀前導語。 現在的社群媒體使用方式很多元：有一種是�</t>
        </is>
      </c>
    </row>
    <row r="491">
      <c r="A491" s="1" t="inlineStr">
        <is>
          <t>vP4_1</t>
        </is>
      </c>
      <c r="B491" s="1" t="inlineStr">
        <is>
          <t>數值</t>
        </is>
      </c>
      <c r="C491" s="1" t="n">
        <v>2</v>
      </c>
      <c r="D491" s="1" t="n">
        <v>0</v>
      </c>
      <c r="E491" s="1" t="inlineStr">
        <is>
          <t>P4_1 首先，想請問您有多常在社群媒體上進行人際網絡互動，像是在個人臉書、IG頁面上對自己的人際社群發布內容或回覆留言呢？(Messenger屬於通訊軟體，不包含在這裡討論的範疇)(卡30) (P6-1題)�</t>
        </is>
      </c>
    </row>
    <row r="492">
      <c r="A492" s="1" t="inlineStr">
        <is>
          <t>vP4_2</t>
        </is>
      </c>
      <c r="B492" s="1" t="inlineStr">
        <is>
          <t>數值</t>
        </is>
      </c>
      <c r="C492" s="1" t="n">
        <v>2</v>
      </c>
      <c r="D492" s="1" t="n">
        <v>0</v>
      </c>
      <c r="E492" s="1" t="inlineStr">
        <is>
          <t>P4_2 請問您有多常在社群媒體上進行興趣社群互動，像是在臉書社團、小紅書或Pinterest上，對個人興趣社群發布內容或回覆留言呢？(卡30) (P6-1題)受訪者是否同意在社群媒體上發文(含照片)、轉發�</t>
        </is>
      </c>
    </row>
    <row r="493">
      <c r="A493" s="1" t="inlineStr">
        <is>
          <t>vP4_3A</t>
        </is>
      </c>
      <c r="B493" s="1" t="inlineStr">
        <is>
          <t>數值</t>
        </is>
      </c>
      <c r="C493" s="1" t="n">
        <v>2</v>
      </c>
      <c r="D493" s="1" t="n">
        <v>0</v>
      </c>
      <c r="E493" s="1" t="inlineStr">
        <is>
          <t>P4_3A 請問您在社群媒體上面的帳號，是可以知道您真實身分的帳號呢？還是無法知道您真實身分的化名或帳號呢？還是您兩種帳號都有呢？ 訪員注意：如果受訪者不知道什麼是「無法知道真實身</t>
        </is>
      </c>
    </row>
    <row r="494">
      <c r="A494" s="1" t="inlineStr">
        <is>
          <t>vP4_3</t>
        </is>
      </c>
      <c r="B494" s="1" t="inlineStr">
        <is>
          <t>數值</t>
        </is>
      </c>
      <c r="C494" s="1" t="n">
        <v>2</v>
      </c>
      <c r="D494" s="1" t="n">
        <v>0</v>
      </c>
      <c r="E494" s="1" t="inlineStr">
        <is>
          <t>P4_3 那請問您發布內容時，多常在社群媒體上用自己的名字或是可以知道您真實身分的帳號呢？(卡30) (P6-1題)受訪者是否同意在社群媒體上發文(含照片)、轉發、按讚、留言能反映自己是什麼樣的�</t>
        </is>
      </c>
    </row>
    <row r="495">
      <c r="A495" s="1" t="inlineStr">
        <is>
          <t>vP4_4</t>
        </is>
      </c>
      <c r="B495" s="1" t="inlineStr">
        <is>
          <t>數值</t>
        </is>
      </c>
      <c r="C495" s="1" t="n">
        <v>2</v>
      </c>
      <c r="D495" s="1" t="n">
        <v>0</v>
      </c>
      <c r="E495" s="1" t="inlineStr">
        <is>
          <t>P4_4 那請問您發布內容時，多常在社群媒體上用無法知道您真實身分的化名或帳號呢？(卡30) (P6-1題)受訪者是否同意在社群媒體上發文(含照片)、轉發、按讚、留言能反映自己是什麼樣的人：${Q:P6_</t>
        </is>
      </c>
    </row>
    <row r="496">
      <c r="A496" s="1" t="inlineStr">
        <is>
          <t>vP4_5</t>
        </is>
      </c>
      <c r="B496" s="1" t="inlineStr">
        <is>
          <t>數值</t>
        </is>
      </c>
      <c r="C496" s="1" t="n">
        <v>2</v>
      </c>
      <c r="D496" s="1" t="n">
        <v>0</v>
      </c>
      <c r="E496" s="1" t="inlineStr">
        <is>
          <t>P4_5 請問您多常在社群媒體上分享包含自己影像的照片或影片呢？例如自拍照、自己的影片，或是不露臉的穿搭照跟影片都算。(卡30) (P6-1題)受訪者是否同意在社群媒體上發文(含照片)、轉發、按�</t>
        </is>
      </c>
    </row>
    <row r="497">
      <c r="A497" s="1" t="inlineStr">
        <is>
          <t>vP4_6</t>
        </is>
      </c>
      <c r="B497" s="1" t="inlineStr">
        <is>
          <t>數值</t>
        </is>
      </c>
      <c r="C497" s="1" t="n">
        <v>2</v>
      </c>
      <c r="D497" s="1" t="n">
        <v>0</v>
      </c>
      <c r="E497" s="1" t="inlineStr">
        <is>
          <t>P4_6 請問您多常在社群媒體上分享不含自己影像的照片或影片呢？例如：沒有自己的風景食物照 (卡30) (P6-1題)受訪者是否同意在社群媒體上發文(含照片)、轉發、按讚、留言能反映自己是什麼樣的</t>
        </is>
      </c>
    </row>
    <row r="498">
      <c r="A498" s="1" t="inlineStr">
        <is>
          <t>vP2_1m01</t>
        </is>
      </c>
      <c r="B498" s="1" t="inlineStr">
        <is>
          <t>數值</t>
        </is>
      </c>
      <c r="C498" s="1" t="n">
        <v>2</v>
      </c>
      <c r="D498" s="1" t="n">
        <v>0</v>
      </c>
      <c r="E498" s="1" t="inlineStr">
        <is>
          <t>P2_1 【訪員讀題完畢後，請將平板轉給受訪者選擇，並由訪員協助點選】 請問您在社群媒體上(例：臉書、IG)，或是通訊媒體(例：LINE)裡面，有加入而且有常常關注哪些主題的社團、社群或群組呢</t>
        </is>
      </c>
    </row>
    <row r="499">
      <c r="A499" s="1" t="inlineStr">
        <is>
          <t>vP2_1m02</t>
        </is>
      </c>
      <c r="B499" s="1" t="inlineStr">
        <is>
          <t>數值</t>
        </is>
      </c>
      <c r="C499" s="1" t="n">
        <v>2</v>
      </c>
      <c r="D499" s="1" t="n">
        <v>0</v>
      </c>
      <c r="E499" s="1" t="inlineStr">
        <is>
          <t>P2_1 【訪員讀題完畢後，請將平板轉給受訪者選擇，並由訪員協助點選】 請問您在社群媒體上(例：臉書、IG)，或是通訊媒體(例：LINE)裡面，有加入而且有常常關注哪些主題的社團、社群或群組呢</t>
        </is>
      </c>
    </row>
    <row r="500">
      <c r="A500" s="1" t="inlineStr">
        <is>
          <t>vP2_1m03</t>
        </is>
      </c>
      <c r="B500" s="1" t="inlineStr">
        <is>
          <t>數值</t>
        </is>
      </c>
      <c r="C500" s="1" t="n">
        <v>2</v>
      </c>
      <c r="D500" s="1" t="n">
        <v>0</v>
      </c>
      <c r="E500" s="1" t="inlineStr">
        <is>
          <t>P2_1 【訪員讀題完畢後，請將平板轉給受訪者選擇，並由訪員協助點選】 請問您在社群媒體上(例：臉書、IG)，或是通訊媒體(例：LINE)裡面，有加入而且有常常關注哪些主題的社團、社群或群組呢</t>
        </is>
      </c>
    </row>
    <row r="501">
      <c r="A501" s="1" t="inlineStr">
        <is>
          <t>vP2_1m04</t>
        </is>
      </c>
      <c r="B501" s="1" t="inlineStr">
        <is>
          <t>數值</t>
        </is>
      </c>
      <c r="C501" s="1" t="n">
        <v>2</v>
      </c>
      <c r="D501" s="1" t="n">
        <v>0</v>
      </c>
      <c r="E501" s="1" t="inlineStr">
        <is>
          <t>P2_1 【訪員讀題完畢後，請將平板轉給受訪者選擇，並由訪員協助點選】 請問您在社群媒體上(例：臉書、IG)，或是通訊媒體(例：LINE)裡面，有加入而且有常常關注哪些主題的社團、社群或群組呢</t>
        </is>
      </c>
    </row>
    <row r="502">
      <c r="A502" s="1" t="inlineStr">
        <is>
          <t>vP2_1m05</t>
        </is>
      </c>
      <c r="B502" s="1" t="inlineStr">
        <is>
          <t>數值</t>
        </is>
      </c>
      <c r="C502" s="1" t="n">
        <v>2</v>
      </c>
      <c r="D502" s="1" t="n">
        <v>0</v>
      </c>
      <c r="E502" s="1" t="inlineStr">
        <is>
          <t>P2_1 【訪員讀題完畢後，請將平板轉給受訪者選擇，並由訪員協助點選】 請問您在社群媒體上(例：臉書、IG)，或是通訊媒體(例：LINE)裡面，有加入而且有常常關注哪些主題的社團、社群或群組呢</t>
        </is>
      </c>
    </row>
    <row r="503">
      <c r="A503" s="1" t="inlineStr">
        <is>
          <t>vP2_1m06</t>
        </is>
      </c>
      <c r="B503" s="1" t="inlineStr">
        <is>
          <t>數值</t>
        </is>
      </c>
      <c r="C503" s="1" t="n">
        <v>2</v>
      </c>
      <c r="D503" s="1" t="n">
        <v>0</v>
      </c>
      <c r="E503" s="1" t="inlineStr">
        <is>
          <t>P2_1 【訪員讀題完畢後，請將平板轉給受訪者選擇，並由訪員協助點選】 請問您在社群媒體上(例：臉書、IG)，或是通訊媒體(例：LINE)裡面，有加入而且有常常關注哪些主題的社團、社群或群組呢</t>
        </is>
      </c>
    </row>
    <row r="504">
      <c r="A504" s="1" t="inlineStr">
        <is>
          <t>vP2_1m07</t>
        </is>
      </c>
      <c r="B504" s="1" t="inlineStr">
        <is>
          <t>數值</t>
        </is>
      </c>
      <c r="C504" s="1" t="n">
        <v>2</v>
      </c>
      <c r="D504" s="1" t="n">
        <v>0</v>
      </c>
      <c r="E504" s="1" t="inlineStr">
        <is>
          <t>P2_1 【訪員讀題完畢後，請將平板轉給受訪者選擇，並由訪員協助點選】 請問您在社群媒體上(例：臉書、IG)，或是通訊媒體(例：LINE)裡面，有加入而且有常常關注哪些主題的社團、社群或群組呢</t>
        </is>
      </c>
    </row>
    <row r="505">
      <c r="A505" s="1" t="inlineStr">
        <is>
          <t>vP2_1m08</t>
        </is>
      </c>
      <c r="B505" s="1" t="inlineStr">
        <is>
          <t>數值</t>
        </is>
      </c>
      <c r="C505" s="1" t="n">
        <v>2</v>
      </c>
      <c r="D505" s="1" t="n">
        <v>0</v>
      </c>
      <c r="E505" s="1" t="inlineStr">
        <is>
          <t>P2_1 【訪員讀題完畢後，請將平板轉給受訪者選擇，並由訪員協助點選】 請問您在社群媒體上(例：臉書、IG)，或是通訊媒體(例：LINE)裡面，有加入而且有常常關注哪些主題的社團、社群或群組呢</t>
        </is>
      </c>
    </row>
    <row r="506">
      <c r="A506" s="1" t="inlineStr">
        <is>
          <t>vP2_1m09</t>
        </is>
      </c>
      <c r="B506" s="1" t="inlineStr">
        <is>
          <t>數值</t>
        </is>
      </c>
      <c r="C506" s="1" t="n">
        <v>2</v>
      </c>
      <c r="D506" s="1" t="n">
        <v>0</v>
      </c>
      <c r="E506" s="1" t="inlineStr">
        <is>
          <t>P2_1 【訪員讀題完畢後，請將平板轉給受訪者選擇，並由訪員協助點選】 請問您在社群媒體上(例：臉書、IG)，或是通訊媒體(例：LINE)裡面，有加入而且有常常關注哪些主題的社團、社群或群組呢</t>
        </is>
      </c>
    </row>
    <row r="507">
      <c r="A507" s="1" t="inlineStr">
        <is>
          <t>vP2_1m10</t>
        </is>
      </c>
      <c r="B507" s="1" t="inlineStr">
        <is>
          <t>數值</t>
        </is>
      </c>
      <c r="C507" s="1" t="n">
        <v>2</v>
      </c>
      <c r="D507" s="1" t="n">
        <v>0</v>
      </c>
      <c r="E507" s="1" t="inlineStr">
        <is>
          <t>P2_1 【訪員讀題完畢後，請將平板轉給受訪者選擇，並由訪員協助點選】 請問您在社群媒體上(例：臉書、IG)，或是通訊媒體(例：LINE)裡面，有加入而且有常常關注哪些主題的社團、社群或群組呢</t>
        </is>
      </c>
    </row>
    <row r="508">
      <c r="A508" s="1" t="inlineStr">
        <is>
          <t>vP2_1m11</t>
        </is>
      </c>
      <c r="B508" s="1" t="inlineStr">
        <is>
          <t>數值</t>
        </is>
      </c>
      <c r="C508" s="1" t="n">
        <v>2</v>
      </c>
      <c r="D508" s="1" t="n">
        <v>0</v>
      </c>
      <c r="E508" s="1" t="inlineStr">
        <is>
          <t>P2_1 【訪員讀題完畢後，請將平板轉給受訪者選擇，並由訪員協助點選】 請問您在社群媒體上(例：臉書、IG)，或是通訊媒體(例：LINE)裡面，有加入而且有常常關注哪些主題的社團、社群或群組呢</t>
        </is>
      </c>
    </row>
    <row r="509">
      <c r="A509" s="1" t="inlineStr">
        <is>
          <t>vP2_1m12</t>
        </is>
      </c>
      <c r="B509" s="1" t="inlineStr">
        <is>
          <t>數值</t>
        </is>
      </c>
      <c r="C509" s="1" t="n">
        <v>2</v>
      </c>
      <c r="D509" s="1" t="n">
        <v>0</v>
      </c>
      <c r="E509" s="1" t="inlineStr">
        <is>
          <t>P2_1 【訪員讀題完畢後，請將平板轉給受訪者選擇，並由訪員協助點選】 請問您在社群媒體上(例：臉書、IG)，或是通訊媒體(例：LINE)裡面，有加入而且有常常關注哪些主題的社團、社群或群組呢</t>
        </is>
      </c>
    </row>
    <row r="510">
      <c r="A510" s="1" t="inlineStr">
        <is>
          <t>vP2_1m13</t>
        </is>
      </c>
      <c r="B510" s="1" t="inlineStr">
        <is>
          <t>數值</t>
        </is>
      </c>
      <c r="C510" s="1" t="n">
        <v>2</v>
      </c>
      <c r="D510" s="1" t="n">
        <v>0</v>
      </c>
      <c r="E510" s="1" t="inlineStr">
        <is>
          <t>P2_1 【訪員讀題完畢後，請將平板轉給受訪者選擇，並由訪員協助點選】 請問您在社群媒體上(例：臉書、IG)，或是通訊媒體(例：LINE)裡面，有加入而且有常常關注哪些主題的社團、社群或群組呢</t>
        </is>
      </c>
    </row>
    <row r="511">
      <c r="A511" s="1" t="inlineStr">
        <is>
          <t>vP2_1m14</t>
        </is>
      </c>
      <c r="B511" s="1" t="inlineStr">
        <is>
          <t>數值</t>
        </is>
      </c>
      <c r="C511" s="1" t="n">
        <v>2</v>
      </c>
      <c r="D511" s="1" t="n">
        <v>0</v>
      </c>
      <c r="E511" s="1" t="inlineStr">
        <is>
          <t>P2_1 【訪員讀題完畢後，請將平板轉給受訪者選擇，並由訪員協助點選】 請問您在社群媒體上(例：臉書、IG)，或是通訊媒體(例：LINE)裡面，有加入而且有常常關注哪些主題的社團、社群或群組呢</t>
        </is>
      </c>
    </row>
    <row r="512">
      <c r="A512" s="1" t="inlineStr">
        <is>
          <t>vP2_1m88</t>
        </is>
      </c>
      <c r="B512" s="1" t="inlineStr">
        <is>
          <t>數值</t>
        </is>
      </c>
      <c r="C512" s="1" t="n">
        <v>2</v>
      </c>
      <c r="D512" s="1" t="n">
        <v>0</v>
      </c>
      <c r="E512" s="1" t="inlineStr">
        <is>
          <t>P2_1 【訪員讀題完畢後，請將平板轉給受訪者選擇，並由訪員協助點選】 請問您在社群媒體上(例：臉書、IG)，或是通訊媒體(例：LINE)裡面，有加入而且有常常關注哪些主題的社團、社群或群組呢</t>
        </is>
      </c>
    </row>
    <row r="513">
      <c r="A513" s="1" t="inlineStr">
        <is>
          <t>vP2_1o88</t>
        </is>
      </c>
      <c r="B513" s="1" t="inlineStr">
        <is>
          <t>字串</t>
        </is>
      </c>
      <c r="C513" s="1" t="n">
        <v>150</v>
      </c>
      <c r="D513" s="1" t="n">
        <v>0</v>
      </c>
      <c r="E513" s="1" t="inlineStr">
        <is>
          <t>P2_1 【訪員讀題完畢後，請將平板轉給受訪者選擇，並由訪員協助點選】 請問您在社群媒體上(例：臉書、IG)，或是通訊媒體(例：LINE)裡面，有加入而且有常常關注哪些主題的社團、社群或群組呢</t>
        </is>
      </c>
    </row>
    <row r="514">
      <c r="A514" s="1" t="inlineStr">
        <is>
          <t>vP2_2</t>
        </is>
      </c>
      <c r="B514" s="1" t="inlineStr">
        <is>
          <t>數值</t>
        </is>
      </c>
      <c r="C514" s="1" t="n">
        <v>6</v>
      </c>
      <c r="D514" s="1" t="n">
        <v>0</v>
      </c>
      <c r="E514" s="1" t="inlineStr">
        <is>
          <t>P2_2 【訪員讀題完畢後，請將平板轉給受訪者選擇，並由訪員協助點選】 那您在最近一個月以來，常常造訪幾個這些主題的社團、社群或群組呢？ 若您加入而且有常常關注的社團超過5000個，請�</t>
        </is>
      </c>
    </row>
    <row r="515">
      <c r="A515" s="1" t="inlineStr">
        <is>
          <t>vP2_3m01</t>
        </is>
      </c>
      <c r="B515" s="1" t="inlineStr">
        <is>
          <t>數值</t>
        </is>
      </c>
      <c r="C515" s="1" t="n">
        <v>2</v>
      </c>
      <c r="D515" s="1" t="n">
        <v>0</v>
      </c>
      <c r="E515" s="1" t="inlineStr">
        <is>
          <t>P2_3 【訪員讀題完畢後，請將平板轉給受訪者選擇，並由訪員協助點選】 那您在社群媒體上(包括：臉書、IG)或LINE加入這些社團、社群或群組的原因是什麼呢？(可複選)  (01) 可知道大家感興趣的�</t>
        </is>
      </c>
    </row>
    <row r="516">
      <c r="A516" s="1" t="inlineStr">
        <is>
          <t>vP2_3m02</t>
        </is>
      </c>
      <c r="B516" s="1" t="inlineStr">
        <is>
          <t>數值</t>
        </is>
      </c>
      <c r="C516" s="1" t="n">
        <v>2</v>
      </c>
      <c r="D516" s="1" t="n">
        <v>0</v>
      </c>
      <c r="E516" s="1" t="inlineStr">
        <is>
          <t>P2_3 【訪員讀題完畢後，請將平板轉給受訪者選擇，並由訪員協助點選】 那您在社群媒體上(包括：臉書、IG)或LINE加入這些社團、社群或群組的原因是什麼呢？(可複選)  (02) 不會錯過社會上最夯�</t>
        </is>
      </c>
    </row>
    <row r="517">
      <c r="A517" s="1" t="inlineStr">
        <is>
          <t>vP2_3m03</t>
        </is>
      </c>
      <c r="B517" s="1" t="inlineStr">
        <is>
          <t>數值</t>
        </is>
      </c>
      <c r="C517" s="1" t="n">
        <v>2</v>
      </c>
      <c r="D517" s="1" t="n">
        <v>0</v>
      </c>
      <c r="E517" s="1" t="inlineStr">
        <is>
          <t>P2_3 【訪員讀題完畢後，請將平板轉給受訪者選擇，並由訪員協助點選】 那您在社群媒體上(包括：臉書、IG)或LINE加入這些社團、社群或群組的原因是什麼呢？(可複選)  (03) 獲得新資訊</t>
        </is>
      </c>
    </row>
    <row r="518">
      <c r="A518" s="1" t="inlineStr">
        <is>
          <t>vP2_3m04</t>
        </is>
      </c>
      <c r="B518" s="1" t="inlineStr">
        <is>
          <t>數值</t>
        </is>
      </c>
      <c r="C518" s="1" t="n">
        <v>2</v>
      </c>
      <c r="D518" s="1" t="n">
        <v>0</v>
      </c>
      <c r="E518" s="1" t="inlineStr">
        <is>
          <t>P2_3 【訪員讀題完畢後，請將平板轉給受訪者選擇，並由訪員協助點選】 那您在社群媒體上(包括：臉書、IG)或LINE加入這些社團、社群或群組的原因是什麼呢？(可複選)  (04) 學得新技能</t>
        </is>
      </c>
    </row>
    <row r="519">
      <c r="A519" s="1" t="inlineStr">
        <is>
          <t>vP2_3m05</t>
        </is>
      </c>
      <c r="B519" s="1" t="inlineStr">
        <is>
          <t>數值</t>
        </is>
      </c>
      <c r="C519" s="1" t="n">
        <v>2</v>
      </c>
      <c r="D519" s="1" t="n">
        <v>0</v>
      </c>
      <c r="E519" s="1" t="inlineStr">
        <is>
          <t>P2_3 【訪員讀題完畢後，請將平板轉給受訪者選擇，並由訪員協助點選】 那您在社群媒體上(包括：臉書、IG)或LINE加入這些社團、社群或群組的原因是什麼呢？(可複選)  (05) 可以跟人互動</t>
        </is>
      </c>
    </row>
    <row r="520">
      <c r="A520" s="1" t="inlineStr">
        <is>
          <t>vP2_3m06</t>
        </is>
      </c>
      <c r="B520" s="1" t="inlineStr">
        <is>
          <t>數值</t>
        </is>
      </c>
      <c r="C520" s="1" t="n">
        <v>2</v>
      </c>
      <c r="D520" s="1" t="n">
        <v>0</v>
      </c>
      <c r="E520" s="1" t="inlineStr">
        <is>
          <t>P2_3 【訪員讀題完畢後，請將平板轉給受訪者選擇，並由訪員協助點選】 那您在社群媒體上(包括：臉書、IG)或LINE加入這些社團、社群或群組的原因是什麼呢？(可複選)  (06) 覺得有人陪伴</t>
        </is>
      </c>
    </row>
    <row r="521">
      <c r="A521" s="1" t="inlineStr">
        <is>
          <t>vP2_3m07</t>
        </is>
      </c>
      <c r="B521" s="1" t="inlineStr">
        <is>
          <t>數值</t>
        </is>
      </c>
      <c r="C521" s="1" t="n">
        <v>2</v>
      </c>
      <c r="D521" s="1" t="n">
        <v>0</v>
      </c>
      <c r="E521" s="1" t="inlineStr">
        <is>
          <t>P2_3 【訪員讀題完畢後，請將平板轉給受訪者選擇，並由訪員協助點選】 那您在社群媒體上(包括：臉書、IG)或LINE加入這些社團、社群或群組的原因是什麼呢？(可複選)  (07) 覺得有樂趣</t>
        </is>
      </c>
    </row>
    <row r="522">
      <c r="A522" s="1" t="inlineStr">
        <is>
          <t>vP2_3m08</t>
        </is>
      </c>
      <c r="B522" s="1" t="inlineStr">
        <is>
          <t>數值</t>
        </is>
      </c>
      <c r="C522" s="1" t="n">
        <v>2</v>
      </c>
      <c r="D522" s="1" t="n">
        <v>0</v>
      </c>
      <c r="E522" s="1" t="inlineStr">
        <is>
          <t>P2_3 【訪員讀題完畢後，請將平板轉給受訪者選擇，並由訪員協助點選】 那您在社群媒體上(包括：臉書、IG)或LINE加入這些社團、社群或群組的原因是什麼呢？(可複選)  (08) 拓展人際經驗</t>
        </is>
      </c>
    </row>
    <row r="523">
      <c r="A523" s="1" t="inlineStr">
        <is>
          <t>vP2_3m09</t>
        </is>
      </c>
      <c r="B523" s="1" t="inlineStr">
        <is>
          <t>數值</t>
        </is>
      </c>
      <c r="C523" s="1" t="n">
        <v>2</v>
      </c>
      <c r="D523" s="1" t="n">
        <v>0</v>
      </c>
      <c r="E523" s="1" t="inlineStr">
        <is>
          <t>P2_3 【訪員讀題完畢後，請將平板轉給受訪者選擇，並由訪員協助點選】 那您在社群媒體上(包括：臉書、IG)或LINE加入這些社團、社群或群組的原因是什麼呢？(可複選)  (09) 擴大人際網絡</t>
        </is>
      </c>
    </row>
    <row r="524">
      <c r="A524" s="1" t="inlineStr">
        <is>
          <t>vP2_3m10</t>
        </is>
      </c>
      <c r="B524" s="1" t="inlineStr">
        <is>
          <t>數值</t>
        </is>
      </c>
      <c r="C524" s="1" t="n">
        <v>2</v>
      </c>
      <c r="D524" s="1" t="n">
        <v>0</v>
      </c>
      <c r="E524" s="1" t="inlineStr">
        <is>
          <t>P2_3 【訪員讀題完畢後，請將平板轉給受訪者選擇，並由訪員協助點選】 那您在社群媒體上(包括：臉書、IG)或LINE加入這些社團、社群或群組的原因是什麼呢？(可複選)  (10) 充實個人生活</t>
        </is>
      </c>
    </row>
    <row r="525">
      <c r="A525" s="1" t="inlineStr">
        <is>
          <t>vP2_3m11</t>
        </is>
      </c>
      <c r="B525" s="1" t="inlineStr">
        <is>
          <t>數值</t>
        </is>
      </c>
      <c r="C525" s="1" t="n">
        <v>2</v>
      </c>
      <c r="D525" s="1" t="n">
        <v>0</v>
      </c>
      <c r="E525" s="1" t="inlineStr">
        <is>
          <t>P2_3 【訪員讀題完畢後，請將平板轉給受訪者選擇，並由訪員協助點選】 那您在社群媒體上(包括：臉書、IG)或LINE加入這些社團、社群或群組的原因是什麼呢？(可複選)  (11) 自我提升</t>
        </is>
      </c>
    </row>
    <row r="526">
      <c r="A526" s="1" t="inlineStr">
        <is>
          <t>vP2_3m88</t>
        </is>
      </c>
      <c r="B526" s="1" t="inlineStr">
        <is>
          <t>數值</t>
        </is>
      </c>
      <c r="C526" s="1" t="n">
        <v>2</v>
      </c>
      <c r="D526" s="1" t="n">
        <v>0</v>
      </c>
      <c r="E526" s="1" t="inlineStr">
        <is>
          <t>P2_3 【訪員讀題完畢後，請將平板轉給受訪者選擇，並由訪員協助點選】 那您在社群媒體上(包括：臉書、IG)或LINE加入這些社團、社群或群組的原因是什麼呢？(可複選)  (88) 其他，請說明</t>
        </is>
      </c>
    </row>
    <row r="527">
      <c r="A527" s="1" t="inlineStr">
        <is>
          <t>vP2_3o88</t>
        </is>
      </c>
      <c r="B527" s="1" t="inlineStr">
        <is>
          <t>字串</t>
        </is>
      </c>
      <c r="C527" s="1" t="n">
        <v>150</v>
      </c>
      <c r="D527" s="1" t="n">
        <v>0</v>
      </c>
      <c r="E527" s="1" t="inlineStr">
        <is>
          <t>P2_3 【訪員讀題完畢後，請將平板轉給受訪者選擇，並由訪員協助點選】 那您在社群媒體上(包括：臉書、IG)或LINE加入這些社團、社群或群組的原因是什麼呢？(可複選)  (88) 其他，請說明</t>
        </is>
      </c>
    </row>
    <row r="528">
      <c r="A528" s="1" t="inlineStr">
        <is>
          <t>vP2_4m01</t>
        </is>
      </c>
      <c r="B528" s="1" t="inlineStr">
        <is>
          <t>數值</t>
        </is>
      </c>
      <c r="C528" s="1" t="n">
        <v>2</v>
      </c>
      <c r="D528" s="1" t="n">
        <v>0</v>
      </c>
      <c r="E528" s="1" t="inlineStr">
        <is>
          <t>P2_4 【訪員讀題完畢後，請將平板轉給受訪者選擇，並由訪員協助點選】 那您在這些社團、社群或群組上與人互動的時候（包括瀏覽、貼文、回文、按讚），您會做哪些事呢？(可複選)  (01) 貼文�</t>
        </is>
      </c>
    </row>
    <row r="529">
      <c r="A529" s="1" t="inlineStr">
        <is>
          <t>vP2_4m02</t>
        </is>
      </c>
      <c r="B529" s="1" t="inlineStr">
        <is>
          <t>數值</t>
        </is>
      </c>
      <c r="C529" s="1" t="n">
        <v>2</v>
      </c>
      <c r="D529" s="1" t="n">
        <v>0</v>
      </c>
      <c r="E529" s="1" t="inlineStr">
        <is>
          <t>P2_4 【訪員讀題完畢後，請將平板轉給受訪者選擇，並由訪員協助點選】 那您在這些社團、社群或群組上與人互動的時候（包括瀏覽、貼文、回文、按讚），您會做哪些事呢？(可複選)  (02) 貼文�</t>
        </is>
      </c>
    </row>
    <row r="530">
      <c r="A530" s="1" t="inlineStr">
        <is>
          <t>vP2_4m03</t>
        </is>
      </c>
      <c r="B530" s="1" t="inlineStr">
        <is>
          <t>數值</t>
        </is>
      </c>
      <c r="C530" s="1" t="n">
        <v>2</v>
      </c>
      <c r="D530" s="1" t="n">
        <v>0</v>
      </c>
      <c r="E530" s="1" t="inlineStr">
        <is>
          <t>P2_4 【訪員讀題完畢後，請將平板轉給受訪者選擇，並由訪員協助點選】 那您在這些社團、社群或群組上與人互動的時候（包括瀏覽、貼文、回文、按讚），您會做哪些事呢？(可複選)  (03) 貼文�</t>
        </is>
      </c>
    </row>
    <row r="531">
      <c r="A531" s="1" t="inlineStr">
        <is>
          <t>vP2_4m04</t>
        </is>
      </c>
      <c r="B531" s="1" t="inlineStr">
        <is>
          <t>數值</t>
        </is>
      </c>
      <c r="C531" s="1" t="n">
        <v>2</v>
      </c>
      <c r="D531" s="1" t="n">
        <v>0</v>
      </c>
      <c r="E531" s="1" t="inlineStr">
        <is>
          <t>P2_4 【訪員讀題完畢後，請將平板轉給受訪者選擇，並由訪員協助點選】 那您在這些社團、社群或群組上與人互動的時候（包括瀏覽、貼文、回文、按讚），您會做哪些事呢？(可複選)  (04) 貼文�</t>
        </is>
      </c>
    </row>
    <row r="532">
      <c r="A532" s="1" t="inlineStr">
        <is>
          <t>vP2_4m05</t>
        </is>
      </c>
      <c r="B532" s="1" t="inlineStr">
        <is>
          <t>數值</t>
        </is>
      </c>
      <c r="C532" s="1" t="n">
        <v>2</v>
      </c>
      <c r="D532" s="1" t="n">
        <v>0</v>
      </c>
      <c r="E532" s="1" t="inlineStr">
        <is>
          <t>P2_4 【訪員讀題完畢後，請將平板轉給受訪者選擇，並由訪員協助點選】 那您在這些社團、社群或群組上與人互動的時候（包括瀏覽、貼文、回文、按讚），您會做哪些事呢？(可複選)  (05) 回應�</t>
        </is>
      </c>
    </row>
    <row r="533">
      <c r="A533" s="1" t="inlineStr">
        <is>
          <t>vP2_4m06</t>
        </is>
      </c>
      <c r="B533" s="1" t="inlineStr">
        <is>
          <t>數值</t>
        </is>
      </c>
      <c r="C533" s="1" t="n">
        <v>2</v>
      </c>
      <c r="D533" s="1" t="n">
        <v>0</v>
      </c>
      <c r="E533" s="1" t="inlineStr">
        <is>
          <t>P2_4 【訪員讀題完畢後，請將平板轉給受訪者選擇，並由訪員協助點選】 那您在這些社團、社群或群組上與人互動的時候（包括瀏覽、貼文、回文、按讚），您會做哪些事呢？(可複選)  (06) 回應�</t>
        </is>
      </c>
    </row>
    <row r="534">
      <c r="A534" s="1" t="inlineStr">
        <is>
          <t>vP2_4m07</t>
        </is>
      </c>
      <c r="B534" s="1" t="inlineStr">
        <is>
          <t>數值</t>
        </is>
      </c>
      <c r="C534" s="1" t="n">
        <v>2</v>
      </c>
      <c r="D534" s="1" t="n">
        <v>0</v>
      </c>
      <c r="E534" s="1" t="inlineStr">
        <is>
          <t>P2_4 【訪員讀題完畢後，請將平板轉給受訪者選擇，並由訪員協助點選】 那您在這些社團、社群或群組上與人互動的時候（包括瀏覽、貼文、回文、按讚），您會做哪些事呢？(可複選)  (07) 給予�</t>
        </is>
      </c>
    </row>
    <row r="535">
      <c r="A535" s="1" t="inlineStr">
        <is>
          <t>vP2_4m08</t>
        </is>
      </c>
      <c r="B535" s="1" t="inlineStr">
        <is>
          <t>數值</t>
        </is>
      </c>
      <c r="C535" s="1" t="n">
        <v>2</v>
      </c>
      <c r="D535" s="1" t="n">
        <v>0</v>
      </c>
      <c r="E535" s="1" t="inlineStr">
        <is>
          <t>P2_4 【訪員讀題完畢後，請將平板轉給受訪者選擇，並由訪員協助點選】 那您在這些社團、社群或群組上與人互動的時候（包括瀏覽、貼文、回文、按讚），您會做哪些事呢？(可複選)  (08) 給予�</t>
        </is>
      </c>
    </row>
    <row r="536">
      <c r="A536" s="1" t="inlineStr">
        <is>
          <t>vP2_4m09</t>
        </is>
      </c>
      <c r="B536" s="1" t="inlineStr">
        <is>
          <t>數值</t>
        </is>
      </c>
      <c r="C536" s="1" t="n">
        <v>2</v>
      </c>
      <c r="D536" s="1" t="n">
        <v>0</v>
      </c>
      <c r="E536" s="1" t="inlineStr">
        <is>
          <t>P2_4 【訪員讀題完畢後，請將平板轉給受訪者選擇，並由訪員協助點選】 那您在這些社團、社群或群組上與人互動的時候（包括瀏覽、貼文、回文、按讚），您會做哪些事呢？(可複選)  (09) 只有�</t>
        </is>
      </c>
    </row>
    <row r="537">
      <c r="A537" s="1" t="inlineStr">
        <is>
          <t>vP2_4m88</t>
        </is>
      </c>
      <c r="B537" s="1" t="inlineStr">
        <is>
          <t>數值</t>
        </is>
      </c>
      <c r="C537" s="1" t="n">
        <v>2</v>
      </c>
      <c r="D537" s="1" t="n">
        <v>0</v>
      </c>
      <c r="E537" s="1" t="inlineStr">
        <is>
          <t>P2_4 【訪員讀題完畢後，請將平板轉給受訪者選擇，並由訪員協助點選】 那您在這些社團、社群或群組上與人互動的時候（包括瀏覽、貼文、回文、按讚），您會做哪些事呢？(可複選)  (88) 其他�</t>
        </is>
      </c>
    </row>
    <row r="538">
      <c r="A538" s="1" t="inlineStr">
        <is>
          <t>vP2_4m91</t>
        </is>
      </c>
      <c r="B538" s="1" t="inlineStr">
        <is>
          <t>數值</t>
        </is>
      </c>
      <c r="C538" s="1" t="n">
        <v>2</v>
      </c>
      <c r="D538" s="1" t="n">
        <v>0</v>
      </c>
      <c r="E538" s="1" t="inlineStr">
        <is>
          <t>P2_4 【訪員讀題完畢後，請將平板轉給受訪者選擇，並由訪員協助點選】 那您在這些社團、社群或群組上與人互動的時候（包括瀏覽、貼文、回文、按讚），您會做哪些事呢？(可複選)  (91)</t>
        </is>
      </c>
    </row>
    <row r="539">
      <c r="A539" s="1" t="inlineStr">
        <is>
          <t>vP2_4m92</t>
        </is>
      </c>
      <c r="B539" s="1" t="inlineStr">
        <is>
          <t>數值</t>
        </is>
      </c>
      <c r="C539" s="1" t="n">
        <v>2</v>
      </c>
      <c r="D539" s="1" t="n">
        <v>0</v>
      </c>
      <c r="E539" s="1" t="inlineStr">
        <is>
          <t>P2_4 【訪員讀題完畢後，請將平板轉給受訪者選擇，並由訪員協助點選】 那您在這些社團、社群或群組上與人互動的時候（包括瀏覽、貼文、回文、按讚），您會做哪些事呢？(可複選)  (92)</t>
        </is>
      </c>
    </row>
    <row r="540">
      <c r="A540" s="1" t="inlineStr">
        <is>
          <t>vP2_4o88</t>
        </is>
      </c>
      <c r="B540" s="1" t="inlineStr">
        <is>
          <t>字串</t>
        </is>
      </c>
      <c r="C540" s="1" t="n">
        <v>150</v>
      </c>
      <c r="D540" s="1" t="n">
        <v>0</v>
      </c>
      <c r="E540" s="1" t="inlineStr">
        <is>
          <t>P2_4 【訪員讀題完畢後，請將平板轉給受訪者選擇，並由訪員協助點選】 那您在這些社團、社群或群組上與人互動的時候（包括瀏覽、貼文、回文、按讚），您會做哪些事呢？(可複選)  (88) 其他�</t>
        </is>
      </c>
    </row>
    <row r="541">
      <c r="A541" s="1" t="inlineStr">
        <is>
          <t>vP2_5m01</t>
        </is>
      </c>
      <c r="B541" s="1" t="inlineStr">
        <is>
          <t>數值</t>
        </is>
      </c>
      <c r="C541" s="1" t="n">
        <v>2</v>
      </c>
      <c r="D541" s="1" t="n">
        <v>0</v>
      </c>
      <c r="E541" s="1" t="inlineStr">
        <is>
          <t>P2_5 【訪員讀題完畢後，請將平板轉給受訪者選擇，並由訪員協助點選】 那在參加這些社團、社群或群組的時候，您的感受是什麼呢？(可複選)  (01) 覺得在這幾個社團可以得到您想要的</t>
        </is>
      </c>
    </row>
    <row r="542">
      <c r="A542" s="1" t="inlineStr">
        <is>
          <t>vP2_5m02</t>
        </is>
      </c>
      <c r="B542" s="1" t="inlineStr">
        <is>
          <t>數值</t>
        </is>
      </c>
      <c r="C542" s="1" t="n">
        <v>2</v>
      </c>
      <c r="D542" s="1" t="n">
        <v>0</v>
      </c>
      <c r="E542" s="1" t="inlineStr">
        <is>
          <t>P2_5 【訪員讀題完畢後，請將平板轉給受訪者選擇，並由訪員協助點選】 那在參加這些社團、社群或群組的時候，您的感受是什麼呢？(可複選)  (02) 覺得這幾個社團滿足您的需要</t>
        </is>
      </c>
    </row>
    <row r="543">
      <c r="A543" s="1" t="inlineStr">
        <is>
          <t>vP2_5m03</t>
        </is>
      </c>
      <c r="B543" s="1" t="inlineStr">
        <is>
          <t>數值</t>
        </is>
      </c>
      <c r="C543" s="1" t="n">
        <v>2</v>
      </c>
      <c r="D543" s="1" t="n">
        <v>0</v>
      </c>
      <c r="E543" s="1" t="inlineStr">
        <is>
          <t>P2_5 【訪員讀題完畢後，請將平板轉給受訪者選擇，並由訪員協助點選】 那在參加這些社團、社群或群組的時候，您的感受是什麼呢？(可複選)  (03) 覺得自己是這幾個社團的一份子</t>
        </is>
      </c>
    </row>
    <row r="544">
      <c r="A544" s="1" t="inlineStr">
        <is>
          <t>vP2_5m04</t>
        </is>
      </c>
      <c r="B544" s="1" t="inlineStr">
        <is>
          <t>數值</t>
        </is>
      </c>
      <c r="C544" s="1" t="n">
        <v>2</v>
      </c>
      <c r="D544" s="1" t="n">
        <v>0</v>
      </c>
      <c r="E544" s="1" t="inlineStr">
        <is>
          <t>P2_5 【訪員讀題完畢後，請將平板轉給受訪者選擇，並由訪員協助點選】 那在參加這些社團、社群或群組的時候，您的感受是什麼呢？(可複選)  (04) 覺得這幾個社團讓您有歸屬感</t>
        </is>
      </c>
    </row>
    <row r="545">
      <c r="A545" s="1" t="inlineStr">
        <is>
          <t>vP2_5m05</t>
        </is>
      </c>
      <c r="B545" s="1" t="inlineStr">
        <is>
          <t>數值</t>
        </is>
      </c>
      <c r="C545" s="1" t="n">
        <v>2</v>
      </c>
      <c r="D545" s="1" t="n">
        <v>0</v>
      </c>
      <c r="E545" s="1" t="inlineStr">
        <is>
          <t>P2_5 【訪員讀題完畢後，請將平板轉給受訪者選擇，並由訪員協助點選】 那在參加這些社團、社群或群組的時候，您的感受是什麼呢？(可複選)  (05) 覺得自己在這幾個社團有影響力</t>
        </is>
      </c>
    </row>
    <row r="546">
      <c r="A546" s="1" t="inlineStr">
        <is>
          <t>vP2_5m06</t>
        </is>
      </c>
      <c r="B546" s="1" t="inlineStr">
        <is>
          <t>數值</t>
        </is>
      </c>
      <c r="C546" s="1" t="n">
        <v>2</v>
      </c>
      <c r="D546" s="1" t="n">
        <v>0</v>
      </c>
      <c r="E546" s="1" t="inlineStr">
        <is>
          <t>P2_5 【訪員讀題完畢後，請將平板轉給受訪者選擇，並由訪員協助點選】 那在參加這些社團、社群或群組的時候，您的感受是什麼呢？(可複選)  (06) 覺得這幾個社團上的朋友彼此會相互影響</t>
        </is>
      </c>
    </row>
    <row r="547">
      <c r="A547" s="1" t="inlineStr">
        <is>
          <t>vP2_5m07</t>
        </is>
      </c>
      <c r="B547" s="1" t="inlineStr">
        <is>
          <t>數值</t>
        </is>
      </c>
      <c r="C547" s="1" t="n">
        <v>2</v>
      </c>
      <c r="D547" s="1" t="n">
        <v>0</v>
      </c>
      <c r="E547" s="1" t="inlineStr">
        <is>
          <t>P2_5 【訪員讀題完畢後，請將平板轉給受訪者選擇，並由訪員協助點選】 那在參加這些社團、社群或群組的時候，您的感受是什麼呢？(可複選)  (07) 覺得您和這幾個社團有連結感(情感上有共鳴)</t>
        </is>
      </c>
    </row>
    <row r="548">
      <c r="A548" s="1" t="inlineStr">
        <is>
          <t>vP2_5m08</t>
        </is>
      </c>
      <c r="B548" s="1" t="inlineStr">
        <is>
          <t>數值</t>
        </is>
      </c>
      <c r="C548" s="1" t="n">
        <v>2</v>
      </c>
      <c r="D548" s="1" t="n">
        <v>0</v>
      </c>
      <c r="E548" s="1" t="inlineStr">
        <is>
          <t>P2_5 【訪員讀題完畢後，請將平板轉給受訪者選擇，並由訪員協助點選】 那在參加這些社團、社群或群組的時候，您的感受是什麼呢？(可複選)  (08) 覺得和這幾個社團的朋友們很親近</t>
        </is>
      </c>
    </row>
    <row r="549">
      <c r="A549" s="1" t="inlineStr">
        <is>
          <t>vP2_5m88</t>
        </is>
      </c>
      <c r="B549" s="1" t="inlineStr">
        <is>
          <t>數值</t>
        </is>
      </c>
      <c r="C549" s="1" t="n">
        <v>2</v>
      </c>
      <c r="D549" s="1" t="n">
        <v>0</v>
      </c>
      <c r="E549" s="1" t="inlineStr">
        <is>
          <t>P2_5 【訪員讀題完畢後，請將平板轉給受訪者選擇，並由訪員協助點選】 那在參加這些社團、社群或群組的時候，您的感受是什麼呢？(可複選)  (88) 其他，請說明</t>
        </is>
      </c>
    </row>
    <row r="550">
      <c r="A550" s="1" t="inlineStr">
        <is>
          <t>vP2_5m90</t>
        </is>
      </c>
      <c r="B550" s="1" t="inlineStr">
        <is>
          <t>數值</t>
        </is>
      </c>
      <c r="C550" s="1" t="n">
        <v>2</v>
      </c>
      <c r="D550" s="1" t="n">
        <v>0</v>
      </c>
      <c r="E550" s="1" t="inlineStr">
        <is>
          <t>P2_5 【訪員讀題完畢後，請將平板轉給受訪者選擇，並由訪員協助點選】 那在參加這些社團、社群或群組的時候，您的感受是什麼呢？(可複選)  (90) 都沒有</t>
        </is>
      </c>
    </row>
    <row r="551">
      <c r="A551" s="1" t="inlineStr">
        <is>
          <t>vP2_5m91</t>
        </is>
      </c>
      <c r="B551" s="1" t="inlineStr">
        <is>
          <t>數值</t>
        </is>
      </c>
      <c r="C551" s="1" t="n">
        <v>2</v>
      </c>
      <c r="D551" s="1" t="n">
        <v>0</v>
      </c>
      <c r="E551" s="1" t="inlineStr">
        <is>
          <t>P2_5 【訪員讀題完畢後，請將平板轉給受訪者選擇，並由訪員協助點選】 那在參加這些社團、社群或群組的時候，您的感受是什麼呢？(可複選)  (91)</t>
        </is>
      </c>
    </row>
    <row r="552">
      <c r="A552" s="1" t="inlineStr">
        <is>
          <t>vP2_5m92</t>
        </is>
      </c>
      <c r="B552" s="1" t="inlineStr">
        <is>
          <t>數值</t>
        </is>
      </c>
      <c r="C552" s="1" t="n">
        <v>2</v>
      </c>
      <c r="D552" s="1" t="n">
        <v>0</v>
      </c>
      <c r="E552" s="1" t="inlineStr">
        <is>
          <t>P2_5 【訪員讀題完畢後，請將平板轉給受訪者選擇，並由訪員協助點選】 那在參加這些社團、社群或群組的時候，您的感受是什麼呢？(可複選)  (92)</t>
        </is>
      </c>
    </row>
    <row r="553">
      <c r="A553" s="1" t="inlineStr">
        <is>
          <t>vP2_5o88</t>
        </is>
      </c>
      <c r="B553" s="1" t="inlineStr">
        <is>
          <t>字串</t>
        </is>
      </c>
      <c r="C553" s="1" t="n">
        <v>150</v>
      </c>
      <c r="D553" s="1" t="n">
        <v>0</v>
      </c>
      <c r="E553" s="1" t="inlineStr">
        <is>
          <t>P2_5 【訪員讀題完畢後，請將平板轉給受訪者選擇，並由訪員協助點選】 那在參加這些社團、社群或群組的時候，您的感受是什麼呢？(可複選)  (88) 其他，請說明</t>
        </is>
      </c>
    </row>
    <row r="554">
      <c r="A554" s="1" t="inlineStr">
        <is>
          <t>vP2_6m01</t>
        </is>
      </c>
      <c r="B554" s="1" t="inlineStr">
        <is>
          <t>數值</t>
        </is>
      </c>
      <c r="C554" s="1" t="n">
        <v>2</v>
      </c>
      <c r="D554" s="1" t="n">
        <v>0</v>
      </c>
      <c r="E554" s="1" t="inlineStr">
        <is>
          <t>P2_6 【訪員讀題完畢後，請將平板轉給受訪者選擇，並由訪員協助點選】 那在參加這些社團的時候，您心裡有什麼樣的感覺？(可複選)  (01) 覺得被啟發</t>
        </is>
      </c>
    </row>
    <row r="555">
      <c r="A555" s="1" t="inlineStr">
        <is>
          <t>vP2_6m02</t>
        </is>
      </c>
      <c r="B555" s="1" t="inlineStr">
        <is>
          <t>數值</t>
        </is>
      </c>
      <c r="C555" s="1" t="n">
        <v>2</v>
      </c>
      <c r="D555" s="1" t="n">
        <v>0</v>
      </c>
      <c r="E555" s="1" t="inlineStr">
        <is>
          <t>P2_6 【訪員讀題完畢後，請將平板轉給受訪者選擇，並由訪員協助點選】 那在參加這些社團的時候，您心裡有什麼樣的感覺？(可複選)  (02) 覺得充滿希望</t>
        </is>
      </c>
    </row>
    <row r="556">
      <c r="A556" s="1" t="inlineStr">
        <is>
          <t>vP2_6m03</t>
        </is>
      </c>
      <c r="B556" s="1" t="inlineStr">
        <is>
          <t>數值</t>
        </is>
      </c>
      <c r="C556" s="1" t="n">
        <v>2</v>
      </c>
      <c r="D556" s="1" t="n">
        <v>0</v>
      </c>
      <c r="E556" s="1" t="inlineStr">
        <is>
          <t>P2_6 【訪員讀題完畢後，請將平板轉給受訪者選擇，並由訪員協助點選】 那在參加這些社團的時候，您心裡有什麼樣的感覺？(可複選)  (03) 覺得感恩</t>
        </is>
      </c>
    </row>
    <row r="557">
      <c r="A557" s="1" t="inlineStr">
        <is>
          <t>vP2_6m04</t>
        </is>
      </c>
      <c r="B557" s="1" t="inlineStr">
        <is>
          <t>數值</t>
        </is>
      </c>
      <c r="C557" s="1" t="n">
        <v>2</v>
      </c>
      <c r="D557" s="1" t="n">
        <v>0</v>
      </c>
      <c r="E557" s="1" t="inlineStr">
        <is>
          <t>P2_6 【訪員讀題完畢後，請將平板轉給受訪者選擇，並由訪員協助點選】 那在參加這些社團的時候，您心裡有什麼樣的感覺？(可複選)  (04) 感到自我提升</t>
        </is>
      </c>
    </row>
    <row r="558">
      <c r="A558" s="1" t="inlineStr">
        <is>
          <t>vP2_6m05</t>
        </is>
      </c>
      <c r="B558" s="1" t="inlineStr">
        <is>
          <t>數值</t>
        </is>
      </c>
      <c r="C558" s="1" t="n">
        <v>2</v>
      </c>
      <c r="D558" s="1" t="n">
        <v>0</v>
      </c>
      <c r="E558" s="1" t="inlineStr">
        <is>
          <t>P2_6 【訪員讀題完畢後，請將平板轉給受訪者選擇，並由訪員協助點選】 那在參加這些社團的時候，您心裡有什麼樣的感覺？(可複選)  (05) 感到驚嘆</t>
        </is>
      </c>
    </row>
    <row r="559">
      <c r="A559" s="1" t="inlineStr">
        <is>
          <t>vP2_6m06</t>
        </is>
      </c>
      <c r="B559" s="1" t="inlineStr">
        <is>
          <t>數值</t>
        </is>
      </c>
      <c r="C559" s="1" t="n">
        <v>2</v>
      </c>
      <c r="D559" s="1" t="n">
        <v>0</v>
      </c>
      <c r="E559" s="1" t="inlineStr">
        <is>
          <t>P2_6 【訪員讀題完畢後，請將平板轉給受訪者選擇，並由訪員協助點選】 那在參加這些社團的時候，您心裡有什麼樣的感覺？(可複選)  (06) 感到精力充沛</t>
        </is>
      </c>
    </row>
    <row r="560">
      <c r="A560" s="1" t="inlineStr">
        <is>
          <t>vP2_6m07</t>
        </is>
      </c>
      <c r="B560" s="1" t="inlineStr">
        <is>
          <t>數值</t>
        </is>
      </c>
      <c r="C560" s="1" t="n">
        <v>2</v>
      </c>
      <c r="D560" s="1" t="n">
        <v>0</v>
      </c>
      <c r="E560" s="1" t="inlineStr">
        <is>
          <t>P2_6 【訪員讀題完畢後，請將平板轉給受訪者選擇，並由訪員協助點選】 那在參加這些社團的時候，您心裡有什麼樣的感覺？(可複選)  (07) 覺得感動</t>
        </is>
      </c>
    </row>
    <row r="561">
      <c r="A561" s="1" t="inlineStr">
        <is>
          <t>vP2_6m08</t>
        </is>
      </c>
      <c r="B561" s="1" t="inlineStr">
        <is>
          <t>數值</t>
        </is>
      </c>
      <c r="C561" s="1" t="n">
        <v>2</v>
      </c>
      <c r="D561" s="1" t="n">
        <v>0</v>
      </c>
      <c r="E561" s="1" t="inlineStr">
        <is>
          <t>P2_6 【訪員讀題完畢後，請將平板轉給受訪者選擇，並由訪員協助點選】 那在參加這些社團的時候，您心裡有什麼樣的感覺？(可複選)  (08) 感到有意義</t>
        </is>
      </c>
    </row>
    <row r="562">
      <c r="A562" s="1" t="inlineStr">
        <is>
          <t>vP2_6m88</t>
        </is>
      </c>
      <c r="B562" s="1" t="inlineStr">
        <is>
          <t>數值</t>
        </is>
      </c>
      <c r="C562" s="1" t="n">
        <v>2</v>
      </c>
      <c r="D562" s="1" t="n">
        <v>0</v>
      </c>
      <c r="E562" s="1" t="inlineStr">
        <is>
          <t>P2_6 【訪員讀題完畢後，請將平板轉給受訪者選擇，並由訪員協助點選】 那在參加這些社團的時候，您心裡有什麼樣的感覺？(可複選)  (88) 其他，請說明</t>
        </is>
      </c>
    </row>
    <row r="563">
      <c r="A563" s="1" t="inlineStr">
        <is>
          <t>vP2_6m90</t>
        </is>
      </c>
      <c r="B563" s="1" t="inlineStr">
        <is>
          <t>數值</t>
        </is>
      </c>
      <c r="C563" s="1" t="n">
        <v>2</v>
      </c>
      <c r="D563" s="1" t="n">
        <v>0</v>
      </c>
      <c r="E563" s="1" t="inlineStr">
        <is>
          <t>P2_6 【訪員讀題完畢後，請將平板轉給受訪者選擇，並由訪員協助點選】 那在參加這些社團的時候，您心裡有什麼樣的感覺？(可複選)  (90) 都沒有</t>
        </is>
      </c>
    </row>
    <row r="564">
      <c r="A564" s="1" t="inlineStr">
        <is>
          <t>vP2_6o88</t>
        </is>
      </c>
      <c r="B564" s="1" t="inlineStr">
        <is>
          <t>字串</t>
        </is>
      </c>
      <c r="C564" s="1" t="n">
        <v>150</v>
      </c>
      <c r="D564" s="1" t="n">
        <v>0</v>
      </c>
      <c r="E564" s="1" t="inlineStr">
        <is>
          <t>P2_6 【訪員讀題完畢後，請將平板轉給受訪者選擇，並由訪員協助點選】 那在參加這些社團的時候，您心裡有什麼樣的感覺？(可複選)  (88) 其他，請說明</t>
        </is>
      </c>
    </row>
    <row r="565">
      <c r="A565" s="1" t="inlineStr">
        <is>
          <t>vKLI1</t>
        </is>
      </c>
      <c r="B565" s="1" t="inlineStr">
        <is>
          <t>數值</t>
        </is>
      </c>
      <c r="C565" s="1" t="n">
        <v>4</v>
      </c>
      <c r="D565" s="1" t="n">
        <v>0</v>
      </c>
      <c r="E565" s="1" t="inlineStr">
        <is>
          <t>KLI1 請問您每週平均有幾天使用LINE？ 訪員注意：用LINE包含與親友傳訊息、通話、看LINE today新聞、用LINE購物等。</t>
        </is>
      </c>
    </row>
    <row r="566">
      <c r="A566" s="1" t="inlineStr">
        <is>
          <t>vKLI2</t>
        </is>
      </c>
      <c r="B566" s="1" t="inlineStr">
        <is>
          <t>數值</t>
        </is>
      </c>
      <c r="C566" s="1" t="n">
        <v>5</v>
      </c>
      <c r="D566" s="1" t="n">
        <v>0</v>
      </c>
      <c r="E566" s="1" t="inlineStr">
        <is>
          <t>KLI2 在您有使用LINE的那一天，您一整天大概會使用多久(真的有在用LINE傳訊息、通話、看LINE Today的時間)？ 訪員注意： 1.若使用時間很分散，只要有空就會用，請受訪者儘量回想在什麼場合會用LI</t>
        </is>
      </c>
    </row>
    <row r="567">
      <c r="A567" s="1" t="inlineStr">
        <is>
          <t>vKLI3m01</t>
        </is>
      </c>
      <c r="B567" s="1" t="inlineStr">
        <is>
          <t>數值</t>
        </is>
      </c>
      <c r="C567" s="1" t="n">
        <v>2</v>
      </c>
      <c r="D567" s="1" t="n">
        <v>0</v>
      </c>
      <c r="E567" s="1" t="inlineStr">
        <is>
          <t>KLI3 請問下面哪些是您使用LINE主要的原因或動機？(可複選)(卡31)  (01) 聯絡事情</t>
        </is>
      </c>
    </row>
    <row r="568">
      <c r="A568" s="1" t="inlineStr">
        <is>
          <t>vKLI3m02</t>
        </is>
      </c>
      <c r="B568" s="1" t="inlineStr">
        <is>
          <t>數值</t>
        </is>
      </c>
      <c r="C568" s="1" t="n">
        <v>2</v>
      </c>
      <c r="D568" s="1" t="n">
        <v>0</v>
      </c>
      <c r="E568" s="1" t="inlineStr">
        <is>
          <t>KLI3 請問下面哪些是您使用LINE主要的原因或動機？(可複選)(卡31)  (02) 維持與親友之間的關係</t>
        </is>
      </c>
    </row>
    <row r="569">
      <c r="A569" s="1" t="inlineStr">
        <is>
          <t>vKLI3m03</t>
        </is>
      </c>
      <c r="B569" s="1" t="inlineStr">
        <is>
          <t>數值</t>
        </is>
      </c>
      <c r="C569" s="1" t="n">
        <v>2</v>
      </c>
      <c r="D569" s="1" t="n">
        <v>0</v>
      </c>
      <c r="E569" s="1" t="inlineStr">
        <is>
          <t>KLI3 請問下面哪些是您使用LINE主要的原因或動機？(可複選)(卡31)  (03) 交新朋友</t>
        </is>
      </c>
    </row>
    <row r="570">
      <c r="A570" s="1" t="inlineStr">
        <is>
          <t>vKLI3m04</t>
        </is>
      </c>
      <c r="B570" s="1" t="inlineStr">
        <is>
          <t>數值</t>
        </is>
      </c>
      <c r="C570" s="1" t="n">
        <v>2</v>
      </c>
      <c r="D570" s="1" t="n">
        <v>0</v>
      </c>
      <c r="E570" s="1" t="inlineStr">
        <is>
          <t>KLI3 請問下面哪些是您使用LINE主要的原因或動機？(可複選)(卡31)  (04) 與朋友分享心情</t>
        </is>
      </c>
    </row>
    <row r="571">
      <c r="A571" s="1" t="inlineStr">
        <is>
          <t>vKLI3m05</t>
        </is>
      </c>
      <c r="B571" s="1" t="inlineStr">
        <is>
          <t>數值</t>
        </is>
      </c>
      <c r="C571" s="1" t="n">
        <v>2</v>
      </c>
      <c r="D571" s="1" t="n">
        <v>0</v>
      </c>
      <c r="E571" s="1" t="inlineStr">
        <is>
          <t>KLI3 請問下面哪些是您使用LINE主要的原因或動機？(可複選)(卡31)  (05) 與朋友分享生活點滴</t>
        </is>
      </c>
    </row>
    <row r="572">
      <c r="A572" s="1" t="inlineStr">
        <is>
          <t>vKLI3m06</t>
        </is>
      </c>
      <c r="B572" s="1" t="inlineStr">
        <is>
          <t>數值</t>
        </is>
      </c>
      <c r="C572" s="1" t="n">
        <v>2</v>
      </c>
      <c r="D572" s="1" t="n">
        <v>0</v>
      </c>
      <c r="E572" s="1" t="inlineStr">
        <is>
          <t>KLI3 請問下面哪些是您使用LINE主要的原因或動機？(可複選)(卡31)  (06) 怕漏掉親友間發生的事情或話題</t>
        </is>
      </c>
    </row>
    <row r="573">
      <c r="A573" s="1" t="inlineStr">
        <is>
          <t>vKLI3m07</t>
        </is>
      </c>
      <c r="B573" s="1" t="inlineStr">
        <is>
          <t>數值</t>
        </is>
      </c>
      <c r="C573" s="1" t="n">
        <v>2</v>
      </c>
      <c r="D573" s="1" t="n">
        <v>0</v>
      </c>
      <c r="E573" s="1" t="inlineStr">
        <is>
          <t>KLI3 請問下面哪些是您使用LINE主要的原因或動機？(可複選)(卡31)  (07) 查看一些您有興趣的人的動態資訊</t>
        </is>
      </c>
    </row>
    <row r="574">
      <c r="A574" s="1" t="inlineStr">
        <is>
          <t>vKLI3m08</t>
        </is>
      </c>
      <c r="B574" s="1" t="inlineStr">
        <is>
          <t>數值</t>
        </is>
      </c>
      <c r="C574" s="1" t="n">
        <v>2</v>
      </c>
      <c r="D574" s="1" t="n">
        <v>0</v>
      </c>
      <c r="E574" s="1" t="inlineStr">
        <is>
          <t>KLI3 請問下面哪些是您使用LINE主要的原因或動機？(可複選)(卡31)  (08) 接觸有興趣的事物</t>
        </is>
      </c>
    </row>
    <row r="575">
      <c r="A575" s="1" t="inlineStr">
        <is>
          <t>vKLI3m09</t>
        </is>
      </c>
      <c r="B575" s="1" t="inlineStr">
        <is>
          <t>數值</t>
        </is>
      </c>
      <c r="C575" s="1" t="n">
        <v>2</v>
      </c>
      <c r="D575" s="1" t="n">
        <v>0</v>
      </c>
      <c r="E575" s="1" t="inlineStr">
        <is>
          <t>KLI3 請問下面哪些是您使用LINE主要的原因或動機？(可複選)(卡31)  (09) 工作或課業所需</t>
        </is>
      </c>
    </row>
    <row r="576">
      <c r="A576" s="1" t="inlineStr">
        <is>
          <t>vKLI3m10</t>
        </is>
      </c>
      <c r="B576" s="1" t="inlineStr">
        <is>
          <t>數值</t>
        </is>
      </c>
      <c r="C576" s="1" t="n">
        <v>2</v>
      </c>
      <c r="D576" s="1" t="n">
        <v>0</v>
      </c>
      <c r="E576" s="1" t="inlineStr">
        <is>
          <t>KLI3 請問下面哪些是您使用LINE主要的原因或動機？(可複選)(卡31)  (10) 獲得新資訊</t>
        </is>
      </c>
    </row>
    <row r="577">
      <c r="A577" s="1" t="inlineStr">
        <is>
          <t>vKLI3m11</t>
        </is>
      </c>
      <c r="B577" s="1" t="inlineStr">
        <is>
          <t>數值</t>
        </is>
      </c>
      <c r="C577" s="1" t="n">
        <v>2</v>
      </c>
      <c r="D577" s="1" t="n">
        <v>0</v>
      </c>
      <c r="E577" s="1" t="inlineStr">
        <is>
          <t>KLI3 請問下面哪些是您使用LINE主要的原因或動機？(可複選)(卡31)  (11) 學習新事物</t>
        </is>
      </c>
    </row>
    <row r="578">
      <c r="A578" s="1" t="inlineStr">
        <is>
          <t>vKLI3m12</t>
        </is>
      </c>
      <c r="B578" s="1" t="inlineStr">
        <is>
          <t>數值</t>
        </is>
      </c>
      <c r="C578" s="1" t="n">
        <v>2</v>
      </c>
      <c r="D578" s="1" t="n">
        <v>0</v>
      </c>
      <c r="E578" s="1" t="inlineStr">
        <is>
          <t>KLI3 請問下面哪些是您使用LINE主要的原因或動機？(可複選)(卡31)  (12) 記錄生活點滴 (例如：旅遊、食物、健身等拍照上傳)</t>
        </is>
      </c>
    </row>
    <row r="579">
      <c r="A579" s="1" t="inlineStr">
        <is>
          <t>vKLI3m13</t>
        </is>
      </c>
      <c r="B579" s="1" t="inlineStr">
        <is>
          <t>數值</t>
        </is>
      </c>
      <c r="C579" s="1" t="n">
        <v>2</v>
      </c>
      <c r="D579" s="1" t="n">
        <v>0</v>
      </c>
      <c r="E579" s="1" t="inlineStr">
        <is>
          <t>KLI3 請問下面哪些是您使用LINE主要的原因或動機？(可複選)(卡31)  (13) 分享時事或發表個人評論展現您個人特色</t>
        </is>
      </c>
    </row>
    <row r="580">
      <c r="A580" s="1" t="inlineStr">
        <is>
          <t>vKLI3m14</t>
        </is>
      </c>
      <c r="B580" s="1" t="inlineStr">
        <is>
          <t>數值</t>
        </is>
      </c>
      <c r="C580" s="1" t="n">
        <v>2</v>
      </c>
      <c r="D580" s="1" t="n">
        <v>0</v>
      </c>
      <c r="E580" s="1" t="inlineStr">
        <is>
          <t>KLI3 請問下面哪些是您使用LINE主要的原因或動機？(可複選)(卡31)  (14) 逃避學校或工作的事情</t>
        </is>
      </c>
    </row>
    <row r="581">
      <c r="A581" s="1" t="inlineStr">
        <is>
          <t>vKLI3m15</t>
        </is>
      </c>
      <c r="B581" s="1" t="inlineStr">
        <is>
          <t>數值</t>
        </is>
      </c>
      <c r="C581" s="1" t="n">
        <v>2</v>
      </c>
      <c r="D581" s="1" t="n">
        <v>0</v>
      </c>
      <c r="E581" s="1" t="inlineStr">
        <is>
          <t>KLI3 請問下面哪些是您使用LINE主要的原因或動機？(可複選)(卡31)  (15) 打發時間</t>
        </is>
      </c>
    </row>
    <row r="582">
      <c r="A582" s="1" t="inlineStr">
        <is>
          <t>vKLI3m16</t>
        </is>
      </c>
      <c r="B582" s="1" t="inlineStr">
        <is>
          <t>數值</t>
        </is>
      </c>
      <c r="C582" s="1" t="n">
        <v>2</v>
      </c>
      <c r="D582" s="1" t="n">
        <v>0</v>
      </c>
      <c r="E582" s="1" t="inlineStr">
        <is>
          <t>KLI3 請問下面哪些是您使用LINE主要的原因或動機？(可複選)(卡31)  (16) 娛樂</t>
        </is>
      </c>
    </row>
    <row r="583">
      <c r="A583" s="1" t="inlineStr">
        <is>
          <t>vKLI3m17</t>
        </is>
      </c>
      <c r="B583" s="1" t="inlineStr">
        <is>
          <t>數值</t>
        </is>
      </c>
      <c r="C583" s="1" t="n">
        <v>2</v>
      </c>
      <c r="D583" s="1" t="n">
        <v>0</v>
      </c>
      <c r="E583" s="1" t="inlineStr">
        <is>
          <t>KLI3 請問下面哪些是您使用LINE主要的原因或動機？(可複選)(卡31)  (17) 習慣</t>
        </is>
      </c>
    </row>
    <row r="584">
      <c r="A584" s="1" t="inlineStr">
        <is>
          <t>vKLI3m88</t>
        </is>
      </c>
      <c r="B584" s="1" t="inlineStr">
        <is>
          <t>數值</t>
        </is>
      </c>
      <c r="C584" s="1" t="n">
        <v>2</v>
      </c>
      <c r="D584" s="1" t="n">
        <v>0</v>
      </c>
      <c r="E584" s="1" t="inlineStr">
        <is>
          <t>KLI3 請問下面哪些是您使用LINE主要的原因或動機？(可複選)(卡31)  (88) 其他，請說明</t>
        </is>
      </c>
    </row>
    <row r="585">
      <c r="A585" s="1" t="inlineStr">
        <is>
          <t>vKLI3o88</t>
        </is>
      </c>
      <c r="B585" s="1" t="inlineStr">
        <is>
          <t>字串</t>
        </is>
      </c>
      <c r="C585" s="1" t="n">
        <v>150</v>
      </c>
      <c r="D585" s="1" t="n">
        <v>0</v>
      </c>
      <c r="E585" s="1" t="inlineStr">
        <is>
          <t>KLI3 請問下面哪些是您使用LINE主要的原因或動機？(可複選)(卡31)  (88) 其他，請說明</t>
        </is>
      </c>
    </row>
    <row r="586">
      <c r="A586" s="1" t="inlineStr">
        <is>
          <t>vKLI4m01</t>
        </is>
      </c>
      <c r="B586" s="1" t="inlineStr">
        <is>
          <t>數值</t>
        </is>
      </c>
      <c r="C586" s="1" t="n">
        <v>2</v>
      </c>
      <c r="D586" s="1" t="n">
        <v>0</v>
      </c>
      <c r="E586" s="1" t="inlineStr">
        <is>
          <t>KLI4 請問您平常會在LINE上做什麼？(可複選)(卡32)  (01) 傳文字訊息給別人</t>
        </is>
      </c>
    </row>
    <row r="587">
      <c r="A587" s="1" t="inlineStr">
        <is>
          <t>vKLI4m02</t>
        </is>
      </c>
      <c r="B587" s="1" t="inlineStr">
        <is>
          <t>數值</t>
        </is>
      </c>
      <c r="C587" s="1" t="n">
        <v>2</v>
      </c>
      <c r="D587" s="1" t="n">
        <v>0</v>
      </c>
      <c r="E587" s="1" t="inlineStr">
        <is>
          <t>KLI4 請問您平常會在LINE上做什麼？(可複選)(卡32)  (02) 傳語音訊息給別人</t>
        </is>
      </c>
    </row>
    <row r="588">
      <c r="A588" s="1" t="inlineStr">
        <is>
          <t>vKLI4m03</t>
        </is>
      </c>
      <c r="B588" s="1" t="inlineStr">
        <is>
          <t>數值</t>
        </is>
      </c>
      <c r="C588" s="1" t="n">
        <v>2</v>
      </c>
      <c r="D588" s="1" t="n">
        <v>0</v>
      </c>
      <c r="E588" s="1" t="inlineStr">
        <is>
          <t>KLI4 請問您平常會在LINE上做什麼？(可複選)(卡32)  (03) 使用免費通話功能(講電話)</t>
        </is>
      </c>
    </row>
    <row r="589">
      <c r="A589" s="1" t="inlineStr">
        <is>
          <t>vKLI4m04</t>
        </is>
      </c>
      <c r="B589" s="1" t="inlineStr">
        <is>
          <t>數值</t>
        </is>
      </c>
      <c r="C589" s="1" t="n">
        <v>2</v>
      </c>
      <c r="D589" s="1" t="n">
        <v>0</v>
      </c>
      <c r="E589" s="1" t="inlineStr">
        <is>
          <t>KLI4 請問您平常會在LINE上做什麼？(可複選)(卡32)  (04) 傳送貼圖或表情符號(emoji)</t>
        </is>
      </c>
    </row>
    <row r="590">
      <c r="A590" s="1" t="inlineStr">
        <is>
          <t>vKLI4m05</t>
        </is>
      </c>
      <c r="B590" s="1" t="inlineStr">
        <is>
          <t>數值</t>
        </is>
      </c>
      <c r="C590" s="1" t="n">
        <v>2</v>
      </c>
      <c r="D590" s="1" t="n">
        <v>0</v>
      </c>
      <c r="E590" s="1" t="inlineStr">
        <is>
          <t>KLI4 請問您平常會在LINE上做什麼？(可複選)(卡32)  (05) 傳送照片</t>
        </is>
      </c>
    </row>
    <row r="591">
      <c r="A591" s="1" t="inlineStr">
        <is>
          <t>vKLI4m06</t>
        </is>
      </c>
      <c r="B591" s="1" t="inlineStr">
        <is>
          <t>數值</t>
        </is>
      </c>
      <c r="C591" s="1" t="n">
        <v>2</v>
      </c>
      <c r="D591" s="1" t="n">
        <v>0</v>
      </c>
      <c r="E591" s="1" t="inlineStr">
        <is>
          <t>KLI4 請問您平常會在LINE上做什麼？(可複選)(卡32)  (06) 傳送影片</t>
        </is>
      </c>
    </row>
    <row r="592">
      <c r="A592" s="1" t="inlineStr">
        <is>
          <t>vKLI4m07</t>
        </is>
      </c>
      <c r="B592" s="1" t="inlineStr">
        <is>
          <t>數值</t>
        </is>
      </c>
      <c r="C592" s="1" t="n">
        <v>2</v>
      </c>
      <c r="D592" s="1" t="n">
        <v>0</v>
      </c>
      <c r="E592" s="1" t="inlineStr">
        <is>
          <t>KLI4 請問您平常會在LINE上做什麼？(可複選)(卡32)  (07) 傳送位置訊息</t>
        </is>
      </c>
    </row>
    <row r="593">
      <c r="A593" s="1" t="inlineStr">
        <is>
          <t>vKLI4m08</t>
        </is>
      </c>
      <c r="B593" s="1" t="inlineStr">
        <is>
          <t>數值</t>
        </is>
      </c>
      <c r="C593" s="1" t="n">
        <v>2</v>
      </c>
      <c r="D593" s="1" t="n">
        <v>0</v>
      </c>
      <c r="E593" s="1" t="inlineStr">
        <is>
          <t>KLI4 請問您平常會在LINE上做什麼？(可複選)(卡32)  (08) 瀏覽他人傳來的訊息</t>
        </is>
      </c>
    </row>
    <row r="594">
      <c r="A594" s="1" t="inlineStr">
        <is>
          <t>vKLI4m09</t>
        </is>
      </c>
      <c r="B594" s="1" t="inlineStr">
        <is>
          <t>數值</t>
        </is>
      </c>
      <c r="C594" s="1" t="n">
        <v>2</v>
      </c>
      <c r="D594" s="1" t="n">
        <v>0</v>
      </c>
      <c r="E594" s="1" t="inlineStr">
        <is>
          <t>KLI4 請問您平常會在LINE上做什麼？(可複選)(卡32)  (09) 瀏覽他人傳來的圖文*</t>
        </is>
      </c>
    </row>
    <row r="595">
      <c r="A595" s="1" t="inlineStr">
        <is>
          <t>vKLI4m10</t>
        </is>
      </c>
      <c r="B595" s="1" t="inlineStr">
        <is>
          <t>數值</t>
        </is>
      </c>
      <c r="C595" s="1" t="n">
        <v>2</v>
      </c>
      <c r="D595" s="1" t="n">
        <v>0</v>
      </c>
      <c r="E595" s="1" t="inlineStr">
        <is>
          <t>KLI4 請問您平常會在LINE上做什麼？(可複選)(卡32)  (10) 轉傳或分享圖文給別人*</t>
        </is>
      </c>
    </row>
    <row r="596">
      <c r="A596" s="1" t="inlineStr">
        <is>
          <t>vKLI4m11</t>
        </is>
      </c>
      <c r="B596" s="1" t="inlineStr">
        <is>
          <t>數值</t>
        </is>
      </c>
      <c r="C596" s="1" t="n">
        <v>2</v>
      </c>
      <c r="D596" s="1" t="n">
        <v>0</v>
      </c>
      <c r="E596" s="1" t="inlineStr">
        <is>
          <t>KLI4 請問您平常會在LINE上做什麼？(可複選)(卡32)  (11) 瀏覽新聞頁面(LINE Today)</t>
        </is>
      </c>
    </row>
    <row r="597">
      <c r="A597" s="1" t="inlineStr">
        <is>
          <t>vKLI4m12</t>
        </is>
      </c>
      <c r="B597" s="1" t="inlineStr">
        <is>
          <t>數值</t>
        </is>
      </c>
      <c r="C597" s="1" t="n">
        <v>2</v>
      </c>
      <c r="D597" s="1" t="n">
        <v>0</v>
      </c>
      <c r="E597" s="1" t="inlineStr">
        <is>
          <t>KLI4 請問您平常會在LINE上做什麼？(可複選)(卡32)  (12) 使用LINE Pay(用LINE付錢)</t>
        </is>
      </c>
    </row>
    <row r="598">
      <c r="A598" s="1" t="inlineStr">
        <is>
          <t>vKLI4m13</t>
        </is>
      </c>
      <c r="B598" s="1" t="inlineStr">
        <is>
          <t>數值</t>
        </is>
      </c>
      <c r="C598" s="1" t="n">
        <v>2</v>
      </c>
      <c r="D598" s="1" t="n">
        <v>0</v>
      </c>
      <c r="E598" s="1" t="inlineStr">
        <is>
          <t>KLI4 請問您平常會在LINE上做什麼？(可複選)(卡32)  (13) 購買貼圖及主題</t>
        </is>
      </c>
    </row>
    <row r="599">
      <c r="A599" s="1" t="inlineStr">
        <is>
          <t>vKLI4m88</t>
        </is>
      </c>
      <c r="B599" s="1" t="inlineStr">
        <is>
          <t>數值</t>
        </is>
      </c>
      <c r="C599" s="1" t="n">
        <v>2</v>
      </c>
      <c r="D599" s="1" t="n">
        <v>0</v>
      </c>
      <c r="E599" s="1" t="inlineStr">
        <is>
          <t>KLI4 請問您平常會在LINE上做什麼？(可複選)(卡32)  (88) 其他，請說明</t>
        </is>
      </c>
    </row>
    <row r="600">
      <c r="A600" s="1" t="inlineStr">
        <is>
          <t>vKLI4o88</t>
        </is>
      </c>
      <c r="B600" s="1" t="inlineStr">
        <is>
          <t>字串</t>
        </is>
      </c>
      <c r="C600" s="1" t="n">
        <v>150</v>
      </c>
      <c r="D600" s="1" t="n">
        <v>0</v>
      </c>
      <c r="E600" s="1" t="inlineStr">
        <is>
          <t>KLI4 請問您平常會在LINE上做什麼？(可複選)(卡32)  (88) 其他，請說明</t>
        </is>
      </c>
    </row>
    <row r="601">
      <c r="A601" s="1" t="inlineStr">
        <is>
          <t>vKLI5m01</t>
        </is>
      </c>
      <c r="B601" s="1" t="inlineStr">
        <is>
          <t>數值</t>
        </is>
      </c>
      <c r="C601" s="1" t="n">
        <v>2</v>
      </c>
      <c r="D601" s="1" t="n">
        <v>0</v>
      </c>
      <c r="E601" s="1" t="inlineStr">
        <is>
          <t>KLI5 請問您使用LINE之後，會不會有下列感受？(可複選)(卡33)  (01) 可以很方便地與朋友、家人聯絡</t>
        </is>
      </c>
    </row>
    <row r="602">
      <c r="A602" s="1" t="inlineStr">
        <is>
          <t>vKLI5m02</t>
        </is>
      </c>
      <c r="B602" s="1" t="inlineStr">
        <is>
          <t>數值</t>
        </is>
      </c>
      <c r="C602" s="1" t="n">
        <v>2</v>
      </c>
      <c r="D602" s="1" t="n">
        <v>0</v>
      </c>
      <c r="E602" s="1" t="inlineStr">
        <is>
          <t>KLI5 請問您使用LINE之後，會不會有下列感受？(可複選)(卡33)  (02) 看轉傳的訊息是一種生活樂趣*</t>
        </is>
      </c>
    </row>
    <row r="603">
      <c r="A603" s="1" t="inlineStr">
        <is>
          <t>vKLI5m03</t>
        </is>
      </c>
      <c r="B603" s="1" t="inlineStr">
        <is>
          <t>數值</t>
        </is>
      </c>
      <c r="C603" s="1" t="n">
        <v>2</v>
      </c>
      <c r="D603" s="1" t="n">
        <v>0</v>
      </c>
      <c r="E603" s="1" t="inlineStr">
        <is>
          <t>KLI5 請問您使用LINE之後，會不會有下列感受？(可複選)(卡33)  (03) 可以很方便地獲得新聞資訊</t>
        </is>
      </c>
    </row>
    <row r="604">
      <c r="A604" s="1" t="inlineStr">
        <is>
          <t>vKLI5m04</t>
        </is>
      </c>
      <c r="B604" s="1" t="inlineStr">
        <is>
          <t>數值</t>
        </is>
      </c>
      <c r="C604" s="1" t="n">
        <v>2</v>
      </c>
      <c r="D604" s="1" t="n">
        <v>0</v>
      </c>
      <c r="E604" s="1" t="inlineStr">
        <is>
          <t>KLI5 請問您使用LINE之後，會不會有下列感受？(可複選)(卡33)  (04) 可以了解群組中朋友、家人的動態或近況</t>
        </is>
      </c>
    </row>
    <row r="605">
      <c r="A605" s="1" t="inlineStr">
        <is>
          <t>vKLI5m05</t>
        </is>
      </c>
      <c r="B605" s="1" t="inlineStr">
        <is>
          <t>數值</t>
        </is>
      </c>
      <c r="C605" s="1" t="n">
        <v>2</v>
      </c>
      <c r="D605" s="1" t="n">
        <v>0</v>
      </c>
      <c r="E605" s="1" t="inlineStr">
        <is>
          <t>KLI5 請問您使用LINE之後，會不會有下列感受？(可複選)(卡33)  (05) 可以增加您參加活動的機會*</t>
        </is>
      </c>
    </row>
    <row r="606">
      <c r="A606" s="1" t="inlineStr">
        <is>
          <t>vKLI5m06</t>
        </is>
      </c>
      <c r="B606" s="1" t="inlineStr">
        <is>
          <t>數值</t>
        </is>
      </c>
      <c r="C606" s="1" t="n">
        <v>2</v>
      </c>
      <c r="D606" s="1" t="n">
        <v>0</v>
      </c>
      <c r="E606" s="1" t="inlineStr">
        <is>
          <t>KLI5 請問您使用LINE之後，會不會有下列感受？(可複選)(卡33)  (06) 看到新訊息，沒有馬上回應朋友或家人(已讀不回)，會造成他們的誤會</t>
        </is>
      </c>
    </row>
    <row r="607">
      <c r="A607" s="1" t="inlineStr">
        <is>
          <t>vKLI5m07</t>
        </is>
      </c>
      <c r="B607" s="1" t="inlineStr">
        <is>
          <t>數值</t>
        </is>
      </c>
      <c r="C607" s="1" t="n">
        <v>2</v>
      </c>
      <c r="D607" s="1" t="n">
        <v>0</v>
      </c>
      <c r="E607" s="1" t="inlineStr">
        <is>
          <t>KLI5 請問您使用LINE之後，會不會有下列感受？(可複選)(卡33)  (07) 大家轉傳的訊息很煩人*</t>
        </is>
      </c>
    </row>
    <row r="608">
      <c r="A608" s="1" t="inlineStr">
        <is>
          <t>vKLI5m08</t>
        </is>
      </c>
      <c r="B608" s="1" t="inlineStr">
        <is>
          <t>數值</t>
        </is>
      </c>
      <c r="C608" s="1" t="n">
        <v>2</v>
      </c>
      <c r="D608" s="1" t="n">
        <v>0</v>
      </c>
      <c r="E608" s="1" t="inlineStr">
        <is>
          <t>KLI5 請問您使用LINE之後，會不會有下列感受？(可複選)(卡33)  (08) 用LINE很花時間</t>
        </is>
      </c>
    </row>
    <row r="609">
      <c r="A609" s="1" t="inlineStr">
        <is>
          <t>vKLI5m09</t>
        </is>
      </c>
      <c r="B609" s="1" t="inlineStr">
        <is>
          <t>數值</t>
        </is>
      </c>
      <c r="C609" s="1" t="n">
        <v>2</v>
      </c>
      <c r="D609" s="1" t="n">
        <v>0</v>
      </c>
      <c r="E609" s="1" t="inlineStr">
        <is>
          <t>KLI5 請問您使用LINE之後，會不會有下列感受？(可複選)(卡33)  (09) 群組中常有一些無關緊要的訊息</t>
        </is>
      </c>
    </row>
    <row r="610">
      <c r="A610" s="1" t="inlineStr">
        <is>
          <t>vKLI5m10</t>
        </is>
      </c>
      <c r="B610" s="1" t="inlineStr">
        <is>
          <t>數值</t>
        </is>
      </c>
      <c r="C610" s="1" t="n">
        <v>2</v>
      </c>
      <c r="D610" s="1" t="n">
        <v>0</v>
      </c>
      <c r="E610" s="1" t="inlineStr">
        <is>
          <t>KLI5 請問您使用LINE之後，會不會有下列感受？(可複選)(卡33)  (10) 群組有太多活動邀約讓您很困擾</t>
        </is>
      </c>
    </row>
    <row r="611">
      <c r="A611" s="1" t="inlineStr">
        <is>
          <t>vKLI5m88</t>
        </is>
      </c>
      <c r="B611" s="1" t="inlineStr">
        <is>
          <t>數值</t>
        </is>
      </c>
      <c r="C611" s="1" t="n">
        <v>2</v>
      </c>
      <c r="D611" s="1" t="n">
        <v>0</v>
      </c>
      <c r="E611" s="1" t="inlineStr">
        <is>
          <t>KLI5 請問您使用LINE之後，會不會有下列感受？(可複選)(卡33)  (88) 其他，請說明</t>
        </is>
      </c>
    </row>
    <row r="612">
      <c r="A612" s="1" t="inlineStr">
        <is>
          <t>vKLI5o88</t>
        </is>
      </c>
      <c r="B612" s="1" t="inlineStr">
        <is>
          <t>字串</t>
        </is>
      </c>
      <c r="C612" s="1" t="n">
        <v>150</v>
      </c>
      <c r="D612" s="1" t="n">
        <v>0</v>
      </c>
      <c r="E612" s="1" t="inlineStr">
        <is>
          <t>KLI5 請問您使用LINE之後，會不會有下列感受？(可複選)(卡33)  (88) 其他，請說明</t>
        </is>
      </c>
    </row>
    <row r="613">
      <c r="A613" s="1" t="inlineStr">
        <is>
          <t>vP1</t>
        </is>
      </c>
      <c r="B613" s="1" t="inlineStr">
        <is>
          <t>數值</t>
        </is>
      </c>
      <c r="C613" s="1" t="n">
        <v>14</v>
      </c>
      <c r="D613" s="1" t="n">
        <v>0</v>
      </c>
      <c r="E613" s="1" t="inlineStr">
        <is>
          <t>P1 (卡34) LINE社群或群組（統稱LINE群組）讓您在網路上可以同時跟很多人傳訊息聊天、發連結或貼圖。 以下題目將詢問您在LINE群組聊天時的感受。這裡的「聊天」指的是一人對多人，不包含一對�</t>
        </is>
      </c>
    </row>
    <row r="614">
      <c r="A614" s="1" t="inlineStr">
        <is>
          <t>vP1_1</t>
        </is>
      </c>
      <c r="B614" s="1" t="inlineStr">
        <is>
          <t>數值</t>
        </is>
      </c>
      <c r="C614" s="1" t="n">
        <v>2</v>
      </c>
      <c r="D614" s="1" t="n">
        <v>0</v>
      </c>
      <c r="E614" s="1" t="inlineStr">
        <is>
          <t>P1_1 在LINE群組聊天時，您多常注意到其他人也在群組裡面呢？例如：有別人會回覆訊息、可以看到別人的頭像？(卡35) 訪員注意：受訪者在群組中有感受到其他人的存在且會互相回應，因此有注�</t>
        </is>
      </c>
    </row>
    <row r="615">
      <c r="A615" s="1" t="inlineStr">
        <is>
          <t>vP1_2</t>
        </is>
      </c>
      <c r="B615" s="1" t="inlineStr">
        <is>
          <t>數值</t>
        </is>
      </c>
      <c r="C615" s="1" t="n">
        <v>2</v>
      </c>
      <c r="D615" s="1" t="n">
        <v>0</v>
      </c>
      <c r="E615" s="1" t="inlineStr">
        <is>
          <t>P1_2 那麼，您覺得其他人多常注意到您也在群組裡面呢？(卡35)</t>
        </is>
      </c>
    </row>
    <row r="616">
      <c r="A616" s="1" t="inlineStr">
        <is>
          <t>vP1_3</t>
        </is>
      </c>
      <c r="B616" s="1" t="inlineStr">
        <is>
          <t>數值</t>
        </is>
      </c>
      <c r="C616" s="1" t="n">
        <v>2</v>
      </c>
      <c r="D616" s="1" t="n">
        <v>0</v>
      </c>
      <c r="E616" s="1" t="inlineStr">
        <is>
          <t>P1_3 在LINE群組聊天時，您認為自己的心情多常會影響到其他人呢？(卡36)</t>
        </is>
      </c>
    </row>
    <row r="617">
      <c r="A617" s="1" t="inlineStr">
        <is>
          <t>vP1_4</t>
        </is>
      </c>
      <c r="B617" s="1" t="inlineStr">
        <is>
          <t>數值</t>
        </is>
      </c>
      <c r="C617" s="1" t="n">
        <v>2</v>
      </c>
      <c r="D617" s="1" t="n">
        <v>0</v>
      </c>
      <c r="E617" s="1" t="inlineStr">
        <is>
          <t>P1_4 那麼，您認為其他人的心情多常會影響到您呢？(卡36)</t>
        </is>
      </c>
    </row>
    <row r="618">
      <c r="A618" s="1" t="inlineStr">
        <is>
          <t>vP1_5</t>
        </is>
      </c>
      <c r="B618" s="1" t="inlineStr">
        <is>
          <t>數值</t>
        </is>
      </c>
      <c r="C618" s="1" t="n">
        <v>2</v>
      </c>
      <c r="D618" s="1" t="n">
        <v>0</v>
      </c>
      <c r="E618" s="1" t="inlineStr">
        <is>
          <t>P1_5 在LINE群組聊天時，您覺得自己多常能瞭解其他人說的話呢？(卡37)</t>
        </is>
      </c>
    </row>
    <row r="619">
      <c r="A619" s="1" t="inlineStr">
        <is>
          <t>vP1_6</t>
        </is>
      </c>
      <c r="B619" s="1" t="inlineStr">
        <is>
          <t>數值</t>
        </is>
      </c>
      <c r="C619" s="1" t="n">
        <v>2</v>
      </c>
      <c r="D619" s="1" t="n">
        <v>0</v>
      </c>
      <c r="E619" s="1" t="inlineStr">
        <is>
          <t>P1_6 那麼，您認為其他人多常能瞭解您說的話呢？(卡37)</t>
        </is>
      </c>
    </row>
    <row r="620">
      <c r="A620" s="1" t="inlineStr">
        <is>
          <t>vKYT1</t>
        </is>
      </c>
      <c r="B620" s="1" t="inlineStr">
        <is>
          <t>數值</t>
        </is>
      </c>
      <c r="C620" s="1" t="n">
        <v>4</v>
      </c>
      <c r="D620" s="1" t="n">
        <v>0</v>
      </c>
      <c r="E620" s="1" t="inlineStr">
        <is>
          <t>KYT1 請問您每週平均有幾天使用YouTube？ 訪員注意：若沒有固定看YouTube（例如：看到喜歡、有興趣的影片才會看），請受訪者回想「最近一週」看YouTube的天數。</t>
        </is>
      </c>
    </row>
    <row r="621">
      <c r="A621" s="1" t="inlineStr">
        <is>
          <t>vKYT2</t>
        </is>
      </c>
      <c r="B621" s="1" t="inlineStr">
        <is>
          <t>數值</t>
        </is>
      </c>
      <c r="C621" s="1" t="n">
        <v>5</v>
      </c>
      <c r="D621" s="1" t="n">
        <v>0</v>
      </c>
      <c r="E621" s="1" t="inlineStr">
        <is>
          <t>KYT2 在您有使用YouTube的那一天，您一整天大概會使用多久(真的有在看YouTube的時間)？ 訪員注意： 1.若使用時間很分散，只要有空就會用，請受訪者儘量回想在什麼場合會看YouTube，如：通勤、睡�</t>
        </is>
      </c>
    </row>
    <row r="622">
      <c r="A622" s="1" t="inlineStr">
        <is>
          <t>vKYT3m01</t>
        </is>
      </c>
      <c r="B622" s="1" t="inlineStr">
        <is>
          <t>數值</t>
        </is>
      </c>
      <c r="C622" s="1" t="n">
        <v>2</v>
      </c>
      <c r="D622" s="1" t="n">
        <v>0</v>
      </c>
      <c r="E622" s="1" t="inlineStr">
        <is>
          <t>KYT3 請問下面哪些是您使用YouTube主要的原因或動機？(可複選)(卡38)  (01) 讓您和別人比較有話題</t>
        </is>
      </c>
    </row>
    <row r="623">
      <c r="A623" s="1" t="inlineStr">
        <is>
          <t>vKYT3m02</t>
        </is>
      </c>
      <c r="B623" s="1" t="inlineStr">
        <is>
          <t>數值</t>
        </is>
      </c>
      <c r="C623" s="1" t="n">
        <v>2</v>
      </c>
      <c r="D623" s="1" t="n">
        <v>0</v>
      </c>
      <c r="E623" s="1" t="inlineStr">
        <is>
          <t>KYT3 請問下面哪些是您使用YouTube主要的原因或動機？(可複選)(卡38)  (02) 接觸想法和興趣相同的網友</t>
        </is>
      </c>
    </row>
    <row r="624">
      <c r="A624" s="1" t="inlineStr">
        <is>
          <t>vKYT3m03</t>
        </is>
      </c>
      <c r="B624" s="1" t="inlineStr">
        <is>
          <t>數值</t>
        </is>
      </c>
      <c r="C624" s="1" t="n">
        <v>2</v>
      </c>
      <c r="D624" s="1" t="n">
        <v>0</v>
      </c>
      <c r="E624" s="1" t="inlineStr">
        <is>
          <t>KYT3 請問下面哪些是您使用YouTube主要的原因或動機？(可複選)(卡38)  (03) 提供其他人資訊</t>
        </is>
      </c>
    </row>
    <row r="625">
      <c r="A625" s="1" t="inlineStr">
        <is>
          <t>vKYT3m04</t>
        </is>
      </c>
      <c r="B625" s="1" t="inlineStr">
        <is>
          <t>數值</t>
        </is>
      </c>
      <c r="C625" s="1" t="n">
        <v>2</v>
      </c>
      <c r="D625" s="1" t="n">
        <v>0</v>
      </c>
      <c r="E625" s="1" t="inlineStr">
        <is>
          <t>KYT3 請問下面哪些是您使用YouTube主要的原因或動機？(可複選)(卡38)  (04) 接觸有興趣的事物</t>
        </is>
      </c>
    </row>
    <row r="626">
      <c r="A626" s="1" t="inlineStr">
        <is>
          <t>vKYT3m05</t>
        </is>
      </c>
      <c r="B626" s="1" t="inlineStr">
        <is>
          <t>數值</t>
        </is>
      </c>
      <c r="C626" s="1" t="n">
        <v>2</v>
      </c>
      <c r="D626" s="1" t="n">
        <v>0</v>
      </c>
      <c r="E626" s="1" t="inlineStr">
        <is>
          <t>KYT3 請問下面哪些是您使用YouTube主要的原因或動機？(可複選)(卡38)  (05) 獲得新資訊</t>
        </is>
      </c>
    </row>
    <row r="627">
      <c r="A627" s="1" t="inlineStr">
        <is>
          <t>vKYT3m06</t>
        </is>
      </c>
      <c r="B627" s="1" t="inlineStr">
        <is>
          <t>數值</t>
        </is>
      </c>
      <c r="C627" s="1" t="n">
        <v>2</v>
      </c>
      <c r="D627" s="1" t="n">
        <v>0</v>
      </c>
      <c r="E627" s="1" t="inlineStr">
        <is>
          <t>KYT3 請問下面哪些是您使用YouTube主要的原因或動機？(可複選)(卡38)  (06) 學習新事物（如跳舞、唱歌、料理）</t>
        </is>
      </c>
    </row>
    <row r="628">
      <c r="A628" s="1" t="inlineStr">
        <is>
          <t>vKYT3m07</t>
        </is>
      </c>
      <c r="B628" s="1" t="inlineStr">
        <is>
          <t>數值</t>
        </is>
      </c>
      <c r="C628" s="1" t="n">
        <v>2</v>
      </c>
      <c r="D628" s="1" t="n">
        <v>0</v>
      </c>
      <c r="E628" s="1" t="inlineStr">
        <is>
          <t>KYT3 請問下面哪些是您使用YouTube主要的原因或動機？(可複選)(卡38)  (07) 學習專業性知識（如統計、開放式課程）</t>
        </is>
      </c>
    </row>
    <row r="629">
      <c r="A629" s="1" t="inlineStr">
        <is>
          <t>vKYT3m08</t>
        </is>
      </c>
      <c r="B629" s="1" t="inlineStr">
        <is>
          <t>數值</t>
        </is>
      </c>
      <c r="C629" s="1" t="n">
        <v>2</v>
      </c>
      <c r="D629" s="1" t="n">
        <v>0</v>
      </c>
      <c r="E629" s="1" t="inlineStr">
        <is>
          <t>KYT3 請問下面哪些是您使用YouTube主要的原因或動機？(可複選)(卡38)  (08) 讓您知道現在社會上發生什麼事</t>
        </is>
      </c>
    </row>
    <row r="630">
      <c r="A630" s="1" t="inlineStr">
        <is>
          <t>vKYT3m09</t>
        </is>
      </c>
      <c r="B630" s="1" t="inlineStr">
        <is>
          <t>數值</t>
        </is>
      </c>
      <c r="C630" s="1" t="n">
        <v>2</v>
      </c>
      <c r="D630" s="1" t="n">
        <v>0</v>
      </c>
      <c r="E630" s="1" t="inlineStr">
        <is>
          <t>KYT3 請問下面哪些是您使用YouTube主要的原因或動機？(可複選)(卡38)  (09) 獲得商品資訊</t>
        </is>
      </c>
    </row>
    <row r="631">
      <c r="A631" s="1" t="inlineStr">
        <is>
          <t>vKYT3m10</t>
        </is>
      </c>
      <c r="B631" s="1" t="inlineStr">
        <is>
          <t>數值</t>
        </is>
      </c>
      <c r="C631" s="1" t="n">
        <v>2</v>
      </c>
      <c r="D631" s="1" t="n">
        <v>0</v>
      </c>
      <c r="E631" s="1" t="inlineStr">
        <is>
          <t>KYT3 請問下面哪些是您使用YouTube主要的原因或動機？(可複選)(卡38)  (10) 了解政治議題</t>
        </is>
      </c>
    </row>
    <row r="632">
      <c r="A632" s="1" t="inlineStr">
        <is>
          <t>vKYT3m11</t>
        </is>
      </c>
      <c r="B632" s="1" t="inlineStr">
        <is>
          <t>數值</t>
        </is>
      </c>
      <c r="C632" s="1" t="n">
        <v>2</v>
      </c>
      <c r="D632" s="1" t="n">
        <v>0</v>
      </c>
      <c r="E632" s="1" t="inlineStr">
        <is>
          <t>KYT3 請問下面哪些是您使用YouTube主要的原因或動機？(可複選)(卡38)  (11) 了解新聞時事</t>
        </is>
      </c>
    </row>
    <row r="633">
      <c r="A633" s="1" t="inlineStr">
        <is>
          <t>vKYT3m12</t>
        </is>
      </c>
      <c r="B633" s="1" t="inlineStr">
        <is>
          <t>數值</t>
        </is>
      </c>
      <c r="C633" s="1" t="n">
        <v>2</v>
      </c>
      <c r="D633" s="1" t="n">
        <v>0</v>
      </c>
      <c r="E633" s="1" t="inlineStr">
        <is>
          <t>KYT3 請問下面哪些是您使用YouTube主要的原因或動機？(可複選)(卡38)  (12) 發現現在的流行趨勢</t>
        </is>
      </c>
    </row>
    <row r="634">
      <c r="A634" s="1" t="inlineStr">
        <is>
          <t>vKYT3m13</t>
        </is>
      </c>
      <c r="B634" s="1" t="inlineStr">
        <is>
          <t>數值</t>
        </is>
      </c>
      <c r="C634" s="1" t="n">
        <v>2</v>
      </c>
      <c r="D634" s="1" t="n">
        <v>0</v>
      </c>
      <c r="E634" s="1" t="inlineStr">
        <is>
          <t>KYT3 請問下面哪些是您使用YouTube主要的原因或動機？(可複選)(卡38)  (13) 經營或管理自己的頻道展現個人特色</t>
        </is>
      </c>
    </row>
    <row r="635">
      <c r="A635" s="1" t="inlineStr">
        <is>
          <t>vKYT3m14</t>
        </is>
      </c>
      <c r="B635" s="1" t="inlineStr">
        <is>
          <t>數值</t>
        </is>
      </c>
      <c r="C635" s="1" t="n">
        <v>2</v>
      </c>
      <c r="D635" s="1" t="n">
        <v>0</v>
      </c>
      <c r="E635" s="1" t="inlineStr">
        <is>
          <t>KYT3 請問下面哪些是您使用YouTube主要的原因或動機？(可複選)(卡38)  (14) 逃避學校或工作的事情</t>
        </is>
      </c>
    </row>
    <row r="636">
      <c r="A636" s="1" t="inlineStr">
        <is>
          <t>vKYT3m15</t>
        </is>
      </c>
      <c r="B636" s="1" t="inlineStr">
        <is>
          <t>數值</t>
        </is>
      </c>
      <c r="C636" s="1" t="n">
        <v>2</v>
      </c>
      <c r="D636" s="1" t="n">
        <v>0</v>
      </c>
      <c r="E636" s="1" t="inlineStr">
        <is>
          <t>KYT3 請問下面哪些是您使用YouTube主要的原因或動機？(可複選)(卡38)  (15) 打發時間</t>
        </is>
      </c>
    </row>
    <row r="637">
      <c r="A637" s="1" t="inlineStr">
        <is>
          <t>vKYT3m16</t>
        </is>
      </c>
      <c r="B637" s="1" t="inlineStr">
        <is>
          <t>數值</t>
        </is>
      </c>
      <c r="C637" s="1" t="n">
        <v>2</v>
      </c>
      <c r="D637" s="1" t="n">
        <v>0</v>
      </c>
      <c r="E637" s="1" t="inlineStr">
        <is>
          <t>KYT3 請問下面哪些是您使用YouTube主要的原因或動機？(可複選)(卡38)  (16) 娛樂</t>
        </is>
      </c>
    </row>
    <row r="638">
      <c r="A638" s="1" t="inlineStr">
        <is>
          <t>vKYT3m17</t>
        </is>
      </c>
      <c r="B638" s="1" t="inlineStr">
        <is>
          <t>數值</t>
        </is>
      </c>
      <c r="C638" s="1" t="n">
        <v>2</v>
      </c>
      <c r="D638" s="1" t="n">
        <v>0</v>
      </c>
      <c r="E638" s="1" t="inlineStr">
        <is>
          <t>KYT3 請問下面哪些是您使用YouTube主要的原因或動機？(可複選)(卡38)  (17) 習慣</t>
        </is>
      </c>
    </row>
    <row r="639">
      <c r="A639" s="1" t="inlineStr">
        <is>
          <t>vKYT3m88</t>
        </is>
      </c>
      <c r="B639" s="1" t="inlineStr">
        <is>
          <t>數值</t>
        </is>
      </c>
      <c r="C639" s="1" t="n">
        <v>2</v>
      </c>
      <c r="D639" s="1" t="n">
        <v>0</v>
      </c>
      <c r="E639" s="1" t="inlineStr">
        <is>
          <t>KYT3 請問下面哪些是您使用YouTube主要的原因或動機？(可複選)(卡38)  (88) 其他，請說明</t>
        </is>
      </c>
    </row>
    <row r="640">
      <c r="A640" s="1" t="inlineStr">
        <is>
          <t>vKYT3o88</t>
        </is>
      </c>
      <c r="B640" s="1" t="inlineStr">
        <is>
          <t>字串</t>
        </is>
      </c>
      <c r="C640" s="1" t="n">
        <v>150</v>
      </c>
      <c r="D640" s="1" t="n">
        <v>0</v>
      </c>
      <c r="E640" s="1" t="inlineStr">
        <is>
          <t>KYT3 請問下面哪些是您使用YouTube主要的原因或動機？(可複選)(卡38)  (88) 其他，請說明</t>
        </is>
      </c>
    </row>
    <row r="641">
      <c r="A641" s="1" t="inlineStr">
        <is>
          <t>vKYT4m01</t>
        </is>
      </c>
      <c r="B641" s="1" t="inlineStr">
        <is>
          <t>數值</t>
        </is>
      </c>
      <c r="C641" s="1" t="n">
        <v>2</v>
      </c>
      <c r="D641" s="1" t="n">
        <v>0</v>
      </c>
      <c r="E641" s="1" t="inlineStr">
        <is>
          <t>KYT4 請問您平常會在YouTube上做什麼？(可複選) (卡39)  (01) 上傳自己製作的影片</t>
        </is>
      </c>
    </row>
    <row r="642">
      <c r="A642" s="1" t="inlineStr">
        <is>
          <t>vKYT4m02</t>
        </is>
      </c>
      <c r="B642" s="1" t="inlineStr">
        <is>
          <t>數值</t>
        </is>
      </c>
      <c r="C642" s="1" t="n">
        <v>2</v>
      </c>
      <c r="D642" s="1" t="n">
        <v>0</v>
      </c>
      <c r="E642" s="1" t="inlineStr">
        <is>
          <t>KYT4 請問您平常會在YouTube上做什麼？(可複選) (卡39)  (02) 在影片下方留言或按讚</t>
        </is>
      </c>
    </row>
    <row r="643">
      <c r="A643" s="1" t="inlineStr">
        <is>
          <t>vKYT4m03</t>
        </is>
      </c>
      <c r="B643" s="1" t="inlineStr">
        <is>
          <t>數值</t>
        </is>
      </c>
      <c r="C643" s="1" t="n">
        <v>2</v>
      </c>
      <c r="D643" s="1" t="n">
        <v>0</v>
      </c>
      <c r="E643" s="1" t="inlineStr">
        <is>
          <t>KYT4 請問您平常會在YouTube上做什麼？(可複選) (卡39)  (03) 看直播時在聊天室和別人互動*</t>
        </is>
      </c>
    </row>
    <row r="644">
      <c r="A644" s="1" t="inlineStr">
        <is>
          <t>vKYT4m04</t>
        </is>
      </c>
      <c r="B644" s="1" t="inlineStr">
        <is>
          <t>數值</t>
        </is>
      </c>
      <c r="C644" s="1" t="n">
        <v>2</v>
      </c>
      <c r="D644" s="1" t="n">
        <v>0</v>
      </c>
      <c r="E644" s="1" t="inlineStr">
        <is>
          <t>KYT4 請問您平常會在YouTube上做什麼？(可複選) (卡39)  (04) 看直播*</t>
        </is>
      </c>
    </row>
    <row r="645">
      <c r="A645" s="1" t="inlineStr">
        <is>
          <t>vKYT4m05</t>
        </is>
      </c>
      <c r="B645" s="1" t="inlineStr">
        <is>
          <t>數值</t>
        </is>
      </c>
      <c r="C645" s="1" t="n">
        <v>2</v>
      </c>
      <c r="D645" s="1" t="n">
        <v>0</v>
      </c>
      <c r="E645" s="1" t="inlineStr">
        <is>
          <t>KYT4 請問您平常會在YouTube上做什麼？(可複選) (卡39)  (05) 瀏覽自動推薦的影片*</t>
        </is>
      </c>
    </row>
    <row r="646">
      <c r="A646" s="1" t="inlineStr">
        <is>
          <t>vKYT4m06</t>
        </is>
      </c>
      <c r="B646" s="1" t="inlineStr">
        <is>
          <t>數值</t>
        </is>
      </c>
      <c r="C646" s="1" t="n">
        <v>2</v>
      </c>
      <c r="D646" s="1" t="n">
        <v>0</v>
      </c>
      <c r="E646" s="1" t="inlineStr">
        <is>
          <t>KYT4 請問您平常會在YouTube上做什麼？(可複選) (卡39)  (06) 看影片</t>
        </is>
      </c>
    </row>
    <row r="647">
      <c r="A647" s="1" t="inlineStr">
        <is>
          <t>vKYT4m07</t>
        </is>
      </c>
      <c r="B647" s="1" t="inlineStr">
        <is>
          <t>數值</t>
        </is>
      </c>
      <c r="C647" s="1" t="n">
        <v>2</v>
      </c>
      <c r="D647" s="1" t="n">
        <v>0</v>
      </c>
      <c r="E647" s="1" t="inlineStr">
        <is>
          <t>KYT4 請問您平常會在YouTube上做什麼？(可複選) (卡39)  (07) 瀏覽發燒影片*</t>
        </is>
      </c>
    </row>
    <row r="648">
      <c r="A648" s="1" t="inlineStr">
        <is>
          <t>vKYT4m08</t>
        </is>
      </c>
      <c r="B648" s="1" t="inlineStr">
        <is>
          <t>數值</t>
        </is>
      </c>
      <c r="C648" s="1" t="n">
        <v>2</v>
      </c>
      <c r="D648" s="1" t="n">
        <v>0</v>
      </c>
      <c r="E648" s="1" t="inlineStr">
        <is>
          <t>KYT4 請問您平常會在YouTube上做什麼？(可複選) (卡39)  (08) 看別人在影片下方的留言</t>
        </is>
      </c>
    </row>
    <row r="649">
      <c r="A649" s="1" t="inlineStr">
        <is>
          <t>vKYT4m09</t>
        </is>
      </c>
      <c r="B649" s="1" t="inlineStr">
        <is>
          <t>數值</t>
        </is>
      </c>
      <c r="C649" s="1" t="n">
        <v>2</v>
      </c>
      <c r="D649" s="1" t="n">
        <v>0</v>
      </c>
      <c r="E649" s="1" t="inlineStr">
        <is>
          <t>KYT4 請問您平常會在YouTube上做什麼？(可複選) (卡39)  (09) 觀看追蹤頻道推出的影片</t>
        </is>
      </c>
    </row>
    <row r="650">
      <c r="A650" s="1" t="inlineStr">
        <is>
          <t>vKYT4m10</t>
        </is>
      </c>
      <c r="B650" s="1" t="inlineStr">
        <is>
          <t>數值</t>
        </is>
      </c>
      <c r="C650" s="1" t="n">
        <v>2</v>
      </c>
      <c r="D650" s="1" t="n">
        <v>0</v>
      </c>
      <c r="E650" s="1" t="inlineStr">
        <is>
          <t>KYT4 請問您平常會在YouTube上做什麼？(可複選) (卡39)  (10) 訂閱有興趣的頻道</t>
        </is>
      </c>
    </row>
    <row r="651">
      <c r="A651" s="1" t="inlineStr">
        <is>
          <t>vKYT4m11</t>
        </is>
      </c>
      <c r="B651" s="1" t="inlineStr">
        <is>
          <t>數值</t>
        </is>
      </c>
      <c r="C651" s="1" t="n">
        <v>2</v>
      </c>
      <c r="D651" s="1" t="n">
        <v>0</v>
      </c>
      <c r="E651" s="1" t="inlineStr">
        <is>
          <t>KYT4 請問您平常會在YouTube上做什麼？(可複選) (卡39)  (11) 建立播放清單*</t>
        </is>
      </c>
    </row>
    <row r="652">
      <c r="A652" s="1" t="inlineStr">
        <is>
          <t>vKYT4m88</t>
        </is>
      </c>
      <c r="B652" s="1" t="inlineStr">
        <is>
          <t>數值</t>
        </is>
      </c>
      <c r="C652" s="1" t="n">
        <v>2</v>
      </c>
      <c r="D652" s="1" t="n">
        <v>0</v>
      </c>
      <c r="E652" s="1" t="inlineStr">
        <is>
          <t>KYT4 請問您平常會在YouTube上做什麼？(可複選) (卡39)  (88) 其他，請說明</t>
        </is>
      </c>
    </row>
    <row r="653">
      <c r="A653" s="1" t="inlineStr">
        <is>
          <t>vKYT4o88</t>
        </is>
      </c>
      <c r="B653" s="1" t="inlineStr">
        <is>
          <t>字串</t>
        </is>
      </c>
      <c r="C653" s="1" t="n">
        <v>150</v>
      </c>
      <c r="D653" s="1" t="n">
        <v>0</v>
      </c>
      <c r="E653" s="1" t="inlineStr">
        <is>
          <t>KYT4 請問您平常會在YouTube上做什麼？(可複選) (卡39)  (88) 其他，請說明</t>
        </is>
      </c>
    </row>
    <row r="654">
      <c r="A654" s="1" t="inlineStr">
        <is>
          <t>vKYT5m01</t>
        </is>
      </c>
      <c r="B654" s="1" t="inlineStr">
        <is>
          <t>數值</t>
        </is>
      </c>
      <c r="C654" s="1" t="n">
        <v>2</v>
      </c>
      <c r="D654" s="1" t="n">
        <v>0</v>
      </c>
      <c r="E654" s="1" t="inlineStr">
        <is>
          <t>KYT5 請問您平常會在YouTube上看什麼內容？(可複選)(卡40) 訪員注意： 1.（01）網紅影片是指特地追網紅、看他拍攝的影片（例如：某網紅每週五晚上會上新影片，就會特地週五晚上留時間收看）。�</t>
        </is>
      </c>
    </row>
    <row r="655">
      <c r="A655" s="1" t="inlineStr">
        <is>
          <t>vKYT5m02</t>
        </is>
      </c>
      <c r="B655" s="1" t="inlineStr">
        <is>
          <t>數值</t>
        </is>
      </c>
      <c r="C655" s="1" t="n">
        <v>2</v>
      </c>
      <c r="D655" s="1" t="n">
        <v>0</v>
      </c>
      <c r="E655" s="1" t="inlineStr">
        <is>
          <t>KYT5 請問您平常會在YouTube上看什麼內容？(可複選)(卡40) 訪員注意： 1.（01）網紅影片是指特地追網紅、看他拍攝的影片（例如：某網紅每週五晚上會上新影片，就會特地週五晚上留時間收看）。�</t>
        </is>
      </c>
    </row>
    <row r="656">
      <c r="A656" s="1" t="inlineStr">
        <is>
          <t>vKYT5m03</t>
        </is>
      </c>
      <c r="B656" s="1" t="inlineStr">
        <is>
          <t>數值</t>
        </is>
      </c>
      <c r="C656" s="1" t="n">
        <v>2</v>
      </c>
      <c r="D656" s="1" t="n">
        <v>0</v>
      </c>
      <c r="E656" s="1" t="inlineStr">
        <is>
          <t>KYT5 請問您平常會在YouTube上看什麼內容？(可複選)(卡40) 訪員注意： 1.（01）網紅影片是指特地追網紅、看他拍攝的影片（例如：某網紅每週五晚上會上新影片，就會特地週五晚上留時間收看）。�</t>
        </is>
      </c>
    </row>
    <row r="657">
      <c r="A657" s="1" t="inlineStr">
        <is>
          <t>vKYT5m04</t>
        </is>
      </c>
      <c r="B657" s="1" t="inlineStr">
        <is>
          <t>數值</t>
        </is>
      </c>
      <c r="C657" s="1" t="n">
        <v>2</v>
      </c>
      <c r="D657" s="1" t="n">
        <v>0</v>
      </c>
      <c r="E657" s="1" t="inlineStr">
        <is>
          <t>KYT5 請問您平常會在YouTube上看什麼內容？(可複選)(卡40) 訪員注意： 1.（01）網紅影片是指特地追網紅、看他拍攝的影片（例如：某網紅每週五晚上會上新影片，就會特地週五晚上留時間收看）。�</t>
        </is>
      </c>
    </row>
    <row r="658">
      <c r="A658" s="1" t="inlineStr">
        <is>
          <t>vKYT5m05</t>
        </is>
      </c>
      <c r="B658" s="1" t="inlineStr">
        <is>
          <t>數值</t>
        </is>
      </c>
      <c r="C658" s="1" t="n">
        <v>2</v>
      </c>
      <c r="D658" s="1" t="n">
        <v>0</v>
      </c>
      <c r="E658" s="1" t="inlineStr">
        <is>
          <t>KYT5 請問您平常會在YouTube上看什麼內容？(可複選)(卡40) 訪員注意： 1.（01）網紅影片是指特地追網紅、看他拍攝的影片（例如：某網紅每週五晚上會上新影片，就會特地週五晚上留時間收看）。�</t>
        </is>
      </c>
    </row>
    <row r="659">
      <c r="A659" s="1" t="inlineStr">
        <is>
          <t>vKYT5m06</t>
        </is>
      </c>
      <c r="B659" s="1" t="inlineStr">
        <is>
          <t>數值</t>
        </is>
      </c>
      <c r="C659" s="1" t="n">
        <v>2</v>
      </c>
      <c r="D659" s="1" t="n">
        <v>0</v>
      </c>
      <c r="E659" s="1" t="inlineStr">
        <is>
          <t>KYT5 請問您平常會在YouTube上看什麼內容？(可複選)(卡40) 訪員注意： 1.（01）網紅影片是指特地追網紅、看他拍攝的影片（例如：某網紅每週五晚上會上新影片，就會特地週五晚上留時間收看）。�</t>
        </is>
      </c>
    </row>
    <row r="660">
      <c r="A660" s="1" t="inlineStr">
        <is>
          <t>vKYT5m07</t>
        </is>
      </c>
      <c r="B660" s="1" t="inlineStr">
        <is>
          <t>數值</t>
        </is>
      </c>
      <c r="C660" s="1" t="n">
        <v>2</v>
      </c>
      <c r="D660" s="1" t="n">
        <v>0</v>
      </c>
      <c r="E660" s="1" t="inlineStr">
        <is>
          <t>KYT5 請問您平常會在YouTube上看什麼內容？(可複選)(卡40) 訪員注意： 1.（01）網紅影片是指特地追網紅、看他拍攝的影片（例如：某網紅每週五晚上會上新影片，就會特地週五晚上留時間收看）。�</t>
        </is>
      </c>
    </row>
    <row r="661">
      <c r="A661" s="1" t="inlineStr">
        <is>
          <t>vKYT5m08</t>
        </is>
      </c>
      <c r="B661" s="1" t="inlineStr">
        <is>
          <t>數值</t>
        </is>
      </c>
      <c r="C661" s="1" t="n">
        <v>2</v>
      </c>
      <c r="D661" s="1" t="n">
        <v>0</v>
      </c>
      <c r="E661" s="1" t="inlineStr">
        <is>
          <t>KYT5 請問您平常會在YouTube上看什麼內容？(可複選)(卡40) 訪員注意： 1.（01）網紅影片是指特地追網紅、看他拍攝的影片（例如：某網紅每週五晚上會上新影片，就會特地週五晚上留時間收看）。�</t>
        </is>
      </c>
    </row>
    <row r="662">
      <c r="A662" s="1" t="inlineStr">
        <is>
          <t>vKYT5m09</t>
        </is>
      </c>
      <c r="B662" s="1" t="inlineStr">
        <is>
          <t>數值</t>
        </is>
      </c>
      <c r="C662" s="1" t="n">
        <v>2</v>
      </c>
      <c r="D662" s="1" t="n">
        <v>0</v>
      </c>
      <c r="E662" s="1" t="inlineStr">
        <is>
          <t>KYT5 請問您平常會在YouTube上看什麼內容？(可複選)(卡40) 訪員注意： 1.（01）網紅影片是指特地追網紅、看他拍攝的影片（例如：某網紅每週五晚上會上新影片，就會特地週五晚上留時間收看）。�</t>
        </is>
      </c>
    </row>
    <row r="663">
      <c r="A663" s="1" t="inlineStr">
        <is>
          <t>vKYT5m10</t>
        </is>
      </c>
      <c r="B663" s="1" t="inlineStr">
        <is>
          <t>數值</t>
        </is>
      </c>
      <c r="C663" s="1" t="n">
        <v>2</v>
      </c>
      <c r="D663" s="1" t="n">
        <v>0</v>
      </c>
      <c r="E663" s="1" t="inlineStr">
        <is>
          <t>KYT5 請問您平常會在YouTube上看什麼內容？(可複選)(卡40) 訪員注意： 1.（01）網紅影片是指特地追網紅、看他拍攝的影片（例如：某網紅每週五晚上會上新影片，就會特地週五晚上留時間收看）。�</t>
        </is>
      </c>
    </row>
    <row r="664">
      <c r="A664" s="1" t="inlineStr">
        <is>
          <t>vKYT5m11</t>
        </is>
      </c>
      <c r="B664" s="1" t="inlineStr">
        <is>
          <t>數值</t>
        </is>
      </c>
      <c r="C664" s="1" t="n">
        <v>2</v>
      </c>
      <c r="D664" s="1" t="n">
        <v>0</v>
      </c>
      <c r="E664" s="1" t="inlineStr">
        <is>
          <t>KYT5 請問您平常會在YouTube上看什麼內容？(可複選)(卡40) 訪員注意： 1.（01）網紅影片是指特地追網紅、看他拍攝的影片（例如：某網紅每週五晚上會上新影片，就會特地週五晚上留時間收看）。�</t>
        </is>
      </c>
    </row>
    <row r="665">
      <c r="A665" s="1" t="inlineStr">
        <is>
          <t>vKYT5m12</t>
        </is>
      </c>
      <c r="B665" s="1" t="inlineStr">
        <is>
          <t>數值</t>
        </is>
      </c>
      <c r="C665" s="1" t="n">
        <v>2</v>
      </c>
      <c r="D665" s="1" t="n">
        <v>0</v>
      </c>
      <c r="E665" s="1" t="inlineStr">
        <is>
          <t>KYT5 請問您平常會在YouTube上看什麼內容？(可複選)(卡40) 訪員注意： 1.（01）網紅影片是指特地追網紅、看他拍攝的影片（例如：某網紅每週五晚上會上新影片，就會特地週五晚上留時間收看）。�</t>
        </is>
      </c>
    </row>
    <row r="666">
      <c r="A666" s="1" t="inlineStr">
        <is>
          <t>vKYT5m13</t>
        </is>
      </c>
      <c r="B666" s="1" t="inlineStr">
        <is>
          <t>數值</t>
        </is>
      </c>
      <c r="C666" s="1" t="n">
        <v>2</v>
      </c>
      <c r="D666" s="1" t="n">
        <v>0</v>
      </c>
      <c r="E666" s="1" t="inlineStr">
        <is>
          <t>KYT5 請問您平常會在YouTube上看什麼內容？(可複選)(卡40) 訪員注意： 1.（01）網紅影片是指特地追網紅、看他拍攝的影片（例如：某網紅每週五晚上會上新影片，就會特地週五晚上留時間收看）。�</t>
        </is>
      </c>
    </row>
    <row r="667">
      <c r="A667" s="1" t="inlineStr">
        <is>
          <t>vKYT5m14</t>
        </is>
      </c>
      <c r="B667" s="1" t="inlineStr">
        <is>
          <t>數值</t>
        </is>
      </c>
      <c r="C667" s="1" t="n">
        <v>2</v>
      </c>
      <c r="D667" s="1" t="n">
        <v>0</v>
      </c>
      <c r="E667" s="1" t="inlineStr">
        <is>
          <t>KYT5 請問您平常會在YouTube上看什麼內容？(可複選)(卡40) 訪員注意： 1.（01）網紅影片是指特地追網紅、看他拍攝的影片（例如：某網紅每週五晚上會上新影片，就會特地週五晚上留時間收看）。�</t>
        </is>
      </c>
    </row>
    <row r="668">
      <c r="A668" s="1" t="inlineStr">
        <is>
          <t>vKYT5m15</t>
        </is>
      </c>
      <c r="B668" s="1" t="inlineStr">
        <is>
          <t>數值</t>
        </is>
      </c>
      <c r="C668" s="1" t="n">
        <v>2</v>
      </c>
      <c r="D668" s="1" t="n">
        <v>0</v>
      </c>
      <c r="E668" s="1" t="inlineStr">
        <is>
          <t>KYT5 請問您平常會在YouTube上看什麼內容？(可複選)(卡40) 訪員注意： 1.（01）網紅影片是指特地追網紅、看他拍攝的影片（例如：某網紅每週五晚上會上新影片，就會特地週五晚上留時間收看）。�</t>
        </is>
      </c>
    </row>
    <row r="669">
      <c r="A669" s="1" t="inlineStr">
        <is>
          <t>vKYT5m16</t>
        </is>
      </c>
      <c r="B669" s="1" t="inlineStr">
        <is>
          <t>數值</t>
        </is>
      </c>
      <c r="C669" s="1" t="n">
        <v>2</v>
      </c>
      <c r="D669" s="1" t="n">
        <v>0</v>
      </c>
      <c r="E669" s="1" t="inlineStr">
        <is>
          <t>KYT5 請問您平常會在YouTube上看什麼內容？(可複選)(卡40) 訪員注意： 1.（01）網紅影片是指特地追網紅、看他拍攝的影片（例如：某網紅每週五晚上會上新影片，就會特地週五晚上留時間收看）。�</t>
        </is>
      </c>
    </row>
    <row r="670">
      <c r="A670" s="1" t="inlineStr">
        <is>
          <t>vKYT5m17</t>
        </is>
      </c>
      <c r="B670" s="1" t="inlineStr">
        <is>
          <t>數值</t>
        </is>
      </c>
      <c r="C670" s="1" t="n">
        <v>2</v>
      </c>
      <c r="D670" s="1" t="n">
        <v>0</v>
      </c>
      <c r="E670" s="1" t="inlineStr">
        <is>
          <t>KYT5 請問您平常會在YouTube上看什麼內容？(可複選)(卡40) 訪員注意： 1.（01）網紅影片是指特地追網紅、看他拍攝的影片（例如：某網紅每週五晚上會上新影片，就會特地週五晚上留時間收看）。�</t>
        </is>
      </c>
    </row>
    <row r="671">
      <c r="A671" s="1" t="inlineStr">
        <is>
          <t>vKYT5m18</t>
        </is>
      </c>
      <c r="B671" s="1" t="inlineStr">
        <is>
          <t>數值</t>
        </is>
      </c>
      <c r="C671" s="1" t="n">
        <v>2</v>
      </c>
      <c r="D671" s="1" t="n">
        <v>0</v>
      </c>
      <c r="E671" s="1" t="inlineStr">
        <is>
          <t>KYT5 請問您平常會在YouTube上看什麼內容？(可複選)(卡40) 訪員注意： 1.（01）網紅影片是指特地追網紅、看他拍攝的影片（例如：某網紅每週五晚上會上新影片，就會特地週五晚上留時間收看）。�</t>
        </is>
      </c>
    </row>
    <row r="672">
      <c r="A672" s="1" t="inlineStr">
        <is>
          <t>vKYT5m19</t>
        </is>
      </c>
      <c r="B672" s="1" t="inlineStr">
        <is>
          <t>數值</t>
        </is>
      </c>
      <c r="C672" s="1" t="n">
        <v>2</v>
      </c>
      <c r="D672" s="1" t="n">
        <v>0</v>
      </c>
      <c r="E672" s="1" t="inlineStr">
        <is>
          <t>KYT5 請問您平常會在YouTube上看什麼內容？(可複選)(卡40) 訪員注意： 1.（01）網紅影片是指特地追網紅、看他拍攝的影片（例如：某網紅每週五晚上會上新影片，就會特地週五晚上留時間收看）。�</t>
        </is>
      </c>
    </row>
    <row r="673">
      <c r="A673" s="1" t="inlineStr">
        <is>
          <t>vKYT5m20</t>
        </is>
      </c>
      <c r="B673" s="1" t="inlineStr">
        <is>
          <t>數值</t>
        </is>
      </c>
      <c r="C673" s="1" t="n">
        <v>2</v>
      </c>
      <c r="D673" s="1" t="n">
        <v>0</v>
      </c>
      <c r="E673" s="1" t="inlineStr">
        <is>
          <t>KYT5 請問您平常會在YouTube上看什麼內容？(可複選)(卡40) 訪員注意： 1.（01）網紅影片是指特地追網紅、看他拍攝的影片（例如：某網紅每週五晚上會上新影片，就會特地週五晚上留時間收看）。�</t>
        </is>
      </c>
    </row>
    <row r="674">
      <c r="A674" s="1" t="inlineStr">
        <is>
          <t>vKYT5m21</t>
        </is>
      </c>
      <c r="B674" s="1" t="inlineStr">
        <is>
          <t>數值</t>
        </is>
      </c>
      <c r="C674" s="1" t="n">
        <v>2</v>
      </c>
      <c r="D674" s="1" t="n">
        <v>0</v>
      </c>
      <c r="E674" s="1" t="inlineStr">
        <is>
          <t>KYT5 請問您平常會在YouTube上看什麼內容？(可複選)(卡40) 訪員注意： 1.（01）網紅影片是指特地追網紅、看他拍攝的影片（例如：某網紅每週五晚上會上新影片，就會特地週五晚上留時間收看）。�</t>
        </is>
      </c>
    </row>
    <row r="675">
      <c r="A675" s="1" t="inlineStr">
        <is>
          <t>vKYT5m22</t>
        </is>
      </c>
      <c r="B675" s="1" t="inlineStr">
        <is>
          <t>數值</t>
        </is>
      </c>
      <c r="C675" s="1" t="n">
        <v>2</v>
      </c>
      <c r="D675" s="1" t="n">
        <v>0</v>
      </c>
      <c r="E675" s="1" t="inlineStr">
        <is>
          <t>KYT5 請問您平常會在YouTube上看什麼內容？(可複選)(卡40) 訪員注意： 1.（01）網紅影片是指特地追網紅、看他拍攝的影片（例如：某網紅每週五晚上會上新影片，就會特地週五晚上留時間收看）。�</t>
        </is>
      </c>
    </row>
    <row r="676">
      <c r="A676" s="1" t="inlineStr">
        <is>
          <t>vKYT5m23</t>
        </is>
      </c>
      <c r="B676" s="1" t="inlineStr">
        <is>
          <t>數值</t>
        </is>
      </c>
      <c r="C676" s="1" t="n">
        <v>2</v>
      </c>
      <c r="D676" s="1" t="n">
        <v>0</v>
      </c>
      <c r="E676" s="1" t="inlineStr">
        <is>
          <t>KYT5 請問您平常會在YouTube上看什麼內容？(可複選)(卡40) 訪員注意： 1.（01）網紅影片是指特地追網紅、看他拍攝的影片（例如：某網紅每週五晚上會上新影片，就會特地週五晚上留時間收看）。�</t>
        </is>
      </c>
    </row>
    <row r="677">
      <c r="A677" s="1" t="inlineStr">
        <is>
          <t>vKYT5m24</t>
        </is>
      </c>
      <c r="B677" s="1" t="inlineStr">
        <is>
          <t>數值</t>
        </is>
      </c>
      <c r="C677" s="1" t="n">
        <v>2</v>
      </c>
      <c r="D677" s="1" t="n">
        <v>0</v>
      </c>
      <c r="E677" s="1" t="inlineStr">
        <is>
          <t>KYT5 請問您平常會在YouTube上看什麼內容？(可複選)(卡40) 訪員注意： 1.（01）網紅影片是指特地追網紅、看他拍攝的影片（例如：某網紅每週五晚上會上新影片，就會特地週五晚上留時間收看）。�</t>
        </is>
      </c>
    </row>
    <row r="678">
      <c r="A678" s="1" t="inlineStr">
        <is>
          <t>vKYT5m25</t>
        </is>
      </c>
      <c r="B678" s="1" t="inlineStr">
        <is>
          <t>數值</t>
        </is>
      </c>
      <c r="C678" s="1" t="n">
        <v>2</v>
      </c>
      <c r="D678" s="1" t="n">
        <v>0</v>
      </c>
      <c r="E678" s="1" t="inlineStr">
        <is>
          <t>KYT5 請問您平常會在YouTube上看什麼內容？(可複選)(卡40) 訪員注意： 1.（01）網紅影片是指特地追網紅、看他拍攝的影片（例如：某網紅每週五晚上會上新影片，就會特地週五晚上留時間收看）。�</t>
        </is>
      </c>
    </row>
    <row r="679">
      <c r="A679" s="1" t="inlineStr">
        <is>
          <t>vKYT5m26</t>
        </is>
      </c>
      <c r="B679" s="1" t="inlineStr">
        <is>
          <t>數值</t>
        </is>
      </c>
      <c r="C679" s="1" t="n">
        <v>2</v>
      </c>
      <c r="D679" s="1" t="n">
        <v>0</v>
      </c>
      <c r="E679" s="1" t="inlineStr">
        <is>
          <t>KYT5 請問您平常會在YouTube上看什麼內容？(可複選)(卡40) 訪員注意： 1.（01）網紅影片是指特地追網紅、看他拍攝的影片（例如：某網紅每週五晚上會上新影片，就會特地週五晚上留時間收看）。�</t>
        </is>
      </c>
    </row>
    <row r="680">
      <c r="A680" s="1" t="inlineStr">
        <is>
          <t>vKYT5m27</t>
        </is>
      </c>
      <c r="B680" s="1" t="inlineStr">
        <is>
          <t>數值</t>
        </is>
      </c>
      <c r="C680" s="1" t="n">
        <v>2</v>
      </c>
      <c r="D680" s="1" t="n">
        <v>0</v>
      </c>
      <c r="E680" s="1" t="inlineStr">
        <is>
          <t>KYT5 請問您平常會在YouTube上看什麼內容？(可複選)(卡40) 訪員注意： 1.（01）網紅影片是指特地追網紅、看他拍攝的影片（例如：某網紅每週五晚上會上新影片，就會特地週五晚上留時間收看）。�</t>
        </is>
      </c>
    </row>
    <row r="681">
      <c r="A681" s="1" t="inlineStr">
        <is>
          <t>vKYT5m28</t>
        </is>
      </c>
      <c r="B681" s="1" t="inlineStr">
        <is>
          <t>數值</t>
        </is>
      </c>
      <c r="C681" s="1" t="n">
        <v>2</v>
      </c>
      <c r="D681" s="1" t="n">
        <v>0</v>
      </c>
      <c r="E681" s="1" t="inlineStr">
        <is>
          <t>KYT5 請問您平常會在YouTube上看什麼內容？(可複選)(卡40) 訪員注意： 1.（01）網紅影片是指特地追網紅、看他拍攝的影片（例如：某網紅每週五晚上會上新影片，就會特地週五晚上留時間收看）。�</t>
        </is>
      </c>
    </row>
    <row r="682">
      <c r="A682" s="1" t="inlineStr">
        <is>
          <t>vKYT5m29</t>
        </is>
      </c>
      <c r="B682" s="1" t="inlineStr">
        <is>
          <t>數值</t>
        </is>
      </c>
      <c r="C682" s="1" t="n">
        <v>2</v>
      </c>
      <c r="D682" s="1" t="n">
        <v>0</v>
      </c>
      <c r="E682" s="1" t="inlineStr">
        <is>
          <t>KYT5 請問您平常會在YouTube上看什麼內容？(可複選)(卡40) 訪員注意： 1.（01）網紅影片是指特地追網紅、看他拍攝的影片（例如：某網紅每週五晚上會上新影片，就會特地週五晚上留時間收看）。�</t>
        </is>
      </c>
    </row>
    <row r="683">
      <c r="A683" s="1" t="inlineStr">
        <is>
          <t>vKYT5m30</t>
        </is>
      </c>
      <c r="B683" s="1" t="inlineStr">
        <is>
          <t>數值</t>
        </is>
      </c>
      <c r="C683" s="1" t="n">
        <v>2</v>
      </c>
      <c r="D683" s="1" t="n">
        <v>0</v>
      </c>
      <c r="E683" s="1" t="inlineStr">
        <is>
          <t>KYT5 請問您平常會在YouTube上看什麼內容？(可複選)(卡40) 訪員注意： 1.（01）網紅影片是指特地追網紅、看他拍攝的影片（例如：某網紅每週五晚上會上新影片，就會特地週五晚上留時間收看）。�</t>
        </is>
      </c>
    </row>
    <row r="684">
      <c r="A684" s="1" t="inlineStr">
        <is>
          <t>vKYT5m31</t>
        </is>
      </c>
      <c r="B684" s="1" t="inlineStr">
        <is>
          <t>數值</t>
        </is>
      </c>
      <c r="C684" s="1" t="n">
        <v>2</v>
      </c>
      <c r="D684" s="1" t="n">
        <v>0</v>
      </c>
      <c r="E684" s="1" t="inlineStr">
        <is>
          <t>KYT5 請問您平常會在YouTube上看什麼內容？(可複選)(卡40) 訪員注意： 1.（01）網紅影片是指特地追網紅、看他拍攝的影片（例如：某網紅每週五晚上會上新影片，就會特地週五晚上留時間收看）。�</t>
        </is>
      </c>
    </row>
    <row r="685">
      <c r="A685" s="1" t="inlineStr">
        <is>
          <t>vKYT5m32</t>
        </is>
      </c>
      <c r="B685" s="1" t="inlineStr">
        <is>
          <t>數值</t>
        </is>
      </c>
      <c r="C685" s="1" t="n">
        <v>2</v>
      </c>
      <c r="D685" s="1" t="n">
        <v>0</v>
      </c>
      <c r="E685" s="1" t="inlineStr">
        <is>
          <t>KYT5 請問您平常會在YouTube上看什麼內容？(可複選)(卡40) 訪員注意： 1.（01）網紅影片是指特地追網紅、看他拍攝的影片（例如：某網紅每週五晚上會上新影片，就會特地週五晚上留時間收看）。�</t>
        </is>
      </c>
    </row>
    <row r="686">
      <c r="A686" s="1" t="inlineStr">
        <is>
          <t>vKYT5m33</t>
        </is>
      </c>
      <c r="B686" s="1" t="inlineStr">
        <is>
          <t>數值</t>
        </is>
      </c>
      <c r="C686" s="1" t="n">
        <v>2</v>
      </c>
      <c r="D686" s="1" t="n">
        <v>0</v>
      </c>
      <c r="E686" s="1" t="inlineStr">
        <is>
          <t>KYT5 請問您平常會在YouTube上看什麼內容？(可複選)(卡40) 訪員注意： 1.（01）網紅影片是指特地追網紅、看他拍攝的影片（例如：某網紅每週五晚上會上新影片，就會特地週五晚上留時間收看）。�</t>
        </is>
      </c>
    </row>
    <row r="687">
      <c r="A687" s="1" t="inlineStr">
        <is>
          <t>vKYT5m34</t>
        </is>
      </c>
      <c r="B687" s="1" t="inlineStr">
        <is>
          <t>數值</t>
        </is>
      </c>
      <c r="C687" s="1" t="n">
        <v>2</v>
      </c>
      <c r="D687" s="1" t="n">
        <v>0</v>
      </c>
      <c r="E687" s="1" t="inlineStr">
        <is>
          <t>KYT5 請問您平常會在YouTube上看什麼內容？(可複選)(卡40) 訪員注意： 1.（01）網紅影片是指特地追網紅、看他拍攝的影片（例如：某網紅每週五晚上會上新影片，就會特地週五晚上留時間收看）。�</t>
        </is>
      </c>
    </row>
    <row r="688">
      <c r="A688" s="1" t="inlineStr">
        <is>
          <t>vKYT5m35</t>
        </is>
      </c>
      <c r="B688" s="1" t="inlineStr">
        <is>
          <t>數值</t>
        </is>
      </c>
      <c r="C688" s="1" t="n">
        <v>2</v>
      </c>
      <c r="D688" s="1" t="n">
        <v>0</v>
      </c>
      <c r="E688" s="1" t="inlineStr">
        <is>
          <t>KYT5 請問您平常會在YouTube上看什麼內容？(可複選)(卡40) 訪員注意： 1.（01）網紅影片是指特地追網紅、看他拍攝的影片（例如：某網紅每週五晚上會上新影片，就會特地週五晚上留時間收看）。�</t>
        </is>
      </c>
    </row>
    <row r="689">
      <c r="A689" s="1" t="inlineStr">
        <is>
          <t>vKYT5m36</t>
        </is>
      </c>
      <c r="B689" s="1" t="inlineStr">
        <is>
          <t>數值</t>
        </is>
      </c>
      <c r="C689" s="1" t="n">
        <v>2</v>
      </c>
      <c r="D689" s="1" t="n">
        <v>0</v>
      </c>
      <c r="E689" s="1" t="inlineStr">
        <is>
          <t>KYT5 請問您平常會在YouTube上看什麼內容？(可複選)(卡40) 訪員注意： 1.（01）網紅影片是指特地追網紅、看他拍攝的影片（例如：某網紅每週五晚上會上新影片，就會特地週五晚上留時間收看）。�</t>
        </is>
      </c>
    </row>
    <row r="690">
      <c r="A690" s="1" t="inlineStr">
        <is>
          <t>vKYT5m37</t>
        </is>
      </c>
      <c r="B690" s="1" t="inlineStr">
        <is>
          <t>數值</t>
        </is>
      </c>
      <c r="C690" s="1" t="n">
        <v>2</v>
      </c>
      <c r="D690" s="1" t="n">
        <v>0</v>
      </c>
      <c r="E690" s="1" t="inlineStr">
        <is>
          <t>KYT5 請問您平常會在YouTube上看什麼內容？(可複選)(卡40) 訪員注意： 1.（01）網紅影片是指特地追網紅、看他拍攝的影片（例如：某網紅每週五晚上會上新影片，就會特地週五晚上留時間收看）。�</t>
        </is>
      </c>
    </row>
    <row r="691">
      <c r="A691" s="1" t="inlineStr">
        <is>
          <t>vKYT5m88</t>
        </is>
      </c>
      <c r="B691" s="1" t="inlineStr">
        <is>
          <t>數值</t>
        </is>
      </c>
      <c r="C691" s="1" t="n">
        <v>2</v>
      </c>
      <c r="D691" s="1" t="n">
        <v>0</v>
      </c>
      <c r="E691" s="1" t="inlineStr">
        <is>
          <t>KYT5 請問您平常會在YouTube上看什麼內容？(可複選)(卡40) 訪員注意： 1.（01）網紅影片是指特地追網紅、看他拍攝的影片（例如：某網紅每週五晚上會上新影片，就會特地週五晚上留時間收看）。�</t>
        </is>
      </c>
    </row>
    <row r="692">
      <c r="A692" s="1" t="inlineStr">
        <is>
          <t>vKYT5o88</t>
        </is>
      </c>
      <c r="B692" s="1" t="inlineStr">
        <is>
          <t>字串</t>
        </is>
      </c>
      <c r="C692" s="1" t="n">
        <v>150</v>
      </c>
      <c r="D692" s="1" t="n">
        <v>0</v>
      </c>
      <c r="E692" s="1" t="inlineStr">
        <is>
          <t>KYT5 請問您平常會在YouTube上看什麼內容？(可複選)(卡40) 訪員注意： 1.（01）網紅影片是指特地追網紅、看他拍攝的影片（例如：某網紅每週五晚上會上新影片，就會特地週五晚上留時間收看）。�</t>
        </is>
      </c>
    </row>
    <row r="693">
      <c r="A693" s="1" t="inlineStr">
        <is>
          <t>vKYT6</t>
        </is>
      </c>
      <c r="B693" s="1" t="inlineStr">
        <is>
          <t>數值</t>
        </is>
      </c>
      <c r="C693" s="1" t="n">
        <v>2</v>
      </c>
      <c r="D693" s="1" t="n">
        <v>0</v>
      </c>
      <c r="E693" s="1" t="inlineStr">
        <is>
          <t>KYT6 請問您常不常分享或轉寄網路影音/影片？(卡41)</t>
        </is>
      </c>
    </row>
    <row r="694">
      <c r="A694" s="1" t="inlineStr">
        <is>
          <t>vKYT7m01</t>
        </is>
      </c>
      <c r="B694" s="1" t="inlineStr">
        <is>
          <t>數值</t>
        </is>
      </c>
      <c r="C694" s="1" t="n">
        <v>2</v>
      </c>
      <c r="D694" s="1" t="n">
        <v>0</v>
      </c>
      <c r="E694" s="1" t="inlineStr">
        <is>
          <t>KYT7 請問您會轉貼/轉寄或與他人分享什麼影音內容？(可複選)(卡42)  (01) 讓人生氣的</t>
        </is>
      </c>
    </row>
    <row r="695">
      <c r="A695" s="1" t="inlineStr">
        <is>
          <t>vKYT7m02</t>
        </is>
      </c>
      <c r="B695" s="1" t="inlineStr">
        <is>
          <t>數值</t>
        </is>
      </c>
      <c r="C695" s="1" t="n">
        <v>2</v>
      </c>
      <c r="D695" s="1" t="n">
        <v>0</v>
      </c>
      <c r="E695" s="1" t="inlineStr">
        <is>
          <t>KYT7 請問您會轉貼/轉寄或與他人分享什麼影音內容？(可複選)(卡42)  (02) 讓人開心的</t>
        </is>
      </c>
    </row>
    <row r="696">
      <c r="A696" s="1" t="inlineStr">
        <is>
          <t>vKYT7m03</t>
        </is>
      </c>
      <c r="B696" s="1" t="inlineStr">
        <is>
          <t>數值</t>
        </is>
      </c>
      <c r="C696" s="1" t="n">
        <v>2</v>
      </c>
      <c r="D696" s="1" t="n">
        <v>0</v>
      </c>
      <c r="E696" s="1" t="inlineStr">
        <is>
          <t>KYT7 請問您會轉貼/轉寄或與他人分享什麼影音內容？(可複選)(卡42)  (03) 讓人覺得好笑的</t>
        </is>
      </c>
    </row>
    <row r="697">
      <c r="A697" s="1" t="inlineStr">
        <is>
          <t>vKYT7m04</t>
        </is>
      </c>
      <c r="B697" s="1" t="inlineStr">
        <is>
          <t>數值</t>
        </is>
      </c>
      <c r="C697" s="1" t="n">
        <v>2</v>
      </c>
      <c r="D697" s="1" t="n">
        <v>0</v>
      </c>
      <c r="E697" s="1" t="inlineStr">
        <is>
          <t>KYT7 請問您會轉貼/轉寄或與他人分享什麼影音內容？(可複選)(卡42)  (04) 讓人感動的</t>
        </is>
      </c>
    </row>
    <row r="698">
      <c r="A698" s="1" t="inlineStr">
        <is>
          <t>vKYT7m05</t>
        </is>
      </c>
      <c r="B698" s="1" t="inlineStr">
        <is>
          <t>數值</t>
        </is>
      </c>
      <c r="C698" s="1" t="n">
        <v>2</v>
      </c>
      <c r="D698" s="1" t="n">
        <v>0</v>
      </c>
      <c r="E698" s="1" t="inlineStr">
        <is>
          <t>KYT7 請問您會轉貼/轉寄或與他人分享什麼影音內容？(可複選)(卡42)  (05) 有創意的</t>
        </is>
      </c>
    </row>
    <row r="699">
      <c r="A699" s="1" t="inlineStr">
        <is>
          <t>vKYT7m06</t>
        </is>
      </c>
      <c r="B699" s="1" t="inlineStr">
        <is>
          <t>數值</t>
        </is>
      </c>
      <c r="C699" s="1" t="n">
        <v>2</v>
      </c>
      <c r="D699" s="1" t="n">
        <v>0</v>
      </c>
      <c r="E699" s="1" t="inlineStr">
        <is>
          <t>KYT7 請問您會轉貼/轉寄或與他人分享什麼影音內容？(可複選)(卡42)  (06) 發人深省的</t>
        </is>
      </c>
    </row>
    <row r="700">
      <c r="A700" s="1" t="inlineStr">
        <is>
          <t>vKYT7m07</t>
        </is>
      </c>
      <c r="B700" s="1" t="inlineStr">
        <is>
          <t>數值</t>
        </is>
      </c>
      <c r="C700" s="1" t="n">
        <v>2</v>
      </c>
      <c r="D700" s="1" t="n">
        <v>0</v>
      </c>
      <c r="E700" s="1" t="inlineStr">
        <is>
          <t>KYT7 請問您會轉貼/轉寄或與他人分享什麼影音內容？(可複選)(卡42)  (07) 有用的</t>
        </is>
      </c>
    </row>
    <row r="701">
      <c r="A701" s="1" t="inlineStr">
        <is>
          <t>vKYT7m08</t>
        </is>
      </c>
      <c r="B701" s="1" t="inlineStr">
        <is>
          <t>數值</t>
        </is>
      </c>
      <c r="C701" s="1" t="n">
        <v>2</v>
      </c>
      <c r="D701" s="1" t="n">
        <v>0</v>
      </c>
      <c r="E701" s="1" t="inlineStr">
        <is>
          <t>KYT7 請問您會轉貼/轉寄或與他人分享什麼影音內容？(可複選)(卡42)  (08) 讓人覺得美的</t>
        </is>
      </c>
    </row>
    <row r="702">
      <c r="A702" s="1" t="inlineStr">
        <is>
          <t>vKYT7m09</t>
        </is>
      </c>
      <c r="B702" s="1" t="inlineStr">
        <is>
          <t>數值</t>
        </is>
      </c>
      <c r="C702" s="1" t="n">
        <v>2</v>
      </c>
      <c r="D702" s="1" t="n">
        <v>0</v>
      </c>
      <c r="E702" s="1" t="inlineStr">
        <is>
          <t>KYT7 請問您會轉貼/轉寄或與他人分享什麼影音內容？(可複選)(卡42)  (09) 奇聞軼事（關於新奇的事物）</t>
        </is>
      </c>
    </row>
    <row r="703">
      <c r="A703" s="1" t="inlineStr">
        <is>
          <t>vKYT7m10</t>
        </is>
      </c>
      <c r="B703" s="1" t="inlineStr">
        <is>
          <t>數值</t>
        </is>
      </c>
      <c r="C703" s="1" t="n">
        <v>2</v>
      </c>
      <c r="D703" s="1" t="n">
        <v>0</v>
      </c>
      <c r="E703" s="1" t="inlineStr">
        <is>
          <t>KYT7 請問您會轉貼/轉寄或與他人分享什麼影音內容？(可複選)(卡42)  (10) 關於驚悚的事物</t>
        </is>
      </c>
    </row>
    <row r="704">
      <c r="A704" s="1" t="inlineStr">
        <is>
          <t>vKYT7m11</t>
        </is>
      </c>
      <c r="B704" s="1" t="inlineStr">
        <is>
          <t>數值</t>
        </is>
      </c>
      <c r="C704" s="1" t="n">
        <v>2</v>
      </c>
      <c r="D704" s="1" t="n">
        <v>0</v>
      </c>
      <c r="E704" s="1" t="inlineStr">
        <is>
          <t>KYT7 請問您會轉貼/轉寄或與他人分享什麼影音內容？(可複選)(卡42)  (11) 偶像相關影片</t>
        </is>
      </c>
    </row>
    <row r="705">
      <c r="A705" s="1" t="inlineStr">
        <is>
          <t>vKYT7m12</t>
        </is>
      </c>
      <c r="B705" s="1" t="inlineStr">
        <is>
          <t>數值</t>
        </is>
      </c>
      <c r="C705" s="1" t="n">
        <v>2</v>
      </c>
      <c r="D705" s="1" t="n">
        <v>0</v>
      </c>
      <c r="E705" s="1" t="inlineStr">
        <is>
          <t>KYT7 請問您會轉貼/轉寄或與他人分享什麼影音內容？(可複選)(卡42)  (12) 關於帥哥、美女的影片</t>
        </is>
      </c>
    </row>
    <row r="706">
      <c r="A706" s="1" t="inlineStr">
        <is>
          <t>vKYT7m88</t>
        </is>
      </c>
      <c r="B706" s="1" t="inlineStr">
        <is>
          <t>數值</t>
        </is>
      </c>
      <c r="C706" s="1" t="n">
        <v>2</v>
      </c>
      <c r="D706" s="1" t="n">
        <v>0</v>
      </c>
      <c r="E706" s="1" t="inlineStr">
        <is>
          <t>KYT7 請問您會轉貼/轉寄或與他人分享什麼影音內容？(可複選)(卡42)  (88) 其他，請說明</t>
        </is>
      </c>
    </row>
    <row r="707">
      <c r="A707" s="1" t="inlineStr">
        <is>
          <t>vKYT7o88</t>
        </is>
      </c>
      <c r="B707" s="1" t="inlineStr">
        <is>
          <t>字串</t>
        </is>
      </c>
      <c r="C707" s="1" t="n">
        <v>150</v>
      </c>
      <c r="D707" s="1" t="n">
        <v>0</v>
      </c>
      <c r="E707" s="1" t="inlineStr">
        <is>
          <t>KYT7 請問您會轉貼/轉寄或與他人分享什麼影音內容？(可複選)(卡42)  (88) 其他，請說明</t>
        </is>
      </c>
    </row>
    <row r="708">
      <c r="A708" s="1" t="inlineStr">
        <is>
          <t>vKYT8</t>
        </is>
      </c>
      <c r="B708" s="1" t="inlineStr">
        <is>
          <t>數值</t>
        </is>
      </c>
      <c r="C708" s="1" t="n">
        <v>2</v>
      </c>
      <c r="D708" s="1" t="n">
        <v>0</v>
      </c>
      <c r="E708" s="1" t="inlineStr">
        <is>
          <t>KYT8 請問您常不常上傳自己製作的影音/影片到YouTube與他人分享？(卡43)</t>
        </is>
      </c>
    </row>
    <row r="709">
      <c r="A709" s="1" t="inlineStr">
        <is>
          <t>vKYT9m01</t>
        </is>
      </c>
      <c r="B709" s="1" t="inlineStr">
        <is>
          <t>數值</t>
        </is>
      </c>
      <c r="C709" s="1" t="n">
        <v>2</v>
      </c>
      <c r="D709" s="1" t="n">
        <v>0</v>
      </c>
      <c r="E709" s="1" t="inlineStr">
        <is>
          <t>KYT9 請問您會上傳什麼自己製作的內容至YouTube？(可複選)(卡44)  (01) 搞笑影片</t>
        </is>
      </c>
    </row>
    <row r="710">
      <c r="A710" s="1" t="inlineStr">
        <is>
          <t>vKYT9m02</t>
        </is>
      </c>
      <c r="B710" s="1" t="inlineStr">
        <is>
          <t>數值</t>
        </is>
      </c>
      <c r="C710" s="1" t="n">
        <v>2</v>
      </c>
      <c r="D710" s="1" t="n">
        <v>0</v>
      </c>
      <c r="E710" s="1" t="inlineStr">
        <is>
          <t>KYT9 請問您會上傳什麼自己製作的內容至YouTube？(可複選)(卡44)  (02) 現場活動</t>
        </is>
      </c>
    </row>
    <row r="711">
      <c r="A711" s="1" t="inlineStr">
        <is>
          <t>vKYT9m03</t>
        </is>
      </c>
      <c r="B711" s="1" t="inlineStr">
        <is>
          <t>數值</t>
        </is>
      </c>
      <c r="C711" s="1" t="n">
        <v>2</v>
      </c>
      <c r="D711" s="1" t="n">
        <v>0</v>
      </c>
      <c r="E711" s="1" t="inlineStr">
        <is>
          <t>KYT9 請問您會上傳什麼自己製作的內容至YouTube？(可複選)(卡44)  (03) 居家影片</t>
        </is>
      </c>
    </row>
    <row r="712">
      <c r="A712" s="1" t="inlineStr">
        <is>
          <t>vKYT9m04</t>
        </is>
      </c>
      <c r="B712" s="1" t="inlineStr">
        <is>
          <t>數值</t>
        </is>
      </c>
      <c r="C712" s="1" t="n">
        <v>2</v>
      </c>
      <c r="D712" s="1" t="n">
        <v>0</v>
      </c>
      <c r="E712" s="1" t="inlineStr">
        <is>
          <t>KYT9 請問您會上傳什麼自己製作的內容至YouTube？(可複選)(卡44)  (04) 旅遊</t>
        </is>
      </c>
    </row>
    <row r="713">
      <c r="A713" s="1" t="inlineStr">
        <is>
          <t>vKYT9m05</t>
        </is>
      </c>
      <c r="B713" s="1" t="inlineStr">
        <is>
          <t>數值</t>
        </is>
      </c>
      <c r="C713" s="1" t="n">
        <v>2</v>
      </c>
      <c r="D713" s="1" t="n">
        <v>0</v>
      </c>
      <c r="E713" s="1" t="inlineStr">
        <is>
          <t>KYT9 請問您會上傳什麼自己製作的內容至YouTube？(可複選)(卡44)  (05) 聚會</t>
        </is>
      </c>
    </row>
    <row r="714">
      <c r="A714" s="1" t="inlineStr">
        <is>
          <t>vKYT9m06</t>
        </is>
      </c>
      <c r="B714" s="1" t="inlineStr">
        <is>
          <t>數值</t>
        </is>
      </c>
      <c r="C714" s="1" t="n">
        <v>2</v>
      </c>
      <c r="D714" s="1" t="n">
        <v>0</v>
      </c>
      <c r="E714" s="1" t="inlineStr">
        <is>
          <t>KYT9 請問您會上傳什麼自己製作的內容至YouTube？(可複選)(卡44)  (06) 惡搞影片</t>
        </is>
      </c>
    </row>
    <row r="715">
      <c r="A715" s="1" t="inlineStr">
        <is>
          <t>vKYT9m07</t>
        </is>
      </c>
      <c r="B715" s="1" t="inlineStr">
        <is>
          <t>數值</t>
        </is>
      </c>
      <c r="C715" s="1" t="n">
        <v>2</v>
      </c>
      <c r="D715" s="1" t="n">
        <v>0</v>
      </c>
      <c r="E715" s="1" t="inlineStr">
        <is>
          <t>KYT9 請問您會上傳什麼自己製作的內容至YouTube？(可複選)(卡44)  (07) 趣味模仿</t>
        </is>
      </c>
    </row>
    <row r="716">
      <c r="A716" s="1" t="inlineStr">
        <is>
          <t>vKYT9m08</t>
        </is>
      </c>
      <c r="B716" s="1" t="inlineStr">
        <is>
          <t>數值</t>
        </is>
      </c>
      <c r="C716" s="1" t="n">
        <v>2</v>
      </c>
      <c r="D716" s="1" t="n">
        <v>0</v>
      </c>
      <c r="E716" s="1" t="inlineStr">
        <is>
          <t>KYT9 請問您會上傳什麼自己製作的內容至YouTube？(可複選)(卡44)  (08) 現場音樂會</t>
        </is>
      </c>
    </row>
    <row r="717">
      <c r="A717" s="1" t="inlineStr">
        <is>
          <t>vKYT9m09</t>
        </is>
      </c>
      <c r="B717" s="1" t="inlineStr">
        <is>
          <t>數值</t>
        </is>
      </c>
      <c r="C717" s="1" t="n">
        <v>2</v>
      </c>
      <c r="D717" s="1" t="n">
        <v>0</v>
      </c>
      <c r="E717" s="1" t="inlineStr">
        <is>
          <t>KYT9 請問您會上傳什麼自己製作的內容至YouTube？(可複選)(卡44)  (09) 動物影片</t>
        </is>
      </c>
    </row>
    <row r="718">
      <c r="A718" s="1" t="inlineStr">
        <is>
          <t>vKYT9m10</t>
        </is>
      </c>
      <c r="B718" s="1" t="inlineStr">
        <is>
          <t>數值</t>
        </is>
      </c>
      <c r="C718" s="1" t="n">
        <v>2</v>
      </c>
      <c r="D718" s="1" t="n">
        <v>0</v>
      </c>
      <c r="E718" s="1" t="inlineStr">
        <is>
          <t>KYT9 請問您會上傳什麼自己製作的內容至YouTube？(可複選)(卡44)  (10) 翻唱影片</t>
        </is>
      </c>
    </row>
    <row r="719">
      <c r="A719" s="1" t="inlineStr">
        <is>
          <t>vKYT9m11</t>
        </is>
      </c>
      <c r="B719" s="1" t="inlineStr">
        <is>
          <t>數值</t>
        </is>
      </c>
      <c r="C719" s="1" t="n">
        <v>2</v>
      </c>
      <c r="D719" s="1" t="n">
        <v>0</v>
      </c>
      <c r="E719" s="1" t="inlineStr">
        <is>
          <t>KYT9 請問您會上傳什麼自己製作的內容至YouTube？(可複選)(卡44)  (11) 行車紀錄影片</t>
        </is>
      </c>
    </row>
    <row r="720">
      <c r="A720" s="1" t="inlineStr">
        <is>
          <t>vKYT9m12</t>
        </is>
      </c>
      <c r="B720" s="1" t="inlineStr">
        <is>
          <t>數值</t>
        </is>
      </c>
      <c r="C720" s="1" t="n">
        <v>2</v>
      </c>
      <c r="D720" s="1" t="n">
        <v>0</v>
      </c>
      <c r="E720" s="1" t="inlineStr">
        <is>
          <t>KYT9 請問您會上傳什麼自己製作的內容至YouTube？(可複選)(卡44)  (12) 偶像相關影片</t>
        </is>
      </c>
    </row>
    <row r="721">
      <c r="A721" s="1" t="inlineStr">
        <is>
          <t>vKYT9m13</t>
        </is>
      </c>
      <c r="B721" s="1" t="inlineStr">
        <is>
          <t>數值</t>
        </is>
      </c>
      <c r="C721" s="1" t="n">
        <v>2</v>
      </c>
      <c r="D721" s="1" t="n">
        <v>0</v>
      </c>
      <c r="E721" s="1" t="inlineStr">
        <is>
          <t>KYT9 請問您會上傳什麼自己製作的內容至YouTube？(可複選)(卡44)  (13) 特定興趣主題影片*</t>
        </is>
      </c>
    </row>
    <row r="722">
      <c r="A722" s="1" t="inlineStr">
        <is>
          <t>vKYT9m88</t>
        </is>
      </c>
      <c r="B722" s="1" t="inlineStr">
        <is>
          <t>數值</t>
        </is>
      </c>
      <c r="C722" s="1" t="n">
        <v>2</v>
      </c>
      <c r="D722" s="1" t="n">
        <v>0</v>
      </c>
      <c r="E722" s="1" t="inlineStr">
        <is>
          <t>KYT9 請問您會上傳什麼自己製作的內容至YouTube？(可複選)(卡44)  (88) 其他，請說明</t>
        </is>
      </c>
    </row>
    <row r="723">
      <c r="A723" s="1" t="inlineStr">
        <is>
          <t>vKYT9o88</t>
        </is>
      </c>
      <c r="B723" s="1" t="inlineStr">
        <is>
          <t>字串</t>
        </is>
      </c>
      <c r="C723" s="1" t="n">
        <v>150</v>
      </c>
      <c r="D723" s="1" t="n">
        <v>0</v>
      </c>
      <c r="E723" s="1" t="inlineStr">
        <is>
          <t>KYT9 請問您會上傳什麼自己製作的內容至YouTube？(可複選)(卡44)  (88) 其他，請說明</t>
        </is>
      </c>
    </row>
    <row r="724">
      <c r="A724" s="1" t="inlineStr">
        <is>
          <t>vM1g1</t>
        </is>
      </c>
      <c r="B724" s="1" t="inlineStr">
        <is>
          <t>數值</t>
        </is>
      </c>
      <c r="C724" s="1" t="n">
        <v>4</v>
      </c>
      <c r="D724" s="1" t="n">
        <v>0</v>
      </c>
      <c r="E724" s="1" t="inlineStr">
        <is>
          <t>M1 請問您每星期大概會玩幾個小時的電玩遊戲也包含手機上的小遊戲？ 訪員注意： *「電玩遊戲」是指要用電腦、手機、平板或遊戲機才可以玩的遊戲，不論需不需要連上網路都算。 *電玩遊戲�</t>
        </is>
      </c>
    </row>
    <row r="725">
      <c r="A725" s="1" t="inlineStr">
        <is>
          <t>vM1g2</t>
        </is>
      </c>
      <c r="B725" s="1" t="inlineStr">
        <is>
          <t>數值</t>
        </is>
      </c>
      <c r="C725" s="1" t="n">
        <v>2</v>
      </c>
      <c r="D725" s="1" t="n">
        <v>0</v>
      </c>
      <c r="E725" s="1" t="inlineStr">
        <is>
          <t>M1 請問您每星期大概會玩幾個小時的電玩遊戲也包含手機上的小遊戲？ 訪員注意： *「電玩遊戲」是指要用電腦、手機、平板或遊戲機才可以玩的遊戲，不論需不需要連上網路都算。 *電玩遊戲�</t>
        </is>
      </c>
    </row>
    <row r="726">
      <c r="A726" s="1" t="inlineStr">
        <is>
          <t>vJ1</t>
        </is>
      </c>
      <c r="B726" s="1" t="inlineStr">
        <is>
          <t>數值</t>
        </is>
      </c>
      <c r="C726" s="1" t="n">
        <v>2</v>
      </c>
      <c r="D726" s="1" t="n">
        <v>0</v>
      </c>
      <c r="E726" s="1" t="inlineStr">
        <is>
          <t>J1 請問當您想要放鬆或消遣的時候，您會優先使用下列哪種媒體？(卡45) 受訪者一星期： (B1題)(B3題)：星期一至星期五看電視${Q:B1}天；星期六至星期日看電視${Q:B3}天。 (G1題)看報紙${Q:G1}天。 (C1�</t>
        </is>
      </c>
    </row>
    <row r="727">
      <c r="A727" s="1" t="inlineStr">
        <is>
          <t>vJ1o88</t>
        </is>
      </c>
      <c r="B727" s="1" t="inlineStr">
        <is>
          <t>字串</t>
        </is>
      </c>
      <c r="C727" s="1" t="n">
        <v>150</v>
      </c>
      <c r="D727" s="1" t="n">
        <v>0</v>
      </c>
      <c r="E727" s="1" t="inlineStr">
        <is>
          <t>J1 請問當您想要放鬆或消遣的時候，您會優先使用下列哪種媒體？(卡45) 受訪者一星期： (B1題)(B3題)：星期一至星期五看電視${Q:B1}天；星期六至星期日看電視${Q:B3}天。 (G1題)看報紙${Q:G1}天。 (C1�</t>
        </is>
      </c>
    </row>
    <row r="728">
      <c r="A728" s="1" t="inlineStr">
        <is>
          <t>vJ2</t>
        </is>
      </c>
      <c r="B728" s="1" t="inlineStr">
        <is>
          <t>數值</t>
        </is>
      </c>
      <c r="C728" s="1" t="n">
        <v>2</v>
      </c>
      <c r="D728" s="1" t="n">
        <v>0</v>
      </c>
      <c r="E728" s="1" t="inlineStr">
        <is>
          <t>J2 請問您想要得到當下最新消息時，您會優先使用以下哪一個媒體？(卡45) 受訪者一星期： (B1題)(B3題)：星期一至星期五看電視${Q:B1}天；星期六至星期日看電視${Q:B3}天。 (G1題)看報紙${Q:G1}天。 (C</t>
        </is>
      </c>
    </row>
    <row r="729">
      <c r="A729" s="1" t="inlineStr">
        <is>
          <t>vJ2o88</t>
        </is>
      </c>
      <c r="B729" s="1" t="inlineStr">
        <is>
          <t>字串</t>
        </is>
      </c>
      <c r="C729" s="1" t="n">
        <v>150</v>
      </c>
      <c r="D729" s="1" t="n">
        <v>0</v>
      </c>
      <c r="E729" s="1" t="inlineStr">
        <is>
          <t>J2 請問您想要得到當下最新消息時，您會優先使用以下哪一個媒體？(卡45) 受訪者一星期： (B1題)(B3題)：星期一至星期五看電視${Q:B1}天；星期六至星期日看電視${Q:B3}天。 (G1題)看報紙${Q:G1}天。 (C</t>
        </is>
      </c>
    </row>
    <row r="730">
      <c r="A730" s="1" t="inlineStr">
        <is>
          <t>vJ3</t>
        </is>
      </c>
      <c r="B730" s="1" t="inlineStr">
        <is>
          <t>數值</t>
        </is>
      </c>
      <c r="C730" s="1" t="n">
        <v>2</v>
      </c>
      <c r="D730" s="1" t="n">
        <v>0</v>
      </c>
      <c r="E730" s="1" t="inlineStr">
        <is>
          <t>J3 請問在下列這些媒體中，哪一個是您最信賴的消息來源？(卡45) 訪員注意： 1.「最信賴的消息來源」指的是受訪者覺得從這個來源獲得的新聞、資訊等是最能相信的。 2.若覺得這些媒體都沒差�</t>
        </is>
      </c>
    </row>
    <row r="731">
      <c r="A731" s="1" t="inlineStr">
        <is>
          <t>vJ3o88</t>
        </is>
      </c>
      <c r="B731" s="1" t="inlineStr">
        <is>
          <t>字串</t>
        </is>
      </c>
      <c r="C731" s="1" t="n">
        <v>150</v>
      </c>
      <c r="D731" s="1" t="n">
        <v>0</v>
      </c>
      <c r="E731" s="1" t="inlineStr">
        <is>
          <t>J3 請問在下列這些媒體中，哪一個是您最信賴的消息來源？(卡45) 訪員注意： 1.「最信賴的消息來源」指的是受訪者覺得從這個來源獲得的新聞、資訊等是最能相信的。 2.若覺得這些媒體都沒差�</t>
        </is>
      </c>
    </row>
    <row r="732">
      <c r="A732" s="1" t="inlineStr">
        <is>
          <t>vJA1m01</t>
        </is>
      </c>
      <c r="B732" s="1" t="inlineStr">
        <is>
          <t>數值</t>
        </is>
      </c>
      <c r="C732" s="1" t="n">
        <v>2</v>
      </c>
      <c r="D732" s="1" t="n">
        <v>0</v>
      </c>
      <c r="E732" s="1" t="inlineStr">
        <is>
          <t>JA1 接下來，我們想請教您對於臺灣媒體與網路的看法，請您選出最符合您想法的答案。請問您認為目前臺灣電視節目（如：綜藝、戲劇、影集等）的內容，有下列哪些不好的地方，需要解決？(�</t>
        </is>
      </c>
    </row>
    <row r="733">
      <c r="A733" s="1" t="inlineStr">
        <is>
          <t>vJA1m02</t>
        </is>
      </c>
      <c r="B733" s="1" t="inlineStr">
        <is>
          <t>數值</t>
        </is>
      </c>
      <c r="C733" s="1" t="n">
        <v>2</v>
      </c>
      <c r="D733" s="1" t="n">
        <v>0</v>
      </c>
      <c r="E733" s="1" t="inlineStr">
        <is>
          <t>JA1 接下來，我們想請教您對於臺灣媒體與網路的看法，請您選出最符合您想法的答案。請問您認為目前臺灣電視節目（如：綜藝、戲劇、影集等）的內容，有下列哪些不好的地方，需要解決？(�</t>
        </is>
      </c>
    </row>
    <row r="734">
      <c r="A734" s="1" t="inlineStr">
        <is>
          <t>vJA1m03</t>
        </is>
      </c>
      <c r="B734" s="1" t="inlineStr">
        <is>
          <t>數值</t>
        </is>
      </c>
      <c r="C734" s="1" t="n">
        <v>2</v>
      </c>
      <c r="D734" s="1" t="n">
        <v>0</v>
      </c>
      <c r="E734" s="1" t="inlineStr">
        <is>
          <t>JA1 接下來，我們想請教您對於臺灣媒體與網路的看法，請您選出最符合您想法的答案。請問您認為目前臺灣電視節目（如：綜藝、戲劇、影集等）的內容，有下列哪些不好的地方，需要解決？(�</t>
        </is>
      </c>
    </row>
    <row r="735">
      <c r="A735" s="1" t="inlineStr">
        <is>
          <t>vJA1m04</t>
        </is>
      </c>
      <c r="B735" s="1" t="inlineStr">
        <is>
          <t>數值</t>
        </is>
      </c>
      <c r="C735" s="1" t="n">
        <v>2</v>
      </c>
      <c r="D735" s="1" t="n">
        <v>0</v>
      </c>
      <c r="E735" s="1" t="inlineStr">
        <is>
          <t>JA1 接下來，我們想請教您對於臺灣媒體與網路的看法，請您選出最符合您想法的答案。請問您認為目前臺灣電視節目（如：綜藝、戲劇、影集等）的內容，有下列哪些不好的地方，需要解決？(�</t>
        </is>
      </c>
    </row>
    <row r="736">
      <c r="A736" s="1" t="inlineStr">
        <is>
          <t>vJA1m05</t>
        </is>
      </c>
      <c r="B736" s="1" t="inlineStr">
        <is>
          <t>數值</t>
        </is>
      </c>
      <c r="C736" s="1" t="n">
        <v>2</v>
      </c>
      <c r="D736" s="1" t="n">
        <v>0</v>
      </c>
      <c r="E736" s="1" t="inlineStr">
        <is>
          <t>JA1 接下來，我們想請教您對於臺灣媒體與網路的看法，請您選出最符合您想法的答案。請問您認為目前臺灣電視節目（如：綜藝、戲劇、影集等）的內容，有下列哪些不好的地方，需要解決？(�</t>
        </is>
      </c>
    </row>
    <row r="737">
      <c r="A737" s="1" t="inlineStr">
        <is>
          <t>vJA1m06</t>
        </is>
      </c>
      <c r="B737" s="1" t="inlineStr">
        <is>
          <t>數值</t>
        </is>
      </c>
      <c r="C737" s="1" t="n">
        <v>2</v>
      </c>
      <c r="D737" s="1" t="n">
        <v>0</v>
      </c>
      <c r="E737" s="1" t="inlineStr">
        <is>
          <t>JA1 接下來，我們想請教您對於臺灣媒體與網路的看法，請您選出最符合您想法的答案。請問您認為目前臺灣電視節目（如：綜藝、戲劇、影集等）的內容，有下列哪些不好的地方，需要解決？(�</t>
        </is>
      </c>
    </row>
    <row r="738">
      <c r="A738" s="1" t="inlineStr">
        <is>
          <t>vJA1m88</t>
        </is>
      </c>
      <c r="B738" s="1" t="inlineStr">
        <is>
          <t>數值</t>
        </is>
      </c>
      <c r="C738" s="1" t="n">
        <v>2</v>
      </c>
      <c r="D738" s="1" t="n">
        <v>0</v>
      </c>
      <c r="E738" s="1" t="inlineStr">
        <is>
          <t>JA1 接下來，我們想請教您對於臺灣媒體與網路的看法，請您選出最符合您想法的答案。請問您認為目前臺灣電視節目（如：綜藝、戲劇、影集等）的內容，有下列哪些不好的地方，需要解決？(�</t>
        </is>
      </c>
    </row>
    <row r="739">
      <c r="A739" s="1" t="inlineStr">
        <is>
          <t>vJA1m90</t>
        </is>
      </c>
      <c r="B739" s="1" t="inlineStr">
        <is>
          <t>數值</t>
        </is>
      </c>
      <c r="C739" s="1" t="n">
        <v>2</v>
      </c>
      <c r="D739" s="1" t="n">
        <v>0</v>
      </c>
      <c r="E739" s="1" t="inlineStr">
        <is>
          <t>JA1 接下來，我們想請教您對於臺灣媒體與網路的看法，請您選出最符合您想法的答案。請問您認為目前臺灣電視節目（如：綜藝、戲劇、影集等）的內容，有下列哪些不好的地方，需要解決？(�</t>
        </is>
      </c>
    </row>
    <row r="740">
      <c r="A740" s="1" t="inlineStr">
        <is>
          <t>vJA1o88</t>
        </is>
      </c>
      <c r="B740" s="1" t="inlineStr">
        <is>
          <t>字串</t>
        </is>
      </c>
      <c r="C740" s="1" t="n">
        <v>150</v>
      </c>
      <c r="D740" s="1" t="n">
        <v>0</v>
      </c>
      <c r="E740" s="1" t="inlineStr">
        <is>
          <t>JA1 接下來，我們想請教您對於臺灣媒體與網路的看法，請您選出最符合您想法的答案。請問您認為目前臺灣電視節目（如：綜藝、戲劇、影集等）的內容，有下列哪些不好的地方，需要解決？(�</t>
        </is>
      </c>
    </row>
    <row r="741">
      <c r="A741" s="1" t="inlineStr">
        <is>
          <t>vJA2m01</t>
        </is>
      </c>
      <c r="B741" s="1" t="inlineStr">
        <is>
          <t>數值</t>
        </is>
      </c>
      <c r="C741" s="1" t="n">
        <v>2</v>
      </c>
      <c r="D741" s="1" t="n">
        <v>0</v>
      </c>
      <c r="E741" s="1" t="inlineStr">
        <is>
          <t>JA2 【訪員讀題完畢後，請將平板轉給受訪者選擇，並由訪員協助點選】 那請問您認為目前在網路上有什麼關於個資與消費的問題需要解決？(可複選)  (01) 網路購物糾紛 (例如：訂的跟收到的產品</t>
        </is>
      </c>
    </row>
    <row r="742">
      <c r="A742" s="1" t="inlineStr">
        <is>
          <t>vJA2m02</t>
        </is>
      </c>
      <c r="B742" s="1" t="inlineStr">
        <is>
          <t>數值</t>
        </is>
      </c>
      <c r="C742" s="1" t="n">
        <v>2</v>
      </c>
      <c r="D742" s="1" t="n">
        <v>0</v>
      </c>
      <c r="E742" s="1" t="inlineStr">
        <is>
          <t>JA2 【訪員讀題完畢後，請將平板轉給受訪者選擇，並由訪員協助點選】 那請問您認為目前在網路上有什麼關於個資與消費的問題需要解決？(可複選)  (02) 一頁式消費詐騙廣告</t>
        </is>
      </c>
    </row>
    <row r="743">
      <c r="A743" s="1" t="inlineStr">
        <is>
          <t>vJA2m03</t>
        </is>
      </c>
      <c r="B743" s="1" t="inlineStr">
        <is>
          <t>數值</t>
        </is>
      </c>
      <c r="C743" s="1" t="n">
        <v>2</v>
      </c>
      <c r="D743" s="1" t="n">
        <v>0</v>
      </c>
      <c r="E743" s="1" t="inlineStr">
        <is>
          <t>JA2 【訪員讀題完畢後，請將平板轉給受訪者選擇，並由訪員協助點選】 那請問您認為目前在網路上有什麼關於個資與消費的問題需要解決？(可複選)  (03) 廣告訊息太多</t>
        </is>
      </c>
    </row>
    <row r="744">
      <c r="A744" s="1" t="inlineStr">
        <is>
          <t>vJA2m04</t>
        </is>
      </c>
      <c r="B744" s="1" t="inlineStr">
        <is>
          <t>數值</t>
        </is>
      </c>
      <c r="C744" s="1" t="n">
        <v>2</v>
      </c>
      <c r="D744" s="1" t="n">
        <v>0</v>
      </c>
      <c r="E744" s="1" t="inlineStr">
        <is>
          <t>JA2 【訪員讀題完畢後，請將平板轉給受訪者選擇，並由訪員協助點選】 那請問您認為目前在網路上有什麼關於個資與消費的問題需要解決？(可複選)  (04) 網路投資詐騙 (包括虛擬貨幣、NFT等)</t>
        </is>
      </c>
    </row>
    <row r="745">
      <c r="A745" s="1" t="inlineStr">
        <is>
          <t>vJA2m05</t>
        </is>
      </c>
      <c r="B745" s="1" t="inlineStr">
        <is>
          <t>數值</t>
        </is>
      </c>
      <c r="C745" s="1" t="n">
        <v>2</v>
      </c>
      <c r="D745" s="1" t="n">
        <v>0</v>
      </c>
      <c r="E745" s="1" t="inlineStr">
        <is>
          <t>JA2 【訪員讀題完畢後，請將平板轉給受訪者選擇，並由訪員協助點選】 那請問您認為目前在網路上有什麼關於個資與消費的問題需要解決？(可複選)  (05) 網路求職詐騙</t>
        </is>
      </c>
    </row>
    <row r="746">
      <c r="A746" s="1" t="inlineStr">
        <is>
          <t>vJA2m06</t>
        </is>
      </c>
      <c r="B746" s="1" t="inlineStr">
        <is>
          <t>數值</t>
        </is>
      </c>
      <c r="C746" s="1" t="n">
        <v>2</v>
      </c>
      <c r="D746" s="1" t="n">
        <v>0</v>
      </c>
      <c r="E746" s="1" t="inlineStr">
        <is>
          <t>JA2 【訪員讀題完畢後，請將平板轉給受訪者選擇，並由訪員協助點選】 那請問您認為目前在網路上有什麼關於個資與消費的問題需要解決？(可複選)  (06) 網路感情詐騙</t>
        </is>
      </c>
    </row>
    <row r="747">
      <c r="A747" s="1" t="inlineStr">
        <is>
          <t>vJA2m07</t>
        </is>
      </c>
      <c r="B747" s="1" t="inlineStr">
        <is>
          <t>數值</t>
        </is>
      </c>
      <c r="C747" s="1" t="n">
        <v>2</v>
      </c>
      <c r="D747" s="1" t="n">
        <v>0</v>
      </c>
      <c r="E747" s="1" t="inlineStr">
        <is>
          <t>JA2 【訪員讀題完畢後，請將平板轉給受訪者選擇，並由訪員協助點選】 那請問您認為目前在網路上有什麼關於個資與消費的問題需要解決？(可複選)  (07) 網路遊戲詐騙</t>
        </is>
      </c>
    </row>
    <row r="748">
      <c r="A748" s="1" t="inlineStr">
        <is>
          <t>vJA2m08</t>
        </is>
      </c>
      <c r="B748" s="1" t="inlineStr">
        <is>
          <t>數值</t>
        </is>
      </c>
      <c r="C748" s="1" t="n">
        <v>2</v>
      </c>
      <c r="D748" s="1" t="n">
        <v>0</v>
      </c>
      <c r="E748" s="1" t="inlineStr">
        <is>
          <t>JA2 【訪員讀題完畢後，請將平板轉給受訪者選擇，並由訪員協助點選】 那請問您認為目前在網路上有什麼關於個資與消費的問題需要解決？(可複選)  (08) 網路公益捐款詐騙</t>
        </is>
      </c>
    </row>
    <row r="749">
      <c r="A749" s="1" t="inlineStr">
        <is>
          <t>vJA2m09</t>
        </is>
      </c>
      <c r="B749" s="1" t="inlineStr">
        <is>
          <t>數值</t>
        </is>
      </c>
      <c r="C749" s="1" t="n">
        <v>2</v>
      </c>
      <c r="D749" s="1" t="n">
        <v>0</v>
      </c>
      <c r="E749" s="1" t="inlineStr">
        <is>
          <t>JA2 【訪員讀題完畢後，請將平板轉給受訪者選擇，並由訪員協助點選】 那請問您認為目前在網路上有什麼關於個資與消費的問題需要解決？(可複選)  (09) 個資被盜用</t>
        </is>
      </c>
    </row>
    <row r="750">
      <c r="A750" s="1" t="inlineStr">
        <is>
          <t>vJA2m10</t>
        </is>
      </c>
      <c r="B750" s="1" t="inlineStr">
        <is>
          <t>數值</t>
        </is>
      </c>
      <c r="C750" s="1" t="n">
        <v>2</v>
      </c>
      <c r="D750" s="1" t="n">
        <v>0</v>
      </c>
      <c r="E750" s="1" t="inlineStr">
        <is>
          <t>JA2 【訪員讀題完畢後，請將平板轉給受訪者選擇，並由訪員協助點選】 那請問您認為目前在網路上有什麼關於個資與消費的問題需要解決？(可複選)  (10) 電腦被網路駭客入侵</t>
        </is>
      </c>
    </row>
    <row r="751">
      <c r="A751" s="1" t="inlineStr">
        <is>
          <t>vJA2m11</t>
        </is>
      </c>
      <c r="B751" s="1" t="inlineStr">
        <is>
          <t>數值</t>
        </is>
      </c>
      <c r="C751" s="1" t="n">
        <v>2</v>
      </c>
      <c r="D751" s="1" t="n">
        <v>0</v>
      </c>
      <c r="E751" s="1" t="inlineStr">
        <is>
          <t>JA2 【訪員讀題完畢後，請將平板轉給受訪者選擇，並由訪員協助點選】 那請問您認為目前在網路上有什麼關於個資與消費的問題需要解決？(可複選)  (11) 個資被轉賣</t>
        </is>
      </c>
    </row>
    <row r="752">
      <c r="A752" s="1" t="inlineStr">
        <is>
          <t>vJA2m12</t>
        </is>
      </c>
      <c r="B752" s="1" t="inlineStr">
        <is>
          <t>數值</t>
        </is>
      </c>
      <c r="C752" s="1" t="n">
        <v>2</v>
      </c>
      <c r="D752" s="1" t="n">
        <v>0</v>
      </c>
      <c r="E752" s="1" t="inlineStr">
        <is>
          <t>JA2 【訪員讀題完畢後，請將平板轉給受訪者選擇，並由訪員協助點選】 那請問您認為目前在網路上有什麼關於個資與消費的問題需要解決？(可複選)  (12) 帶惡意軟體或 病毒的訊息太多</t>
        </is>
      </c>
    </row>
    <row r="753">
      <c r="A753" s="1" t="inlineStr">
        <is>
          <t>vJA2m88</t>
        </is>
      </c>
      <c r="B753" s="1" t="inlineStr">
        <is>
          <t>數值</t>
        </is>
      </c>
      <c r="C753" s="1" t="n">
        <v>2</v>
      </c>
      <c r="D753" s="1" t="n">
        <v>0</v>
      </c>
      <c r="E753" s="1" t="inlineStr">
        <is>
          <t>JA2 【訪員讀題完畢後，請將平板轉給受訪者選擇，並由訪員協助點選】 那請問您認為目前在網路上有什麼關於個資與消費的問題需要解決？(可複選)  (88) 其他，請說明</t>
        </is>
      </c>
    </row>
    <row r="754">
      <c r="A754" s="1" t="inlineStr">
        <is>
          <t>vJA2m90</t>
        </is>
      </c>
      <c r="B754" s="1" t="inlineStr">
        <is>
          <t>數值</t>
        </is>
      </c>
      <c r="C754" s="1" t="n">
        <v>2</v>
      </c>
      <c r="D754" s="1" t="n">
        <v>0</v>
      </c>
      <c r="E754" s="1" t="inlineStr">
        <is>
          <t>JA2 【訪員讀題完畢後，請將平板轉給受訪者選擇，並由訪員協助點選】 那請問您認為目前在網路上有什麼關於個資與消費的問題需要解決？(可複選)  (90) 都沒有</t>
        </is>
      </c>
    </row>
    <row r="755">
      <c r="A755" s="1" t="inlineStr">
        <is>
          <t>vJA2m91</t>
        </is>
      </c>
      <c r="B755" s="1" t="inlineStr">
        <is>
          <t>數值</t>
        </is>
      </c>
      <c r="C755" s="1" t="n">
        <v>2</v>
      </c>
      <c r="D755" s="1" t="n">
        <v>0</v>
      </c>
      <c r="E755" s="1" t="inlineStr">
        <is>
          <t>JA2 【訪員讀題完畢後，請將平板轉給受訪者選擇，並由訪員協助點選】 那請問您認為目前在網路上有什麼關於個資與消費的問題需要解決？(可複選)  (91)</t>
        </is>
      </c>
    </row>
    <row r="756">
      <c r="A756" s="1" t="inlineStr">
        <is>
          <t>vJA2m92</t>
        </is>
      </c>
      <c r="B756" s="1" t="inlineStr">
        <is>
          <t>數值</t>
        </is>
      </c>
      <c r="C756" s="1" t="n">
        <v>2</v>
      </c>
      <c r="D756" s="1" t="n">
        <v>0</v>
      </c>
      <c r="E756" s="1" t="inlineStr">
        <is>
          <t>JA2 【訪員讀題完畢後，請將平板轉給受訪者選擇，並由訪員協助點選】 那請問您認為目前在網路上有什麼關於個資與消費的問題需要解決？(可複選)  (92)</t>
        </is>
      </c>
    </row>
    <row r="757">
      <c r="A757" s="1" t="inlineStr">
        <is>
          <t>vJA2o88</t>
        </is>
      </c>
      <c r="B757" s="1" t="inlineStr">
        <is>
          <t>字串</t>
        </is>
      </c>
      <c r="C757" s="1" t="n">
        <v>150</v>
      </c>
      <c r="D757" s="1" t="n">
        <v>0</v>
      </c>
      <c r="E757" s="1" t="inlineStr">
        <is>
          <t>JA2 【訪員讀題完畢後，請將平板轉給受訪者選擇，並由訪員協助點選】 那請問您認為目前在網路上有什麼關於個資與消費的問題需要解決？(可複選)  (88) 其他，請說明</t>
        </is>
      </c>
    </row>
    <row r="758">
      <c r="A758" s="1" t="inlineStr">
        <is>
          <t>vLA1</t>
        </is>
      </c>
      <c r="B758" s="1" t="inlineStr">
        <is>
          <t>數值</t>
        </is>
      </c>
      <c r="C758" s="1" t="n">
        <v>2</v>
      </c>
      <c r="D758" s="1" t="n">
        <v>0</v>
      </c>
      <c r="E758" s="1" t="inlineStr">
        <is>
          <t>LA1 下列四件事當中，請問您平常最常做哪一件事？(卡47-1)</t>
        </is>
      </c>
    </row>
    <row r="759">
      <c r="A759" s="1" t="inlineStr">
        <is>
          <t>vLA2</t>
        </is>
      </c>
      <c r="B759" s="1" t="inlineStr">
        <is>
          <t>數值</t>
        </is>
      </c>
      <c r="C759" s="1" t="n">
        <v>2</v>
      </c>
      <c r="D759" s="1" t="n">
        <v>0</v>
      </c>
      <c r="E759" s="1" t="inlineStr">
        <is>
          <t>LA2 您最常用哪一種方式看電視？</t>
        </is>
      </c>
    </row>
    <row r="760">
      <c r="A760" s="1" t="inlineStr">
        <is>
          <t>vLA3_1m01</t>
        </is>
      </c>
      <c r="B760" s="1" t="inlineStr">
        <is>
          <t>數值</t>
        </is>
      </c>
      <c r="C760" s="1" t="n">
        <v>2</v>
      </c>
      <c r="D760" s="1" t="n">
        <v>0</v>
      </c>
      <c r="E760" s="1" t="inlineStr">
        <is>
          <t>LA3_1 您使用電視機看電視時，您同時還會做下列哪些事？(可複選)(卡47-2)  (01) 用網路看電視</t>
        </is>
      </c>
    </row>
    <row r="761">
      <c r="A761" s="1" t="inlineStr">
        <is>
          <t>vLA3_1m02</t>
        </is>
      </c>
      <c r="B761" s="1" t="inlineStr">
        <is>
          <t>數值</t>
        </is>
      </c>
      <c r="C761" s="1" t="n">
        <v>2</v>
      </c>
      <c r="D761" s="1" t="n">
        <v>0</v>
      </c>
      <c r="E761" s="1" t="inlineStr">
        <is>
          <t>LA3_1 您使用電視機看電視時，您同時還會做下列哪些事？(可複選)(卡47-2)  (02) 用電腦上網</t>
        </is>
      </c>
    </row>
    <row r="762">
      <c r="A762" s="1" t="inlineStr">
        <is>
          <t>vLA3_1m03</t>
        </is>
      </c>
      <c r="B762" s="1" t="inlineStr">
        <is>
          <t>數值</t>
        </is>
      </c>
      <c r="C762" s="1" t="n">
        <v>2</v>
      </c>
      <c r="D762" s="1" t="n">
        <v>0</v>
      </c>
      <c r="E762" s="1" t="inlineStr">
        <is>
          <t>LA3_1 您使用電視機看電視時，您同時還會做下列哪些事？(可複選)(卡47-2)  (03) 用平板上網</t>
        </is>
      </c>
    </row>
    <row r="763">
      <c r="A763" s="1" t="inlineStr">
        <is>
          <t>vLA3_1m04</t>
        </is>
      </c>
      <c r="B763" s="1" t="inlineStr">
        <is>
          <t>數值</t>
        </is>
      </c>
      <c r="C763" s="1" t="n">
        <v>2</v>
      </c>
      <c r="D763" s="1" t="n">
        <v>0</v>
      </c>
      <c r="E763" s="1" t="inlineStr">
        <is>
          <t>LA3_1 您使用電視機看電視時，您同時還會做下列哪些事？(可複選)(卡47-2)  (04) 用手機上網（例如：使用LINE、滑臉書）</t>
        </is>
      </c>
    </row>
    <row r="764">
      <c r="A764" s="1" t="inlineStr">
        <is>
          <t>vLA3_1m05</t>
        </is>
      </c>
      <c r="B764" s="1" t="inlineStr">
        <is>
          <t>數值</t>
        </is>
      </c>
      <c r="C764" s="1" t="n">
        <v>2</v>
      </c>
      <c r="D764" s="1" t="n">
        <v>0</v>
      </c>
      <c r="E764" s="1" t="inlineStr">
        <is>
          <t>LA3_1 您使用電視機看電視時，您同時還會做下列哪些事？(可複選)(卡47-2)  (05) 看紙本報紙</t>
        </is>
      </c>
    </row>
    <row r="765">
      <c r="A765" s="1" t="inlineStr">
        <is>
          <t>vLA3_1m06</t>
        </is>
      </c>
      <c r="B765" s="1" t="inlineStr">
        <is>
          <t>數值</t>
        </is>
      </c>
      <c r="C765" s="1" t="n">
        <v>2</v>
      </c>
      <c r="D765" s="1" t="n">
        <v>0</v>
      </c>
      <c r="E765" s="1" t="inlineStr">
        <is>
          <t>LA3_1 您使用電視機看電視時，您同時還會做下列哪些事？(可複選)(卡47-2)  (06) 聽廣播</t>
        </is>
      </c>
    </row>
    <row r="766">
      <c r="A766" s="1" t="inlineStr">
        <is>
          <t>vLA3_1m07</t>
        </is>
      </c>
      <c r="B766" s="1" t="inlineStr">
        <is>
          <t>數值</t>
        </is>
      </c>
      <c r="C766" s="1" t="n">
        <v>2</v>
      </c>
      <c r="D766" s="1" t="n">
        <v>0</v>
      </c>
      <c r="E766" s="1" t="inlineStr">
        <is>
          <t>LA3_1 您使用電視機看電視時，您同時還會做下列哪些事？(可複選)(卡47-2)  (07) 看紙本雜誌</t>
        </is>
      </c>
    </row>
    <row r="767">
      <c r="A767" s="1" t="inlineStr">
        <is>
          <t>vLA3_1m90</t>
        </is>
      </c>
      <c r="B767" s="1" t="inlineStr">
        <is>
          <t>數值</t>
        </is>
      </c>
      <c r="C767" s="1" t="n">
        <v>2</v>
      </c>
      <c r="D767" s="1" t="n">
        <v>0</v>
      </c>
      <c r="E767" s="1" t="inlineStr">
        <is>
          <t>LA3_1 您使用電視機看電視時，您同時還會做下列哪些事？(可複選)(卡47-2)  (90) 以上皆無</t>
        </is>
      </c>
    </row>
    <row r="768">
      <c r="A768" s="1" t="inlineStr">
        <is>
          <t>vLA3_2m01</t>
        </is>
      </c>
      <c r="B768" s="1" t="inlineStr">
        <is>
          <t>數值</t>
        </is>
      </c>
      <c r="C768" s="1" t="n">
        <v>2</v>
      </c>
      <c r="D768" s="1" t="n">
        <v>0</v>
      </c>
      <c r="E768" s="1" t="inlineStr">
        <is>
          <t>LA3_2 您使用網路看電視時，您同時還會做下列哪些事？(可複選)(卡47-2)  (01) 用電視機看電視</t>
        </is>
      </c>
    </row>
    <row r="769">
      <c r="A769" s="1" t="inlineStr">
        <is>
          <t>vLA3_2m02</t>
        </is>
      </c>
      <c r="B769" s="1" t="inlineStr">
        <is>
          <t>數值</t>
        </is>
      </c>
      <c r="C769" s="1" t="n">
        <v>2</v>
      </c>
      <c r="D769" s="1" t="n">
        <v>0</v>
      </c>
      <c r="E769" s="1" t="inlineStr">
        <is>
          <t>LA3_2 您使用網路看電視時，您同時還會做下列哪些事？(可複選)(卡47-2)  (02) 用電腦上網</t>
        </is>
      </c>
    </row>
    <row r="770">
      <c r="A770" s="1" t="inlineStr">
        <is>
          <t>vLA3_2m03</t>
        </is>
      </c>
      <c r="B770" s="1" t="inlineStr">
        <is>
          <t>數值</t>
        </is>
      </c>
      <c r="C770" s="1" t="n">
        <v>2</v>
      </c>
      <c r="D770" s="1" t="n">
        <v>0</v>
      </c>
      <c r="E770" s="1" t="inlineStr">
        <is>
          <t>LA3_2 您使用網路看電視時，您同時還會做下列哪些事？(可複選)(卡47-2)  (03) 用平板上網</t>
        </is>
      </c>
    </row>
    <row r="771">
      <c r="A771" s="1" t="inlineStr">
        <is>
          <t>vLA3_2m04</t>
        </is>
      </c>
      <c r="B771" s="1" t="inlineStr">
        <is>
          <t>數值</t>
        </is>
      </c>
      <c r="C771" s="1" t="n">
        <v>2</v>
      </c>
      <c r="D771" s="1" t="n">
        <v>0</v>
      </c>
      <c r="E771" s="1" t="inlineStr">
        <is>
          <t>LA3_2 您使用網路看電視時，您同時還會做下列哪些事？(可複選)(卡47-2)  (04) 用手機上網（例如：使用LINE、滑臉書）</t>
        </is>
      </c>
    </row>
    <row r="772">
      <c r="A772" s="1" t="inlineStr">
        <is>
          <t>vLA3_2m05</t>
        </is>
      </c>
      <c r="B772" s="1" t="inlineStr">
        <is>
          <t>數值</t>
        </is>
      </c>
      <c r="C772" s="1" t="n">
        <v>2</v>
      </c>
      <c r="D772" s="1" t="n">
        <v>0</v>
      </c>
      <c r="E772" s="1" t="inlineStr">
        <is>
          <t>LA3_2 您使用網路看電視時，您同時還會做下列哪些事？(可複選)(卡47-2)  (05) 看紙本報紙</t>
        </is>
      </c>
    </row>
    <row r="773">
      <c r="A773" s="1" t="inlineStr">
        <is>
          <t>vLA3_2m06</t>
        </is>
      </c>
      <c r="B773" s="1" t="inlineStr">
        <is>
          <t>數值</t>
        </is>
      </c>
      <c r="C773" s="1" t="n">
        <v>2</v>
      </c>
      <c r="D773" s="1" t="n">
        <v>0</v>
      </c>
      <c r="E773" s="1" t="inlineStr">
        <is>
          <t>LA3_2 您使用網路看電視時，您同時還會做下列哪些事？(可複選)(卡47-2)  (06) 聽廣播</t>
        </is>
      </c>
    </row>
    <row r="774">
      <c r="A774" s="1" t="inlineStr">
        <is>
          <t>vLA3_2m07</t>
        </is>
      </c>
      <c r="B774" s="1" t="inlineStr">
        <is>
          <t>數值</t>
        </is>
      </c>
      <c r="C774" s="1" t="n">
        <v>2</v>
      </c>
      <c r="D774" s="1" t="n">
        <v>0</v>
      </c>
      <c r="E774" s="1" t="inlineStr">
        <is>
          <t>LA3_2 您使用網路看電視時，您同時還會做下列哪些事？(可複選)(卡47-2)  (07) 看紙本雜誌</t>
        </is>
      </c>
    </row>
    <row r="775">
      <c r="A775" s="1" t="inlineStr">
        <is>
          <t>vLA3_2m90</t>
        </is>
      </c>
      <c r="B775" s="1" t="inlineStr">
        <is>
          <t>數值</t>
        </is>
      </c>
      <c r="C775" s="1" t="n">
        <v>2</v>
      </c>
      <c r="D775" s="1" t="n">
        <v>0</v>
      </c>
      <c r="E775" s="1" t="inlineStr">
        <is>
          <t>LA3_2 您使用網路看電視時，您同時還會做下列哪些事？(可複選)(卡47-2)  (90) 以上皆無</t>
        </is>
      </c>
    </row>
    <row r="776">
      <c r="A776" s="1" t="inlineStr">
        <is>
          <t>vLA4</t>
        </is>
      </c>
      <c r="B776" s="1" t="inlineStr">
        <is>
          <t>數值</t>
        </is>
      </c>
      <c r="C776" s="1" t="n">
        <v>2</v>
      </c>
      <c r="D776" s="1" t="n">
        <v>0</v>
      </c>
      <c r="E776" s="1" t="inlineStr">
        <is>
          <t>LA4 您最常用哪一種方式上網？</t>
        </is>
      </c>
    </row>
    <row r="777">
      <c r="A777" s="1" t="inlineStr">
        <is>
          <t>vLA5_1m01</t>
        </is>
      </c>
      <c r="B777" s="1" t="inlineStr">
        <is>
          <t>數值</t>
        </is>
      </c>
      <c r="C777" s="1" t="n">
        <v>2</v>
      </c>
      <c r="D777" s="1" t="n">
        <v>0</v>
      </c>
      <c r="E777" s="1" t="inlineStr">
        <is>
          <t>LA5_1 您使用電腦上網時，您同時還會做下列哪些事？(可複選)(卡47-2)  (01) 用電視機看電視</t>
        </is>
      </c>
    </row>
    <row r="778">
      <c r="A778" s="1" t="inlineStr">
        <is>
          <t>vLA5_1m02</t>
        </is>
      </c>
      <c r="B778" s="1" t="inlineStr">
        <is>
          <t>數值</t>
        </is>
      </c>
      <c r="C778" s="1" t="n">
        <v>2</v>
      </c>
      <c r="D778" s="1" t="n">
        <v>0</v>
      </c>
      <c r="E778" s="1" t="inlineStr">
        <is>
          <t>LA5_1 您使用電腦上網時，您同時還會做下列哪些事？(可複選)(卡47-2)  (02) 用網路看電視</t>
        </is>
      </c>
    </row>
    <row r="779">
      <c r="A779" s="1" t="inlineStr">
        <is>
          <t>vLA5_1m03</t>
        </is>
      </c>
      <c r="B779" s="1" t="inlineStr">
        <is>
          <t>數值</t>
        </is>
      </c>
      <c r="C779" s="1" t="n">
        <v>2</v>
      </c>
      <c r="D779" s="1" t="n">
        <v>0</v>
      </c>
      <c r="E779" s="1" t="inlineStr">
        <is>
          <t>LA5_1 您使用電腦上網時，您同時還會做下列哪些事？(可複選)(卡47-2)  (03) 用平板上網</t>
        </is>
      </c>
    </row>
    <row r="780">
      <c r="A780" s="1" t="inlineStr">
        <is>
          <t>vLA5_1m04</t>
        </is>
      </c>
      <c r="B780" s="1" t="inlineStr">
        <is>
          <t>數值</t>
        </is>
      </c>
      <c r="C780" s="1" t="n">
        <v>2</v>
      </c>
      <c r="D780" s="1" t="n">
        <v>0</v>
      </c>
      <c r="E780" s="1" t="inlineStr">
        <is>
          <t>LA5_1 您使用電腦上網時，您同時還會做下列哪些事？(可複選)(卡47-2)  (04) 用手機上網（例如：使用LINE、滑臉書）</t>
        </is>
      </c>
    </row>
    <row r="781">
      <c r="A781" s="1" t="inlineStr">
        <is>
          <t>vLA5_1m05</t>
        </is>
      </c>
      <c r="B781" s="1" t="inlineStr">
        <is>
          <t>數值</t>
        </is>
      </c>
      <c r="C781" s="1" t="n">
        <v>2</v>
      </c>
      <c r="D781" s="1" t="n">
        <v>0</v>
      </c>
      <c r="E781" s="1" t="inlineStr">
        <is>
          <t>LA5_1 您使用電腦上網時，您同時還會做下列哪些事？(可複選)(卡47-2)  (05) 看紙本報紙</t>
        </is>
      </c>
    </row>
    <row r="782">
      <c r="A782" s="1" t="inlineStr">
        <is>
          <t>vLA5_1m06</t>
        </is>
      </c>
      <c r="B782" s="1" t="inlineStr">
        <is>
          <t>數值</t>
        </is>
      </c>
      <c r="C782" s="1" t="n">
        <v>2</v>
      </c>
      <c r="D782" s="1" t="n">
        <v>0</v>
      </c>
      <c r="E782" s="1" t="inlineStr">
        <is>
          <t>LA5_1 您使用電腦上網時，您同時還會做下列哪些事？(可複選)(卡47-2)  (06) 聽廣播</t>
        </is>
      </c>
    </row>
    <row r="783">
      <c r="A783" s="1" t="inlineStr">
        <is>
          <t>vLA5_1m07</t>
        </is>
      </c>
      <c r="B783" s="1" t="inlineStr">
        <is>
          <t>數值</t>
        </is>
      </c>
      <c r="C783" s="1" t="n">
        <v>2</v>
      </c>
      <c r="D783" s="1" t="n">
        <v>0</v>
      </c>
      <c r="E783" s="1" t="inlineStr">
        <is>
          <t>LA5_1 您使用電腦上網時，您同時還會做下列哪些事？(可複選)(卡47-2)  (07) 看紙本雜誌</t>
        </is>
      </c>
    </row>
    <row r="784">
      <c r="A784" s="1" t="inlineStr">
        <is>
          <t>vLA5_1m90</t>
        </is>
      </c>
      <c r="B784" s="1" t="inlineStr">
        <is>
          <t>數值</t>
        </is>
      </c>
      <c r="C784" s="1" t="n">
        <v>2</v>
      </c>
      <c r="D784" s="1" t="n">
        <v>0</v>
      </c>
      <c r="E784" s="1" t="inlineStr">
        <is>
          <t>LA5_1 您使用電腦上網時，您同時還會做下列哪些事？(可複選)(卡47-2)  (90) 以上皆無</t>
        </is>
      </c>
    </row>
    <row r="785">
      <c r="A785" s="1" t="inlineStr">
        <is>
          <t>vLA5_2m01</t>
        </is>
      </c>
      <c r="B785" s="1" t="inlineStr">
        <is>
          <t>數值</t>
        </is>
      </c>
      <c r="C785" s="1" t="n">
        <v>2</v>
      </c>
      <c r="D785" s="1" t="n">
        <v>0</v>
      </c>
      <c r="E785" s="1" t="inlineStr">
        <is>
          <t>LA5_2 您使用平板上網時，您同時還會做下列哪些事？(可複選)(卡47-2)  (01) 用電視機看電視</t>
        </is>
      </c>
    </row>
    <row r="786">
      <c r="A786" s="1" t="inlineStr">
        <is>
          <t>vLA5_2m02</t>
        </is>
      </c>
      <c r="B786" s="1" t="inlineStr">
        <is>
          <t>數值</t>
        </is>
      </c>
      <c r="C786" s="1" t="n">
        <v>2</v>
      </c>
      <c r="D786" s="1" t="n">
        <v>0</v>
      </c>
      <c r="E786" s="1" t="inlineStr">
        <is>
          <t>LA5_2 您使用平板上網時，您同時還會做下列哪些事？(可複選)(卡47-2)  (02) 用網路看電視</t>
        </is>
      </c>
    </row>
    <row r="787">
      <c r="A787" s="1" t="inlineStr">
        <is>
          <t>vLA5_2m03</t>
        </is>
      </c>
      <c r="B787" s="1" t="inlineStr">
        <is>
          <t>數值</t>
        </is>
      </c>
      <c r="C787" s="1" t="n">
        <v>2</v>
      </c>
      <c r="D787" s="1" t="n">
        <v>0</v>
      </c>
      <c r="E787" s="1" t="inlineStr">
        <is>
          <t>LA5_2 您使用平板上網時，您同時還會做下列哪些事？(可複選)(卡47-2)  (03) 用電腦上網</t>
        </is>
      </c>
    </row>
    <row r="788">
      <c r="A788" s="1" t="inlineStr">
        <is>
          <t>vLA5_2m04</t>
        </is>
      </c>
      <c r="B788" s="1" t="inlineStr">
        <is>
          <t>數值</t>
        </is>
      </c>
      <c r="C788" s="1" t="n">
        <v>2</v>
      </c>
      <c r="D788" s="1" t="n">
        <v>0</v>
      </c>
      <c r="E788" s="1" t="inlineStr">
        <is>
          <t>LA5_2 您使用平板上網時，您同時還會做下列哪些事？(可複選)(卡47-2)  (04) 用手機上網（例如：使用LINE、滑臉書）</t>
        </is>
      </c>
    </row>
    <row r="789">
      <c r="A789" s="1" t="inlineStr">
        <is>
          <t>vLA5_2m05</t>
        </is>
      </c>
      <c r="B789" s="1" t="inlineStr">
        <is>
          <t>數值</t>
        </is>
      </c>
      <c r="C789" s="1" t="n">
        <v>2</v>
      </c>
      <c r="D789" s="1" t="n">
        <v>0</v>
      </c>
      <c r="E789" s="1" t="inlineStr">
        <is>
          <t>LA5_2 您使用平板上網時，您同時還會做下列哪些事？(可複選)(卡47-2)  (05) 看紙本報紙</t>
        </is>
      </c>
    </row>
    <row r="790">
      <c r="A790" s="1" t="inlineStr">
        <is>
          <t>vLA5_2m06</t>
        </is>
      </c>
      <c r="B790" s="1" t="inlineStr">
        <is>
          <t>數值</t>
        </is>
      </c>
      <c r="C790" s="1" t="n">
        <v>2</v>
      </c>
      <c r="D790" s="1" t="n">
        <v>0</v>
      </c>
      <c r="E790" s="1" t="inlineStr">
        <is>
          <t>LA5_2 您使用平板上網時，您同時還會做下列哪些事？(可複選)(卡47-2)  (06) 聽廣播</t>
        </is>
      </c>
    </row>
    <row r="791">
      <c r="A791" s="1" t="inlineStr">
        <is>
          <t>vLA5_2m07</t>
        </is>
      </c>
      <c r="B791" s="1" t="inlineStr">
        <is>
          <t>數值</t>
        </is>
      </c>
      <c r="C791" s="1" t="n">
        <v>2</v>
      </c>
      <c r="D791" s="1" t="n">
        <v>0</v>
      </c>
      <c r="E791" s="1" t="inlineStr">
        <is>
          <t>LA5_2 您使用平板上網時，您同時還會做下列哪些事？(可複選)(卡47-2)  (07) 看紙本雜誌</t>
        </is>
      </c>
    </row>
    <row r="792">
      <c r="A792" s="1" t="inlineStr">
        <is>
          <t>vLA5_2m90</t>
        </is>
      </c>
      <c r="B792" s="1" t="inlineStr">
        <is>
          <t>數值</t>
        </is>
      </c>
      <c r="C792" s="1" t="n">
        <v>2</v>
      </c>
      <c r="D792" s="1" t="n">
        <v>0</v>
      </c>
      <c r="E792" s="1" t="inlineStr">
        <is>
          <t>LA5_2 您使用平板上網時，您同時還會做下列哪些事？(可複選)(卡47-2)  (90) 以上皆無</t>
        </is>
      </c>
    </row>
    <row r="793">
      <c r="A793" s="1" t="inlineStr">
        <is>
          <t>vLA5_3m01</t>
        </is>
      </c>
      <c r="B793" s="1" t="inlineStr">
        <is>
          <t>數值</t>
        </is>
      </c>
      <c r="C793" s="1" t="n">
        <v>2</v>
      </c>
      <c r="D793" s="1" t="n">
        <v>0</v>
      </c>
      <c r="E793" s="1" t="inlineStr">
        <is>
          <t>LA5_3 您使用手機上網時，您同時還會做下列哪些事？(可複選)(卡47-2)  (01) 用電視機看電視</t>
        </is>
      </c>
    </row>
    <row r="794">
      <c r="A794" s="1" t="inlineStr">
        <is>
          <t>vLA5_3m02</t>
        </is>
      </c>
      <c r="B794" s="1" t="inlineStr">
        <is>
          <t>數值</t>
        </is>
      </c>
      <c r="C794" s="1" t="n">
        <v>2</v>
      </c>
      <c r="D794" s="1" t="n">
        <v>0</v>
      </c>
      <c r="E794" s="1" t="inlineStr">
        <is>
          <t>LA5_3 您使用手機上網時，您同時還會做下列哪些事？(可複選)(卡47-2)  (02) 用網路看電視</t>
        </is>
      </c>
    </row>
    <row r="795">
      <c r="A795" s="1" t="inlineStr">
        <is>
          <t>vLA5_3m03</t>
        </is>
      </c>
      <c r="B795" s="1" t="inlineStr">
        <is>
          <t>數值</t>
        </is>
      </c>
      <c r="C795" s="1" t="n">
        <v>2</v>
      </c>
      <c r="D795" s="1" t="n">
        <v>0</v>
      </c>
      <c r="E795" s="1" t="inlineStr">
        <is>
          <t>LA5_3 您使用手機上網時，您同時還會做下列哪些事？(可複選)(卡47-2)  (03) 用電腦上網</t>
        </is>
      </c>
    </row>
    <row r="796">
      <c r="A796" s="1" t="inlineStr">
        <is>
          <t>vLA5_3m04</t>
        </is>
      </c>
      <c r="B796" s="1" t="inlineStr">
        <is>
          <t>數值</t>
        </is>
      </c>
      <c r="C796" s="1" t="n">
        <v>2</v>
      </c>
      <c r="D796" s="1" t="n">
        <v>0</v>
      </c>
      <c r="E796" s="1" t="inlineStr">
        <is>
          <t>LA5_3 您使用手機上網時，您同時還會做下列哪些事？(可複選)(卡47-2)  (04) 用平板上網</t>
        </is>
      </c>
    </row>
    <row r="797">
      <c r="A797" s="1" t="inlineStr">
        <is>
          <t>vLA5_3m05</t>
        </is>
      </c>
      <c r="B797" s="1" t="inlineStr">
        <is>
          <t>數值</t>
        </is>
      </c>
      <c r="C797" s="1" t="n">
        <v>2</v>
      </c>
      <c r="D797" s="1" t="n">
        <v>0</v>
      </c>
      <c r="E797" s="1" t="inlineStr">
        <is>
          <t>LA5_3 您使用手機上網時，您同時還會做下列哪些事？(可複選)(卡47-2)  (05) 看紙本報紙</t>
        </is>
      </c>
    </row>
    <row r="798">
      <c r="A798" s="1" t="inlineStr">
        <is>
          <t>vLA5_3m06</t>
        </is>
      </c>
      <c r="B798" s="1" t="inlineStr">
        <is>
          <t>數值</t>
        </is>
      </c>
      <c r="C798" s="1" t="n">
        <v>2</v>
      </c>
      <c r="D798" s="1" t="n">
        <v>0</v>
      </c>
      <c r="E798" s="1" t="inlineStr">
        <is>
          <t>LA5_3 您使用手機上網時，您同時還會做下列哪些事？(可複選)(卡47-2)  (06) 聽廣播</t>
        </is>
      </c>
    </row>
    <row r="799">
      <c r="A799" s="1" t="inlineStr">
        <is>
          <t>vLA5_3m07</t>
        </is>
      </c>
      <c r="B799" s="1" t="inlineStr">
        <is>
          <t>數值</t>
        </is>
      </c>
      <c r="C799" s="1" t="n">
        <v>2</v>
      </c>
      <c r="D799" s="1" t="n">
        <v>0</v>
      </c>
      <c r="E799" s="1" t="inlineStr">
        <is>
          <t>LA5_3 您使用手機上網時，您同時還會做下列哪些事？(可複選)(卡47-2)  (07) 看紙本雜誌</t>
        </is>
      </c>
    </row>
    <row r="800">
      <c r="A800" s="1" t="inlineStr">
        <is>
          <t>vLA5_3m90</t>
        </is>
      </c>
      <c r="B800" s="1" t="inlineStr">
        <is>
          <t>數值</t>
        </is>
      </c>
      <c r="C800" s="1" t="n">
        <v>2</v>
      </c>
      <c r="D800" s="1" t="n">
        <v>0</v>
      </c>
      <c r="E800" s="1" t="inlineStr">
        <is>
          <t>LA5_3 您使用手機上網時，您同時還會做下列哪些事？(可複選)(卡47-2)  (90) 以上皆無</t>
        </is>
      </c>
    </row>
    <row r="801">
      <c r="A801" s="1" t="inlineStr">
        <is>
          <t>vLA6m01</t>
        </is>
      </c>
      <c r="B801" s="1" t="inlineStr">
        <is>
          <t>數值</t>
        </is>
      </c>
      <c r="C801" s="1" t="n">
        <v>2</v>
      </c>
      <c r="D801" s="1" t="n">
        <v>0</v>
      </c>
      <c r="E801" s="1" t="inlineStr">
        <is>
          <t>LA6 您看紙本報紙時，您同時還會做下列哪些事？(可複選)(卡47-2)  (01) 用電視機看電視</t>
        </is>
      </c>
    </row>
    <row r="802">
      <c r="A802" s="1" t="inlineStr">
        <is>
          <t>vLA6m02</t>
        </is>
      </c>
      <c r="B802" s="1" t="inlineStr">
        <is>
          <t>數值</t>
        </is>
      </c>
      <c r="C802" s="1" t="n">
        <v>2</v>
      </c>
      <c r="D802" s="1" t="n">
        <v>0</v>
      </c>
      <c r="E802" s="1" t="inlineStr">
        <is>
          <t>LA6 您看紙本報紙時，您同時還會做下列哪些事？(可複選)(卡47-2)  (02) 用網路看電視</t>
        </is>
      </c>
    </row>
    <row r="803">
      <c r="A803" s="1" t="inlineStr">
        <is>
          <t>vLA6m03</t>
        </is>
      </c>
      <c r="B803" s="1" t="inlineStr">
        <is>
          <t>數值</t>
        </is>
      </c>
      <c r="C803" s="1" t="n">
        <v>2</v>
      </c>
      <c r="D803" s="1" t="n">
        <v>0</v>
      </c>
      <c r="E803" s="1" t="inlineStr">
        <is>
          <t>LA6 您看紙本報紙時，您同時還會做下列哪些事？(可複選)(卡47-2)  (03) 用電腦上網</t>
        </is>
      </c>
    </row>
    <row r="804">
      <c r="A804" s="1" t="inlineStr">
        <is>
          <t>vLA6m04</t>
        </is>
      </c>
      <c r="B804" s="1" t="inlineStr">
        <is>
          <t>數值</t>
        </is>
      </c>
      <c r="C804" s="1" t="n">
        <v>2</v>
      </c>
      <c r="D804" s="1" t="n">
        <v>0</v>
      </c>
      <c r="E804" s="1" t="inlineStr">
        <is>
          <t>LA6 您看紙本報紙時，您同時還會做下列哪些事？(可複選)(卡47-2)  (04) 用平板上網</t>
        </is>
      </c>
    </row>
    <row r="805">
      <c r="A805" s="1" t="inlineStr">
        <is>
          <t>vLA6m05</t>
        </is>
      </c>
      <c r="B805" s="1" t="inlineStr">
        <is>
          <t>數值</t>
        </is>
      </c>
      <c r="C805" s="1" t="n">
        <v>2</v>
      </c>
      <c r="D805" s="1" t="n">
        <v>0</v>
      </c>
      <c r="E805" s="1" t="inlineStr">
        <is>
          <t>LA6 您看紙本報紙時，您同時還會做下列哪些事？(可複選)(卡47-2)  (05) 用手機上網（例如：使用LINE、滑臉書）</t>
        </is>
      </c>
    </row>
    <row r="806">
      <c r="A806" s="1" t="inlineStr">
        <is>
          <t>vLA6m06</t>
        </is>
      </c>
      <c r="B806" s="1" t="inlineStr">
        <is>
          <t>數值</t>
        </is>
      </c>
      <c r="C806" s="1" t="n">
        <v>2</v>
      </c>
      <c r="D806" s="1" t="n">
        <v>0</v>
      </c>
      <c r="E806" s="1" t="inlineStr">
        <is>
          <t>LA6 您看紙本報紙時，您同時還會做下列哪些事？(可複選)(卡47-2)  (06) 聽廣播</t>
        </is>
      </c>
    </row>
    <row r="807">
      <c r="A807" s="1" t="inlineStr">
        <is>
          <t>vLA6m07</t>
        </is>
      </c>
      <c r="B807" s="1" t="inlineStr">
        <is>
          <t>數值</t>
        </is>
      </c>
      <c r="C807" s="1" t="n">
        <v>2</v>
      </c>
      <c r="D807" s="1" t="n">
        <v>0</v>
      </c>
      <c r="E807" s="1" t="inlineStr">
        <is>
          <t>LA6 您看紙本報紙時，您同時還會做下列哪些事？(可複選)(卡47-2)  (07) 看紙本雜誌</t>
        </is>
      </c>
    </row>
    <row r="808">
      <c r="A808" s="1" t="inlineStr">
        <is>
          <t>vLA6m90</t>
        </is>
      </c>
      <c r="B808" s="1" t="inlineStr">
        <is>
          <t>數值</t>
        </is>
      </c>
      <c r="C808" s="1" t="n">
        <v>2</v>
      </c>
      <c r="D808" s="1" t="n">
        <v>0</v>
      </c>
      <c r="E808" s="1" t="inlineStr">
        <is>
          <t>LA6 您看紙本報紙時，您同時還會做下列哪些事？(可複選)(卡47-2)  (90) 以上皆無</t>
        </is>
      </c>
    </row>
    <row r="809">
      <c r="A809" s="1" t="inlineStr">
        <is>
          <t>vLA7m01</t>
        </is>
      </c>
      <c r="B809" s="1" t="inlineStr">
        <is>
          <t>數值</t>
        </is>
      </c>
      <c r="C809" s="1" t="n">
        <v>2</v>
      </c>
      <c r="D809" s="1" t="n">
        <v>0</v>
      </c>
      <c r="E809" s="1" t="inlineStr">
        <is>
          <t>LA7 您用收音機聽廣播時，您同時還會做下列哪些事？(可複選)(卡47-2) 不論是用收音機聽、或用網站、手機APP等「同步收聽」都算。  (01) 用電視機看電視</t>
        </is>
      </c>
    </row>
    <row r="810">
      <c r="A810" s="1" t="inlineStr">
        <is>
          <t>vLA7m02</t>
        </is>
      </c>
      <c r="B810" s="1" t="inlineStr">
        <is>
          <t>數值</t>
        </is>
      </c>
      <c r="C810" s="1" t="n">
        <v>2</v>
      </c>
      <c r="D810" s="1" t="n">
        <v>0</v>
      </c>
      <c r="E810" s="1" t="inlineStr">
        <is>
          <t>LA7 您用收音機聽廣播時，您同時還會做下列哪些事？(可複選)(卡47-2) 不論是用收音機聽、或用網站、手機APP等「同步收聽」都算。  (02) 用網路看電視</t>
        </is>
      </c>
    </row>
    <row r="811">
      <c r="A811" s="1" t="inlineStr">
        <is>
          <t>vLA7m03</t>
        </is>
      </c>
      <c r="B811" s="1" t="inlineStr">
        <is>
          <t>數值</t>
        </is>
      </c>
      <c r="C811" s="1" t="n">
        <v>2</v>
      </c>
      <c r="D811" s="1" t="n">
        <v>0</v>
      </c>
      <c r="E811" s="1" t="inlineStr">
        <is>
          <t>LA7 您用收音機聽廣播時，您同時還會做下列哪些事？(可複選)(卡47-2) 不論是用收音機聽、或用網站、手機APP等「同步收聽」都算。  (03) 用電腦上網</t>
        </is>
      </c>
    </row>
    <row r="812">
      <c r="A812" s="1" t="inlineStr">
        <is>
          <t>vLA7m04</t>
        </is>
      </c>
      <c r="B812" s="1" t="inlineStr">
        <is>
          <t>數值</t>
        </is>
      </c>
      <c r="C812" s="1" t="n">
        <v>2</v>
      </c>
      <c r="D812" s="1" t="n">
        <v>0</v>
      </c>
      <c r="E812" s="1" t="inlineStr">
        <is>
          <t>LA7 您用收音機聽廣播時，您同時還會做下列哪些事？(可複選)(卡47-2) 不論是用收音機聽、或用網站、手機APP等「同步收聽」都算。  (04) 用平板上網</t>
        </is>
      </c>
    </row>
    <row r="813">
      <c r="A813" s="1" t="inlineStr">
        <is>
          <t>vLA7m05</t>
        </is>
      </c>
      <c r="B813" s="1" t="inlineStr">
        <is>
          <t>數值</t>
        </is>
      </c>
      <c r="C813" s="1" t="n">
        <v>2</v>
      </c>
      <c r="D813" s="1" t="n">
        <v>0</v>
      </c>
      <c r="E813" s="1" t="inlineStr">
        <is>
          <t>LA7 您用收音機聽廣播時，您同時還會做下列哪些事？(可複選)(卡47-2) 不論是用收音機聽、或用網站、手機APP等「同步收聽」都算。  (05) 用手機上網（例如：使用LINE、滑臉書）</t>
        </is>
      </c>
    </row>
    <row r="814">
      <c r="A814" s="1" t="inlineStr">
        <is>
          <t>vLA7m06</t>
        </is>
      </c>
      <c r="B814" s="1" t="inlineStr">
        <is>
          <t>數值</t>
        </is>
      </c>
      <c r="C814" s="1" t="n">
        <v>2</v>
      </c>
      <c r="D814" s="1" t="n">
        <v>0</v>
      </c>
      <c r="E814" s="1" t="inlineStr">
        <is>
          <t>LA7 您用收音機聽廣播時，您同時還會做下列哪些事？(可複選)(卡47-2) 不論是用收音機聽、或用網站、手機APP等「同步收聽」都算。  (06) 看紙本報紙</t>
        </is>
      </c>
    </row>
    <row r="815">
      <c r="A815" s="1" t="inlineStr">
        <is>
          <t>vLA7m07</t>
        </is>
      </c>
      <c r="B815" s="1" t="inlineStr">
        <is>
          <t>數值</t>
        </is>
      </c>
      <c r="C815" s="1" t="n">
        <v>2</v>
      </c>
      <c r="D815" s="1" t="n">
        <v>0</v>
      </c>
      <c r="E815" s="1" t="inlineStr">
        <is>
          <t>LA7 您用收音機聽廣播時，您同時還會做下列哪些事？(可複選)(卡47-2) 不論是用收音機聽、或用網站、手機APP等「同步收聽」都算。  (07) 看紙本雜誌</t>
        </is>
      </c>
    </row>
    <row r="816">
      <c r="A816" s="1" t="inlineStr">
        <is>
          <t>vLA7m90</t>
        </is>
      </c>
      <c r="B816" s="1" t="inlineStr">
        <is>
          <t>數值</t>
        </is>
      </c>
      <c r="C816" s="1" t="n">
        <v>2</v>
      </c>
      <c r="D816" s="1" t="n">
        <v>0</v>
      </c>
      <c r="E816" s="1" t="inlineStr">
        <is>
          <t>LA7 您用收音機聽廣播時，您同時還會做下列哪些事？(可複選)(卡47-2) 不論是用收音機聽、或用網站、手機APP等「同步收聽」都算。  (90) 以上皆無</t>
        </is>
      </c>
    </row>
    <row r="817">
      <c r="A817" s="1" t="inlineStr">
        <is>
          <t>vN1sN1</t>
        </is>
      </c>
      <c r="B817" s="1" t="inlineStr">
        <is>
          <t>數值</t>
        </is>
      </c>
      <c r="C817" s="1" t="n">
        <v>2</v>
      </c>
      <c r="D817" s="1" t="n">
        <v>0</v>
      </c>
      <c r="E817" s="1" t="inlineStr">
        <is>
          <t>N1 接下來我會用一些句子描述人，請問您覺得這些描述跟現在的您像不像？(卡48) N1 外向熱情</t>
        </is>
      </c>
    </row>
    <row r="818">
      <c r="A818" s="1" t="inlineStr">
        <is>
          <t>vN1sN2</t>
        </is>
      </c>
      <c r="B818" s="1" t="inlineStr">
        <is>
          <t>數值</t>
        </is>
      </c>
      <c r="C818" s="1" t="n">
        <v>2</v>
      </c>
      <c r="D818" s="1" t="n">
        <v>0</v>
      </c>
      <c r="E818" s="1" t="inlineStr">
        <is>
          <t>N1 接下來我會用一些句子描述人，請問您覺得這些描述跟現在的您像不像？(卡48) N2 拘謹內向</t>
        </is>
      </c>
    </row>
    <row r="819">
      <c r="A819" s="1" t="inlineStr">
        <is>
          <t>vN1sN3</t>
        </is>
      </c>
      <c r="B819" s="1" t="inlineStr">
        <is>
          <t>數值</t>
        </is>
      </c>
      <c r="C819" s="1" t="n">
        <v>2</v>
      </c>
      <c r="D819" s="1" t="n">
        <v>0</v>
      </c>
      <c r="E819" s="1" t="inlineStr">
        <is>
          <t>N1 接下來我會用一些句子描述人，請問您覺得這些描述跟現在的您像不像？(卡48) N3 溫暖有同情心</t>
        </is>
      </c>
    </row>
    <row r="820">
      <c r="A820" s="1" t="inlineStr">
        <is>
          <t>vN1sN4</t>
        </is>
      </c>
      <c r="B820" s="1" t="inlineStr">
        <is>
          <t>數值</t>
        </is>
      </c>
      <c r="C820" s="1" t="n">
        <v>2</v>
      </c>
      <c r="D820" s="1" t="n">
        <v>0</v>
      </c>
      <c r="E820" s="1" t="inlineStr">
        <is>
          <t>N1 接下來我會用一些句子描述人，請問您覺得這些描述跟現在的您像不像？(卡48) N4 尖牙利嘴(愛批評愛吵架)</t>
        </is>
      </c>
    </row>
    <row r="821">
      <c r="A821" s="1" t="inlineStr">
        <is>
          <t>vN5sN5</t>
        </is>
      </c>
      <c r="B821" s="1" t="inlineStr">
        <is>
          <t>數值</t>
        </is>
      </c>
      <c r="C821" s="1" t="n">
        <v>2</v>
      </c>
      <c r="D821" s="1" t="n">
        <v>0</v>
      </c>
      <c r="E821" s="1" t="inlineStr">
        <is>
          <t>N5 請問您覺得這些描述跟現在的您像不像？(卡48) N5 為人自律牢靠*</t>
        </is>
      </c>
    </row>
    <row r="822">
      <c r="A822" s="1" t="inlineStr">
        <is>
          <t>vN5sN6</t>
        </is>
      </c>
      <c r="B822" s="1" t="inlineStr">
        <is>
          <t>數值</t>
        </is>
      </c>
      <c r="C822" s="1" t="n">
        <v>2</v>
      </c>
      <c r="D822" s="1" t="n">
        <v>0</v>
      </c>
      <c r="E822" s="1" t="inlineStr">
        <is>
          <t>N5 請問您覺得這些描述跟現在的您像不像？(卡48) N6 做事粗心沒條理</t>
        </is>
      </c>
    </row>
    <row r="823">
      <c r="A823" s="1" t="inlineStr">
        <is>
          <t>vN5sN7</t>
        </is>
      </c>
      <c r="B823" s="1" t="inlineStr">
        <is>
          <t>數值</t>
        </is>
      </c>
      <c r="C823" s="1" t="n">
        <v>2</v>
      </c>
      <c r="D823" s="1" t="n">
        <v>0</v>
      </c>
      <c r="E823" s="1" t="inlineStr">
        <is>
          <t>N5 請問您覺得這些描述跟現在的您像不像？(卡48) N7 心情容易焦慮低落</t>
        </is>
      </c>
    </row>
    <row r="824">
      <c r="A824" s="1" t="inlineStr">
        <is>
          <t>vN5sN8</t>
        </is>
      </c>
      <c r="B824" s="1" t="inlineStr">
        <is>
          <t>數值</t>
        </is>
      </c>
      <c r="C824" s="1" t="n">
        <v>2</v>
      </c>
      <c r="D824" s="1" t="n">
        <v>0</v>
      </c>
      <c r="E824" s="1" t="inlineStr">
        <is>
          <t>N5 請問您覺得這些描述跟現在的您像不像？(卡48) N8 情緒冷靜穩定</t>
        </is>
      </c>
    </row>
    <row r="825">
      <c r="A825" s="1" t="inlineStr">
        <is>
          <t>vN5sN9</t>
        </is>
      </c>
      <c r="B825" s="1" t="inlineStr">
        <is>
          <t>數值</t>
        </is>
      </c>
      <c r="C825" s="1" t="n">
        <v>2</v>
      </c>
      <c r="D825" s="1" t="n">
        <v>0</v>
      </c>
      <c r="E825" s="1" t="inlineStr">
        <is>
          <t>N5 請問您覺得這些描述跟現在的您像不像？(卡48) N9 守舊沒創意</t>
        </is>
      </c>
    </row>
    <row r="826">
      <c r="A826" s="1" t="inlineStr">
        <is>
          <t>vN5sN10</t>
        </is>
      </c>
      <c r="B826" s="1" t="inlineStr">
        <is>
          <t>數值</t>
        </is>
      </c>
      <c r="C826" s="1" t="n">
        <v>2</v>
      </c>
      <c r="D826" s="1" t="n">
        <v>0</v>
      </c>
      <c r="E826" s="1" t="inlineStr">
        <is>
          <t>N5 請問您覺得這些描述跟現在的您像不像？(卡48) N10 喜歡新奇多樣的體驗</t>
        </is>
      </c>
    </row>
    <row r="827">
      <c r="A827" s="1" t="inlineStr">
        <is>
          <t>vN11sN11</t>
        </is>
      </c>
      <c r="B827" s="1" t="inlineStr">
        <is>
          <t>數值</t>
        </is>
      </c>
      <c r="C827" s="1" t="n">
        <v>2</v>
      </c>
      <c r="D827" s="1" t="n">
        <v>0</v>
      </c>
      <c r="E827" s="1" t="inlineStr">
        <is>
          <t>N11 請問您同不同意下列說法？(卡49) N11 避免與他人發生直接衝突，因為他們將來可能對您會有幫助。</t>
        </is>
      </c>
    </row>
    <row r="828">
      <c r="A828" s="1" t="inlineStr">
        <is>
          <t>vN11sN12</t>
        </is>
      </c>
      <c r="B828" s="1" t="inlineStr">
        <is>
          <t>數值</t>
        </is>
      </c>
      <c r="C828" s="1" t="n">
        <v>2</v>
      </c>
      <c r="D828" s="1" t="n">
        <v>0</v>
      </c>
      <c r="E828" s="1" t="inlineStr">
        <is>
          <t>N11 請問您同不同意下列說法？(卡49) N12 別人常常把您跟名人相提並論。</t>
        </is>
      </c>
    </row>
    <row r="829">
      <c r="A829" s="1" t="inlineStr">
        <is>
          <t>vN11sN13</t>
        </is>
      </c>
      <c r="B829" s="1" t="inlineStr">
        <is>
          <t>數值</t>
        </is>
      </c>
      <c r="C829" s="1" t="n">
        <v>2</v>
      </c>
      <c r="D829" s="1" t="n">
        <v>0</v>
      </c>
      <c r="E829" s="1" t="inlineStr">
        <is>
          <t>N11 請問您同不同意下列說法？(卡49) N13 惹到您的人總是會後悔。</t>
        </is>
      </c>
    </row>
    <row r="830">
      <c r="A830" s="1" t="inlineStr">
        <is>
          <t>vN14sN14</t>
        </is>
      </c>
      <c r="B830" s="1" t="inlineStr">
        <is>
          <t>數值</t>
        </is>
      </c>
      <c r="C830" s="1" t="n">
        <v>2</v>
      </c>
      <c r="D830" s="1" t="n">
        <v>0</v>
      </c>
      <c r="E830" s="1" t="inlineStr">
        <is>
          <t>N14 請問您同不同意下列說法？(卡49) N14 您目前的生活和您想要的生活不會差太遠(差太多)。</t>
        </is>
      </c>
    </row>
    <row r="831">
      <c r="A831" s="1" t="inlineStr">
        <is>
          <t>vN14sN15</t>
        </is>
      </c>
      <c r="B831" s="1" t="inlineStr">
        <is>
          <t>數值</t>
        </is>
      </c>
      <c r="C831" s="1" t="n">
        <v>2</v>
      </c>
      <c r="D831" s="1" t="n">
        <v>0</v>
      </c>
      <c r="E831" s="1" t="inlineStr">
        <is>
          <t>N14 請問您同不同意下列說法？(卡49) N15 目前您的一切生活狀況都很棒。</t>
        </is>
      </c>
    </row>
    <row r="832">
      <c r="A832" s="1" t="inlineStr">
        <is>
          <t>vN14sN16</t>
        </is>
      </c>
      <c r="B832" s="1" t="inlineStr">
        <is>
          <t>數值</t>
        </is>
      </c>
      <c r="C832" s="1" t="n">
        <v>2</v>
      </c>
      <c r="D832" s="1" t="n">
        <v>0</v>
      </c>
      <c r="E832" s="1" t="inlineStr">
        <is>
          <t>N14 請問您同不同意下列說法？(卡49) N16 您已經得到您人生「想要的」。</t>
        </is>
      </c>
    </row>
    <row r="833">
      <c r="A833" s="1" t="inlineStr">
        <is>
          <t>vN14sN17</t>
        </is>
      </c>
      <c r="B833" s="1" t="inlineStr">
        <is>
          <t>數值</t>
        </is>
      </c>
      <c r="C833" s="1" t="n">
        <v>2</v>
      </c>
      <c r="D833" s="1" t="n">
        <v>0</v>
      </c>
      <c r="E833" s="1" t="inlineStr">
        <is>
          <t>N14 請問您同不同意下列說法？(卡49) N17 若人生可以重來一次，您會想要換一個跟現在不一樣的人生。</t>
        </is>
      </c>
    </row>
    <row r="834">
      <c r="A834" s="1" t="inlineStr">
        <is>
          <t>vN18sN18</t>
        </is>
      </c>
      <c r="B834" s="1" t="inlineStr">
        <is>
          <t>數值</t>
        </is>
      </c>
      <c r="C834" s="1" t="n">
        <v>2</v>
      </c>
      <c r="D834" s="1" t="n">
        <v>0</v>
      </c>
      <c r="E834" s="1" t="inlineStr">
        <is>
          <t>N18 請問您同不同意下列說法？(卡49) N18 當您遇到困難時，您能找到信賴的人幫您解決問題。</t>
        </is>
      </c>
    </row>
    <row r="835">
      <c r="A835" s="1" t="inlineStr">
        <is>
          <t>vN18sN19</t>
        </is>
      </c>
      <c r="B835" s="1" t="inlineStr">
        <is>
          <t>數值</t>
        </is>
      </c>
      <c r="C835" s="1" t="n">
        <v>2</v>
      </c>
      <c r="D835" s="1" t="n">
        <v>0</v>
      </c>
      <c r="E835" s="1" t="inlineStr">
        <is>
          <t>N18 請問您同不同意下列說法？(卡49) N19 當您有私密的問題時，有人可以讓您放心的聊一聊。</t>
        </is>
      </c>
    </row>
    <row r="836">
      <c r="A836" s="1" t="inlineStr">
        <is>
          <t>vN20</t>
        </is>
      </c>
      <c r="B836" s="1" t="inlineStr">
        <is>
          <t>數值</t>
        </is>
      </c>
      <c r="C836" s="1" t="n">
        <v>2</v>
      </c>
      <c r="D836" s="1" t="n">
        <v>0</v>
      </c>
      <c r="E836" s="1" t="inlineStr">
        <is>
          <t>N20 請問您同不同意下面的說法：當您覺得孤單時，您可以找到其他人說話？(卡49)</t>
        </is>
      </c>
    </row>
    <row r="837">
      <c r="A837" s="1" t="inlineStr">
        <is>
          <t>vN21sN21</t>
        </is>
      </c>
      <c r="B837" s="1" t="inlineStr">
        <is>
          <t>數值</t>
        </is>
      </c>
      <c r="C837" s="1" t="n">
        <v>2</v>
      </c>
      <c r="D837" s="1" t="n">
        <v>0</v>
      </c>
      <c r="E837" s="1" t="inlineStr">
        <is>
          <t>N21 請問您同不同意下列說法？(卡49) N21 經由和別人的來往，會讓您想要嘗試新事物*</t>
        </is>
      </c>
    </row>
    <row r="838">
      <c r="A838" s="1" t="inlineStr">
        <is>
          <t>vN21sN22</t>
        </is>
      </c>
      <c r="B838" s="1" t="inlineStr">
        <is>
          <t>數值</t>
        </is>
      </c>
      <c r="C838" s="1" t="n">
        <v>2</v>
      </c>
      <c r="D838" s="1" t="n">
        <v>0</v>
      </c>
      <c r="E838" s="1" t="inlineStr">
        <is>
          <t>N21 請問您同不同意下列說法？(卡49) N22 經由和別人的來往，會讓您對於「跟您不一樣的人」在想些什麼感到興趣*</t>
        </is>
      </c>
    </row>
    <row r="839">
      <c r="A839" s="1" t="inlineStr">
        <is>
          <t>vN21sN23</t>
        </is>
      </c>
      <c r="B839" s="1" t="inlineStr">
        <is>
          <t>數值</t>
        </is>
      </c>
      <c r="C839" s="1" t="n">
        <v>2</v>
      </c>
      <c r="D839" s="1" t="n">
        <v>0</v>
      </c>
      <c r="E839" s="1" t="inlineStr">
        <is>
          <t>N21 請問您同不同意下列說法？(卡49) N23 經由和別人的閒聊，會讓您對世界上所發生的事情感到好奇*</t>
        </is>
      </c>
    </row>
    <row r="840">
      <c r="A840" s="1" t="inlineStr">
        <is>
          <t>vN24sN24</t>
        </is>
      </c>
      <c r="B840" s="1" t="inlineStr">
        <is>
          <t>數值</t>
        </is>
      </c>
      <c r="C840" s="1" t="n">
        <v>2</v>
      </c>
      <c r="D840" s="1" t="n">
        <v>0</v>
      </c>
      <c r="E840" s="1" t="inlineStr">
        <is>
          <t>N24 請問您同不同意下列說法？(卡49) N24 知道別人在網路上做什麼，您也會想要試試看。</t>
        </is>
      </c>
    </row>
    <row r="841">
      <c r="A841" s="1" t="inlineStr">
        <is>
          <t>vN24sN25</t>
        </is>
      </c>
      <c r="B841" s="1" t="inlineStr">
        <is>
          <t>數值</t>
        </is>
      </c>
      <c r="C841" s="1" t="n">
        <v>2</v>
      </c>
      <c r="D841" s="1" t="n">
        <v>0</v>
      </c>
      <c r="E841" s="1" t="inlineStr">
        <is>
          <t>N24 請問您同不同意下列說法？(卡49) N25 知道別人在網路上討論什麼，您也會感興趣。</t>
        </is>
      </c>
    </row>
    <row r="842">
      <c r="A842" s="1" t="inlineStr">
        <is>
          <t>vN26</t>
        </is>
      </c>
      <c r="B842" s="1" t="inlineStr">
        <is>
          <t>數值</t>
        </is>
      </c>
      <c r="C842" s="1" t="n">
        <v>2</v>
      </c>
      <c r="D842" s="1" t="n">
        <v>0</v>
      </c>
      <c r="E842" s="1" t="inlineStr">
        <is>
          <t>N26 整體而言，您對於您的生活滿不滿意？(卡50)</t>
        </is>
      </c>
    </row>
    <row r="843">
      <c r="A843" s="1" t="inlineStr">
        <is>
          <t>vN27</t>
        </is>
      </c>
      <c r="B843" s="1" t="inlineStr">
        <is>
          <t>數值</t>
        </is>
      </c>
      <c r="C843" s="1" t="n">
        <v>2</v>
      </c>
      <c r="D843" s="1" t="n">
        <v>0</v>
      </c>
      <c r="E843" s="1" t="inlineStr">
        <is>
          <t>N27 整體而言，您對於您的工作滿不滿意？(卡50)</t>
        </is>
      </c>
    </row>
    <row r="844">
      <c r="A844" s="1" t="inlineStr">
        <is>
          <t>vN28</t>
        </is>
      </c>
      <c r="B844" s="1" t="inlineStr">
        <is>
          <t>數值</t>
        </is>
      </c>
      <c r="C844" s="1" t="n">
        <v>2</v>
      </c>
      <c r="D844" s="1" t="n">
        <v>0</v>
      </c>
      <c r="E844" s="1" t="inlineStr">
        <is>
          <t>N28 整體而言，您對於您的社交生活滿不滿意？(卡50)</t>
        </is>
      </c>
    </row>
    <row r="845">
      <c r="A845" s="1" t="inlineStr">
        <is>
          <t>vN29</t>
        </is>
      </c>
      <c r="B845" s="1" t="inlineStr">
        <is>
          <t>數值</t>
        </is>
      </c>
      <c r="C845" s="1" t="n">
        <v>2</v>
      </c>
      <c r="D845" s="1" t="n">
        <v>0</v>
      </c>
      <c r="E845" s="1" t="inlineStr">
        <is>
          <t>N29 整體而言，您對自己目前的健康狀況滿不滿意？(卡50)</t>
        </is>
      </c>
    </row>
    <row r="846">
      <c r="A846" s="1" t="inlineStr">
        <is>
          <t>vN30</t>
        </is>
      </c>
      <c r="B846" s="1" t="inlineStr">
        <is>
          <t>數值</t>
        </is>
      </c>
      <c r="C846" s="1" t="n">
        <v>2</v>
      </c>
      <c r="D846" s="1" t="n">
        <v>0</v>
      </c>
      <c r="E846" s="1" t="inlineStr">
        <is>
          <t>N30 整體而言，您對自己滿不滿意？(卡50)</t>
        </is>
      </c>
    </row>
    <row r="847">
      <c r="A847" s="1" t="inlineStr">
        <is>
          <t>vN31</t>
        </is>
      </c>
      <c r="B847" s="1" t="inlineStr">
        <is>
          <t>數值</t>
        </is>
      </c>
      <c r="C847" s="1" t="n">
        <v>2</v>
      </c>
      <c r="D847" s="1" t="n">
        <v>0</v>
      </c>
      <c r="E847" s="1" t="inlineStr">
        <is>
          <t>N31 整體而言，您覺得目前的日子過得快不快樂？(卡51)</t>
        </is>
      </c>
    </row>
    <row r="848">
      <c r="A848" s="1" t="inlineStr">
        <is>
          <t>vN32</t>
        </is>
      </c>
      <c r="B848" s="1" t="inlineStr">
        <is>
          <t>數值</t>
        </is>
      </c>
      <c r="C848" s="1" t="n">
        <v>2</v>
      </c>
      <c r="D848" s="1" t="n">
        <v>0</v>
      </c>
      <c r="E848" s="1" t="inlineStr">
        <is>
          <t>N32 整體而言，您覺得目前的您寂不寂寞？(卡52)</t>
        </is>
      </c>
    </row>
    <row r="849">
      <c r="A849" s="1" t="inlineStr">
        <is>
          <t>vN33</t>
        </is>
      </c>
      <c r="B849" s="1" t="inlineStr">
        <is>
          <t>數值</t>
        </is>
      </c>
      <c r="C849" s="1" t="n">
        <v>3</v>
      </c>
      <c r="D849" s="1" t="n">
        <v>0</v>
      </c>
      <c r="E849" s="1" t="inlineStr">
        <is>
          <t>N33 整體來說，您對您目前的家庭狀況滿不滿意？(卡53) 如果0代表非常不滿意，10代表非常滿意，從0到10之間，請您選一個最符合自己感受的數字。</t>
        </is>
      </c>
    </row>
    <row r="850">
      <c r="A850" s="1" t="inlineStr">
        <is>
          <t>vN34</t>
        </is>
      </c>
      <c r="B850" s="1" t="inlineStr">
        <is>
          <t>數值</t>
        </is>
      </c>
      <c r="C850" s="1" t="n">
        <v>3</v>
      </c>
      <c r="D850" s="1" t="n">
        <v>0</v>
      </c>
      <c r="E850" s="1" t="inlineStr">
        <is>
          <t>N34 整體來說，您對您目前的人際關係狀況滿不滿意？(卡53) 如果0代表非常不滿意，10代表非常滿意，從0到10之間，請您選一個最符合自己感受的數字。</t>
        </is>
      </c>
    </row>
    <row r="851">
      <c r="A851" s="1" t="inlineStr">
        <is>
          <t>vN35</t>
        </is>
      </c>
      <c r="B851" s="1" t="inlineStr">
        <is>
          <t>數值</t>
        </is>
      </c>
      <c r="C851" s="1" t="n">
        <v>3</v>
      </c>
      <c r="D851" s="1" t="n">
        <v>0</v>
      </c>
      <c r="E851" s="1" t="inlineStr">
        <is>
          <t>N35 整體來說，您對您目前的經濟狀況滿不滿意？(卡53) 如果0代表非常不滿意，10代表非常滿意，從0到10之間，請您選一個最符合自己感受的數字。</t>
        </is>
      </c>
    </row>
    <row r="852">
      <c r="A852" s="1" t="inlineStr">
        <is>
          <t>vN36sN36</t>
        </is>
      </c>
      <c r="B852" s="1" t="inlineStr">
        <is>
          <t>數值</t>
        </is>
      </c>
      <c r="C852" s="1" t="n">
        <v>2</v>
      </c>
      <c r="D852" s="1" t="n">
        <v>0</v>
      </c>
      <c r="E852" s="1" t="inlineStr">
        <is>
          <t>N36 請根據您自己的實際狀況，回答下列問題。(卡54) N36 您多常覺得身體很累？</t>
        </is>
      </c>
    </row>
    <row r="853">
      <c r="A853" s="1" t="inlineStr">
        <is>
          <t>vN36sN37</t>
        </is>
      </c>
      <c r="B853" s="1" t="inlineStr">
        <is>
          <t>數值</t>
        </is>
      </c>
      <c r="C853" s="1" t="n">
        <v>2</v>
      </c>
      <c r="D853" s="1" t="n">
        <v>0</v>
      </c>
      <c r="E853" s="1" t="inlineStr">
        <is>
          <t>N36 請根據您自己的實際狀況，回答下列問題。(卡54) N37 您多常覺得心裡很累 (像是覺得無奈、挫折)？</t>
        </is>
      </c>
    </row>
    <row r="854">
      <c r="A854" s="1" t="inlineStr">
        <is>
          <t>vN38sN38</t>
        </is>
      </c>
      <c r="B854" s="1" t="inlineStr">
        <is>
          <t>數值</t>
        </is>
      </c>
      <c r="C854" s="1" t="n">
        <v>2</v>
      </c>
      <c r="D854" s="1" t="n">
        <v>0</v>
      </c>
      <c r="E854" s="1" t="inlineStr">
        <is>
          <t>N38 在過去七天內，您大概有幾天曾發生下列情況？(卡55) N38 有做事時提不起勁或沒有樂趣的狀況？</t>
        </is>
      </c>
    </row>
    <row r="855">
      <c r="A855" s="1" t="inlineStr">
        <is>
          <t>vN38sN39</t>
        </is>
      </c>
      <c r="B855" s="1" t="inlineStr">
        <is>
          <t>數值</t>
        </is>
      </c>
      <c r="C855" s="1" t="n">
        <v>2</v>
      </c>
      <c r="D855" s="1" t="n">
        <v>0</v>
      </c>
      <c r="E855" s="1" t="inlineStr">
        <is>
          <t>N38 在過去七天內，您大概有幾天曾發生下列情況？(卡55) N39 有心情低落、沮喪或絕望的狀況？</t>
        </is>
      </c>
    </row>
    <row r="856">
      <c r="A856" s="1" t="inlineStr">
        <is>
          <t>vN38sN40</t>
        </is>
      </c>
      <c r="B856" s="1" t="inlineStr">
        <is>
          <t>數值</t>
        </is>
      </c>
      <c r="C856" s="1" t="n">
        <v>2</v>
      </c>
      <c r="D856" s="1" t="n">
        <v>0</v>
      </c>
      <c r="E856" s="1" t="inlineStr">
        <is>
          <t>N38 在過去七天內，您大概有幾天曾發生下列情況？(卡55) N40 有緊張、焦慮或不安的狀況？</t>
        </is>
      </c>
    </row>
    <row r="857">
      <c r="A857" s="1" t="inlineStr">
        <is>
          <t>vN38sN41</t>
        </is>
      </c>
      <c r="B857" s="1" t="inlineStr">
        <is>
          <t>數值</t>
        </is>
      </c>
      <c r="C857" s="1" t="n">
        <v>2</v>
      </c>
      <c r="D857" s="1" t="n">
        <v>0</v>
      </c>
      <c r="E857" s="1" t="inlineStr">
        <is>
          <t>N38 在過去七天內，您大概有幾天曾發生下列情況？(卡55) N41 有對周圍的人事物擔心個沒完的狀況？</t>
        </is>
      </c>
    </row>
    <row r="858">
      <c r="A858" s="1" t="inlineStr">
        <is>
          <t>vO1</t>
        </is>
      </c>
      <c r="B858" s="1" t="inlineStr">
        <is>
          <t>數值</t>
        </is>
      </c>
      <c r="C858" s="1" t="n">
        <v>2</v>
      </c>
      <c r="D858" s="1" t="n">
        <v>0</v>
      </c>
      <c r="E858" s="1" t="inlineStr">
        <is>
          <t>O1 請問您現在有沒有在工作？(卡56) 訪員注意：擔任志工（未支薪）不算有工作。</t>
        </is>
      </c>
    </row>
    <row r="859">
      <c r="A859" s="1" t="inlineStr">
        <is>
          <t>vO1o88</t>
        </is>
      </c>
      <c r="B859" s="1" t="inlineStr">
        <is>
          <t>字串</t>
        </is>
      </c>
      <c r="C859" s="1" t="n">
        <v>150</v>
      </c>
      <c r="D859" s="1" t="n">
        <v>0</v>
      </c>
      <c r="E859" s="1" t="inlineStr">
        <is>
          <t>O1 請問您現在有沒有在工作？(卡56) 訪員注意：擔任志工（未支薪）不算有工作。 (88) 其他，請說明</t>
        </is>
      </c>
    </row>
    <row r="860">
      <c r="A860" s="1" t="inlineStr">
        <is>
          <t>vO2</t>
        </is>
      </c>
      <c r="B860" s="1" t="inlineStr">
        <is>
          <t>數值</t>
        </is>
      </c>
      <c r="C860" s="1" t="n">
        <v>2</v>
      </c>
      <c r="D860" s="1" t="n">
        <v>0</v>
      </c>
      <c r="E860" s="1" t="inlineStr">
        <is>
          <t>O2 請問您的行業：(卡57) 訪員注意：以受訪者的選擇為主，但如受訪者的答案未能被歸類，請參考提示卡57-1的行業分類表。</t>
        </is>
      </c>
    </row>
    <row r="861">
      <c r="A861" s="1" t="inlineStr">
        <is>
          <t>vO2o88</t>
        </is>
      </c>
      <c r="B861" s="1" t="inlineStr">
        <is>
          <t>字串</t>
        </is>
      </c>
      <c r="C861" s="1" t="n">
        <v>150</v>
      </c>
      <c r="D861" s="1" t="n">
        <v>0</v>
      </c>
      <c r="E861" s="1" t="inlineStr">
        <is>
          <t>O2 請問您的行業：(卡57) 訪員注意：以受訪者的選擇為主，但如受訪者的答案未能被歸類，請參考提示卡57-1的行業分類表。 (88) 其他，請說明</t>
        </is>
      </c>
    </row>
    <row r="862">
      <c r="A862" s="1" t="inlineStr">
        <is>
          <t>vO3</t>
        </is>
      </c>
      <c r="B862" s="1" t="inlineStr">
        <is>
          <t>數值</t>
        </is>
      </c>
      <c r="C862" s="1" t="n">
        <v>2</v>
      </c>
      <c r="D862" s="1" t="n">
        <v>0</v>
      </c>
      <c r="E862" s="1" t="inlineStr">
        <is>
          <t>O3 請問您現在的工作屬於哪一類？(卡58)</t>
        </is>
      </c>
    </row>
    <row r="863">
      <c r="A863" s="1" t="inlineStr">
        <is>
          <t>vO3o88</t>
        </is>
      </c>
      <c r="B863" s="1" t="inlineStr">
        <is>
          <t>字串</t>
        </is>
      </c>
      <c r="C863" s="1" t="n">
        <v>150</v>
      </c>
      <c r="D863" s="1" t="n">
        <v>0</v>
      </c>
      <c r="E863" s="1" t="inlineStr">
        <is>
          <t>O3 請問您現在的工作屬於哪一類？(卡58) (88) 其他，請說明</t>
        </is>
      </c>
    </row>
    <row r="864">
      <c r="A864" s="1" t="inlineStr">
        <is>
          <t>vO4A</t>
        </is>
      </c>
      <c r="B864" s="1" t="inlineStr">
        <is>
          <t>數值</t>
        </is>
      </c>
      <c r="C864" s="1" t="n">
        <v>2</v>
      </c>
      <c r="D864" s="1" t="n">
        <v>0</v>
      </c>
      <c r="E864" s="1" t="inlineStr">
        <is>
          <t>O4A 請問在工作上，您有沒有管理別人？</t>
        </is>
      </c>
    </row>
    <row r="865">
      <c r="A865" s="1" t="inlineStr">
        <is>
          <t>vO4B</t>
        </is>
      </c>
      <c r="B865" s="1" t="inlineStr">
        <is>
          <t>數值</t>
        </is>
      </c>
      <c r="C865" s="1" t="n">
        <v>5</v>
      </c>
      <c r="D865" s="1" t="n">
        <v>0</v>
      </c>
      <c r="E865" s="1" t="inlineStr">
        <is>
          <t>O4B 那請問您管理多少人？ 訪員注意：超過5000人請填9991</t>
        </is>
      </c>
    </row>
    <row r="866">
      <c r="A866" s="1" t="inlineStr">
        <is>
          <t>vO5</t>
        </is>
      </c>
      <c r="B866" s="1" t="inlineStr">
        <is>
          <t>數值</t>
        </is>
      </c>
      <c r="C866" s="1" t="n">
        <v>2</v>
      </c>
      <c r="D866" s="1" t="n">
        <v>0</v>
      </c>
      <c r="E866" s="1" t="inlineStr">
        <is>
          <t>O5 【訪員讀題完畢後，請將平板轉給受訪者選擇，並由受訪者自己點選】 請問您個人平均每個月所有的(稅前)收入差不多有多少？ (包括：薪資、年終獎金、年節分紅、加班費、執行業務收入、�</t>
        </is>
      </c>
    </row>
    <row r="867">
      <c r="A867" s="1" t="inlineStr">
        <is>
          <t>vZ2_1g1</t>
        </is>
      </c>
      <c r="B867" s="1" t="inlineStr">
        <is>
          <t>字串</t>
        </is>
      </c>
      <c r="C867" s="1" t="n">
        <v>36</v>
      </c>
      <c r="D867" s="1" t="n">
        <v>0</v>
      </c>
      <c r="E867" s="1" t="inlineStr">
        <is>
          <t>Z2_1 為了確保這份問卷資料的品質，我們中心可能會進行簡單的電話複查確認是否確實來做了訪問，可否請您將家裡的市內電話號碼告訴我們？ 沒有市話請寫0，拒答請填98。 1 市話號碼 包含區碼</t>
        </is>
      </c>
    </row>
    <row r="868">
      <c r="A868" s="1" t="inlineStr">
        <is>
          <t>vZ2_1g2</t>
        </is>
      </c>
      <c r="B868" s="1" t="inlineStr">
        <is>
          <t>字串</t>
        </is>
      </c>
      <c r="C868" s="1" t="n">
        <v>24</v>
      </c>
      <c r="D868" s="1" t="n">
        <v>0</v>
      </c>
      <c r="E868" s="1" t="inlineStr">
        <is>
          <t>Z2_1 為了確保這份問卷資料的品質，我們中心可能會進行簡單的電話複查確認是否確實來做了訪問，可否請您將家裡的市內電話號碼告訴我們？ 沒有市話請寫0，拒答請填98。 2 分機(非必填)</t>
        </is>
      </c>
    </row>
    <row r="869">
      <c r="A869" s="1" t="inlineStr">
        <is>
          <t>vZ2_2</t>
        </is>
      </c>
      <c r="B869" s="1" t="inlineStr">
        <is>
          <t>字串</t>
        </is>
      </c>
      <c r="C869" s="1" t="n">
        <v>30</v>
      </c>
      <c r="D869" s="1" t="n">
        <v>0</v>
      </c>
      <c r="E869" s="1" t="inlineStr">
        <is>
          <t>Z2_2 為了確保這份問卷資料的品質，我們中心可能會進行簡單的電話複查確認是否確實來做了訪問，可否請您將您的手機號碼告訴我們？ 拒答請填98。</t>
        </is>
      </c>
    </row>
    <row r="870">
      <c r="A870" s="1" t="inlineStr">
        <is>
          <t>vZE1</t>
        </is>
      </c>
      <c r="B870" s="1" t="inlineStr">
        <is>
          <t>數值</t>
        </is>
      </c>
      <c r="C870" s="1" t="n">
        <v>2</v>
      </c>
      <c r="D870" s="1" t="n">
        <v>0</v>
      </c>
      <c r="E870" s="1" t="inlineStr">
        <is>
          <t>ZE1 我們的訪問就到此結束，非常感謝您接受我們的訪問，謝謝！ (這時，請訪員將300元商品卡提供給受訪者) 1.請務必讀出訪問結束的結尾語，並將300元商品卡提供給受訪者。 2.將商品卡送給受訪</t>
        </is>
      </c>
    </row>
    <row r="871">
      <c r="A871" s="1" t="inlineStr">
        <is>
          <t>vZE1o03</t>
        </is>
      </c>
      <c r="B871" s="1" t="inlineStr">
        <is>
          <t>字串</t>
        </is>
      </c>
      <c r="C871" s="1" t="n">
        <v>150</v>
      </c>
      <c r="D871" s="1" t="n">
        <v>0</v>
      </c>
      <c r="E871" s="1" t="inlineStr">
        <is>
          <t>ZE1 我們的訪問就到此結束，非常感謝您接受我們的訪問，謝謝！ (這時，請訪員將300元商品卡提供給受訪者) 1.請務必讀出訪問結束的結尾語，並將300元商品卡提供給受訪者。 2.將商品卡送給受訪</t>
        </is>
      </c>
    </row>
    <row r="872">
      <c r="A872" s="1" t="inlineStr">
        <is>
          <t>vZE1o04</t>
        </is>
      </c>
      <c r="B872" s="1" t="inlineStr">
        <is>
          <t>字串</t>
        </is>
      </c>
      <c r="C872" s="1" t="n">
        <v>150</v>
      </c>
      <c r="D872" s="1" t="n">
        <v>0</v>
      </c>
      <c r="E872" s="1" t="inlineStr">
        <is>
          <t>ZE1 我們的訪問就到此結束，非常感謝您接受我們的訪問，謝謝！ (這時，請訪員將300元商品卡提供給受訪者) 1.請務必讀出訪問結束的結尾語，並將300元商品卡提供給受訪者。 2.將商品卡送給受訪</t>
        </is>
      </c>
    </row>
    <row r="873">
      <c r="A873" s="1" t="inlineStr">
        <is>
          <t>vZE2m01</t>
        </is>
      </c>
      <c r="B873" s="1" t="inlineStr">
        <is>
          <t>數值</t>
        </is>
      </c>
      <c r="C873" s="1" t="n">
        <v>2</v>
      </c>
      <c r="D873" s="1" t="n">
        <v>0</v>
      </c>
      <c r="E873" s="1" t="inlineStr">
        <is>
          <t>ZE2 請問您願不願意未來再次接受我們的訪問？(可複選)(請訪員拿出追蹤同意書說明，若受訪者願意接受追蹤，且留下聯絡方式，請提供商品卡100元給受訪者。) 【訪員特別注意】 1.請拿出追蹤同�</t>
        </is>
      </c>
    </row>
    <row r="874">
      <c r="A874" s="1" t="inlineStr">
        <is>
          <t>vZE2m02</t>
        </is>
      </c>
      <c r="B874" s="1" t="inlineStr">
        <is>
          <t>數值</t>
        </is>
      </c>
      <c r="C874" s="1" t="n">
        <v>2</v>
      </c>
      <c r="D874" s="1" t="n">
        <v>0</v>
      </c>
      <c r="E874" s="1" t="inlineStr">
        <is>
          <t>ZE2 請問您願不願意未來再次接受我們的訪問？(可複選)(請訪員拿出追蹤同意書說明，若受訪者願意接受追蹤，且留下聯絡方式，請提供商品卡100元給受訪者。) 【訪員特別注意】 1.請拿出追蹤同�</t>
        </is>
      </c>
    </row>
    <row r="875">
      <c r="A875" s="1" t="inlineStr">
        <is>
          <t>vZE2m03</t>
        </is>
      </c>
      <c r="B875" s="1" t="inlineStr">
        <is>
          <t>數值</t>
        </is>
      </c>
      <c r="C875" s="1" t="n">
        <v>2</v>
      </c>
      <c r="D875" s="1" t="n">
        <v>0</v>
      </c>
      <c r="E875" s="1" t="inlineStr">
        <is>
          <t>ZE2 請問您願不願意未來再次接受我們的訪問？(可複選)(請訪員拿出追蹤同意書說明，若受訪者願意接受追蹤，且留下聯絡方式，請提供商品卡100元給受訪者。) 【訪員特別注意】 1.請拿出追蹤同�</t>
        </is>
      </c>
    </row>
    <row r="876">
      <c r="A876" s="1" t="inlineStr">
        <is>
          <t>vZE2m04</t>
        </is>
      </c>
      <c r="B876" s="1" t="inlineStr">
        <is>
          <t>數值</t>
        </is>
      </c>
      <c r="C876" s="1" t="n">
        <v>2</v>
      </c>
      <c r="D876" s="1" t="n">
        <v>0</v>
      </c>
      <c r="E876" s="1" t="inlineStr">
        <is>
          <t>ZE2 請問您願不願意未來再次接受我們的訪問？(可複選)(請訪員拿出追蹤同意書說明，若受訪者願意接受追蹤，且留下聯絡方式，請提供商品卡100元給受訪者。) 【訪員特別注意】 1.請拿出追蹤同�</t>
        </is>
      </c>
    </row>
    <row r="877">
      <c r="A877" s="1" t="inlineStr">
        <is>
          <t>vZE2_1m01</t>
        </is>
      </c>
      <c r="B877" s="1" t="inlineStr">
        <is>
          <t>數值</t>
        </is>
      </c>
      <c r="C877" s="1" t="n">
        <v>2</v>
      </c>
      <c r="D877" s="1" t="n">
        <v>0</v>
      </c>
      <c r="E877" s="1" t="inlineStr">
        <is>
          <t>ZE2_1 為了方便未來有機會透過網路問卷調查訪問您，想確認您先前留下的聯絡資訊是否正確，並更新您最近較常用的聯繫資訊 複查手機號碼：${Q:Z2_2} 2023年電子郵件信箱：${A:email} 【訪員特別注�</t>
        </is>
      </c>
    </row>
    <row r="878">
      <c r="A878" s="1" t="inlineStr">
        <is>
          <t>vZE2_1m02</t>
        </is>
      </c>
      <c r="B878" s="1" t="inlineStr">
        <is>
          <t>數值</t>
        </is>
      </c>
      <c r="C878" s="1" t="n">
        <v>2</v>
      </c>
      <c r="D878" s="1" t="n">
        <v>0</v>
      </c>
      <c r="E878" s="1" t="inlineStr">
        <is>
          <t>ZE2_1 為了方便未來有機會透過網路問卷調查訪問您，想確認您先前留下的聯絡資訊是否正確，並更新您最近較常用的聯繫資訊 複查手機號碼：${Q:Z2_2} 2023年電子郵件信箱：${A:email} 【訪員特別注�</t>
        </is>
      </c>
    </row>
    <row r="879">
      <c r="A879" s="1" t="inlineStr">
        <is>
          <t>vZE2_1m03</t>
        </is>
      </c>
      <c r="B879" s="1" t="inlineStr">
        <is>
          <t>數值</t>
        </is>
      </c>
      <c r="C879" s="1" t="n">
        <v>2</v>
      </c>
      <c r="D879" s="1" t="n">
        <v>0</v>
      </c>
      <c r="E879" s="1" t="inlineStr">
        <is>
          <t>ZE2_1 為了方便未來有機會透過網路問卷調查訪問您，想確認您先前留下的聯絡資訊是否正確，並更新您最近較常用的聯繫資訊 複查手機號碼：${Q:Z2_2} 2023年電子郵件信箱：${A:email} 【訪員特別注�</t>
        </is>
      </c>
    </row>
    <row r="880">
      <c r="A880" s="1" t="inlineStr">
        <is>
          <t>vZE2_1m04</t>
        </is>
      </c>
      <c r="B880" s="1" t="inlineStr">
        <is>
          <t>數值</t>
        </is>
      </c>
      <c r="C880" s="1" t="n">
        <v>2</v>
      </c>
      <c r="D880" s="1" t="n">
        <v>0</v>
      </c>
      <c r="E880" s="1" t="inlineStr">
        <is>
          <t>ZE2_1 為了方便未來有機會透過網路問卷調查訪問您，想確認您先前留下的聯絡資訊是否正確，並更新您最近較常用的聯繫資訊 複查手機號碼：${Q:Z2_2} 2023年電子郵件信箱：${A:email} 【訪員特別注�</t>
        </is>
      </c>
    </row>
    <row r="881">
      <c r="A881" s="1" t="inlineStr">
        <is>
          <t>vZE2_1m05</t>
        </is>
      </c>
      <c r="B881" s="1" t="inlineStr">
        <is>
          <t>數值</t>
        </is>
      </c>
      <c r="C881" s="1" t="n">
        <v>2</v>
      </c>
      <c r="D881" s="1" t="n">
        <v>0</v>
      </c>
      <c r="E881" s="1" t="inlineStr">
        <is>
          <t>ZE2_1 為了方便未來有機會透過網路問卷調查訪問您，想確認您先前留下的聯絡資訊是否正確，並更新您最近較常用的聯繫資訊 複查手機號碼：${Q:Z2_2} 2023年電子郵件信箱：${A:email} 【訪員特別注�</t>
        </is>
      </c>
    </row>
    <row r="882">
      <c r="A882" s="1" t="inlineStr">
        <is>
          <t>vZE2_2</t>
        </is>
      </c>
      <c r="B882" s="1" t="inlineStr">
        <is>
          <t>字串</t>
        </is>
      </c>
      <c r="C882" s="1" t="n">
        <v>30</v>
      </c>
      <c r="D882" s="1" t="n">
        <v>0</v>
      </c>
      <c r="E882" s="1" t="inlineStr">
        <is>
          <t>ZE2_2 請問您的手機號碼？ 【訪員特別注意】若受訪者不願意提供手機號碼，請向其說明：「我們只進行學術調查，不會有商業推銷的行為。您每次協助填寫完問卷後，我們會提供一份商品卡給您</t>
        </is>
      </c>
    </row>
    <row r="883">
      <c r="A883" s="1" t="inlineStr">
        <is>
          <t>vZE2_3</t>
        </is>
      </c>
      <c r="B883" s="1" t="inlineStr">
        <is>
          <t>字串</t>
        </is>
      </c>
      <c r="C883" s="1" t="n">
        <v>450</v>
      </c>
      <c r="D883" s="1" t="n">
        <v>0</v>
      </c>
      <c r="E883" s="1" t="inlineStr">
        <is>
          <t>ZE2_3 請問您的Email？ 【訪員特別注意】若受訪者提供電子信箱，請訪員記錄時同時複述，以確認聯絡資訊無誤。</t>
        </is>
      </c>
    </row>
    <row r="884">
      <c r="A884" s="1" t="inlineStr">
        <is>
          <t>vZE3</t>
        </is>
      </c>
      <c r="B884" s="1" t="inlineStr">
        <is>
          <t>字串</t>
        </is>
      </c>
      <c r="C884" s="1" t="n">
        <v>150</v>
      </c>
      <c r="D884" s="1" t="n">
        <v>0</v>
      </c>
      <c r="E884" s="1" t="inlineStr">
        <is>
          <t>ZE3 請問您的姓名？(請訪員依同意書鍵入受訪者姓名)</t>
        </is>
      </c>
    </row>
    <row r="885">
      <c r="A885" s="1" t="inlineStr">
        <is>
          <t>vvckend</t>
        </is>
      </c>
      <c r="B885" s="1" t="inlineStr">
        <is>
          <t>數值</t>
        </is>
      </c>
      <c r="C885" s="1" t="n">
        <v>14</v>
      </c>
      <c r="D885" s="1" t="n">
        <v>0</v>
      </c>
      <c r="E885" s="1" t="inlineStr">
        <is>
          <t>vckend 恭喜您完成一份問卷，填寫完畢請點選【確定】後【提交】。</t>
        </is>
      </c>
    </row>
  </sheetData>
  <pageMargins left="0.7" right="0.7" top="0.75" bottom="0.75" header="0.3" footer="0.3"/>
</worksheet>
</file>

<file path=xl/worksheets/sheet13.xml><?xml version="1.0" encoding="utf-8"?>
<worksheet xmlns="http://schemas.openxmlformats.org/spreadsheetml/2006/main">
  <sheetPr filterMode="1">
    <outlinePr summaryBelow="1" summaryRight="1"/>
    <pageSetUpPr/>
  </sheetPr>
  <dimension ref="A1:C57"/>
  <sheetViews>
    <sheetView topLeftCell="A41" workbookViewId="0">
      <selection activeCell="A3" sqref="A3:A57"/>
    </sheetView>
  </sheetViews>
  <sheetFormatPr baseColWidth="8" defaultRowHeight="16.5"/>
  <sheetData>
    <row r="1" customFormat="1" s="1">
      <c r="A1" s="1" t="inlineStr">
        <is>
          <t>變項名稱</t>
        </is>
      </c>
      <c r="B1" s="1" t="inlineStr">
        <is>
          <t>變項屬性</t>
        </is>
      </c>
      <c r="C1" s="1" t="inlineStr">
        <is>
          <t>寬度</t>
        </is>
      </c>
    </row>
    <row r="2" hidden="1" s="21">
      <c r="A2" s="1" t="inlineStr">
        <is>
          <t>vZX</t>
        </is>
      </c>
      <c r="B2" s="1" t="inlineStr">
        <is>
          <t>字串</t>
        </is>
      </c>
      <c r="C2" s="1" t="n">
        <v>1500</v>
      </c>
    </row>
    <row r="3">
      <c r="A3" s="1" t="inlineStr">
        <is>
          <t>vZB1m01</t>
        </is>
      </c>
      <c r="B3" s="1" t="inlineStr">
        <is>
          <t>數值</t>
        </is>
      </c>
      <c r="C3" s="1" t="n">
        <v>2</v>
      </c>
    </row>
    <row r="4">
      <c r="A4" s="1" t="inlineStr">
        <is>
          <t>vZB1m02</t>
        </is>
      </c>
      <c r="B4" s="1" t="inlineStr">
        <is>
          <t>數值</t>
        </is>
      </c>
      <c r="C4" s="1" t="n">
        <v>2</v>
      </c>
    </row>
    <row r="5">
      <c r="A5" s="1" t="inlineStr">
        <is>
          <t>vZB1m03</t>
        </is>
      </c>
      <c r="B5" s="1" t="inlineStr">
        <is>
          <t>數值</t>
        </is>
      </c>
      <c r="C5" s="1" t="n">
        <v>2</v>
      </c>
    </row>
    <row r="6" hidden="1" s="21">
      <c r="A6" s="1" t="inlineStr">
        <is>
          <t>vZB1o01</t>
        </is>
      </c>
      <c r="B6" s="1" t="inlineStr">
        <is>
          <t>字串</t>
        </is>
      </c>
      <c r="C6" s="1" t="n">
        <v>150</v>
      </c>
    </row>
    <row r="7" hidden="1" s="21">
      <c r="A7" s="1" t="inlineStr">
        <is>
          <t>vZB1o02</t>
        </is>
      </c>
      <c r="B7" s="1" t="inlineStr">
        <is>
          <t>字串</t>
        </is>
      </c>
      <c r="C7" s="1" t="n">
        <v>150</v>
      </c>
    </row>
    <row r="8">
      <c r="A8" s="1" t="inlineStr">
        <is>
          <t>vZB2</t>
        </is>
      </c>
      <c r="B8" s="1" t="inlineStr">
        <is>
          <t>數值</t>
        </is>
      </c>
      <c r="C8" s="1" t="n">
        <v>2</v>
      </c>
    </row>
    <row r="9">
      <c r="A9" s="1" t="inlineStr">
        <is>
          <t>vZB3m01</t>
        </is>
      </c>
      <c r="B9" s="1" t="inlineStr">
        <is>
          <t>數值</t>
        </is>
      </c>
      <c r="C9" s="1" t="n">
        <v>2</v>
      </c>
    </row>
    <row r="10">
      <c r="A10" s="1" t="inlineStr">
        <is>
          <t>vZB3m02</t>
        </is>
      </c>
      <c r="B10" s="1" t="inlineStr">
        <is>
          <t>數值</t>
        </is>
      </c>
      <c r="C10" s="1" t="n">
        <v>2</v>
      </c>
    </row>
    <row r="11">
      <c r="A11" s="1" t="inlineStr">
        <is>
          <t>vZB3m03</t>
        </is>
      </c>
      <c r="B11" s="1" t="inlineStr">
        <is>
          <t>數值</t>
        </is>
      </c>
      <c r="C11" s="1" t="n">
        <v>2</v>
      </c>
    </row>
    <row r="12">
      <c r="A12" s="1" t="inlineStr">
        <is>
          <t>vZB3m04</t>
        </is>
      </c>
      <c r="B12" s="1" t="inlineStr">
        <is>
          <t>數值</t>
        </is>
      </c>
      <c r="C12" s="1" t="n">
        <v>2</v>
      </c>
    </row>
    <row r="13">
      <c r="A13" s="1" t="inlineStr">
        <is>
          <t>vZB3m05</t>
        </is>
      </c>
      <c r="B13" s="1" t="inlineStr">
        <is>
          <t>數值</t>
        </is>
      </c>
      <c r="C13" s="1" t="n">
        <v>2</v>
      </c>
    </row>
    <row r="14">
      <c r="A14" s="1" t="inlineStr">
        <is>
          <t>vZB3m06</t>
        </is>
      </c>
      <c r="B14" s="1" t="inlineStr">
        <is>
          <t>數值</t>
        </is>
      </c>
      <c r="C14" s="1" t="n">
        <v>2</v>
      </c>
    </row>
    <row r="15">
      <c r="A15" s="1" t="inlineStr">
        <is>
          <t>vZB3m07</t>
        </is>
      </c>
      <c r="B15" s="1" t="inlineStr">
        <is>
          <t>數值</t>
        </is>
      </c>
      <c r="C15" s="1" t="n">
        <v>2</v>
      </c>
    </row>
    <row r="16" hidden="1" s="21">
      <c r="A16" s="1" t="inlineStr">
        <is>
          <t>vZB3o07</t>
        </is>
      </c>
      <c r="B16" s="1" t="inlineStr">
        <is>
          <t>字串</t>
        </is>
      </c>
      <c r="C16" s="1" t="n">
        <v>150</v>
      </c>
    </row>
    <row r="17">
      <c r="A17" s="1" t="inlineStr">
        <is>
          <t>vZB4</t>
        </is>
      </c>
      <c r="B17" s="1" t="inlineStr">
        <is>
          <t>數值</t>
        </is>
      </c>
      <c r="C17" s="1" t="n">
        <v>2</v>
      </c>
    </row>
    <row r="18" hidden="1" s="21">
      <c r="A18" s="1" t="inlineStr">
        <is>
          <t>vZB4o07</t>
        </is>
      </c>
      <c r="B18" s="1" t="inlineStr">
        <is>
          <t>字串</t>
        </is>
      </c>
      <c r="C18" s="1" t="n">
        <v>150</v>
      </c>
    </row>
    <row r="19">
      <c r="A19" s="1" t="inlineStr">
        <is>
          <t>vZB5_1</t>
        </is>
      </c>
      <c r="B19" s="1" t="inlineStr">
        <is>
          <t>數值</t>
        </is>
      </c>
      <c r="C19" s="1" t="n">
        <v>2</v>
      </c>
    </row>
    <row r="20" hidden="1" s="21">
      <c r="A20" s="1" t="inlineStr">
        <is>
          <t>vZB5_1o03</t>
        </is>
      </c>
      <c r="B20" s="1" t="inlineStr">
        <is>
          <t>字串</t>
        </is>
      </c>
      <c r="C20" s="1" t="n">
        <v>150</v>
      </c>
    </row>
    <row r="21" hidden="1" s="21">
      <c r="A21" s="1" t="inlineStr">
        <is>
          <t>vZB5_1o04</t>
        </is>
      </c>
      <c r="B21" s="1" t="inlineStr">
        <is>
          <t>字串</t>
        </is>
      </c>
      <c r="C21" s="1" t="n">
        <v>150</v>
      </c>
    </row>
    <row r="22">
      <c r="A22" s="1" t="inlineStr">
        <is>
          <t>vZB5_2</t>
        </is>
      </c>
      <c r="B22" s="1" t="inlineStr">
        <is>
          <t>數值</t>
        </is>
      </c>
      <c r="C22" s="1" t="n">
        <v>2</v>
      </c>
    </row>
    <row r="23">
      <c r="A23" s="1" t="inlineStr">
        <is>
          <t>vZB6</t>
        </is>
      </c>
      <c r="B23" s="1" t="inlineStr">
        <is>
          <t>數值</t>
        </is>
      </c>
      <c r="C23" s="1" t="n">
        <v>2</v>
      </c>
    </row>
    <row r="24">
      <c r="A24" s="1" t="inlineStr">
        <is>
          <t>vZB7m01</t>
        </is>
      </c>
      <c r="B24" s="1" t="inlineStr">
        <is>
          <t>數值</t>
        </is>
      </c>
      <c r="C24" s="1" t="n">
        <v>2</v>
      </c>
    </row>
    <row r="25">
      <c r="A25" s="1" t="inlineStr">
        <is>
          <t>vZB7m02</t>
        </is>
      </c>
      <c r="B25" s="1" t="inlineStr">
        <is>
          <t>數值</t>
        </is>
      </c>
      <c r="C25" s="1" t="n">
        <v>2</v>
      </c>
    </row>
    <row r="26">
      <c r="A26" s="1" t="inlineStr">
        <is>
          <t>vZB7m03</t>
        </is>
      </c>
      <c r="B26" s="1" t="inlineStr">
        <is>
          <t>數值</t>
        </is>
      </c>
      <c r="C26" s="1" t="n">
        <v>2</v>
      </c>
    </row>
    <row r="27">
      <c r="A27" s="1" t="inlineStr">
        <is>
          <t>vZB7m04</t>
        </is>
      </c>
      <c r="B27" s="1" t="inlineStr">
        <is>
          <t>數值</t>
        </is>
      </c>
      <c r="C27" s="1" t="n">
        <v>2</v>
      </c>
    </row>
    <row r="28">
      <c r="A28" s="1" t="inlineStr">
        <is>
          <t>vZB7m05</t>
        </is>
      </c>
      <c r="B28" s="1" t="inlineStr">
        <is>
          <t>數值</t>
        </is>
      </c>
      <c r="C28" s="1" t="n">
        <v>2</v>
      </c>
    </row>
    <row r="29">
      <c r="A29" s="1" t="inlineStr">
        <is>
          <t>vZB7m06</t>
        </is>
      </c>
      <c r="B29" s="1" t="inlineStr">
        <is>
          <t>數值</t>
        </is>
      </c>
      <c r="C29" s="1" t="n">
        <v>2</v>
      </c>
    </row>
    <row r="30">
      <c r="A30" s="1" t="inlineStr">
        <is>
          <t>vZB7m07</t>
        </is>
      </c>
      <c r="B30" s="1" t="inlineStr">
        <is>
          <t>數值</t>
        </is>
      </c>
      <c r="C30" s="1" t="n">
        <v>2</v>
      </c>
    </row>
    <row r="31">
      <c r="A31" s="1" t="inlineStr">
        <is>
          <t>vZB7m08</t>
        </is>
      </c>
      <c r="B31" s="1" t="inlineStr">
        <is>
          <t>數值</t>
        </is>
      </c>
      <c r="C31" s="1" t="n">
        <v>2</v>
      </c>
    </row>
    <row r="32">
      <c r="A32" s="1" t="inlineStr">
        <is>
          <t>vZB7m09</t>
        </is>
      </c>
      <c r="B32" s="1" t="inlineStr">
        <is>
          <t>數值</t>
        </is>
      </c>
      <c r="C32" s="1" t="n">
        <v>2</v>
      </c>
    </row>
    <row r="33">
      <c r="A33" s="1" t="inlineStr">
        <is>
          <t>vZB7m10</t>
        </is>
      </c>
      <c r="B33" s="1" t="inlineStr">
        <is>
          <t>數值</t>
        </is>
      </c>
      <c r="C33" s="1" t="n">
        <v>2</v>
      </c>
    </row>
    <row r="34">
      <c r="A34" s="1" t="inlineStr">
        <is>
          <t>vZB7m11</t>
        </is>
      </c>
      <c r="B34" s="1" t="inlineStr">
        <is>
          <t>數值</t>
        </is>
      </c>
      <c r="C34" s="1" t="n">
        <v>2</v>
      </c>
    </row>
    <row r="35" hidden="1" s="21">
      <c r="A35" s="1" t="inlineStr">
        <is>
          <t>vZB7o11</t>
        </is>
      </c>
      <c r="B35" s="1" t="inlineStr">
        <is>
          <t>字串</t>
        </is>
      </c>
      <c r="C35" s="1" t="n">
        <v>150</v>
      </c>
    </row>
    <row r="36">
      <c r="A36" s="1" t="inlineStr">
        <is>
          <t>vZB8</t>
        </is>
      </c>
      <c r="B36" s="1" t="inlineStr">
        <is>
          <t>數值</t>
        </is>
      </c>
      <c r="C36" s="1" t="n">
        <v>2</v>
      </c>
    </row>
    <row r="37" hidden="1" s="21">
      <c r="A37" s="1" t="inlineStr">
        <is>
          <t>vZB8o01</t>
        </is>
      </c>
      <c r="B37" s="1" t="inlineStr">
        <is>
          <t>字串</t>
        </is>
      </c>
      <c r="C37" s="1" t="n">
        <v>150</v>
      </c>
    </row>
    <row r="38">
      <c r="A38" s="1" t="inlineStr">
        <is>
          <t>vZB9m01</t>
        </is>
      </c>
      <c r="B38" s="1" t="inlineStr">
        <is>
          <t>數值</t>
        </is>
      </c>
      <c r="C38" s="1" t="n">
        <v>2</v>
      </c>
    </row>
    <row r="39">
      <c r="A39" s="1" t="inlineStr">
        <is>
          <t>vZB9m02</t>
        </is>
      </c>
      <c r="B39" s="1" t="inlineStr">
        <is>
          <t>數值</t>
        </is>
      </c>
      <c r="C39" s="1" t="n">
        <v>2</v>
      </c>
    </row>
    <row r="40">
      <c r="A40" s="1" t="inlineStr">
        <is>
          <t>vZB9m03</t>
        </is>
      </c>
      <c r="B40" s="1" t="inlineStr">
        <is>
          <t>數值</t>
        </is>
      </c>
      <c r="C40" s="1" t="n">
        <v>2</v>
      </c>
    </row>
    <row r="41">
      <c r="A41" s="1" t="inlineStr">
        <is>
          <t>vZB9m04</t>
        </is>
      </c>
      <c r="B41" s="1" t="inlineStr">
        <is>
          <t>數值</t>
        </is>
      </c>
      <c r="C41" s="1" t="n">
        <v>2</v>
      </c>
    </row>
    <row r="42">
      <c r="A42" s="1" t="inlineStr">
        <is>
          <t>vZB9m05</t>
        </is>
      </c>
      <c r="B42" s="1" t="inlineStr">
        <is>
          <t>數值</t>
        </is>
      </c>
      <c r="C42" s="1" t="n">
        <v>2</v>
      </c>
    </row>
    <row r="43">
      <c r="A43" s="1" t="inlineStr">
        <is>
          <t>vZB9m06</t>
        </is>
      </c>
      <c r="B43" s="1" t="inlineStr">
        <is>
          <t>數值</t>
        </is>
      </c>
      <c r="C43" s="1" t="n">
        <v>2</v>
      </c>
    </row>
    <row r="44" hidden="1" s="21">
      <c r="A44" s="1" t="inlineStr">
        <is>
          <t>vZB9o03</t>
        </is>
      </c>
      <c r="B44" s="1" t="inlineStr">
        <is>
          <t>字串</t>
        </is>
      </c>
      <c r="C44" s="1" t="n">
        <v>150</v>
      </c>
    </row>
    <row r="45" hidden="1" s="21">
      <c r="A45" s="1" t="inlineStr">
        <is>
          <t>vZB9o04</t>
        </is>
      </c>
      <c r="B45" s="1" t="inlineStr">
        <is>
          <t>字串</t>
        </is>
      </c>
      <c r="C45" s="1" t="n">
        <v>150</v>
      </c>
    </row>
    <row r="46" hidden="1" s="21">
      <c r="A46" s="1" t="inlineStr">
        <is>
          <t>vZB9o05</t>
        </is>
      </c>
      <c r="B46" s="1" t="inlineStr">
        <is>
          <t>字串</t>
        </is>
      </c>
      <c r="C46" s="1" t="n">
        <v>150</v>
      </c>
    </row>
    <row r="47">
      <c r="A47" s="1" t="inlineStr">
        <is>
          <t>vZC1m01</t>
        </is>
      </c>
      <c r="B47" s="1" t="inlineStr">
        <is>
          <t>數值</t>
        </is>
      </c>
      <c r="C47" s="1" t="n">
        <v>2</v>
      </c>
    </row>
    <row r="48">
      <c r="A48" s="1" t="inlineStr">
        <is>
          <t>vZC1m02</t>
        </is>
      </c>
      <c r="B48" s="1" t="inlineStr">
        <is>
          <t>數值</t>
        </is>
      </c>
      <c r="C48" s="1" t="n">
        <v>2</v>
      </c>
    </row>
    <row r="49">
      <c r="A49" s="1" t="inlineStr">
        <is>
          <t>vZC1m03</t>
        </is>
      </c>
      <c r="B49" s="1" t="inlineStr">
        <is>
          <t>數值</t>
        </is>
      </c>
      <c r="C49" s="1" t="n">
        <v>2</v>
      </c>
    </row>
    <row r="50">
      <c r="A50" s="1" t="inlineStr">
        <is>
          <t>vZC1m04</t>
        </is>
      </c>
      <c r="B50" s="1" t="inlineStr">
        <is>
          <t>數值</t>
        </is>
      </c>
      <c r="C50" s="1" t="n">
        <v>2</v>
      </c>
    </row>
    <row r="51">
      <c r="A51" s="1" t="inlineStr">
        <is>
          <t>vZC2</t>
        </is>
      </c>
      <c r="B51" s="1" t="inlineStr">
        <is>
          <t>數值</t>
        </is>
      </c>
      <c r="C51" s="1" t="n">
        <v>2</v>
      </c>
    </row>
    <row r="52">
      <c r="A52" s="1" t="inlineStr">
        <is>
          <t>vZC3</t>
        </is>
      </c>
      <c r="B52" s="1" t="inlineStr">
        <is>
          <t>數值</t>
        </is>
      </c>
      <c r="C52" s="1" t="n">
        <v>2</v>
      </c>
    </row>
    <row r="53" hidden="1" s="21">
      <c r="A53" s="1" t="inlineStr">
        <is>
          <t>vZC3o01</t>
        </is>
      </c>
      <c r="B53" s="1" t="inlineStr">
        <is>
          <t>字串</t>
        </is>
      </c>
      <c r="C53" s="1" t="n">
        <v>150</v>
      </c>
    </row>
    <row r="54" hidden="1" s="21">
      <c r="A54" s="1" t="inlineStr">
        <is>
          <t>vZC3o02</t>
        </is>
      </c>
      <c r="B54" s="1" t="inlineStr">
        <is>
          <t>字串</t>
        </is>
      </c>
      <c r="C54" s="1" t="n">
        <v>150</v>
      </c>
    </row>
    <row r="55">
      <c r="A55" s="1" t="inlineStr">
        <is>
          <t>vZC4</t>
        </is>
      </c>
      <c r="B55" s="1" t="inlineStr">
        <is>
          <t>數值</t>
        </is>
      </c>
      <c r="C55" s="1" t="n">
        <v>2</v>
      </c>
    </row>
    <row r="56">
      <c r="A56" s="1" t="inlineStr">
        <is>
          <t>vZC5</t>
        </is>
      </c>
      <c r="B56" s="1" t="inlineStr">
        <is>
          <t>數值</t>
        </is>
      </c>
      <c r="C56" s="1" t="n">
        <v>2</v>
      </c>
    </row>
    <row r="57">
      <c r="A57" s="1" t="inlineStr">
        <is>
          <t>vEND</t>
        </is>
      </c>
      <c r="B57" s="1" t="inlineStr">
        <is>
          <t>數值</t>
        </is>
      </c>
      <c r="C57" s="1" t="n">
        <v>14</v>
      </c>
    </row>
  </sheetData>
  <autoFilter ref="A1:C57">
    <filterColumn colId="1" hiddenButton="0" showButton="1">
      <filters>
        <filter val="數值"/>
      </filters>
    </filterColumn>
  </autoFilter>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F1574"/>
  <sheetViews>
    <sheetView topLeftCell="A1543" workbookViewId="0">
      <selection activeCell="I1571" sqref="I1571"/>
    </sheetView>
  </sheetViews>
  <sheetFormatPr baseColWidth="8" defaultRowHeight="16.5"/>
  <cols>
    <col width="29.125" customWidth="1" style="21" min="6" max="6"/>
  </cols>
  <sheetData>
    <row r="1" customFormat="1" s="1">
      <c r="A1" s="1" t="inlineStr">
        <is>
          <t>變項名稱</t>
        </is>
      </c>
      <c r="B1" s="1" t="inlineStr">
        <is>
          <t>變項屬性</t>
        </is>
      </c>
      <c r="C1" s="1" t="inlineStr">
        <is>
          <t>寬度</t>
        </is>
      </c>
      <c r="D1" s="1" t="inlineStr">
        <is>
          <t>小數點</t>
        </is>
      </c>
    </row>
    <row r="2">
      <c r="A2" s="1" t="inlineStr">
        <is>
          <t>id</t>
        </is>
      </c>
      <c r="B2" s="1" t="inlineStr">
        <is>
          <t>字串</t>
        </is>
      </c>
      <c r="C2" s="1" t="n">
        <v>20</v>
      </c>
      <c r="D2" s="1" t="n">
        <v>0</v>
      </c>
      <c r="E2" s="1">
        <f>IF(B2="數值","F("&amp;C2&amp;"."&amp;D2&amp;")","(A"&amp;C2&amp;")")</f>
        <v/>
      </c>
      <c r="F2" s="1">
        <f>"alter type "&amp;A2&amp;" "&amp;E2&amp;"."</f>
        <v/>
      </c>
    </row>
    <row r="3">
      <c r="A3" s="1" t="inlineStr">
        <is>
          <t>last</t>
        </is>
      </c>
      <c r="B3" s="1" t="inlineStr">
        <is>
          <t>數值</t>
        </is>
      </c>
      <c r="C3" s="1" t="n">
        <v>5</v>
      </c>
      <c r="D3" s="1" t="n">
        <v>0</v>
      </c>
      <c r="E3" s="1">
        <f>IF(B3="數值","(F"&amp;C3&amp;"."&amp;D3&amp;")","(A"&amp;C3&amp;")")</f>
        <v/>
      </c>
      <c r="F3" s="1">
        <f>"alter type "&amp;A3&amp;" "&amp;E3&amp;"."</f>
        <v/>
      </c>
    </row>
    <row r="4">
      <c r="A4" s="1" t="inlineStr">
        <is>
          <t>vZA0</t>
        </is>
      </c>
      <c r="B4" s="1" t="inlineStr">
        <is>
          <t>數值</t>
        </is>
      </c>
      <c r="C4" s="1" t="n">
        <v>2</v>
      </c>
      <c r="D4" s="1" t="n">
        <v>0</v>
      </c>
      <c r="E4" s="1">
        <f>IF(B4="數值","(F"&amp;C4&amp;"."&amp;D4&amp;")","(A"&amp;C4&amp;")")</f>
        <v/>
      </c>
      <c r="F4" s="1">
        <f>"alter type "&amp;A4&amp;" "&amp;E4&amp;"."</f>
        <v/>
      </c>
    </row>
    <row r="5">
      <c r="A5" s="1" t="inlineStr">
        <is>
          <t>vSF0_1</t>
        </is>
      </c>
      <c r="B5" s="1" t="inlineStr">
        <is>
          <t>數值</t>
        </is>
      </c>
      <c r="C5" s="1" t="n">
        <v>2</v>
      </c>
      <c r="D5" s="1" t="n">
        <v>0</v>
      </c>
      <c r="E5" s="1">
        <f>IF(B5="數值","(F"&amp;C5&amp;"."&amp;D5&amp;")","(A"&amp;C5&amp;")")</f>
        <v/>
      </c>
      <c r="F5" s="1">
        <f>"alter type "&amp;A5&amp;" "&amp;E5&amp;"."</f>
        <v/>
      </c>
    </row>
    <row r="6">
      <c r="A6" s="1" t="inlineStr">
        <is>
          <t>vSF0_2</t>
        </is>
      </c>
      <c r="B6" s="1" t="inlineStr">
        <is>
          <t>數值</t>
        </is>
      </c>
      <c r="C6" s="1" t="n">
        <v>2</v>
      </c>
      <c r="D6" s="1" t="n">
        <v>0</v>
      </c>
      <c r="E6" s="1">
        <f>IF(B6="數值","(F"&amp;C6&amp;"."&amp;D6&amp;")","(A"&amp;C6&amp;")")</f>
        <v/>
      </c>
      <c r="F6" s="1">
        <f>"alter type "&amp;A6&amp;" "&amp;E6&amp;"."</f>
        <v/>
      </c>
    </row>
    <row r="7">
      <c r="A7" s="1" t="inlineStr">
        <is>
          <t>vZA0_1</t>
        </is>
      </c>
      <c r="B7" s="1" t="inlineStr">
        <is>
          <t>數值</t>
        </is>
      </c>
      <c r="C7" s="1" t="n">
        <v>2</v>
      </c>
      <c r="D7" s="1" t="n">
        <v>0</v>
      </c>
      <c r="E7" s="1">
        <f>IF(B7="數值","(F"&amp;C7&amp;"."&amp;D7&amp;")","(A"&amp;C7&amp;")")</f>
        <v/>
      </c>
      <c r="F7" s="1">
        <f>"alter type "&amp;A7&amp;" "&amp;E7&amp;"."</f>
        <v/>
      </c>
    </row>
    <row r="8">
      <c r="A8" s="1" t="inlineStr">
        <is>
          <t>vZA1</t>
        </is>
      </c>
      <c r="B8" s="1" t="inlineStr">
        <is>
          <t>數值</t>
        </is>
      </c>
      <c r="C8" s="1" t="n">
        <v>2</v>
      </c>
      <c r="D8" s="1" t="n">
        <v>0</v>
      </c>
      <c r="E8" s="1">
        <f>IF(B8="數值","(F"&amp;C8&amp;"."&amp;D8&amp;")","(A"&amp;C8&amp;")")</f>
        <v/>
      </c>
      <c r="F8" s="1">
        <f>"alter type "&amp;A8&amp;" "&amp;E8&amp;"."</f>
        <v/>
      </c>
    </row>
    <row r="9">
      <c r="A9" s="1" t="inlineStr">
        <is>
          <t>vZA1o05</t>
        </is>
      </c>
      <c r="B9" s="1" t="inlineStr">
        <is>
          <t>字串</t>
        </is>
      </c>
      <c r="C9" s="1" t="n">
        <v>150</v>
      </c>
      <c r="D9" s="1" t="n">
        <v>0</v>
      </c>
      <c r="E9" s="1">
        <f>IF(B9="數值","(F"&amp;C9&amp;"."&amp;D9&amp;")","(A"&amp;C9&amp;")")</f>
        <v/>
      </c>
      <c r="F9" s="1">
        <f>"alter type "&amp;A9&amp;" "&amp;E9&amp;"."</f>
        <v/>
      </c>
    </row>
    <row r="10">
      <c r="A10" s="1" t="inlineStr">
        <is>
          <t>vR1</t>
        </is>
      </c>
      <c r="B10" s="1" t="inlineStr">
        <is>
          <t>數值</t>
        </is>
      </c>
      <c r="C10" s="1" t="n">
        <v>2</v>
      </c>
      <c r="D10" s="1" t="n">
        <v>0</v>
      </c>
      <c r="E10" s="1">
        <f>IF(B10="數值","(F"&amp;C10&amp;"."&amp;D10&amp;")","(A"&amp;C10&amp;")")</f>
        <v/>
      </c>
      <c r="F10" s="1">
        <f>"alter type "&amp;A10&amp;" "&amp;E10&amp;"."</f>
        <v/>
      </c>
    </row>
    <row r="11">
      <c r="A11" s="1" t="inlineStr">
        <is>
          <t>vR1_1</t>
        </is>
      </c>
      <c r="B11" s="1" t="inlineStr">
        <is>
          <t>數值</t>
        </is>
      </c>
      <c r="C11" s="1" t="n">
        <v>2</v>
      </c>
      <c r="D11" s="1" t="n">
        <v>0</v>
      </c>
      <c r="E11" s="1">
        <f>IF(B11="數值","(F"&amp;C11&amp;"."&amp;D11&amp;")","(A"&amp;C11&amp;")")</f>
        <v/>
      </c>
      <c r="F11" s="1">
        <f>"alter type "&amp;A11&amp;" "&amp;E11&amp;"."</f>
        <v/>
      </c>
    </row>
    <row r="12">
      <c r="A12" s="1" t="inlineStr">
        <is>
          <t>vR9m01</t>
        </is>
      </c>
      <c r="B12" s="1" t="inlineStr">
        <is>
          <t>數值</t>
        </is>
      </c>
      <c r="C12" s="1" t="n">
        <v>2</v>
      </c>
      <c r="D12" s="1" t="n">
        <v>0</v>
      </c>
      <c r="E12" s="1">
        <f>IF(B12="數值","(F"&amp;C12&amp;"."&amp;D12&amp;")","(A"&amp;C12&amp;")")</f>
        <v/>
      </c>
      <c r="F12" s="1">
        <f>"alter type "&amp;A12&amp;" "&amp;E12&amp;"."</f>
        <v/>
      </c>
    </row>
    <row r="13">
      <c r="A13" s="1" t="inlineStr">
        <is>
          <t>vR9m02</t>
        </is>
      </c>
      <c r="B13" s="1" t="inlineStr">
        <is>
          <t>數值</t>
        </is>
      </c>
      <c r="C13" s="1" t="n">
        <v>2</v>
      </c>
      <c r="D13" s="1" t="n">
        <v>0</v>
      </c>
      <c r="E13" s="1">
        <f>IF(B13="數值","(F"&amp;C13&amp;"."&amp;D13&amp;")","(A"&amp;C13&amp;")")</f>
        <v/>
      </c>
      <c r="F13" s="1">
        <f>"alter type "&amp;A13&amp;" "&amp;E13&amp;"."</f>
        <v/>
      </c>
    </row>
    <row r="14">
      <c r="A14" s="1" t="inlineStr">
        <is>
          <t>vR9m03</t>
        </is>
      </c>
      <c r="B14" s="1" t="inlineStr">
        <is>
          <t>數值</t>
        </is>
      </c>
      <c r="C14" s="1" t="n">
        <v>2</v>
      </c>
      <c r="D14" s="1" t="n">
        <v>0</v>
      </c>
      <c r="E14" s="1">
        <f>IF(B14="數值","(F"&amp;C14&amp;"."&amp;D14&amp;")","(A"&amp;C14&amp;")")</f>
        <v/>
      </c>
      <c r="F14" s="1">
        <f>"alter type "&amp;A14&amp;" "&amp;E14&amp;"."</f>
        <v/>
      </c>
    </row>
    <row r="15">
      <c r="A15" s="1" t="inlineStr">
        <is>
          <t>vR9_1</t>
        </is>
      </c>
      <c r="B15" s="1" t="inlineStr">
        <is>
          <t>數值</t>
        </is>
      </c>
      <c r="C15" s="1" t="n">
        <v>2</v>
      </c>
      <c r="D15" s="1" t="n">
        <v>0</v>
      </c>
      <c r="E15" s="1">
        <f>IF(B15="數值","(F"&amp;C15&amp;"."&amp;D15&amp;")","(A"&amp;C15&amp;")")</f>
        <v/>
      </c>
      <c r="F15" s="1">
        <f>"alter type "&amp;A15&amp;" "&amp;E15&amp;"."</f>
        <v/>
      </c>
    </row>
    <row r="16">
      <c r="A16" s="1" t="inlineStr">
        <is>
          <t>vR2</t>
        </is>
      </c>
      <c r="B16" s="1" t="inlineStr">
        <is>
          <t>字串</t>
        </is>
      </c>
      <c r="C16" s="1" t="n">
        <v>45</v>
      </c>
      <c r="D16" s="1" t="n">
        <v>0</v>
      </c>
      <c r="E16" s="1">
        <f>IF(B16="數值","(F"&amp;C16&amp;"."&amp;D16&amp;")","(A"&amp;C16&amp;")")</f>
        <v/>
      </c>
      <c r="F16" s="1">
        <f>"alter type "&amp;A16&amp;" "&amp;E16&amp;"."</f>
        <v/>
      </c>
    </row>
    <row r="17">
      <c r="A17" s="1" t="inlineStr">
        <is>
          <t>vA1</t>
        </is>
      </c>
      <c r="B17" s="1" t="inlineStr">
        <is>
          <t>數值</t>
        </is>
      </c>
      <c r="C17" s="1" t="n">
        <v>3</v>
      </c>
      <c r="D17" s="1" t="n">
        <v>0</v>
      </c>
      <c r="E17" s="1">
        <f>IF(B17="數值","(F"&amp;C17&amp;"."&amp;D17&amp;")","(A"&amp;C17&amp;")")</f>
        <v/>
      </c>
      <c r="F17" s="1">
        <f>"alter type "&amp;A17&amp;" "&amp;E17&amp;"."</f>
        <v/>
      </c>
    </row>
    <row r="18">
      <c r="A18" s="1" t="inlineStr">
        <is>
          <t>vA2</t>
        </is>
      </c>
      <c r="B18" s="1" t="inlineStr">
        <is>
          <t>數值</t>
        </is>
      </c>
      <c r="C18" s="1" t="n">
        <v>2</v>
      </c>
      <c r="D18" s="1" t="n">
        <v>0</v>
      </c>
      <c r="E18" s="1">
        <f>IF(B18="數值","(F"&amp;C18&amp;"."&amp;D18&amp;")","(A"&amp;C18&amp;")")</f>
        <v/>
      </c>
      <c r="F18" s="1">
        <f>"alter type "&amp;A18&amp;" "&amp;E18&amp;"."</f>
        <v/>
      </c>
    </row>
    <row r="19">
      <c r="A19" s="1" t="inlineStr">
        <is>
          <t>vR3</t>
        </is>
      </c>
      <c r="B19" s="1" t="inlineStr">
        <is>
          <t>數值</t>
        </is>
      </c>
      <c r="C19" s="1" t="n">
        <v>2</v>
      </c>
      <c r="D19" s="1" t="n">
        <v>0</v>
      </c>
      <c r="E19" s="1">
        <f>IF(B19="數值","(F"&amp;C19&amp;"."&amp;D19&amp;")","(A"&amp;C19&amp;")")</f>
        <v/>
      </c>
      <c r="F19" s="1">
        <f>"alter type "&amp;A19&amp;" "&amp;E19&amp;"."</f>
        <v/>
      </c>
    </row>
    <row r="20">
      <c r="A20" s="1" t="inlineStr">
        <is>
          <t>vR3o88</t>
        </is>
      </c>
      <c r="B20" s="1" t="inlineStr">
        <is>
          <t>字串</t>
        </is>
      </c>
      <c r="C20" s="1" t="n">
        <v>150</v>
      </c>
      <c r="D20" s="1" t="n">
        <v>0</v>
      </c>
      <c r="E20" s="1">
        <f>IF(B20="數值","(F"&amp;C20&amp;"."&amp;D20&amp;")","(A"&amp;C20&amp;")")</f>
        <v/>
      </c>
      <c r="F20" s="1">
        <f>"alter type "&amp;A20&amp;" "&amp;E20&amp;"."</f>
        <v/>
      </c>
    </row>
    <row r="21">
      <c r="A21" s="1" t="inlineStr">
        <is>
          <t>vT4_1</t>
        </is>
      </c>
      <c r="B21" s="1" t="inlineStr">
        <is>
          <t>數值</t>
        </is>
      </c>
      <c r="C21" s="1" t="n">
        <v>2</v>
      </c>
      <c r="D21" s="1" t="n">
        <v>0</v>
      </c>
      <c r="E21" s="1">
        <f>IF(B21="數值","(F"&amp;C21&amp;"."&amp;D21&amp;")","(A"&amp;C21&amp;")")</f>
        <v/>
      </c>
      <c r="F21" s="1">
        <f>"alter type "&amp;A21&amp;" "&amp;E21&amp;"."</f>
        <v/>
      </c>
    </row>
    <row r="22">
      <c r="A22" s="1" t="inlineStr">
        <is>
          <t>vT4_2</t>
        </is>
      </c>
      <c r="B22" s="1" t="inlineStr">
        <is>
          <t>數值</t>
        </is>
      </c>
      <c r="C22" s="1" t="n">
        <v>2</v>
      </c>
      <c r="D22" s="1" t="n">
        <v>0</v>
      </c>
      <c r="E22" s="1">
        <f>IF(B22="數值","(F"&amp;C22&amp;"."&amp;D22&amp;")","(A"&amp;C22&amp;")")</f>
        <v/>
      </c>
      <c r="F22" s="1">
        <f>"alter type "&amp;A22&amp;" "&amp;E22&amp;"."</f>
        <v/>
      </c>
    </row>
    <row r="23">
      <c r="A23" s="1" t="inlineStr">
        <is>
          <t>vA3</t>
        </is>
      </c>
      <c r="B23" s="1" t="inlineStr">
        <is>
          <t>數值</t>
        </is>
      </c>
      <c r="C23" s="1" t="n">
        <v>2</v>
      </c>
      <c r="D23" s="1" t="n">
        <v>0</v>
      </c>
      <c r="E23" s="1">
        <f>IF(B23="數值","(F"&amp;C23&amp;"."&amp;D23&amp;")","(A"&amp;C23&amp;")")</f>
        <v/>
      </c>
      <c r="F23" s="1">
        <f>"alter type "&amp;A23&amp;" "&amp;E23&amp;"."</f>
        <v/>
      </c>
    </row>
    <row r="24">
      <c r="A24" s="1" t="inlineStr">
        <is>
          <t>vA3o88</t>
        </is>
      </c>
      <c r="B24" s="1" t="inlineStr">
        <is>
          <t>字串</t>
        </is>
      </c>
      <c r="C24" s="1" t="n">
        <v>150</v>
      </c>
      <c r="D24" s="1" t="n">
        <v>0</v>
      </c>
      <c r="E24" s="1">
        <f>IF(B24="數值","(F"&amp;C24&amp;"."&amp;D24&amp;")","(A"&amp;C24&amp;")")</f>
        <v/>
      </c>
      <c r="F24" s="1">
        <f>"alter type "&amp;A24&amp;" "&amp;E24&amp;"."</f>
        <v/>
      </c>
    </row>
    <row r="25">
      <c r="A25" s="1" t="inlineStr">
        <is>
          <t>vR4city</t>
        </is>
      </c>
      <c r="B25" s="1" t="inlineStr">
        <is>
          <t>數值</t>
        </is>
      </c>
      <c r="C25" s="1" t="n">
        <v>2</v>
      </c>
      <c r="D25" s="1" t="n">
        <v>0</v>
      </c>
      <c r="E25" s="1">
        <f>IF(B25="數值","(F"&amp;C25&amp;"."&amp;D25&amp;")","(A"&amp;C25&amp;")")</f>
        <v/>
      </c>
      <c r="F25" s="1">
        <f>"alter type "&amp;A25&amp;" "&amp;E25&amp;"."</f>
        <v/>
      </c>
    </row>
    <row r="26">
      <c r="A26" s="1" t="inlineStr">
        <is>
          <t>vR4city_oth</t>
        </is>
      </c>
      <c r="B26" s="1" t="inlineStr">
        <is>
          <t>字串</t>
        </is>
      </c>
      <c r="C26" s="1" t="n">
        <v>150</v>
      </c>
      <c r="D26" s="1" t="n">
        <v>0</v>
      </c>
      <c r="E26" s="1">
        <f>IF(B26="數值","(F"&amp;C26&amp;"."&amp;D26&amp;")","(A"&amp;C26&amp;")")</f>
        <v/>
      </c>
      <c r="F26" s="1">
        <f>"alter type "&amp;A26&amp;" "&amp;E26&amp;"."</f>
        <v/>
      </c>
    </row>
    <row r="27">
      <c r="A27" s="1" t="inlineStr">
        <is>
          <t>vR4town</t>
        </is>
      </c>
      <c r="B27" s="1" t="inlineStr">
        <is>
          <t>數值</t>
        </is>
      </c>
      <c r="C27" s="1" t="n">
        <v>4</v>
      </c>
      <c r="D27" s="1" t="n">
        <v>0</v>
      </c>
      <c r="E27" s="1">
        <f>IF(B27="數值","(F"&amp;C27&amp;"."&amp;D27&amp;")","(A"&amp;C27&amp;")")</f>
        <v/>
      </c>
      <c r="F27" s="1">
        <f>"alter type "&amp;A27&amp;" "&amp;E27&amp;"."</f>
        <v/>
      </c>
    </row>
    <row r="28">
      <c r="A28" s="1" t="inlineStr">
        <is>
          <t>vA4</t>
        </is>
      </c>
      <c r="B28" s="1" t="inlineStr">
        <is>
          <t>數值</t>
        </is>
      </c>
      <c r="C28" s="1" t="n">
        <v>2</v>
      </c>
      <c r="D28" s="1" t="n">
        <v>0</v>
      </c>
      <c r="E28" s="1">
        <f>IF(B28="數值","(F"&amp;C28&amp;"."&amp;D28&amp;")","(A"&amp;C28&amp;")")</f>
        <v/>
      </c>
      <c r="F28" s="1">
        <f>"alter type "&amp;A28&amp;" "&amp;E28&amp;"."</f>
        <v/>
      </c>
    </row>
    <row r="29">
      <c r="A29" s="1" t="inlineStr">
        <is>
          <t>vA5city</t>
        </is>
      </c>
      <c r="B29" s="1" t="inlineStr">
        <is>
          <t>數值</t>
        </is>
      </c>
      <c r="C29" s="1" t="n">
        <v>2</v>
      </c>
      <c r="D29" s="1" t="n">
        <v>0</v>
      </c>
      <c r="E29" s="1">
        <f>IF(B29="數值","(F"&amp;C29&amp;"."&amp;D29&amp;")","(A"&amp;C29&amp;")")</f>
        <v/>
      </c>
      <c r="F29" s="1">
        <f>"alter type "&amp;A29&amp;" "&amp;E29&amp;"."</f>
        <v/>
      </c>
    </row>
    <row r="30">
      <c r="A30" s="1" t="inlineStr">
        <is>
          <t>vA5city_oth</t>
        </is>
      </c>
      <c r="B30" s="1" t="inlineStr">
        <is>
          <t>字串</t>
        </is>
      </c>
      <c r="C30" s="1" t="n">
        <v>150</v>
      </c>
      <c r="D30" s="1" t="n">
        <v>0</v>
      </c>
      <c r="E30" s="1">
        <f>IF(B30="數值","(F"&amp;C30&amp;"."&amp;D30&amp;")","(A"&amp;C30&amp;")")</f>
        <v/>
      </c>
      <c r="F30" s="1">
        <f>"alter type "&amp;A30&amp;" "&amp;E30&amp;"."</f>
        <v/>
      </c>
    </row>
    <row r="31">
      <c r="A31" s="1" t="inlineStr">
        <is>
          <t>vA5town</t>
        </is>
      </c>
      <c r="B31" s="1" t="inlineStr">
        <is>
          <t>數值</t>
        </is>
      </c>
      <c r="C31" s="1" t="n">
        <v>4</v>
      </c>
      <c r="D31" s="1" t="n">
        <v>0</v>
      </c>
      <c r="E31" s="1">
        <f>IF(B31="數值","(F"&amp;C31&amp;"."&amp;D31&amp;")","(A"&amp;C31&amp;")")</f>
        <v/>
      </c>
      <c r="F31" s="1">
        <f>"alter type "&amp;A31&amp;" "&amp;E31&amp;"."</f>
        <v/>
      </c>
    </row>
    <row r="32">
      <c r="A32" s="1" t="inlineStr">
        <is>
          <t>vA6</t>
        </is>
      </c>
      <c r="B32" s="1" t="inlineStr">
        <is>
          <t>數值</t>
        </is>
      </c>
      <c r="C32" s="1" t="n">
        <v>2</v>
      </c>
      <c r="D32" s="1" t="n">
        <v>0</v>
      </c>
      <c r="E32" s="1">
        <f>IF(B32="數值","(F"&amp;C32&amp;"."&amp;D32&amp;")","(A"&amp;C32&amp;")")</f>
        <v/>
      </c>
      <c r="F32" s="1">
        <f>"alter type "&amp;A32&amp;" "&amp;E32&amp;"."</f>
        <v/>
      </c>
    </row>
    <row r="33">
      <c r="A33" s="1" t="inlineStr">
        <is>
          <t>vA6o88</t>
        </is>
      </c>
      <c r="B33" s="1" t="inlineStr">
        <is>
          <t>字串</t>
        </is>
      </c>
      <c r="C33" s="1" t="n">
        <v>150</v>
      </c>
      <c r="D33" s="1" t="n">
        <v>0</v>
      </c>
      <c r="E33" s="1">
        <f>IF(B33="數值","(F"&amp;C33&amp;"."&amp;D33&amp;")","(A"&amp;C33&amp;")")</f>
        <v/>
      </c>
      <c r="F33" s="1">
        <f>"alter type "&amp;A33&amp;" "&amp;E33&amp;"."</f>
        <v/>
      </c>
    </row>
    <row r="34">
      <c r="A34" s="1" t="inlineStr">
        <is>
          <t>vA7</t>
        </is>
      </c>
      <c r="B34" s="1" t="inlineStr">
        <is>
          <t>數值</t>
        </is>
      </c>
      <c r="C34" s="1" t="n">
        <v>2</v>
      </c>
      <c r="D34" s="1" t="n">
        <v>0</v>
      </c>
      <c r="E34" s="1">
        <f>IF(B34="數值","(F"&amp;C34&amp;"."&amp;D34&amp;")","(A"&amp;C34&amp;")")</f>
        <v/>
      </c>
      <c r="F34" s="1">
        <f>"alter type "&amp;A34&amp;" "&amp;E34&amp;"."</f>
        <v/>
      </c>
    </row>
    <row r="35">
      <c r="A35" s="1" t="inlineStr">
        <is>
          <t>vA7o88</t>
        </is>
      </c>
      <c r="B35" s="1" t="inlineStr">
        <is>
          <t>字串</t>
        </is>
      </c>
      <c r="C35" s="1" t="n">
        <v>150</v>
      </c>
      <c r="D35" s="1" t="n">
        <v>0</v>
      </c>
      <c r="E35" s="1">
        <f>IF(B35="數值","(F"&amp;C35&amp;"."&amp;D35&amp;")","(A"&amp;C35&amp;")")</f>
        <v/>
      </c>
      <c r="F35" s="1">
        <f>"alter type "&amp;A35&amp;" "&amp;E35&amp;"."</f>
        <v/>
      </c>
    </row>
    <row r="36">
      <c r="A36" s="1" t="inlineStr">
        <is>
          <t>vA8</t>
        </is>
      </c>
      <c r="B36" s="1" t="inlineStr">
        <is>
          <t>數值</t>
        </is>
      </c>
      <c r="C36" s="1" t="n">
        <v>2</v>
      </c>
      <c r="D36" s="1" t="n">
        <v>0</v>
      </c>
      <c r="E36" s="1">
        <f>IF(B36="數值","(F"&amp;C36&amp;"."&amp;D36&amp;")","(A"&amp;C36&amp;")")</f>
        <v/>
      </c>
      <c r="F36" s="1">
        <f>"alter type "&amp;A36&amp;" "&amp;E36&amp;"."</f>
        <v/>
      </c>
    </row>
    <row r="37">
      <c r="A37" s="1" t="inlineStr">
        <is>
          <t>vA8o88</t>
        </is>
      </c>
      <c r="B37" s="1" t="inlineStr">
        <is>
          <t>字串</t>
        </is>
      </c>
      <c r="C37" s="1" t="n">
        <v>150</v>
      </c>
      <c r="D37" s="1" t="n">
        <v>0</v>
      </c>
      <c r="E37" s="1">
        <f>IF(B37="數值","(F"&amp;C37&amp;"."&amp;D37&amp;")","(A"&amp;C37&amp;")")</f>
        <v/>
      </c>
      <c r="F37" s="1">
        <f>"alter type "&amp;A37&amp;" "&amp;E37&amp;"."</f>
        <v/>
      </c>
    </row>
    <row r="38">
      <c r="A38" s="1" t="inlineStr">
        <is>
          <t>vA9</t>
        </is>
      </c>
      <c r="B38" s="1" t="inlineStr">
        <is>
          <t>數值</t>
        </is>
      </c>
      <c r="C38" s="1" t="n">
        <v>2</v>
      </c>
      <c r="D38" s="1" t="n">
        <v>0</v>
      </c>
      <c r="E38" s="1">
        <f>IF(B38="數值","(F"&amp;C38&amp;"."&amp;D38&amp;")","(A"&amp;C38&amp;")")</f>
        <v/>
      </c>
      <c r="F38" s="1">
        <f>"alter type "&amp;A38&amp;" "&amp;E38&amp;"."</f>
        <v/>
      </c>
    </row>
    <row r="39">
      <c r="A39" s="1" t="inlineStr">
        <is>
          <t>vA9o88</t>
        </is>
      </c>
      <c r="B39" s="1" t="inlineStr">
        <is>
          <t>字串</t>
        </is>
      </c>
      <c r="C39" s="1" t="n">
        <v>150</v>
      </c>
      <c r="D39" s="1" t="n">
        <v>0</v>
      </c>
      <c r="E39" s="1">
        <f>IF(B39="數值","(F"&amp;C39&amp;"."&amp;D39&amp;")","(A"&amp;C39&amp;")")</f>
        <v/>
      </c>
      <c r="F39" s="1">
        <f>"alter type "&amp;A39&amp;" "&amp;E39&amp;"."</f>
        <v/>
      </c>
    </row>
    <row r="40">
      <c r="A40" s="1" t="inlineStr">
        <is>
          <t>vB1</t>
        </is>
      </c>
      <c r="B40" s="1" t="inlineStr">
        <is>
          <t>數值</t>
        </is>
      </c>
      <c r="C40" s="1" t="n">
        <v>4</v>
      </c>
      <c r="D40" s="1" t="n">
        <v>1</v>
      </c>
      <c r="E40" s="1">
        <f>IF(B40="數值","(F"&amp;C40&amp;"."&amp;D40&amp;")","(A"&amp;C40&amp;")")</f>
        <v/>
      </c>
      <c r="F40" s="1">
        <f>"alter type "&amp;A40&amp;" "&amp;E40&amp;"."</f>
        <v/>
      </c>
    </row>
    <row r="41">
      <c r="A41" s="1" t="inlineStr">
        <is>
          <t>vB2</t>
        </is>
      </c>
      <c r="B41" s="1" t="inlineStr">
        <is>
          <t>數值</t>
        </is>
      </c>
      <c r="C41" s="1" t="n">
        <v>5</v>
      </c>
      <c r="D41" s="1" t="n">
        <v>0</v>
      </c>
      <c r="E41" s="1">
        <f>IF(B41="數值","(F"&amp;C41&amp;"."&amp;D41&amp;")","(A"&amp;C41&amp;")")</f>
        <v/>
      </c>
      <c r="F41" s="1">
        <f>"alter type "&amp;A41&amp;" "&amp;E41&amp;"."</f>
        <v/>
      </c>
    </row>
    <row r="42">
      <c r="A42" s="1" t="inlineStr">
        <is>
          <t>vB3</t>
        </is>
      </c>
      <c r="B42" s="1" t="inlineStr">
        <is>
          <t>數值</t>
        </is>
      </c>
      <c r="C42" s="1" t="n">
        <v>4</v>
      </c>
      <c r="D42" s="1" t="n">
        <v>1</v>
      </c>
      <c r="E42" s="1">
        <f>IF(B42="數值","(F"&amp;C42&amp;"."&amp;D42&amp;")","(A"&amp;C42&amp;")")</f>
        <v/>
      </c>
      <c r="F42" s="1">
        <f>"alter type "&amp;A42&amp;" "&amp;E42&amp;"."</f>
        <v/>
      </c>
    </row>
    <row r="43">
      <c r="A43" s="1" t="inlineStr">
        <is>
          <t>vB4</t>
        </is>
      </c>
      <c r="B43" s="1" t="inlineStr">
        <is>
          <t>數值</t>
        </is>
      </c>
      <c r="C43" s="1" t="n">
        <v>5</v>
      </c>
      <c r="D43" s="1" t="n">
        <v>0</v>
      </c>
      <c r="E43" s="1">
        <f>IF(B43="數值","(F"&amp;C43&amp;"."&amp;D43&amp;")","(A"&amp;C43&amp;")")</f>
        <v/>
      </c>
      <c r="F43" s="1">
        <f>"alter type "&amp;A43&amp;" "&amp;E43&amp;"."</f>
        <v/>
      </c>
    </row>
    <row r="44">
      <c r="A44" s="1" t="inlineStr">
        <is>
          <t>vB5</t>
        </is>
      </c>
      <c r="B44" s="1" t="inlineStr">
        <is>
          <t>數值</t>
        </is>
      </c>
      <c r="C44" s="1" t="n">
        <v>4</v>
      </c>
      <c r="D44" s="1" t="n">
        <v>1</v>
      </c>
      <c r="E44" s="1">
        <f>IF(B44="數值","(F"&amp;C44&amp;"."&amp;D44&amp;")","(A"&amp;C44&amp;")")</f>
        <v/>
      </c>
      <c r="F44" s="1">
        <f>"alter type "&amp;A44&amp;" "&amp;E44&amp;"."</f>
        <v/>
      </c>
    </row>
    <row r="45">
      <c r="A45" s="1" t="inlineStr">
        <is>
          <t>vCKB5</t>
        </is>
      </c>
      <c r="B45" s="1" t="inlineStr">
        <is>
          <t>數值</t>
        </is>
      </c>
      <c r="C45" s="1" t="n">
        <v>2</v>
      </c>
      <c r="D45" s="1" t="n">
        <v>0</v>
      </c>
      <c r="E45" s="1">
        <f>IF(B45="數值","(F"&amp;C45&amp;"."&amp;D45&amp;")","(A"&amp;C45&amp;")")</f>
        <v/>
      </c>
      <c r="F45" s="1">
        <f>"alter type "&amp;A45&amp;" "&amp;E45&amp;"."</f>
        <v/>
      </c>
    </row>
    <row r="46">
      <c r="A46" s="1" t="inlineStr">
        <is>
          <t>vB6</t>
        </is>
      </c>
      <c r="B46" s="1" t="inlineStr">
        <is>
          <t>數值</t>
        </is>
      </c>
      <c r="C46" s="1" t="n">
        <v>5</v>
      </c>
      <c r="D46" s="1" t="n">
        <v>0</v>
      </c>
      <c r="E46" s="1">
        <f>IF(B46="數值","(F"&amp;C46&amp;"."&amp;D46&amp;")","(A"&amp;C46&amp;")")</f>
        <v/>
      </c>
      <c r="F46" s="1">
        <f>"alter type "&amp;A46&amp;" "&amp;E46&amp;"."</f>
        <v/>
      </c>
    </row>
    <row r="47">
      <c r="A47" s="1" t="inlineStr">
        <is>
          <t>vB7am01</t>
        </is>
      </c>
      <c r="B47" s="1" t="inlineStr">
        <is>
          <t>數值</t>
        </is>
      </c>
      <c r="C47" s="1" t="n">
        <v>2</v>
      </c>
      <c r="D47" s="1" t="n">
        <v>0</v>
      </c>
      <c r="E47" s="1">
        <f>IF(B47="數值","(F"&amp;C47&amp;"."&amp;D47&amp;")","(A"&amp;C47&amp;")")</f>
        <v/>
      </c>
      <c r="F47" s="1">
        <f>"alter type "&amp;A47&amp;" "&amp;E47&amp;"."</f>
        <v/>
      </c>
    </row>
    <row r="48">
      <c r="A48" s="1" t="inlineStr">
        <is>
          <t>vB7am02</t>
        </is>
      </c>
      <c r="B48" s="1" t="inlineStr">
        <is>
          <t>數值</t>
        </is>
      </c>
      <c r="C48" s="1" t="n">
        <v>2</v>
      </c>
      <c r="D48" s="1" t="n">
        <v>0</v>
      </c>
      <c r="E48" s="1">
        <f>IF(B48="數值","(F"&amp;C48&amp;"."&amp;D48&amp;")","(A"&amp;C48&amp;")")</f>
        <v/>
      </c>
      <c r="F48" s="1">
        <f>"alter type "&amp;A48&amp;" "&amp;E48&amp;"."</f>
        <v/>
      </c>
    </row>
    <row r="49">
      <c r="A49" s="1" t="inlineStr">
        <is>
          <t>vB7am03</t>
        </is>
      </c>
      <c r="B49" s="1" t="inlineStr">
        <is>
          <t>數值</t>
        </is>
      </c>
      <c r="C49" s="1" t="n">
        <v>2</v>
      </c>
      <c r="D49" s="1" t="n">
        <v>0</v>
      </c>
      <c r="E49" s="1">
        <f>IF(B49="數值","(F"&amp;C49&amp;"."&amp;D49&amp;")","(A"&amp;C49&amp;")")</f>
        <v/>
      </c>
      <c r="F49" s="1">
        <f>"alter type "&amp;A49&amp;" "&amp;E49&amp;"."</f>
        <v/>
      </c>
    </row>
    <row r="50">
      <c r="A50" s="1" t="inlineStr">
        <is>
          <t>vB7am04</t>
        </is>
      </c>
      <c r="B50" s="1" t="inlineStr">
        <is>
          <t>數值</t>
        </is>
      </c>
      <c r="C50" s="1" t="n">
        <v>2</v>
      </c>
      <c r="D50" s="1" t="n">
        <v>0</v>
      </c>
      <c r="E50" s="1">
        <f>IF(B50="數值","(F"&amp;C50&amp;"."&amp;D50&amp;")","(A"&amp;C50&amp;")")</f>
        <v/>
      </c>
      <c r="F50" s="1">
        <f>"alter type "&amp;A50&amp;" "&amp;E50&amp;"."</f>
        <v/>
      </c>
    </row>
    <row r="51">
      <c r="A51" s="1" t="inlineStr">
        <is>
          <t>vB7am05</t>
        </is>
      </c>
      <c r="B51" s="1" t="inlineStr">
        <is>
          <t>數值</t>
        </is>
      </c>
      <c r="C51" s="1" t="n">
        <v>2</v>
      </c>
      <c r="D51" s="1" t="n">
        <v>0</v>
      </c>
      <c r="E51" s="1">
        <f>IF(B51="數值","(F"&amp;C51&amp;"."&amp;D51&amp;")","(A"&amp;C51&amp;")")</f>
        <v/>
      </c>
      <c r="F51" s="1">
        <f>"alter type "&amp;A51&amp;" "&amp;E51&amp;"."</f>
        <v/>
      </c>
    </row>
    <row r="52">
      <c r="A52" s="1" t="inlineStr">
        <is>
          <t>vB7am06</t>
        </is>
      </c>
      <c r="B52" s="1" t="inlineStr">
        <is>
          <t>數值</t>
        </is>
      </c>
      <c r="C52" s="1" t="n">
        <v>2</v>
      </c>
      <c r="D52" s="1" t="n">
        <v>0</v>
      </c>
      <c r="E52" s="1">
        <f>IF(B52="數值","(F"&amp;C52&amp;"."&amp;D52&amp;")","(A"&amp;C52&amp;")")</f>
        <v/>
      </c>
      <c r="F52" s="1">
        <f>"alter type "&amp;A52&amp;" "&amp;E52&amp;"."</f>
        <v/>
      </c>
    </row>
    <row r="53">
      <c r="A53" s="1" t="inlineStr">
        <is>
          <t>vB7am07</t>
        </is>
      </c>
      <c r="B53" s="1" t="inlineStr">
        <is>
          <t>數值</t>
        </is>
      </c>
      <c r="C53" s="1" t="n">
        <v>2</v>
      </c>
      <c r="D53" s="1" t="n">
        <v>0</v>
      </c>
      <c r="E53" s="1">
        <f>IF(B53="數值","(F"&amp;C53&amp;"."&amp;D53&amp;")","(A"&amp;C53&amp;")")</f>
        <v/>
      </c>
      <c r="F53" s="1">
        <f>"alter type "&amp;A53&amp;" "&amp;E53&amp;"."</f>
        <v/>
      </c>
    </row>
    <row r="54">
      <c r="A54" s="1" t="inlineStr">
        <is>
          <t>vB7am08</t>
        </is>
      </c>
      <c r="B54" s="1" t="inlineStr">
        <is>
          <t>數值</t>
        </is>
      </c>
      <c r="C54" s="1" t="n">
        <v>2</v>
      </c>
      <c r="D54" s="1" t="n">
        <v>0</v>
      </c>
      <c r="E54" s="1">
        <f>IF(B54="數值","(F"&amp;C54&amp;"."&amp;D54&amp;")","(A"&amp;C54&amp;")")</f>
        <v/>
      </c>
      <c r="F54" s="1">
        <f>"alter type "&amp;A54&amp;" "&amp;E54&amp;"."</f>
        <v/>
      </c>
    </row>
    <row r="55">
      <c r="A55" s="1" t="inlineStr">
        <is>
          <t>vB7am09</t>
        </is>
      </c>
      <c r="B55" s="1" t="inlineStr">
        <is>
          <t>數值</t>
        </is>
      </c>
      <c r="C55" s="1" t="n">
        <v>2</v>
      </c>
      <c r="D55" s="1" t="n">
        <v>0</v>
      </c>
      <c r="E55" s="1">
        <f>IF(B55="數值","(F"&amp;C55&amp;"."&amp;D55&amp;")","(A"&amp;C55&amp;")")</f>
        <v/>
      </c>
      <c r="F55" s="1">
        <f>"alter type "&amp;A55&amp;" "&amp;E55&amp;"."</f>
        <v/>
      </c>
    </row>
    <row r="56">
      <c r="A56" s="1" t="inlineStr">
        <is>
          <t>vB7am10</t>
        </is>
      </c>
      <c r="B56" s="1" t="inlineStr">
        <is>
          <t>數值</t>
        </is>
      </c>
      <c r="C56" s="1" t="n">
        <v>2</v>
      </c>
      <c r="D56" s="1" t="n">
        <v>0</v>
      </c>
      <c r="E56" s="1">
        <f>IF(B56="數值","(F"&amp;C56&amp;"."&amp;D56&amp;")","(A"&amp;C56&amp;")")</f>
        <v/>
      </c>
      <c r="F56" s="1">
        <f>"alter type "&amp;A56&amp;" "&amp;E56&amp;"."</f>
        <v/>
      </c>
    </row>
    <row r="57">
      <c r="A57" s="1" t="inlineStr">
        <is>
          <t>vB7am11</t>
        </is>
      </c>
      <c r="B57" s="1" t="inlineStr">
        <is>
          <t>數值</t>
        </is>
      </c>
      <c r="C57" s="1" t="n">
        <v>2</v>
      </c>
      <c r="D57" s="1" t="n">
        <v>0</v>
      </c>
      <c r="E57" s="1">
        <f>IF(B57="數值","(F"&amp;C57&amp;"."&amp;D57&amp;")","(A"&amp;C57&amp;")")</f>
        <v/>
      </c>
      <c r="F57" s="1">
        <f>"alter type "&amp;A57&amp;" "&amp;E57&amp;"."</f>
        <v/>
      </c>
    </row>
    <row r="58">
      <c r="A58" s="1" t="inlineStr">
        <is>
          <t>vB7am12</t>
        </is>
      </c>
      <c r="B58" s="1" t="inlineStr">
        <is>
          <t>數值</t>
        </is>
      </c>
      <c r="C58" s="1" t="n">
        <v>2</v>
      </c>
      <c r="D58" s="1" t="n">
        <v>0</v>
      </c>
      <c r="E58" s="1">
        <f>IF(B58="數值","(F"&amp;C58&amp;"."&amp;D58&amp;")","(A"&amp;C58&amp;")")</f>
        <v/>
      </c>
      <c r="F58" s="1">
        <f>"alter type "&amp;A58&amp;" "&amp;E58&amp;"."</f>
        <v/>
      </c>
    </row>
    <row r="59">
      <c r="A59" s="1" t="inlineStr">
        <is>
          <t>vB7am13</t>
        </is>
      </c>
      <c r="B59" s="1" t="inlineStr">
        <is>
          <t>數值</t>
        </is>
      </c>
      <c r="C59" s="1" t="n">
        <v>2</v>
      </c>
      <c r="D59" s="1" t="n">
        <v>0</v>
      </c>
      <c r="E59" s="1">
        <f>IF(B59="數值","(F"&amp;C59&amp;"."&amp;D59&amp;")","(A"&amp;C59&amp;")")</f>
        <v/>
      </c>
      <c r="F59" s="1">
        <f>"alter type "&amp;A59&amp;" "&amp;E59&amp;"."</f>
        <v/>
      </c>
    </row>
    <row r="60">
      <c r="A60" s="1" t="inlineStr">
        <is>
          <t>vB7am14</t>
        </is>
      </c>
      <c r="B60" s="1" t="inlineStr">
        <is>
          <t>數值</t>
        </is>
      </c>
      <c r="C60" s="1" t="n">
        <v>2</v>
      </c>
      <c r="D60" s="1" t="n">
        <v>0</v>
      </c>
      <c r="E60" s="1">
        <f>IF(B60="數值","(F"&amp;C60&amp;"."&amp;D60&amp;")","(A"&amp;C60&amp;")")</f>
        <v/>
      </c>
      <c r="F60" s="1">
        <f>"alter type "&amp;A60&amp;" "&amp;E60&amp;"."</f>
        <v/>
      </c>
    </row>
    <row r="61">
      <c r="A61" s="1" t="inlineStr">
        <is>
          <t>vB7am15</t>
        </is>
      </c>
      <c r="B61" s="1" t="inlineStr">
        <is>
          <t>數值</t>
        </is>
      </c>
      <c r="C61" s="1" t="n">
        <v>2</v>
      </c>
      <c r="D61" s="1" t="n">
        <v>0</v>
      </c>
      <c r="E61" s="1">
        <f>IF(B61="數值","(F"&amp;C61&amp;"."&amp;D61&amp;")","(A"&amp;C61&amp;")")</f>
        <v/>
      </c>
      <c r="F61" s="1">
        <f>"alter type "&amp;A61&amp;" "&amp;E61&amp;"."</f>
        <v/>
      </c>
    </row>
    <row r="62">
      <c r="A62" s="1" t="inlineStr">
        <is>
          <t>vB7am16</t>
        </is>
      </c>
      <c r="B62" s="1" t="inlineStr">
        <is>
          <t>數值</t>
        </is>
      </c>
      <c r="C62" s="1" t="n">
        <v>2</v>
      </c>
      <c r="D62" s="1" t="n">
        <v>0</v>
      </c>
      <c r="E62" s="1">
        <f>IF(B62="數值","(F"&amp;C62&amp;"."&amp;D62&amp;")","(A"&amp;C62&amp;")")</f>
        <v/>
      </c>
      <c r="F62" s="1">
        <f>"alter type "&amp;A62&amp;" "&amp;E62&amp;"."</f>
        <v/>
      </c>
    </row>
    <row r="63">
      <c r="A63" s="1" t="inlineStr">
        <is>
          <t>vB7am17</t>
        </is>
      </c>
      <c r="B63" s="1" t="inlineStr">
        <is>
          <t>數值</t>
        </is>
      </c>
      <c r="C63" s="1" t="n">
        <v>2</v>
      </c>
      <c r="D63" s="1" t="n">
        <v>0</v>
      </c>
      <c r="E63" s="1">
        <f>IF(B63="數值","(F"&amp;C63&amp;"."&amp;D63&amp;")","(A"&amp;C63&amp;")")</f>
        <v/>
      </c>
      <c r="F63" s="1">
        <f>"alter type "&amp;A63&amp;" "&amp;E63&amp;"."</f>
        <v/>
      </c>
    </row>
    <row r="64">
      <c r="A64" s="1" t="inlineStr">
        <is>
          <t>vB7am18</t>
        </is>
      </c>
      <c r="B64" s="1" t="inlineStr">
        <is>
          <t>數值</t>
        </is>
      </c>
      <c r="C64" s="1" t="n">
        <v>2</v>
      </c>
      <c r="D64" s="1" t="n">
        <v>0</v>
      </c>
      <c r="E64" s="1">
        <f>IF(B64="數值","(F"&amp;C64&amp;"."&amp;D64&amp;")","(A"&amp;C64&amp;")")</f>
        <v/>
      </c>
      <c r="F64" s="1">
        <f>"alter type "&amp;A64&amp;" "&amp;E64&amp;"."</f>
        <v/>
      </c>
    </row>
    <row r="65">
      <c r="A65" s="1" t="inlineStr">
        <is>
          <t>vB7am19</t>
        </is>
      </c>
      <c r="B65" s="1" t="inlineStr">
        <is>
          <t>數值</t>
        </is>
      </c>
      <c r="C65" s="1" t="n">
        <v>2</v>
      </c>
      <c r="D65" s="1" t="n">
        <v>0</v>
      </c>
      <c r="E65" s="1">
        <f>IF(B65="數值","(F"&amp;C65&amp;"."&amp;D65&amp;")","(A"&amp;C65&amp;")")</f>
        <v/>
      </c>
      <c r="F65" s="1">
        <f>"alter type "&amp;A65&amp;" "&amp;E65&amp;"."</f>
        <v/>
      </c>
    </row>
    <row r="66">
      <c r="A66" s="1" t="inlineStr">
        <is>
          <t>vB7am20</t>
        </is>
      </c>
      <c r="B66" s="1" t="inlineStr">
        <is>
          <t>數值</t>
        </is>
      </c>
      <c r="C66" s="1" t="n">
        <v>2</v>
      </c>
      <c r="D66" s="1" t="n">
        <v>0</v>
      </c>
      <c r="E66" s="1">
        <f>IF(B66="數值","(F"&amp;C66&amp;"."&amp;D66&amp;")","(A"&amp;C66&amp;")")</f>
        <v/>
      </c>
      <c r="F66" s="1">
        <f>"alter type "&amp;A66&amp;" "&amp;E66&amp;"."</f>
        <v/>
      </c>
    </row>
    <row r="67">
      <c r="A67" s="1" t="inlineStr">
        <is>
          <t>vB7am21</t>
        </is>
      </c>
      <c r="B67" s="1" t="inlineStr">
        <is>
          <t>數值</t>
        </is>
      </c>
      <c r="C67" s="1" t="n">
        <v>2</v>
      </c>
      <c r="D67" s="1" t="n">
        <v>0</v>
      </c>
      <c r="E67" s="1">
        <f>IF(B67="數值","(F"&amp;C67&amp;"."&amp;D67&amp;")","(A"&amp;C67&amp;")")</f>
        <v/>
      </c>
      <c r="F67" s="1">
        <f>"alter type "&amp;A67&amp;" "&amp;E67&amp;"."</f>
        <v/>
      </c>
    </row>
    <row r="68">
      <c r="A68" s="1" t="inlineStr">
        <is>
          <t>vB7am22</t>
        </is>
      </c>
      <c r="B68" s="1" t="inlineStr">
        <is>
          <t>數值</t>
        </is>
      </c>
      <c r="C68" s="1" t="n">
        <v>2</v>
      </c>
      <c r="D68" s="1" t="n">
        <v>0</v>
      </c>
      <c r="E68" s="1">
        <f>IF(B68="數值","(F"&amp;C68&amp;"."&amp;D68&amp;")","(A"&amp;C68&amp;")")</f>
        <v/>
      </c>
      <c r="F68" s="1">
        <f>"alter type "&amp;A68&amp;" "&amp;E68&amp;"."</f>
        <v/>
      </c>
    </row>
    <row r="69">
      <c r="A69" s="1" t="inlineStr">
        <is>
          <t>vB7am23</t>
        </is>
      </c>
      <c r="B69" s="1" t="inlineStr">
        <is>
          <t>數值</t>
        </is>
      </c>
      <c r="C69" s="1" t="n">
        <v>2</v>
      </c>
      <c r="D69" s="1" t="n">
        <v>0</v>
      </c>
      <c r="E69" s="1">
        <f>IF(B69="數值","(F"&amp;C69&amp;"."&amp;D69&amp;")","(A"&amp;C69&amp;")")</f>
        <v/>
      </c>
      <c r="F69" s="1">
        <f>"alter type "&amp;A69&amp;" "&amp;E69&amp;"."</f>
        <v/>
      </c>
    </row>
    <row r="70">
      <c r="A70" s="1" t="inlineStr">
        <is>
          <t>vB7am24</t>
        </is>
      </c>
      <c r="B70" s="1" t="inlineStr">
        <is>
          <t>數值</t>
        </is>
      </c>
      <c r="C70" s="1" t="n">
        <v>2</v>
      </c>
      <c r="D70" s="1" t="n">
        <v>0</v>
      </c>
      <c r="E70" s="1">
        <f>IF(B70="數值","(F"&amp;C70&amp;"."&amp;D70&amp;")","(A"&amp;C70&amp;")")</f>
        <v/>
      </c>
      <c r="F70" s="1">
        <f>"alter type "&amp;A70&amp;" "&amp;E70&amp;"."</f>
        <v/>
      </c>
    </row>
    <row r="71">
      <c r="A71" s="1" t="inlineStr">
        <is>
          <t>vB7am25</t>
        </is>
      </c>
      <c r="B71" s="1" t="inlineStr">
        <is>
          <t>數值</t>
        </is>
      </c>
      <c r="C71" s="1" t="n">
        <v>2</v>
      </c>
      <c r="D71" s="1" t="n">
        <v>0</v>
      </c>
      <c r="E71" s="1">
        <f>IF(B71="數值","(F"&amp;C71&amp;"."&amp;D71&amp;")","(A"&amp;C71&amp;")")</f>
        <v/>
      </c>
      <c r="F71" s="1">
        <f>"alter type "&amp;A71&amp;" "&amp;E71&amp;"."</f>
        <v/>
      </c>
    </row>
    <row r="72">
      <c r="A72" s="1" t="inlineStr">
        <is>
          <t>vB7am26</t>
        </is>
      </c>
      <c r="B72" s="1" t="inlineStr">
        <is>
          <t>數值</t>
        </is>
      </c>
      <c r="C72" s="1" t="n">
        <v>2</v>
      </c>
      <c r="D72" s="1" t="n">
        <v>0</v>
      </c>
      <c r="E72" s="1">
        <f>IF(B72="數值","(F"&amp;C72&amp;"."&amp;D72&amp;")","(A"&amp;C72&amp;")")</f>
        <v/>
      </c>
      <c r="F72" s="1">
        <f>"alter type "&amp;A72&amp;" "&amp;E72&amp;"."</f>
        <v/>
      </c>
    </row>
    <row r="73">
      <c r="A73" s="1" t="inlineStr">
        <is>
          <t>vB7am27</t>
        </is>
      </c>
      <c r="B73" s="1" t="inlineStr">
        <is>
          <t>數值</t>
        </is>
      </c>
      <c r="C73" s="1" t="n">
        <v>2</v>
      </c>
      <c r="D73" s="1" t="n">
        <v>0</v>
      </c>
      <c r="E73" s="1">
        <f>IF(B73="數值","(F"&amp;C73&amp;"."&amp;D73&amp;")","(A"&amp;C73&amp;")")</f>
        <v/>
      </c>
      <c r="F73" s="1">
        <f>"alter type "&amp;A73&amp;" "&amp;E73&amp;"."</f>
        <v/>
      </c>
    </row>
    <row r="74">
      <c r="A74" s="1" t="inlineStr">
        <is>
          <t>vB7am28</t>
        </is>
      </c>
      <c r="B74" s="1" t="inlineStr">
        <is>
          <t>數值</t>
        </is>
      </c>
      <c r="C74" s="1" t="n">
        <v>2</v>
      </c>
      <c r="D74" s="1" t="n">
        <v>0</v>
      </c>
      <c r="E74" s="1">
        <f>IF(B74="數值","(F"&amp;C74&amp;"."&amp;D74&amp;")","(A"&amp;C74&amp;")")</f>
        <v/>
      </c>
      <c r="F74" s="1">
        <f>"alter type "&amp;A74&amp;" "&amp;E74&amp;"."</f>
        <v/>
      </c>
    </row>
    <row r="75">
      <c r="A75" s="1" t="inlineStr">
        <is>
          <t>vB7am29</t>
        </is>
      </c>
      <c r="B75" s="1" t="inlineStr">
        <is>
          <t>數值</t>
        </is>
      </c>
      <c r="C75" s="1" t="n">
        <v>2</v>
      </c>
      <c r="D75" s="1" t="n">
        <v>0</v>
      </c>
      <c r="E75" s="1">
        <f>IF(B75="數值","(F"&amp;C75&amp;"."&amp;D75&amp;")","(A"&amp;C75&amp;")")</f>
        <v/>
      </c>
      <c r="F75" s="1">
        <f>"alter type "&amp;A75&amp;" "&amp;E75&amp;"."</f>
        <v/>
      </c>
    </row>
    <row r="76">
      <c r="A76" s="1" t="inlineStr">
        <is>
          <t>vB7am30</t>
        </is>
      </c>
      <c r="B76" s="1" t="inlineStr">
        <is>
          <t>數值</t>
        </is>
      </c>
      <c r="C76" s="1" t="n">
        <v>2</v>
      </c>
      <c r="D76" s="1" t="n">
        <v>0</v>
      </c>
      <c r="E76" s="1">
        <f>IF(B76="數值","(F"&amp;C76&amp;"."&amp;D76&amp;")","(A"&amp;C76&amp;")")</f>
        <v/>
      </c>
      <c r="F76" s="1">
        <f>"alter type "&amp;A76&amp;" "&amp;E76&amp;"."</f>
        <v/>
      </c>
    </row>
    <row r="77">
      <c r="A77" s="1" t="inlineStr">
        <is>
          <t>vB7am31</t>
        </is>
      </c>
      <c r="B77" s="1" t="inlineStr">
        <is>
          <t>數值</t>
        </is>
      </c>
      <c r="C77" s="1" t="n">
        <v>2</v>
      </c>
      <c r="D77" s="1" t="n">
        <v>0</v>
      </c>
      <c r="E77" s="1">
        <f>IF(B77="數值","(F"&amp;C77&amp;"."&amp;D77&amp;")","(A"&amp;C77&amp;")")</f>
        <v/>
      </c>
      <c r="F77" s="1">
        <f>"alter type "&amp;A77&amp;" "&amp;E77&amp;"."</f>
        <v/>
      </c>
    </row>
    <row r="78">
      <c r="A78" s="1" t="inlineStr">
        <is>
          <t>vB7am32</t>
        </is>
      </c>
      <c r="B78" s="1" t="inlineStr">
        <is>
          <t>數值</t>
        </is>
      </c>
      <c r="C78" s="1" t="n">
        <v>2</v>
      </c>
      <c r="D78" s="1" t="n">
        <v>0</v>
      </c>
      <c r="E78" s="1">
        <f>IF(B78="數值","(F"&amp;C78&amp;"."&amp;D78&amp;")","(A"&amp;C78&amp;")")</f>
        <v/>
      </c>
      <c r="F78" s="1">
        <f>"alter type "&amp;A78&amp;" "&amp;E78&amp;"."</f>
        <v/>
      </c>
    </row>
    <row r="79">
      <c r="A79" s="1" t="inlineStr">
        <is>
          <t>vB7am33</t>
        </is>
      </c>
      <c r="B79" s="1" t="inlineStr">
        <is>
          <t>數值</t>
        </is>
      </c>
      <c r="C79" s="1" t="n">
        <v>2</v>
      </c>
      <c r="D79" s="1" t="n">
        <v>0</v>
      </c>
      <c r="E79" s="1">
        <f>IF(B79="數值","(F"&amp;C79&amp;"."&amp;D79&amp;")","(A"&amp;C79&amp;")")</f>
        <v/>
      </c>
      <c r="F79" s="1">
        <f>"alter type "&amp;A79&amp;" "&amp;E79&amp;"."</f>
        <v/>
      </c>
    </row>
    <row r="80">
      <c r="A80" s="1" t="inlineStr">
        <is>
          <t>vB7am34</t>
        </is>
      </c>
      <c r="B80" s="1" t="inlineStr">
        <is>
          <t>數值</t>
        </is>
      </c>
      <c r="C80" s="1" t="n">
        <v>2</v>
      </c>
      <c r="D80" s="1" t="n">
        <v>0</v>
      </c>
      <c r="E80" s="1">
        <f>IF(B80="數值","(F"&amp;C80&amp;"."&amp;D80&amp;")","(A"&amp;C80&amp;")")</f>
        <v/>
      </c>
      <c r="F80" s="1">
        <f>"alter type "&amp;A80&amp;" "&amp;E80&amp;"."</f>
        <v/>
      </c>
    </row>
    <row r="81">
      <c r="A81" s="1" t="inlineStr">
        <is>
          <t>vB7am35</t>
        </is>
      </c>
      <c r="B81" s="1" t="inlineStr">
        <is>
          <t>數值</t>
        </is>
      </c>
      <c r="C81" s="1" t="n">
        <v>2</v>
      </c>
      <c r="D81" s="1" t="n">
        <v>0</v>
      </c>
      <c r="E81" s="1">
        <f>IF(B81="數值","(F"&amp;C81&amp;"."&amp;D81&amp;")","(A"&amp;C81&amp;")")</f>
        <v/>
      </c>
      <c r="F81" s="1">
        <f>"alter type "&amp;A81&amp;" "&amp;E81&amp;"."</f>
        <v/>
      </c>
    </row>
    <row r="82">
      <c r="A82" s="1" t="inlineStr">
        <is>
          <t>vB7am36</t>
        </is>
      </c>
      <c r="B82" s="1" t="inlineStr">
        <is>
          <t>數值</t>
        </is>
      </c>
      <c r="C82" s="1" t="n">
        <v>2</v>
      </c>
      <c r="D82" s="1" t="n">
        <v>0</v>
      </c>
      <c r="E82" s="1">
        <f>IF(B82="數值","(F"&amp;C82&amp;"."&amp;D82&amp;")","(A"&amp;C82&amp;")")</f>
        <v/>
      </c>
      <c r="F82" s="1">
        <f>"alter type "&amp;A82&amp;" "&amp;E82&amp;"."</f>
        <v/>
      </c>
    </row>
    <row r="83">
      <c r="A83" s="1" t="inlineStr">
        <is>
          <t>vB7am37</t>
        </is>
      </c>
      <c r="B83" s="1" t="inlineStr">
        <is>
          <t>數值</t>
        </is>
      </c>
      <c r="C83" s="1" t="n">
        <v>2</v>
      </c>
      <c r="D83" s="1" t="n">
        <v>0</v>
      </c>
      <c r="E83" s="1">
        <f>IF(B83="數值","(F"&amp;C83&amp;"."&amp;D83&amp;")","(A"&amp;C83&amp;")")</f>
        <v/>
      </c>
      <c r="F83" s="1">
        <f>"alter type "&amp;A83&amp;" "&amp;E83&amp;"."</f>
        <v/>
      </c>
    </row>
    <row r="84">
      <c r="A84" s="1" t="inlineStr">
        <is>
          <t>vB7am38</t>
        </is>
      </c>
      <c r="B84" s="1" t="inlineStr">
        <is>
          <t>數值</t>
        </is>
      </c>
      <c r="C84" s="1" t="n">
        <v>2</v>
      </c>
      <c r="D84" s="1" t="n">
        <v>0</v>
      </c>
      <c r="E84" s="1">
        <f>IF(B84="數值","(F"&amp;C84&amp;"."&amp;D84&amp;")","(A"&amp;C84&amp;")")</f>
        <v/>
      </c>
      <c r="F84" s="1">
        <f>"alter type "&amp;A84&amp;" "&amp;E84&amp;"."</f>
        <v/>
      </c>
    </row>
    <row r="85">
      <c r="A85" s="1" t="inlineStr">
        <is>
          <t>vB7am39</t>
        </is>
      </c>
      <c r="B85" s="1" t="inlineStr">
        <is>
          <t>數值</t>
        </is>
      </c>
      <c r="C85" s="1" t="n">
        <v>2</v>
      </c>
      <c r="D85" s="1" t="n">
        <v>0</v>
      </c>
      <c r="E85" s="1">
        <f>IF(B85="數值","(F"&amp;C85&amp;"."&amp;D85&amp;")","(A"&amp;C85&amp;")")</f>
        <v/>
      </c>
      <c r="F85" s="1">
        <f>"alter type "&amp;A85&amp;" "&amp;E85&amp;"."</f>
        <v/>
      </c>
    </row>
    <row r="86">
      <c r="A86" s="1" t="inlineStr">
        <is>
          <t>vB7am40</t>
        </is>
      </c>
      <c r="B86" s="1" t="inlineStr">
        <is>
          <t>數值</t>
        </is>
      </c>
      <c r="C86" s="1" t="n">
        <v>2</v>
      </c>
      <c r="D86" s="1" t="n">
        <v>0</v>
      </c>
      <c r="E86" s="1">
        <f>IF(B86="數值","(F"&amp;C86&amp;"."&amp;D86&amp;")","(A"&amp;C86&amp;")")</f>
        <v/>
      </c>
      <c r="F86" s="1">
        <f>"alter type "&amp;A86&amp;" "&amp;E86&amp;"."</f>
        <v/>
      </c>
    </row>
    <row r="87">
      <c r="A87" s="1" t="inlineStr">
        <is>
          <t>vB7am41</t>
        </is>
      </c>
      <c r="B87" s="1" t="inlineStr">
        <is>
          <t>數值</t>
        </is>
      </c>
      <c r="C87" s="1" t="n">
        <v>2</v>
      </c>
      <c r="D87" s="1" t="n">
        <v>0</v>
      </c>
      <c r="E87" s="1">
        <f>IF(B87="數值","(F"&amp;C87&amp;"."&amp;D87&amp;")","(A"&amp;C87&amp;")")</f>
        <v/>
      </c>
      <c r="F87" s="1">
        <f>"alter type "&amp;A87&amp;" "&amp;E87&amp;"."</f>
        <v/>
      </c>
    </row>
    <row r="88">
      <c r="A88" s="1" t="inlineStr">
        <is>
          <t>vB7am42</t>
        </is>
      </c>
      <c r="B88" s="1" t="inlineStr">
        <is>
          <t>數值</t>
        </is>
      </c>
      <c r="C88" s="1" t="n">
        <v>2</v>
      </c>
      <c r="D88" s="1" t="n">
        <v>0</v>
      </c>
      <c r="E88" s="1">
        <f>IF(B88="數值","(F"&amp;C88&amp;"."&amp;D88&amp;")","(A"&amp;C88&amp;")")</f>
        <v/>
      </c>
      <c r="F88" s="1">
        <f>"alter type "&amp;A88&amp;" "&amp;E88&amp;"."</f>
        <v/>
      </c>
    </row>
    <row r="89">
      <c r="A89" s="1" t="inlineStr">
        <is>
          <t>vB7am43</t>
        </is>
      </c>
      <c r="B89" s="1" t="inlineStr">
        <is>
          <t>數值</t>
        </is>
      </c>
      <c r="C89" s="1" t="n">
        <v>2</v>
      </c>
      <c r="D89" s="1" t="n">
        <v>0</v>
      </c>
      <c r="E89" s="1">
        <f>IF(B89="數值","(F"&amp;C89&amp;"."&amp;D89&amp;")","(A"&amp;C89&amp;")")</f>
        <v/>
      </c>
      <c r="F89" s="1">
        <f>"alter type "&amp;A89&amp;" "&amp;E89&amp;"."</f>
        <v/>
      </c>
    </row>
    <row r="90">
      <c r="A90" s="1" t="inlineStr">
        <is>
          <t>vB7am44</t>
        </is>
      </c>
      <c r="B90" s="1" t="inlineStr">
        <is>
          <t>數值</t>
        </is>
      </c>
      <c r="C90" s="1" t="n">
        <v>2</v>
      </c>
      <c r="D90" s="1" t="n">
        <v>0</v>
      </c>
      <c r="E90" s="1">
        <f>IF(B90="數值","(F"&amp;C90&amp;"."&amp;D90&amp;")","(A"&amp;C90&amp;")")</f>
        <v/>
      </c>
      <c r="F90" s="1">
        <f>"alter type "&amp;A90&amp;" "&amp;E90&amp;"."</f>
        <v/>
      </c>
    </row>
    <row r="91">
      <c r="A91" s="1" t="inlineStr">
        <is>
          <t>vB7am45</t>
        </is>
      </c>
      <c r="B91" s="1" t="inlineStr">
        <is>
          <t>數值</t>
        </is>
      </c>
      <c r="C91" s="1" t="n">
        <v>2</v>
      </c>
      <c r="D91" s="1" t="n">
        <v>0</v>
      </c>
      <c r="E91" s="1">
        <f>IF(B91="數值","(F"&amp;C91&amp;"."&amp;D91&amp;")","(A"&amp;C91&amp;")")</f>
        <v/>
      </c>
      <c r="F91" s="1">
        <f>"alter type "&amp;A91&amp;" "&amp;E91&amp;"."</f>
        <v/>
      </c>
    </row>
    <row r="92">
      <c r="A92" s="1" t="inlineStr">
        <is>
          <t>vB7am46</t>
        </is>
      </c>
      <c r="B92" s="1" t="inlineStr">
        <is>
          <t>數值</t>
        </is>
      </c>
      <c r="C92" s="1" t="n">
        <v>2</v>
      </c>
      <c r="D92" s="1" t="n">
        <v>0</v>
      </c>
      <c r="E92" s="1">
        <f>IF(B92="數值","(F"&amp;C92&amp;"."&amp;D92&amp;")","(A"&amp;C92&amp;")")</f>
        <v/>
      </c>
      <c r="F92" s="1">
        <f>"alter type "&amp;A92&amp;" "&amp;E92&amp;"."</f>
        <v/>
      </c>
    </row>
    <row r="93">
      <c r="A93" s="1" t="inlineStr">
        <is>
          <t>vB7am47</t>
        </is>
      </c>
      <c r="B93" s="1" t="inlineStr">
        <is>
          <t>數值</t>
        </is>
      </c>
      <c r="C93" s="1" t="n">
        <v>2</v>
      </c>
      <c r="D93" s="1" t="n">
        <v>0</v>
      </c>
      <c r="E93" s="1">
        <f>IF(B93="數值","(F"&amp;C93&amp;"."&amp;D93&amp;")","(A"&amp;C93&amp;")")</f>
        <v/>
      </c>
      <c r="F93" s="1">
        <f>"alter type "&amp;A93&amp;" "&amp;E93&amp;"."</f>
        <v/>
      </c>
    </row>
    <row r="94">
      <c r="A94" s="1" t="inlineStr">
        <is>
          <t>vB7am48</t>
        </is>
      </c>
      <c r="B94" s="1" t="inlineStr">
        <is>
          <t>數值</t>
        </is>
      </c>
      <c r="C94" s="1" t="n">
        <v>2</v>
      </c>
      <c r="D94" s="1" t="n">
        <v>0</v>
      </c>
      <c r="E94" s="1">
        <f>IF(B94="數值","(F"&amp;C94&amp;"."&amp;D94&amp;")","(A"&amp;C94&amp;")")</f>
        <v/>
      </c>
      <c r="F94" s="1">
        <f>"alter type "&amp;A94&amp;" "&amp;E94&amp;"."</f>
        <v/>
      </c>
    </row>
    <row r="95">
      <c r="A95" s="1" t="inlineStr">
        <is>
          <t>vB7am49</t>
        </is>
      </c>
      <c r="B95" s="1" t="inlineStr">
        <is>
          <t>數值</t>
        </is>
      </c>
      <c r="C95" s="1" t="n">
        <v>2</v>
      </c>
      <c r="D95" s="1" t="n">
        <v>0</v>
      </c>
      <c r="E95" s="1">
        <f>IF(B95="數值","(F"&amp;C95&amp;"."&amp;D95&amp;")","(A"&amp;C95&amp;")")</f>
        <v/>
      </c>
      <c r="F95" s="1">
        <f>"alter type "&amp;A95&amp;" "&amp;E95&amp;"."</f>
        <v/>
      </c>
    </row>
    <row r="96">
      <c r="A96" s="1" t="inlineStr">
        <is>
          <t>vB7am50</t>
        </is>
      </c>
      <c r="B96" s="1" t="inlineStr">
        <is>
          <t>數值</t>
        </is>
      </c>
      <c r="C96" s="1" t="n">
        <v>2</v>
      </c>
      <c r="D96" s="1" t="n">
        <v>0</v>
      </c>
      <c r="E96" s="1">
        <f>IF(B96="數值","(F"&amp;C96&amp;"."&amp;D96&amp;")","(A"&amp;C96&amp;")")</f>
        <v/>
      </c>
      <c r="F96" s="1">
        <f>"alter type "&amp;A96&amp;" "&amp;E96&amp;"."</f>
        <v/>
      </c>
    </row>
    <row r="97">
      <c r="A97" s="1" t="inlineStr">
        <is>
          <t>vB7am51</t>
        </is>
      </c>
      <c r="B97" s="1" t="inlineStr">
        <is>
          <t>數值</t>
        </is>
      </c>
      <c r="C97" s="1" t="n">
        <v>2</v>
      </c>
      <c r="D97" s="1" t="n">
        <v>0</v>
      </c>
      <c r="E97" s="1">
        <f>IF(B97="數值","(F"&amp;C97&amp;"."&amp;D97&amp;")","(A"&amp;C97&amp;")")</f>
        <v/>
      </c>
      <c r="F97" s="1">
        <f>"alter type "&amp;A97&amp;" "&amp;E97&amp;"."</f>
        <v/>
      </c>
    </row>
    <row r="98">
      <c r="A98" s="1" t="inlineStr">
        <is>
          <t>vB7am52</t>
        </is>
      </c>
      <c r="B98" s="1" t="inlineStr">
        <is>
          <t>數值</t>
        </is>
      </c>
      <c r="C98" s="1" t="n">
        <v>2</v>
      </c>
      <c r="D98" s="1" t="n">
        <v>0</v>
      </c>
      <c r="E98" s="1">
        <f>IF(B98="數值","(F"&amp;C98&amp;"."&amp;D98&amp;")","(A"&amp;C98&amp;")")</f>
        <v/>
      </c>
      <c r="F98" s="1">
        <f>"alter type "&amp;A98&amp;" "&amp;E98&amp;"."</f>
        <v/>
      </c>
    </row>
    <row r="99">
      <c r="A99" s="1" t="inlineStr">
        <is>
          <t>vB7am53</t>
        </is>
      </c>
      <c r="B99" s="1" t="inlineStr">
        <is>
          <t>數值</t>
        </is>
      </c>
      <c r="C99" s="1" t="n">
        <v>2</v>
      </c>
      <c r="D99" s="1" t="n">
        <v>0</v>
      </c>
      <c r="E99" s="1">
        <f>IF(B99="數值","(F"&amp;C99&amp;"."&amp;D99&amp;")","(A"&amp;C99&amp;")")</f>
        <v/>
      </c>
      <c r="F99" s="1">
        <f>"alter type "&amp;A99&amp;" "&amp;E99&amp;"."</f>
        <v/>
      </c>
    </row>
    <row r="100">
      <c r="A100" s="1" t="inlineStr">
        <is>
          <t>vB7am54</t>
        </is>
      </c>
      <c r="B100" s="1" t="inlineStr">
        <is>
          <t>數值</t>
        </is>
      </c>
      <c r="C100" s="1" t="n">
        <v>2</v>
      </c>
      <c r="D100" s="1" t="n">
        <v>0</v>
      </c>
      <c r="E100" s="1">
        <f>IF(B100="數值","(F"&amp;C100&amp;"."&amp;D100&amp;")","(A"&amp;C100&amp;")")</f>
        <v/>
      </c>
      <c r="F100" s="1">
        <f>"alter type "&amp;A100&amp;" "&amp;E100&amp;"."</f>
        <v/>
      </c>
    </row>
    <row r="101">
      <c r="A101" s="1" t="inlineStr">
        <is>
          <t>vB7am88</t>
        </is>
      </c>
      <c r="B101" s="1" t="inlineStr">
        <is>
          <t>數值</t>
        </is>
      </c>
      <c r="C101" s="1" t="n">
        <v>2</v>
      </c>
      <c r="D101" s="1" t="n">
        <v>0</v>
      </c>
      <c r="E101" s="1">
        <f>IF(B101="數值","(F"&amp;C101&amp;"."&amp;D101&amp;")","(A"&amp;C101&amp;")")</f>
        <v/>
      </c>
      <c r="F101" s="1">
        <f>"alter type "&amp;A101&amp;" "&amp;E101&amp;"."</f>
        <v/>
      </c>
    </row>
    <row r="102">
      <c r="A102" s="1" t="inlineStr">
        <is>
          <t>vB7ao88</t>
        </is>
      </c>
      <c r="B102" s="1" t="inlineStr">
        <is>
          <t>字串</t>
        </is>
      </c>
      <c r="C102" s="1" t="n">
        <v>150</v>
      </c>
      <c r="D102" s="1" t="n">
        <v>0</v>
      </c>
      <c r="E102" s="1">
        <f>IF(B102="數值","(F"&amp;C102&amp;"."&amp;D102&amp;")","(A"&amp;C102&amp;")")</f>
        <v/>
      </c>
      <c r="F102" s="1">
        <f>"alter type "&amp;A102&amp;" "&amp;E102&amp;"."</f>
        <v/>
      </c>
    </row>
    <row r="103">
      <c r="A103" s="1" t="inlineStr">
        <is>
          <t>vB7</t>
        </is>
      </c>
      <c r="B103" s="1" t="inlineStr">
        <is>
          <t>數值</t>
        </is>
      </c>
      <c r="C103" s="1" t="n">
        <v>2</v>
      </c>
      <c r="D103" s="1" t="n">
        <v>0</v>
      </c>
      <c r="E103" s="1">
        <f>IF(B103="數值","(F"&amp;C103&amp;"."&amp;D103&amp;")","(A"&amp;C103&amp;")")</f>
        <v/>
      </c>
      <c r="F103" s="1">
        <f>"alter type "&amp;A103&amp;" "&amp;E103&amp;"."</f>
        <v/>
      </c>
    </row>
    <row r="104">
      <c r="A104" s="1" t="inlineStr">
        <is>
          <t>vB7o88</t>
        </is>
      </c>
      <c r="B104" s="1" t="inlineStr">
        <is>
          <t>字串</t>
        </is>
      </c>
      <c r="C104" s="1" t="n">
        <v>150</v>
      </c>
      <c r="D104" s="1" t="n">
        <v>0</v>
      </c>
      <c r="E104" s="1">
        <f>IF(B104="數值","(F"&amp;C104&amp;"."&amp;D104&amp;")","(A"&amp;C104&amp;")")</f>
        <v/>
      </c>
      <c r="F104" s="1">
        <f>"alter type "&amp;A104&amp;" "&amp;E104&amp;"."</f>
        <v/>
      </c>
    </row>
    <row r="105">
      <c r="A105" s="1" t="inlineStr">
        <is>
          <t>vB8m01</t>
        </is>
      </c>
      <c r="B105" s="1" t="inlineStr">
        <is>
          <t>數值</t>
        </is>
      </c>
      <c r="C105" s="1" t="n">
        <v>2</v>
      </c>
      <c r="D105" s="1" t="n">
        <v>0</v>
      </c>
      <c r="E105" s="1">
        <f>IF(B105="數值","(F"&amp;C105&amp;"."&amp;D105&amp;")","(A"&amp;C105&amp;")")</f>
        <v/>
      </c>
      <c r="F105" s="1">
        <f>"alter type "&amp;A105&amp;" "&amp;E105&amp;"."</f>
        <v/>
      </c>
    </row>
    <row r="106">
      <c r="A106" s="1" t="inlineStr">
        <is>
          <t>vB8m02</t>
        </is>
      </c>
      <c r="B106" s="1" t="inlineStr">
        <is>
          <t>數值</t>
        </is>
      </c>
      <c r="C106" s="1" t="n">
        <v>2</v>
      </c>
      <c r="D106" s="1" t="n">
        <v>0</v>
      </c>
      <c r="E106" s="1">
        <f>IF(B106="數值","(F"&amp;C106&amp;"."&amp;D106&amp;")","(A"&amp;C106&amp;")")</f>
        <v/>
      </c>
      <c r="F106" s="1">
        <f>"alter type "&amp;A106&amp;" "&amp;E106&amp;"."</f>
        <v/>
      </c>
    </row>
    <row r="107">
      <c r="A107" s="1" t="inlineStr">
        <is>
          <t>vB8m03</t>
        </is>
      </c>
      <c r="B107" s="1" t="inlineStr">
        <is>
          <t>數值</t>
        </is>
      </c>
      <c r="C107" s="1" t="n">
        <v>2</v>
      </c>
      <c r="D107" s="1" t="n">
        <v>0</v>
      </c>
      <c r="E107" s="1">
        <f>IF(B107="數值","(F"&amp;C107&amp;"."&amp;D107&amp;")","(A"&amp;C107&amp;")")</f>
        <v/>
      </c>
      <c r="F107" s="1">
        <f>"alter type "&amp;A107&amp;" "&amp;E107&amp;"."</f>
        <v/>
      </c>
    </row>
    <row r="108">
      <c r="A108" s="1" t="inlineStr">
        <is>
          <t>vB8m04</t>
        </is>
      </c>
      <c r="B108" s="1" t="inlineStr">
        <is>
          <t>數值</t>
        </is>
      </c>
      <c r="C108" s="1" t="n">
        <v>2</v>
      </c>
      <c r="D108" s="1" t="n">
        <v>0</v>
      </c>
      <c r="E108" s="1">
        <f>IF(B108="數值","(F"&amp;C108&amp;"."&amp;D108&amp;")","(A"&amp;C108&amp;")")</f>
        <v/>
      </c>
      <c r="F108" s="1">
        <f>"alter type "&amp;A108&amp;" "&amp;E108&amp;"."</f>
        <v/>
      </c>
    </row>
    <row r="109">
      <c r="A109" s="1" t="inlineStr">
        <is>
          <t>vB8m05</t>
        </is>
      </c>
      <c r="B109" s="1" t="inlineStr">
        <is>
          <t>數值</t>
        </is>
      </c>
      <c r="C109" s="1" t="n">
        <v>2</v>
      </c>
      <c r="D109" s="1" t="n">
        <v>0</v>
      </c>
      <c r="E109" s="1">
        <f>IF(B109="數值","(F"&amp;C109&amp;"."&amp;D109&amp;")","(A"&amp;C109&amp;")")</f>
        <v/>
      </c>
      <c r="F109" s="1">
        <f>"alter type "&amp;A109&amp;" "&amp;E109&amp;"."</f>
        <v/>
      </c>
    </row>
    <row r="110">
      <c r="A110" s="1" t="inlineStr">
        <is>
          <t>vB8m06</t>
        </is>
      </c>
      <c r="B110" s="1" t="inlineStr">
        <is>
          <t>數值</t>
        </is>
      </c>
      <c r="C110" s="1" t="n">
        <v>2</v>
      </c>
      <c r="D110" s="1" t="n">
        <v>0</v>
      </c>
      <c r="E110" s="1">
        <f>IF(B110="數值","(F"&amp;C110&amp;"."&amp;D110&amp;")","(A"&amp;C110&amp;")")</f>
        <v/>
      </c>
      <c r="F110" s="1">
        <f>"alter type "&amp;A110&amp;" "&amp;E110&amp;"."</f>
        <v/>
      </c>
    </row>
    <row r="111">
      <c r="A111" s="1" t="inlineStr">
        <is>
          <t>vB8m07</t>
        </is>
      </c>
      <c r="B111" s="1" t="inlineStr">
        <is>
          <t>數值</t>
        </is>
      </c>
      <c r="C111" s="1" t="n">
        <v>2</v>
      </c>
      <c r="D111" s="1" t="n">
        <v>0</v>
      </c>
      <c r="E111" s="1">
        <f>IF(B111="數值","(F"&amp;C111&amp;"."&amp;D111&amp;")","(A"&amp;C111&amp;")")</f>
        <v/>
      </c>
      <c r="F111" s="1">
        <f>"alter type "&amp;A111&amp;" "&amp;E111&amp;"."</f>
        <v/>
      </c>
    </row>
    <row r="112">
      <c r="A112" s="1" t="inlineStr">
        <is>
          <t>vB8m08</t>
        </is>
      </c>
      <c r="B112" s="1" t="inlineStr">
        <is>
          <t>數值</t>
        </is>
      </c>
      <c r="C112" s="1" t="n">
        <v>2</v>
      </c>
      <c r="D112" s="1" t="n">
        <v>0</v>
      </c>
      <c r="E112" s="1">
        <f>IF(B112="數值","(F"&amp;C112&amp;"."&amp;D112&amp;")","(A"&amp;C112&amp;")")</f>
        <v/>
      </c>
      <c r="F112" s="1">
        <f>"alter type "&amp;A112&amp;" "&amp;E112&amp;"."</f>
        <v/>
      </c>
    </row>
    <row r="113">
      <c r="A113" s="1" t="inlineStr">
        <is>
          <t>vB8m09</t>
        </is>
      </c>
      <c r="B113" s="1" t="inlineStr">
        <is>
          <t>數值</t>
        </is>
      </c>
      <c r="C113" s="1" t="n">
        <v>2</v>
      </c>
      <c r="D113" s="1" t="n">
        <v>0</v>
      </c>
      <c r="E113" s="1">
        <f>IF(B113="數值","(F"&amp;C113&amp;"."&amp;D113&amp;")","(A"&amp;C113&amp;")")</f>
        <v/>
      </c>
      <c r="F113" s="1">
        <f>"alter type "&amp;A113&amp;" "&amp;E113&amp;"."</f>
        <v/>
      </c>
    </row>
    <row r="114">
      <c r="A114" s="1" t="inlineStr">
        <is>
          <t>vB8m10</t>
        </is>
      </c>
      <c r="B114" s="1" t="inlineStr">
        <is>
          <t>數值</t>
        </is>
      </c>
      <c r="C114" s="1" t="n">
        <v>2</v>
      </c>
      <c r="D114" s="1" t="n">
        <v>0</v>
      </c>
      <c r="E114" s="1">
        <f>IF(B114="數值","(F"&amp;C114&amp;"."&amp;D114&amp;")","(A"&amp;C114&amp;")")</f>
        <v/>
      </c>
      <c r="F114" s="1">
        <f>"alter type "&amp;A114&amp;" "&amp;E114&amp;"."</f>
        <v/>
      </c>
    </row>
    <row r="115">
      <c r="A115" s="1" t="inlineStr">
        <is>
          <t>vB8m88</t>
        </is>
      </c>
      <c r="B115" s="1" t="inlineStr">
        <is>
          <t>數值</t>
        </is>
      </c>
      <c r="C115" s="1" t="n">
        <v>2</v>
      </c>
      <c r="D115" s="1" t="n">
        <v>0</v>
      </c>
      <c r="E115" s="1">
        <f>IF(B115="數值","(F"&amp;C115&amp;"."&amp;D115&amp;")","(A"&amp;C115&amp;")")</f>
        <v/>
      </c>
      <c r="F115" s="1">
        <f>"alter type "&amp;A115&amp;" "&amp;E115&amp;"."</f>
        <v/>
      </c>
    </row>
    <row r="116">
      <c r="A116" s="1" t="inlineStr">
        <is>
          <t>vB8o88</t>
        </is>
      </c>
      <c r="B116" s="1" t="inlineStr">
        <is>
          <t>字串</t>
        </is>
      </c>
      <c r="C116" s="1" t="n">
        <v>150</v>
      </c>
      <c r="D116" s="1" t="n">
        <v>0</v>
      </c>
      <c r="E116" s="1">
        <f>IF(B116="數值","(F"&amp;C116&amp;"."&amp;D116&amp;")","(A"&amp;C116&amp;")")</f>
        <v/>
      </c>
      <c r="F116" s="1">
        <f>"alter type "&amp;A116&amp;" "&amp;E116&amp;"."</f>
        <v/>
      </c>
    </row>
    <row r="117">
      <c r="A117" s="1" t="inlineStr">
        <is>
          <t>vC1</t>
        </is>
      </c>
      <c r="B117" s="1" t="inlineStr">
        <is>
          <t>數值</t>
        </is>
      </c>
      <c r="C117" s="1" t="n">
        <v>4</v>
      </c>
      <c r="D117" s="1" t="n">
        <v>1</v>
      </c>
      <c r="E117" s="1">
        <f>IF(B117="數值","(F"&amp;C117&amp;"."&amp;D117&amp;")","(A"&amp;C117&amp;")")</f>
        <v/>
      </c>
      <c r="F117" s="1">
        <f>"alter type "&amp;A117&amp;" "&amp;E117&amp;"."</f>
        <v/>
      </c>
    </row>
    <row r="118">
      <c r="A118" s="1" t="inlineStr">
        <is>
          <t>vC2</t>
        </is>
      </c>
      <c r="B118" s="1" t="inlineStr">
        <is>
          <t>數值</t>
        </is>
      </c>
      <c r="C118" s="1" t="n">
        <v>5</v>
      </c>
      <c r="D118" s="1" t="n">
        <v>0</v>
      </c>
      <c r="E118" s="1">
        <f>IF(B118="數值","(F"&amp;C118&amp;"."&amp;D118&amp;")","(A"&amp;C118&amp;")")</f>
        <v/>
      </c>
      <c r="F118" s="1">
        <f>"alter type "&amp;A118&amp;" "&amp;E118&amp;"."</f>
        <v/>
      </c>
    </row>
    <row r="119">
      <c r="A119" s="1" t="inlineStr">
        <is>
          <t>vC3m01</t>
        </is>
      </c>
      <c r="B119" s="1" t="inlineStr">
        <is>
          <t>數值</t>
        </is>
      </c>
      <c r="C119" s="1" t="n">
        <v>2</v>
      </c>
      <c r="D119" s="1" t="n">
        <v>0</v>
      </c>
      <c r="E119" s="1">
        <f>IF(B119="數值","(F"&amp;C119&amp;"."&amp;D119&amp;")","(A"&amp;C119&amp;")")</f>
        <v/>
      </c>
      <c r="F119" s="1">
        <f>"alter type "&amp;A119&amp;" "&amp;E119&amp;"."</f>
        <v/>
      </c>
    </row>
    <row r="120">
      <c r="A120" s="1" t="inlineStr">
        <is>
          <t>vC3m02</t>
        </is>
      </c>
      <c r="B120" s="1" t="inlineStr">
        <is>
          <t>數值</t>
        </is>
      </c>
      <c r="C120" s="1" t="n">
        <v>2</v>
      </c>
      <c r="D120" s="1" t="n">
        <v>0</v>
      </c>
      <c r="E120" s="1">
        <f>IF(B120="數值","(F"&amp;C120&amp;"."&amp;D120&amp;")","(A"&amp;C120&amp;")")</f>
        <v/>
      </c>
      <c r="F120" s="1">
        <f>"alter type "&amp;A120&amp;" "&amp;E120&amp;"."</f>
        <v/>
      </c>
    </row>
    <row r="121">
      <c r="A121" s="1" t="inlineStr">
        <is>
          <t>vC3m03</t>
        </is>
      </c>
      <c r="B121" s="1" t="inlineStr">
        <is>
          <t>數值</t>
        </is>
      </c>
      <c r="C121" s="1" t="n">
        <v>2</v>
      </c>
      <c r="D121" s="1" t="n">
        <v>0</v>
      </c>
      <c r="E121" s="1">
        <f>IF(B121="數值","(F"&amp;C121&amp;"."&amp;D121&amp;")","(A"&amp;C121&amp;")")</f>
        <v/>
      </c>
      <c r="F121" s="1">
        <f>"alter type "&amp;A121&amp;" "&amp;E121&amp;"."</f>
        <v/>
      </c>
    </row>
    <row r="122">
      <c r="A122" s="1" t="inlineStr">
        <is>
          <t>vC3m04</t>
        </is>
      </c>
      <c r="B122" s="1" t="inlineStr">
        <is>
          <t>數值</t>
        </is>
      </c>
      <c r="C122" s="1" t="n">
        <v>2</v>
      </c>
      <c r="D122" s="1" t="n">
        <v>0</v>
      </c>
      <c r="E122" s="1">
        <f>IF(B122="數值","(F"&amp;C122&amp;"."&amp;D122&amp;")","(A"&amp;C122&amp;")")</f>
        <v/>
      </c>
      <c r="F122" s="1">
        <f>"alter type "&amp;A122&amp;" "&amp;E122&amp;"."</f>
        <v/>
      </c>
    </row>
    <row r="123">
      <c r="A123" s="1" t="inlineStr">
        <is>
          <t>vC3m05</t>
        </is>
      </c>
      <c r="B123" s="1" t="inlineStr">
        <is>
          <t>數值</t>
        </is>
      </c>
      <c r="C123" s="1" t="n">
        <v>2</v>
      </c>
      <c r="D123" s="1" t="n">
        <v>0</v>
      </c>
      <c r="E123" s="1">
        <f>IF(B123="數值","(F"&amp;C123&amp;"."&amp;D123&amp;")","(A"&amp;C123&amp;")")</f>
        <v/>
      </c>
      <c r="F123" s="1">
        <f>"alter type "&amp;A123&amp;" "&amp;E123&amp;"."</f>
        <v/>
      </c>
    </row>
    <row r="124">
      <c r="A124" s="1" t="inlineStr">
        <is>
          <t>vC3m06</t>
        </is>
      </c>
      <c r="B124" s="1" t="inlineStr">
        <is>
          <t>數值</t>
        </is>
      </c>
      <c r="C124" s="1" t="n">
        <v>2</v>
      </c>
      <c r="D124" s="1" t="n">
        <v>0</v>
      </c>
      <c r="E124" s="1">
        <f>IF(B124="數值","(F"&amp;C124&amp;"."&amp;D124&amp;")","(A"&amp;C124&amp;")")</f>
        <v/>
      </c>
      <c r="F124" s="1">
        <f>"alter type "&amp;A124&amp;" "&amp;E124&amp;"."</f>
        <v/>
      </c>
    </row>
    <row r="125">
      <c r="A125" s="1" t="inlineStr">
        <is>
          <t>vC3m07</t>
        </is>
      </c>
      <c r="B125" s="1" t="inlineStr">
        <is>
          <t>數值</t>
        </is>
      </c>
      <c r="C125" s="1" t="n">
        <v>2</v>
      </c>
      <c r="D125" s="1" t="n">
        <v>0</v>
      </c>
      <c r="E125" s="1">
        <f>IF(B125="數值","(F"&amp;C125&amp;"."&amp;D125&amp;")","(A"&amp;C125&amp;")")</f>
        <v/>
      </c>
      <c r="F125" s="1">
        <f>"alter type "&amp;A125&amp;" "&amp;E125&amp;"."</f>
        <v/>
      </c>
    </row>
    <row r="126">
      <c r="A126" s="1" t="inlineStr">
        <is>
          <t>vC3m08</t>
        </is>
      </c>
      <c r="B126" s="1" t="inlineStr">
        <is>
          <t>數值</t>
        </is>
      </c>
      <c r="C126" s="1" t="n">
        <v>2</v>
      </c>
      <c r="D126" s="1" t="n">
        <v>0</v>
      </c>
      <c r="E126" s="1">
        <f>IF(B126="數值","(F"&amp;C126&amp;"."&amp;D126&amp;")","(A"&amp;C126&amp;")")</f>
        <v/>
      </c>
      <c r="F126" s="1">
        <f>"alter type "&amp;A126&amp;" "&amp;E126&amp;"."</f>
        <v/>
      </c>
    </row>
    <row r="127">
      <c r="A127" s="1" t="inlineStr">
        <is>
          <t>vC3m09</t>
        </is>
      </c>
      <c r="B127" s="1" t="inlineStr">
        <is>
          <t>數值</t>
        </is>
      </c>
      <c r="C127" s="1" t="n">
        <v>2</v>
      </c>
      <c r="D127" s="1" t="n">
        <v>0</v>
      </c>
      <c r="E127" s="1">
        <f>IF(B127="數值","(F"&amp;C127&amp;"."&amp;D127&amp;")","(A"&amp;C127&amp;")")</f>
        <v/>
      </c>
      <c r="F127" s="1">
        <f>"alter type "&amp;A127&amp;" "&amp;E127&amp;"."</f>
        <v/>
      </c>
    </row>
    <row r="128">
      <c r="A128" s="1" t="inlineStr">
        <is>
          <t>vC3m10</t>
        </is>
      </c>
      <c r="B128" s="1" t="inlineStr">
        <is>
          <t>數值</t>
        </is>
      </c>
      <c r="C128" s="1" t="n">
        <v>2</v>
      </c>
      <c r="D128" s="1" t="n">
        <v>0</v>
      </c>
      <c r="E128" s="1">
        <f>IF(B128="數值","(F"&amp;C128&amp;"."&amp;D128&amp;")","(A"&amp;C128&amp;")")</f>
        <v/>
      </c>
      <c r="F128" s="1">
        <f>"alter type "&amp;A128&amp;" "&amp;E128&amp;"."</f>
        <v/>
      </c>
    </row>
    <row r="129">
      <c r="A129" s="1" t="inlineStr">
        <is>
          <t>vC3m11</t>
        </is>
      </c>
      <c r="B129" s="1" t="inlineStr">
        <is>
          <t>數值</t>
        </is>
      </c>
      <c r="C129" s="1" t="n">
        <v>2</v>
      </c>
      <c r="D129" s="1" t="n">
        <v>0</v>
      </c>
      <c r="E129" s="1">
        <f>IF(B129="數值","(F"&amp;C129&amp;"."&amp;D129&amp;")","(A"&amp;C129&amp;")")</f>
        <v/>
      </c>
      <c r="F129" s="1">
        <f>"alter type "&amp;A129&amp;" "&amp;E129&amp;"."</f>
        <v/>
      </c>
    </row>
    <row r="130">
      <c r="A130" s="1" t="inlineStr">
        <is>
          <t>vC3m88</t>
        </is>
      </c>
      <c r="B130" s="1" t="inlineStr">
        <is>
          <t>數值</t>
        </is>
      </c>
      <c r="C130" s="1" t="n">
        <v>2</v>
      </c>
      <c r="D130" s="1" t="n">
        <v>0</v>
      </c>
      <c r="E130" s="1">
        <f>IF(B130="數值","(F"&amp;C130&amp;"."&amp;D130&amp;")","(A"&amp;C130&amp;")")</f>
        <v/>
      </c>
      <c r="F130" s="1">
        <f>"alter type "&amp;A130&amp;" "&amp;E130&amp;"."</f>
        <v/>
      </c>
    </row>
    <row r="131">
      <c r="A131" s="1" t="inlineStr">
        <is>
          <t>vC3o88</t>
        </is>
      </c>
      <c r="B131" s="1" t="inlineStr">
        <is>
          <t>字串</t>
        </is>
      </c>
      <c r="C131" s="1" t="n">
        <v>150</v>
      </c>
      <c r="D131" s="1" t="n">
        <v>0</v>
      </c>
      <c r="E131" s="1">
        <f>IF(B131="數值","(F"&amp;C131&amp;"."&amp;D131&amp;")","(A"&amp;C131&amp;")")</f>
        <v/>
      </c>
      <c r="F131" s="1">
        <f>"alter type "&amp;A131&amp;" "&amp;E131&amp;"."</f>
        <v/>
      </c>
    </row>
    <row r="132">
      <c r="A132" s="1" t="inlineStr">
        <is>
          <t>vD1</t>
        </is>
      </c>
      <c r="B132" s="1" t="inlineStr">
        <is>
          <t>數值</t>
        </is>
      </c>
      <c r="C132" s="1" t="n">
        <v>2</v>
      </c>
      <c r="D132" s="1" t="n">
        <v>0</v>
      </c>
      <c r="E132" s="1">
        <f>IF(B132="數值","(F"&amp;C132&amp;"."&amp;D132&amp;")","(A"&amp;C132&amp;")")</f>
        <v/>
      </c>
      <c r="F132" s="1">
        <f>"alter type "&amp;A132&amp;" "&amp;E132&amp;"."</f>
        <v/>
      </c>
    </row>
    <row r="133">
      <c r="A133" s="1" t="inlineStr">
        <is>
          <t>vD2</t>
        </is>
      </c>
      <c r="B133" s="1" t="inlineStr">
        <is>
          <t>數值</t>
        </is>
      </c>
      <c r="C133" s="1" t="n">
        <v>4</v>
      </c>
      <c r="D133" s="1" t="n">
        <v>1</v>
      </c>
      <c r="E133" s="1">
        <f>IF(B133="數值","(F"&amp;C133&amp;"."&amp;D133&amp;")","(A"&amp;C133&amp;")")</f>
        <v/>
      </c>
      <c r="F133" s="1">
        <f>"alter type "&amp;A133&amp;" "&amp;E133&amp;"."</f>
        <v/>
      </c>
    </row>
    <row r="134">
      <c r="A134" s="1" t="inlineStr">
        <is>
          <t>vD3</t>
        </is>
      </c>
      <c r="B134" s="1" t="inlineStr">
        <is>
          <t>數值</t>
        </is>
      </c>
      <c r="C134" s="1" t="n">
        <v>5</v>
      </c>
      <c r="D134" s="1" t="n">
        <v>0</v>
      </c>
      <c r="E134" s="1">
        <f>IF(B134="數值","(F"&amp;C134&amp;"."&amp;D134&amp;")","(A"&amp;C134&amp;")")</f>
        <v/>
      </c>
      <c r="F134" s="1">
        <f>"alter type "&amp;A134&amp;" "&amp;E134&amp;"."</f>
        <v/>
      </c>
    </row>
    <row r="135">
      <c r="A135" s="1" t="inlineStr">
        <is>
          <t>vE1</t>
        </is>
      </c>
      <c r="B135" s="1" t="inlineStr">
        <is>
          <t>數值</t>
        </is>
      </c>
      <c r="C135" s="1" t="n">
        <v>2</v>
      </c>
      <c r="D135" s="1" t="n">
        <v>0</v>
      </c>
      <c r="E135" s="1">
        <f>IF(B135="數值","(F"&amp;C135&amp;"."&amp;D135&amp;")","(A"&amp;C135&amp;")")</f>
        <v/>
      </c>
      <c r="F135" s="1">
        <f>"alter type "&amp;A135&amp;" "&amp;E135&amp;"."</f>
        <v/>
      </c>
    </row>
    <row r="136">
      <c r="A136" s="1" t="inlineStr">
        <is>
          <t>vE1LI</t>
        </is>
      </c>
      <c r="B136" s="1" t="inlineStr">
        <is>
          <t>數值</t>
        </is>
      </c>
      <c r="C136" s="1" t="n">
        <v>2</v>
      </c>
      <c r="D136" s="1" t="n">
        <v>0</v>
      </c>
      <c r="E136" s="1">
        <f>IF(B136="數值","(F"&amp;C136&amp;"."&amp;D136&amp;")","(A"&amp;C136&amp;")")</f>
        <v/>
      </c>
      <c r="F136" s="1">
        <f>"alter type "&amp;A136&amp;" "&amp;E136&amp;"."</f>
        <v/>
      </c>
    </row>
    <row r="137">
      <c r="A137" s="1" t="inlineStr">
        <is>
          <t>vE1VP</t>
        </is>
      </c>
      <c r="B137" s="1" t="inlineStr">
        <is>
          <t>數值</t>
        </is>
      </c>
      <c r="C137" s="1" t="n">
        <v>2</v>
      </c>
      <c r="D137" s="1" t="n">
        <v>0</v>
      </c>
      <c r="E137" s="1">
        <f>IF(B137="數值","(F"&amp;C137&amp;"."&amp;D137&amp;")","(A"&amp;C137&amp;")")</f>
        <v/>
      </c>
      <c r="F137" s="1">
        <f>"alter type "&amp;A137&amp;" "&amp;E137&amp;"."</f>
        <v/>
      </c>
    </row>
    <row r="138">
      <c r="A138" s="1" t="inlineStr">
        <is>
          <t>vE1YT</t>
        </is>
      </c>
      <c r="B138" s="1" t="inlineStr">
        <is>
          <t>數值</t>
        </is>
      </c>
      <c r="C138" s="1" t="n">
        <v>2</v>
      </c>
      <c r="D138" s="1" t="n">
        <v>0</v>
      </c>
      <c r="E138" s="1">
        <f>IF(B138="數值","(F"&amp;C138&amp;"."&amp;D138&amp;")","(A"&amp;C138&amp;")")</f>
        <v/>
      </c>
      <c r="F138" s="1">
        <f>"alter type "&amp;A138&amp;" "&amp;E138&amp;"."</f>
        <v/>
      </c>
    </row>
    <row r="139">
      <c r="A139" s="1" t="inlineStr">
        <is>
          <t>vCKE1</t>
        </is>
      </c>
      <c r="B139" s="1" t="inlineStr">
        <is>
          <t>數值</t>
        </is>
      </c>
      <c r="C139" s="1" t="n">
        <v>2</v>
      </c>
      <c r="D139" s="1" t="n">
        <v>0</v>
      </c>
      <c r="E139" s="1">
        <f>IF(B139="數值","(F"&amp;C139&amp;"."&amp;D139&amp;")","(A"&amp;C139&amp;")")</f>
        <v/>
      </c>
      <c r="F139" s="1">
        <f>"alter type "&amp;A139&amp;" "&amp;E139&amp;"."</f>
        <v/>
      </c>
    </row>
    <row r="140">
      <c r="A140" s="1" t="inlineStr">
        <is>
          <t>vE2m01</t>
        </is>
      </c>
      <c r="B140" s="1" t="inlineStr">
        <is>
          <t>數值</t>
        </is>
      </c>
      <c r="C140" s="1" t="n">
        <v>2</v>
      </c>
      <c r="D140" s="1" t="n">
        <v>0</v>
      </c>
      <c r="E140" s="1">
        <f>IF(B140="數值","(F"&amp;C140&amp;"."&amp;D140&amp;")","(A"&amp;C140&amp;")")</f>
        <v/>
      </c>
      <c r="F140" s="1">
        <f>"alter type "&amp;A140&amp;" "&amp;E140&amp;"."</f>
        <v/>
      </c>
    </row>
    <row r="141">
      <c r="A141" s="1" t="inlineStr">
        <is>
          <t>vE2m02</t>
        </is>
      </c>
      <c r="B141" s="1" t="inlineStr">
        <is>
          <t>數值</t>
        </is>
      </c>
      <c r="C141" s="1" t="n">
        <v>2</v>
      </c>
      <c r="D141" s="1" t="n">
        <v>0</v>
      </c>
      <c r="E141" s="1">
        <f>IF(B141="數值","(F"&amp;C141&amp;"."&amp;D141&amp;")","(A"&amp;C141&amp;")")</f>
        <v/>
      </c>
      <c r="F141" s="1">
        <f>"alter type "&amp;A141&amp;" "&amp;E141&amp;"."</f>
        <v/>
      </c>
    </row>
    <row r="142">
      <c r="A142" s="1" t="inlineStr">
        <is>
          <t>vE2m03</t>
        </is>
      </c>
      <c r="B142" s="1" t="inlineStr">
        <is>
          <t>數值</t>
        </is>
      </c>
      <c r="C142" s="1" t="n">
        <v>2</v>
      </c>
      <c r="D142" s="1" t="n">
        <v>0</v>
      </c>
      <c r="E142" s="1">
        <f>IF(B142="數值","(F"&amp;C142&amp;"."&amp;D142&amp;")","(A"&amp;C142&amp;")")</f>
        <v/>
      </c>
      <c r="F142" s="1">
        <f>"alter type "&amp;A142&amp;" "&amp;E142&amp;"."</f>
        <v/>
      </c>
    </row>
    <row r="143">
      <c r="A143" s="1" t="inlineStr">
        <is>
          <t>vE2m04</t>
        </is>
      </c>
      <c r="B143" s="1" t="inlineStr">
        <is>
          <t>數值</t>
        </is>
      </c>
      <c r="C143" s="1" t="n">
        <v>2</v>
      </c>
      <c r="D143" s="1" t="n">
        <v>0</v>
      </c>
      <c r="E143" s="1">
        <f>IF(B143="數值","(F"&amp;C143&amp;"."&amp;D143&amp;")","(A"&amp;C143&amp;")")</f>
        <v/>
      </c>
      <c r="F143" s="1">
        <f>"alter type "&amp;A143&amp;" "&amp;E143&amp;"."</f>
        <v/>
      </c>
    </row>
    <row r="144">
      <c r="A144" s="1" t="inlineStr">
        <is>
          <t>vE2m88</t>
        </is>
      </c>
      <c r="B144" s="1" t="inlineStr">
        <is>
          <t>數值</t>
        </is>
      </c>
      <c r="C144" s="1" t="n">
        <v>2</v>
      </c>
      <c r="D144" s="1" t="n">
        <v>0</v>
      </c>
      <c r="E144" s="1">
        <f>IF(B144="數值","(F"&amp;C144&amp;"."&amp;D144&amp;")","(A"&amp;C144&amp;")")</f>
        <v/>
      </c>
      <c r="F144" s="1">
        <f>"alter type "&amp;A144&amp;" "&amp;E144&amp;"."</f>
        <v/>
      </c>
    </row>
    <row r="145">
      <c r="A145" s="1" t="inlineStr">
        <is>
          <t>vE2o88</t>
        </is>
      </c>
      <c r="B145" s="1" t="inlineStr">
        <is>
          <t>字串</t>
        </is>
      </c>
      <c r="C145" s="1" t="n">
        <v>150</v>
      </c>
      <c r="D145" s="1" t="n">
        <v>0</v>
      </c>
      <c r="E145" s="1">
        <f>IF(B145="數值","(F"&amp;C145&amp;"."&amp;D145&amp;")","(A"&amp;C145&amp;")")</f>
        <v/>
      </c>
      <c r="F145" s="1">
        <f>"alter type "&amp;A145&amp;" "&amp;E145&amp;"."</f>
        <v/>
      </c>
    </row>
    <row r="146">
      <c r="A146" s="1" t="inlineStr">
        <is>
          <t>vE17</t>
        </is>
      </c>
      <c r="B146" s="1" t="inlineStr">
        <is>
          <t>數值</t>
        </is>
      </c>
      <c r="C146" s="1" t="n">
        <v>2</v>
      </c>
      <c r="D146" s="1" t="n">
        <v>0</v>
      </c>
      <c r="E146" s="1">
        <f>IF(B146="數值","(F"&amp;C146&amp;"."&amp;D146&amp;")","(A"&amp;C146&amp;")")</f>
        <v/>
      </c>
      <c r="F146" s="1">
        <f>"alter type "&amp;A146&amp;" "&amp;E146&amp;"."</f>
        <v/>
      </c>
    </row>
    <row r="147">
      <c r="A147" s="1" t="inlineStr">
        <is>
          <t>vE17o88</t>
        </is>
      </c>
      <c r="B147" s="1" t="inlineStr">
        <is>
          <t>字串</t>
        </is>
      </c>
      <c r="C147" s="1" t="n">
        <v>150</v>
      </c>
      <c r="D147" s="1" t="n">
        <v>0</v>
      </c>
      <c r="E147" s="1">
        <f>IF(B147="數值","(F"&amp;C147&amp;"."&amp;D147&amp;")","(A"&amp;C147&amp;")")</f>
        <v/>
      </c>
      <c r="F147" s="1">
        <f>"alter type "&amp;A147&amp;" "&amp;E147&amp;"."</f>
        <v/>
      </c>
    </row>
    <row r="148">
      <c r="A148" s="1" t="inlineStr">
        <is>
          <t>vE18</t>
        </is>
      </c>
      <c r="B148" s="1" t="inlineStr">
        <is>
          <t>數值</t>
        </is>
      </c>
      <c r="C148" s="1" t="n">
        <v>2</v>
      </c>
      <c r="D148" s="1" t="n">
        <v>0</v>
      </c>
      <c r="E148" s="1">
        <f>IF(B148="數值","(F"&amp;C148&amp;"."&amp;D148&amp;")","(A"&amp;C148&amp;")")</f>
        <v/>
      </c>
      <c r="F148" s="1">
        <f>"alter type "&amp;A148&amp;" "&amp;E148&amp;"."</f>
        <v/>
      </c>
    </row>
    <row r="149">
      <c r="A149" s="1" t="inlineStr">
        <is>
          <t>vE18o88</t>
        </is>
      </c>
      <c r="B149" s="1" t="inlineStr">
        <is>
          <t>字串</t>
        </is>
      </c>
      <c r="C149" s="1" t="n">
        <v>150</v>
      </c>
      <c r="D149" s="1" t="n">
        <v>0</v>
      </c>
      <c r="E149" s="1">
        <f>IF(B149="數值","(F"&amp;C149&amp;"."&amp;D149&amp;")","(A"&amp;C149&amp;")")</f>
        <v/>
      </c>
      <c r="F149" s="1">
        <f>"alter type "&amp;A149&amp;" "&amp;E149&amp;"."</f>
        <v/>
      </c>
    </row>
    <row r="150">
      <c r="A150" s="1" t="inlineStr">
        <is>
          <t>vE4</t>
        </is>
      </c>
      <c r="B150" s="1" t="inlineStr">
        <is>
          <t>數值</t>
        </is>
      </c>
      <c r="C150" s="1" t="n">
        <v>4</v>
      </c>
      <c r="D150" s="1" t="n">
        <v>1</v>
      </c>
      <c r="E150" s="1">
        <f>IF(B150="數值","(F"&amp;C150&amp;"."&amp;D150&amp;")","(A"&amp;C150&amp;")")</f>
        <v/>
      </c>
      <c r="F150" s="1">
        <f>"alter type "&amp;A150&amp;" "&amp;E150&amp;"."</f>
        <v/>
      </c>
    </row>
    <row r="151">
      <c r="A151" s="1" t="inlineStr">
        <is>
          <t>vCKE4</t>
        </is>
      </c>
      <c r="B151" s="1" t="inlineStr">
        <is>
          <t>數值</t>
        </is>
      </c>
      <c r="C151" s="1" t="n">
        <v>2</v>
      </c>
      <c r="D151" s="1" t="n">
        <v>0</v>
      </c>
      <c r="E151" s="1">
        <f>IF(B151="數值","(F"&amp;C151&amp;"."&amp;D151&amp;")","(A"&amp;C151&amp;")")</f>
        <v/>
      </c>
      <c r="F151" s="1">
        <f>"alter type "&amp;A151&amp;" "&amp;E151&amp;"."</f>
        <v/>
      </c>
    </row>
    <row r="152">
      <c r="A152" s="1" t="inlineStr">
        <is>
          <t>vE5sE5</t>
        </is>
      </c>
      <c r="B152" s="1" t="inlineStr">
        <is>
          <t>數值</t>
        </is>
      </c>
      <c r="C152" s="1" t="n">
        <v>5</v>
      </c>
      <c r="D152" s="1" t="n">
        <v>0</v>
      </c>
      <c r="E152" s="1">
        <f>IF(B152="數值","(F"&amp;C152&amp;"."&amp;D152&amp;")","(A"&amp;C152&amp;")")</f>
        <v/>
      </c>
      <c r="F152" s="1">
        <f>"alter type "&amp;A152&amp;" "&amp;E152&amp;"."</f>
        <v/>
      </c>
    </row>
    <row r="153">
      <c r="A153" s="1" t="inlineStr">
        <is>
          <t>vE5sE6</t>
        </is>
      </c>
      <c r="B153" s="1" t="inlineStr">
        <is>
          <t>數值</t>
        </is>
      </c>
      <c r="C153" s="1" t="n">
        <v>5</v>
      </c>
      <c r="D153" s="1" t="n">
        <v>0</v>
      </c>
      <c r="E153" s="1">
        <f>IF(B153="數值","(F"&amp;C153&amp;"."&amp;D153&amp;")","(A"&amp;C153&amp;")")</f>
        <v/>
      </c>
      <c r="F153" s="1">
        <f>"alter type "&amp;A153&amp;" "&amp;E153&amp;"."</f>
        <v/>
      </c>
    </row>
    <row r="154">
      <c r="A154" s="1" t="inlineStr">
        <is>
          <t>vE7</t>
        </is>
      </c>
      <c r="B154" s="1" t="inlineStr">
        <is>
          <t>數值</t>
        </is>
      </c>
      <c r="C154" s="1" t="n">
        <v>4</v>
      </c>
      <c r="D154" s="1" t="n">
        <v>1</v>
      </c>
      <c r="E154" s="1">
        <f>IF(B154="數值","(F"&amp;C154&amp;"."&amp;D154&amp;")","(A"&amp;C154&amp;")")</f>
        <v/>
      </c>
      <c r="F154" s="1">
        <f>"alter type "&amp;A154&amp;" "&amp;E154&amp;"."</f>
        <v/>
      </c>
    </row>
    <row r="155">
      <c r="A155" s="1" t="inlineStr">
        <is>
          <t>vE8sE8</t>
        </is>
      </c>
      <c r="B155" s="1" t="inlineStr">
        <is>
          <t>數值</t>
        </is>
      </c>
      <c r="C155" s="1" t="n">
        <v>5</v>
      </c>
      <c r="D155" s="1" t="n">
        <v>0</v>
      </c>
      <c r="E155" s="1">
        <f>IF(B155="數值","(F"&amp;C155&amp;"."&amp;D155&amp;")","(A"&amp;C155&amp;")")</f>
        <v/>
      </c>
      <c r="F155" s="1">
        <f>"alter type "&amp;A155&amp;" "&amp;E155&amp;"."</f>
        <v/>
      </c>
    </row>
    <row r="156">
      <c r="A156" s="1" t="inlineStr">
        <is>
          <t>vE8sE9</t>
        </is>
      </c>
      <c r="B156" s="1" t="inlineStr">
        <is>
          <t>數值</t>
        </is>
      </c>
      <c r="C156" s="1" t="n">
        <v>5</v>
      </c>
      <c r="D156" s="1" t="n">
        <v>0</v>
      </c>
      <c r="E156" s="1">
        <f>IF(B156="數值","(F"&amp;C156&amp;"."&amp;D156&amp;")","(A"&amp;C156&amp;")")</f>
        <v/>
      </c>
      <c r="F156" s="1">
        <f>"alter type "&amp;A156&amp;" "&amp;E156&amp;"."</f>
        <v/>
      </c>
    </row>
    <row r="157">
      <c r="A157" s="1" t="inlineStr">
        <is>
          <t>vE10</t>
        </is>
      </c>
      <c r="B157" s="1" t="inlineStr">
        <is>
          <t>數值</t>
        </is>
      </c>
      <c r="C157" s="1" t="n">
        <v>4</v>
      </c>
      <c r="D157" s="1" t="n">
        <v>1</v>
      </c>
      <c r="E157" s="1">
        <f>IF(B157="數值","(F"&amp;C157&amp;"."&amp;D157&amp;")","(A"&amp;C157&amp;")")</f>
        <v/>
      </c>
      <c r="F157" s="1">
        <f>"alter type "&amp;A157&amp;" "&amp;E157&amp;"."</f>
        <v/>
      </c>
    </row>
    <row r="158">
      <c r="A158" s="1" t="inlineStr">
        <is>
          <t>vE11sE11</t>
        </is>
      </c>
      <c r="B158" s="1" t="inlineStr">
        <is>
          <t>數值</t>
        </is>
      </c>
      <c r="C158" s="1" t="n">
        <v>5</v>
      </c>
      <c r="D158" s="1" t="n">
        <v>0</v>
      </c>
      <c r="E158" s="1">
        <f>IF(B158="數值","(F"&amp;C158&amp;"."&amp;D158&amp;")","(A"&amp;C158&amp;")")</f>
        <v/>
      </c>
      <c r="F158" s="1">
        <f>"alter type "&amp;A158&amp;" "&amp;E158&amp;"."</f>
        <v/>
      </c>
    </row>
    <row r="159">
      <c r="A159" s="1" t="inlineStr">
        <is>
          <t>vE11sE12</t>
        </is>
      </c>
      <c r="B159" s="1" t="inlineStr">
        <is>
          <t>數值</t>
        </is>
      </c>
      <c r="C159" s="1" t="n">
        <v>5</v>
      </c>
      <c r="D159" s="1" t="n">
        <v>0</v>
      </c>
      <c r="E159" s="1">
        <f>IF(B159="數值","(F"&amp;C159&amp;"."&amp;D159&amp;")","(A"&amp;C159&amp;")")</f>
        <v/>
      </c>
      <c r="F159" s="1">
        <f>"alter type "&amp;A159&amp;" "&amp;E159&amp;"."</f>
        <v/>
      </c>
    </row>
    <row r="160">
      <c r="A160" s="1" t="inlineStr">
        <is>
          <t>vE3_1</t>
        </is>
      </c>
      <c r="B160" s="1" t="inlineStr">
        <is>
          <t>字串</t>
        </is>
      </c>
      <c r="C160" s="1" t="n">
        <v>3000</v>
      </c>
      <c r="D160" s="1" t="n">
        <v>0</v>
      </c>
      <c r="E160" s="1">
        <f>IF(B160="數值","(F"&amp;C160&amp;"."&amp;D160&amp;")","(A"&amp;C160&amp;")")</f>
        <v/>
      </c>
      <c r="F160" s="1">
        <f>"alter type "&amp;A160&amp;" "&amp;E160&amp;"."</f>
        <v/>
      </c>
    </row>
    <row r="161">
      <c r="A161" s="1" t="inlineStr">
        <is>
          <t>vE3</t>
        </is>
      </c>
      <c r="B161" s="1" t="inlineStr">
        <is>
          <t>數值</t>
        </is>
      </c>
      <c r="C161" s="1" t="n">
        <v>5</v>
      </c>
      <c r="D161" s="1" t="n">
        <v>0</v>
      </c>
      <c r="E161" s="1">
        <f>IF(B161="數值","(F"&amp;C161&amp;"."&amp;D161&amp;")","(A"&amp;C161&amp;")")</f>
        <v/>
      </c>
      <c r="F161" s="1">
        <f>"alter type "&amp;A161&amp;" "&amp;E161&amp;"."</f>
        <v/>
      </c>
    </row>
    <row r="162">
      <c r="A162" s="1" t="inlineStr">
        <is>
          <t>vE13m01</t>
        </is>
      </c>
      <c r="B162" s="1" t="inlineStr">
        <is>
          <t>數值</t>
        </is>
      </c>
      <c r="C162" s="1" t="n">
        <v>2</v>
      </c>
      <c r="D162" s="1" t="n">
        <v>0</v>
      </c>
      <c r="E162" s="1">
        <f>IF(B162="數值","(F"&amp;C162&amp;"."&amp;D162&amp;")","(A"&amp;C162&amp;")")</f>
        <v/>
      </c>
      <c r="F162" s="1">
        <f>"alter type "&amp;A162&amp;" "&amp;E162&amp;"."</f>
        <v/>
      </c>
    </row>
    <row r="163">
      <c r="A163" s="1" t="inlineStr">
        <is>
          <t>vE13m02</t>
        </is>
      </c>
      <c r="B163" s="1" t="inlineStr">
        <is>
          <t>數值</t>
        </is>
      </c>
      <c r="C163" s="1" t="n">
        <v>2</v>
      </c>
      <c r="D163" s="1" t="n">
        <v>0</v>
      </c>
      <c r="E163" s="1">
        <f>IF(B163="數值","(F"&amp;C163&amp;"."&amp;D163&amp;")","(A"&amp;C163&amp;")")</f>
        <v/>
      </c>
      <c r="F163" s="1">
        <f>"alter type "&amp;A163&amp;" "&amp;E163&amp;"."</f>
        <v/>
      </c>
    </row>
    <row r="164">
      <c r="A164" s="1" t="inlineStr">
        <is>
          <t>vE13m03</t>
        </is>
      </c>
      <c r="B164" s="1" t="inlineStr">
        <is>
          <t>數值</t>
        </is>
      </c>
      <c r="C164" s="1" t="n">
        <v>2</v>
      </c>
      <c r="D164" s="1" t="n">
        <v>0</v>
      </c>
      <c r="E164" s="1">
        <f>IF(B164="數值","(F"&amp;C164&amp;"."&amp;D164&amp;")","(A"&amp;C164&amp;")")</f>
        <v/>
      </c>
      <c r="F164" s="1">
        <f>"alter type "&amp;A164&amp;" "&amp;E164&amp;"."</f>
        <v/>
      </c>
    </row>
    <row r="165">
      <c r="A165" s="1" t="inlineStr">
        <is>
          <t>vE13m04</t>
        </is>
      </c>
      <c r="B165" s="1" t="inlineStr">
        <is>
          <t>數值</t>
        </is>
      </c>
      <c r="C165" s="1" t="n">
        <v>2</v>
      </c>
      <c r="D165" s="1" t="n">
        <v>0</v>
      </c>
      <c r="E165" s="1">
        <f>IF(B165="數值","(F"&amp;C165&amp;"."&amp;D165&amp;")","(A"&amp;C165&amp;")")</f>
        <v/>
      </c>
      <c r="F165" s="1">
        <f>"alter type "&amp;A165&amp;" "&amp;E165&amp;"."</f>
        <v/>
      </c>
    </row>
    <row r="166">
      <c r="A166" s="1" t="inlineStr">
        <is>
          <t>vE13m05</t>
        </is>
      </c>
      <c r="B166" s="1" t="inlineStr">
        <is>
          <t>數值</t>
        </is>
      </c>
      <c r="C166" s="1" t="n">
        <v>2</v>
      </c>
      <c r="D166" s="1" t="n">
        <v>0</v>
      </c>
      <c r="E166" s="1">
        <f>IF(B166="數值","(F"&amp;C166&amp;"."&amp;D166&amp;")","(A"&amp;C166&amp;")")</f>
        <v/>
      </c>
      <c r="F166" s="1">
        <f>"alter type "&amp;A166&amp;" "&amp;E166&amp;"."</f>
        <v/>
      </c>
    </row>
    <row r="167">
      <c r="A167" s="1" t="inlineStr">
        <is>
          <t>vE13m06</t>
        </is>
      </c>
      <c r="B167" s="1" t="inlineStr">
        <is>
          <t>數值</t>
        </is>
      </c>
      <c r="C167" s="1" t="n">
        <v>2</v>
      </c>
      <c r="D167" s="1" t="n">
        <v>0</v>
      </c>
      <c r="E167" s="1">
        <f>IF(B167="數值","(F"&amp;C167&amp;"."&amp;D167&amp;")","(A"&amp;C167&amp;")")</f>
        <v/>
      </c>
      <c r="F167" s="1">
        <f>"alter type "&amp;A167&amp;" "&amp;E167&amp;"."</f>
        <v/>
      </c>
    </row>
    <row r="168">
      <c r="A168" s="1" t="inlineStr">
        <is>
          <t>vE13m88</t>
        </is>
      </c>
      <c r="B168" s="1" t="inlineStr">
        <is>
          <t>數值</t>
        </is>
      </c>
      <c r="C168" s="1" t="n">
        <v>2</v>
      </c>
      <c r="D168" s="1" t="n">
        <v>0</v>
      </c>
      <c r="E168" s="1">
        <f>IF(B168="數值","(F"&amp;C168&amp;"."&amp;D168&amp;")","(A"&amp;C168&amp;")")</f>
        <v/>
      </c>
      <c r="F168" s="1">
        <f>"alter type "&amp;A168&amp;" "&amp;E168&amp;"."</f>
        <v/>
      </c>
    </row>
    <row r="169">
      <c r="A169" s="1" t="inlineStr">
        <is>
          <t>vE13o88</t>
        </is>
      </c>
      <c r="B169" s="1" t="inlineStr">
        <is>
          <t>字串</t>
        </is>
      </c>
      <c r="C169" s="1" t="n">
        <v>150</v>
      </c>
      <c r="D169" s="1" t="n">
        <v>0</v>
      </c>
      <c r="E169" s="1">
        <f>IF(B169="數值","(F"&amp;C169&amp;"."&amp;D169&amp;")","(A"&amp;C169&amp;")")</f>
        <v/>
      </c>
      <c r="F169" s="1">
        <f>"alter type "&amp;A169&amp;" "&amp;E169&amp;"."</f>
        <v/>
      </c>
    </row>
    <row r="170">
      <c r="A170" s="1" t="inlineStr">
        <is>
          <t>vE14</t>
        </is>
      </c>
      <c r="B170" s="1" t="inlineStr">
        <is>
          <t>數值</t>
        </is>
      </c>
      <c r="C170" s="1" t="n">
        <v>7</v>
      </c>
      <c r="D170" s="1" t="n">
        <v>0</v>
      </c>
      <c r="E170" s="1">
        <f>IF(B170="數值","(F"&amp;C170&amp;"."&amp;D170&amp;")","(A"&amp;C170&amp;")")</f>
        <v/>
      </c>
      <c r="F170" s="1">
        <f>"alter type "&amp;A170&amp;" "&amp;E170&amp;"."</f>
        <v/>
      </c>
    </row>
    <row r="171">
      <c r="A171" s="1" t="inlineStr">
        <is>
          <t>vQ1m01</t>
        </is>
      </c>
      <c r="B171" s="1" t="inlineStr">
        <is>
          <t>數值</t>
        </is>
      </c>
      <c r="C171" s="1" t="n">
        <v>2</v>
      </c>
      <c r="D171" s="1" t="n">
        <v>0</v>
      </c>
      <c r="E171" s="1">
        <f>IF(B171="數值","(F"&amp;C171&amp;"."&amp;D171&amp;")","(A"&amp;C171&amp;")")</f>
        <v/>
      </c>
      <c r="F171" s="1">
        <f>"alter type "&amp;A171&amp;" "&amp;E171&amp;"."</f>
        <v/>
      </c>
    </row>
    <row r="172">
      <c r="A172" s="1" t="inlineStr">
        <is>
          <t>vQ1m02</t>
        </is>
      </c>
      <c r="B172" s="1" t="inlineStr">
        <is>
          <t>數值</t>
        </is>
      </c>
      <c r="C172" s="1" t="n">
        <v>2</v>
      </c>
      <c r="D172" s="1" t="n">
        <v>0</v>
      </c>
      <c r="E172" s="1">
        <f>IF(B172="數值","(F"&amp;C172&amp;"."&amp;D172&amp;")","(A"&amp;C172&amp;")")</f>
        <v/>
      </c>
      <c r="F172" s="1">
        <f>"alter type "&amp;A172&amp;" "&amp;E172&amp;"."</f>
        <v/>
      </c>
    </row>
    <row r="173">
      <c r="A173" s="1" t="inlineStr">
        <is>
          <t>vQ1m03</t>
        </is>
      </c>
      <c r="B173" s="1" t="inlineStr">
        <is>
          <t>數值</t>
        </is>
      </c>
      <c r="C173" s="1" t="n">
        <v>2</v>
      </c>
      <c r="D173" s="1" t="n">
        <v>0</v>
      </c>
      <c r="E173" s="1">
        <f>IF(B173="數值","(F"&amp;C173&amp;"."&amp;D173&amp;")","(A"&amp;C173&amp;")")</f>
        <v/>
      </c>
      <c r="F173" s="1">
        <f>"alter type "&amp;A173&amp;" "&amp;E173&amp;"."</f>
        <v/>
      </c>
    </row>
    <row r="174">
      <c r="A174" s="1" t="inlineStr">
        <is>
          <t>vQ1m04</t>
        </is>
      </c>
      <c r="B174" s="1" t="inlineStr">
        <is>
          <t>數值</t>
        </is>
      </c>
      <c r="C174" s="1" t="n">
        <v>2</v>
      </c>
      <c r="D174" s="1" t="n">
        <v>0</v>
      </c>
      <c r="E174" s="1">
        <f>IF(B174="數值","(F"&amp;C174&amp;"."&amp;D174&amp;")","(A"&amp;C174&amp;")")</f>
        <v/>
      </c>
      <c r="F174" s="1">
        <f>"alter type "&amp;A174&amp;" "&amp;E174&amp;"."</f>
        <v/>
      </c>
    </row>
    <row r="175">
      <c r="A175" s="1" t="inlineStr">
        <is>
          <t>vQ1m05</t>
        </is>
      </c>
      <c r="B175" s="1" t="inlineStr">
        <is>
          <t>數值</t>
        </is>
      </c>
      <c r="C175" s="1" t="n">
        <v>2</v>
      </c>
      <c r="D175" s="1" t="n">
        <v>0</v>
      </c>
      <c r="E175" s="1">
        <f>IF(B175="數值","(F"&amp;C175&amp;"."&amp;D175&amp;")","(A"&amp;C175&amp;")")</f>
        <v/>
      </c>
      <c r="F175" s="1">
        <f>"alter type "&amp;A175&amp;" "&amp;E175&amp;"."</f>
        <v/>
      </c>
    </row>
    <row r="176">
      <c r="A176" s="1" t="inlineStr">
        <is>
          <t>vQ1m06</t>
        </is>
      </c>
      <c r="B176" s="1" t="inlineStr">
        <is>
          <t>數值</t>
        </is>
      </c>
      <c r="C176" s="1" t="n">
        <v>2</v>
      </c>
      <c r="D176" s="1" t="n">
        <v>0</v>
      </c>
      <c r="E176" s="1">
        <f>IF(B176="數值","(F"&amp;C176&amp;"."&amp;D176&amp;")","(A"&amp;C176&amp;")")</f>
        <v/>
      </c>
      <c r="F176" s="1">
        <f>"alter type "&amp;A176&amp;" "&amp;E176&amp;"."</f>
        <v/>
      </c>
    </row>
    <row r="177">
      <c r="A177" s="1" t="inlineStr">
        <is>
          <t>vQ1m07</t>
        </is>
      </c>
      <c r="B177" s="1" t="inlineStr">
        <is>
          <t>數值</t>
        </is>
      </c>
      <c r="C177" s="1" t="n">
        <v>2</v>
      </c>
      <c r="D177" s="1" t="n">
        <v>0</v>
      </c>
      <c r="E177" s="1">
        <f>IF(B177="數值","(F"&amp;C177&amp;"."&amp;D177&amp;")","(A"&amp;C177&amp;")")</f>
        <v/>
      </c>
      <c r="F177" s="1">
        <f>"alter type "&amp;A177&amp;" "&amp;E177&amp;"."</f>
        <v/>
      </c>
    </row>
    <row r="178">
      <c r="A178" s="1" t="inlineStr">
        <is>
          <t>vQ1m08</t>
        </is>
      </c>
      <c r="B178" s="1" t="inlineStr">
        <is>
          <t>數值</t>
        </is>
      </c>
      <c r="C178" s="1" t="n">
        <v>2</v>
      </c>
      <c r="D178" s="1" t="n">
        <v>0</v>
      </c>
      <c r="E178" s="1">
        <f>IF(B178="數值","(F"&amp;C178&amp;"."&amp;D178&amp;")","(A"&amp;C178&amp;")")</f>
        <v/>
      </c>
      <c r="F178" s="1">
        <f>"alter type "&amp;A178&amp;" "&amp;E178&amp;"."</f>
        <v/>
      </c>
    </row>
    <row r="179">
      <c r="A179" s="1" t="inlineStr">
        <is>
          <t>vQ1m09</t>
        </is>
      </c>
      <c r="B179" s="1" t="inlineStr">
        <is>
          <t>數值</t>
        </is>
      </c>
      <c r="C179" s="1" t="n">
        <v>2</v>
      </c>
      <c r="D179" s="1" t="n">
        <v>0</v>
      </c>
      <c r="E179" s="1">
        <f>IF(B179="數值","(F"&amp;C179&amp;"."&amp;D179&amp;")","(A"&amp;C179&amp;")")</f>
        <v/>
      </c>
      <c r="F179" s="1">
        <f>"alter type "&amp;A179&amp;" "&amp;E179&amp;"."</f>
        <v/>
      </c>
    </row>
    <row r="180">
      <c r="A180" s="1" t="inlineStr">
        <is>
          <t>vQ1m10</t>
        </is>
      </c>
      <c r="B180" s="1" t="inlineStr">
        <is>
          <t>數值</t>
        </is>
      </c>
      <c r="C180" s="1" t="n">
        <v>2</v>
      </c>
      <c r="D180" s="1" t="n">
        <v>0</v>
      </c>
      <c r="E180" s="1">
        <f>IF(B180="數值","(F"&amp;C180&amp;"."&amp;D180&amp;")","(A"&amp;C180&amp;")")</f>
        <v/>
      </c>
      <c r="F180" s="1">
        <f>"alter type "&amp;A180&amp;" "&amp;E180&amp;"."</f>
        <v/>
      </c>
    </row>
    <row r="181">
      <c r="A181" s="1" t="inlineStr">
        <is>
          <t>vQ1m88</t>
        </is>
      </c>
      <c r="B181" s="1" t="inlineStr">
        <is>
          <t>數值</t>
        </is>
      </c>
      <c r="C181" s="1" t="n">
        <v>2</v>
      </c>
      <c r="D181" s="1" t="n">
        <v>0</v>
      </c>
      <c r="E181" s="1">
        <f>IF(B181="數值","(F"&amp;C181&amp;"."&amp;D181&amp;")","(A"&amp;C181&amp;")")</f>
        <v/>
      </c>
      <c r="F181" s="1">
        <f>"alter type "&amp;A181&amp;" "&amp;E181&amp;"."</f>
        <v/>
      </c>
    </row>
    <row r="182">
      <c r="A182" s="1" t="inlineStr">
        <is>
          <t>vQ1o88</t>
        </is>
      </c>
      <c r="B182" s="1" t="inlineStr">
        <is>
          <t>字串</t>
        </is>
      </c>
      <c r="C182" s="1" t="n">
        <v>150</v>
      </c>
      <c r="D182" s="1" t="n">
        <v>0</v>
      </c>
      <c r="E182" s="1">
        <f>IF(B182="數值","(F"&amp;C182&amp;"."&amp;D182&amp;")","(A"&amp;C182&amp;")")</f>
        <v/>
      </c>
      <c r="F182" s="1">
        <f>"alter type "&amp;A182&amp;" "&amp;E182&amp;"."</f>
        <v/>
      </c>
    </row>
    <row r="183">
      <c r="A183" s="1" t="inlineStr">
        <is>
          <t>vE15s01</t>
        </is>
      </c>
      <c r="B183" s="1" t="inlineStr">
        <is>
          <t>數值</t>
        </is>
      </c>
      <c r="C183" s="1" t="n">
        <v>2</v>
      </c>
      <c r="D183" s="1" t="n">
        <v>0</v>
      </c>
      <c r="E183" s="1">
        <f>IF(B183="數值","(F"&amp;C183&amp;"."&amp;D183&amp;")","(A"&amp;C183&amp;")")</f>
        <v/>
      </c>
      <c r="F183" s="1">
        <f>"alter type "&amp;A183&amp;" "&amp;E183&amp;"."</f>
        <v/>
      </c>
    </row>
    <row r="184">
      <c r="A184" s="1" t="inlineStr">
        <is>
          <t>vE15s02</t>
        </is>
      </c>
      <c r="B184" s="1" t="inlineStr">
        <is>
          <t>數值</t>
        </is>
      </c>
      <c r="C184" s="1" t="n">
        <v>2</v>
      </c>
      <c r="D184" s="1" t="n">
        <v>0</v>
      </c>
      <c r="E184" s="1">
        <f>IF(B184="數值","(F"&amp;C184&amp;"."&amp;D184&amp;")","(A"&amp;C184&amp;")")</f>
        <v/>
      </c>
      <c r="F184" s="1">
        <f>"alter type "&amp;A184&amp;" "&amp;E184&amp;"."</f>
        <v/>
      </c>
    </row>
    <row r="185">
      <c r="A185" s="1" t="inlineStr">
        <is>
          <t>vE15s03</t>
        </is>
      </c>
      <c r="B185" s="1" t="inlineStr">
        <is>
          <t>數值</t>
        </is>
      </c>
      <c r="C185" s="1" t="n">
        <v>2</v>
      </c>
      <c r="D185" s="1" t="n">
        <v>0</v>
      </c>
      <c r="E185" s="1">
        <f>IF(B185="數值","(F"&amp;C185&amp;"."&amp;D185&amp;")","(A"&amp;C185&amp;")")</f>
        <v/>
      </c>
      <c r="F185" s="1">
        <f>"alter type "&amp;A185&amp;" "&amp;E185&amp;"."</f>
        <v/>
      </c>
    </row>
    <row r="186">
      <c r="A186" s="1" t="inlineStr">
        <is>
          <t>vQ2m01</t>
        </is>
      </c>
      <c r="B186" s="1" t="inlineStr">
        <is>
          <t>數值</t>
        </is>
      </c>
      <c r="C186" s="1" t="n">
        <v>2</v>
      </c>
      <c r="D186" s="1" t="n">
        <v>0</v>
      </c>
      <c r="E186" s="1">
        <f>IF(B186="數值","(F"&amp;C186&amp;"."&amp;D186&amp;")","(A"&amp;C186&amp;")")</f>
        <v/>
      </c>
      <c r="F186" s="1">
        <f>"alter type "&amp;A186&amp;" "&amp;E186&amp;"."</f>
        <v/>
      </c>
    </row>
    <row r="187">
      <c r="A187" s="1" t="inlineStr">
        <is>
          <t>vQ2m02</t>
        </is>
      </c>
      <c r="B187" s="1" t="inlineStr">
        <is>
          <t>數值</t>
        </is>
      </c>
      <c r="C187" s="1" t="n">
        <v>2</v>
      </c>
      <c r="D187" s="1" t="n">
        <v>0</v>
      </c>
      <c r="E187" s="1">
        <f>IF(B187="數值","(F"&amp;C187&amp;"."&amp;D187&amp;")","(A"&amp;C187&amp;")")</f>
        <v/>
      </c>
      <c r="F187" s="1">
        <f>"alter type "&amp;A187&amp;" "&amp;E187&amp;"."</f>
        <v/>
      </c>
    </row>
    <row r="188">
      <c r="A188" s="1" t="inlineStr">
        <is>
          <t>vQ2m03</t>
        </is>
      </c>
      <c r="B188" s="1" t="inlineStr">
        <is>
          <t>數值</t>
        </is>
      </c>
      <c r="C188" s="1" t="n">
        <v>2</v>
      </c>
      <c r="D188" s="1" t="n">
        <v>0</v>
      </c>
      <c r="E188" s="1">
        <f>IF(B188="數值","(F"&amp;C188&amp;"."&amp;D188&amp;")","(A"&amp;C188&amp;")")</f>
        <v/>
      </c>
      <c r="F188" s="1">
        <f>"alter type "&amp;A188&amp;" "&amp;E188&amp;"."</f>
        <v/>
      </c>
    </row>
    <row r="189">
      <c r="A189" s="1" t="inlineStr">
        <is>
          <t>vQ2m04</t>
        </is>
      </c>
      <c r="B189" s="1" t="inlineStr">
        <is>
          <t>數值</t>
        </is>
      </c>
      <c r="C189" s="1" t="n">
        <v>2</v>
      </c>
      <c r="D189" s="1" t="n">
        <v>0</v>
      </c>
      <c r="E189" s="1">
        <f>IF(B189="數值","(F"&amp;C189&amp;"."&amp;D189&amp;")","(A"&amp;C189&amp;")")</f>
        <v/>
      </c>
      <c r="F189" s="1">
        <f>"alter type "&amp;A189&amp;" "&amp;E189&amp;"."</f>
        <v/>
      </c>
    </row>
    <row r="190">
      <c r="A190" s="1" t="inlineStr">
        <is>
          <t>vQ2m88</t>
        </is>
      </c>
      <c r="B190" s="1" t="inlineStr">
        <is>
          <t>數值</t>
        </is>
      </c>
      <c r="C190" s="1" t="n">
        <v>2</v>
      </c>
      <c r="D190" s="1" t="n">
        <v>0</v>
      </c>
      <c r="E190" s="1">
        <f>IF(B190="數值","(F"&amp;C190&amp;"."&amp;D190&amp;")","(A"&amp;C190&amp;")")</f>
        <v/>
      </c>
      <c r="F190" s="1">
        <f>"alter type "&amp;A190&amp;" "&amp;E190&amp;"."</f>
        <v/>
      </c>
    </row>
    <row r="191">
      <c r="A191" s="1" t="inlineStr">
        <is>
          <t>vQ2m90</t>
        </is>
      </c>
      <c r="B191" s="1" t="inlineStr">
        <is>
          <t>數值</t>
        </is>
      </c>
      <c r="C191" s="1" t="n">
        <v>2</v>
      </c>
      <c r="D191" s="1" t="n">
        <v>0</v>
      </c>
      <c r="E191" s="1">
        <f>IF(B191="數值","(F"&amp;C191&amp;"."&amp;D191&amp;")","(A"&amp;C191&amp;")")</f>
        <v/>
      </c>
      <c r="F191" s="1">
        <f>"alter type "&amp;A191&amp;" "&amp;E191&amp;"."</f>
        <v/>
      </c>
    </row>
    <row r="192">
      <c r="A192" s="1" t="inlineStr">
        <is>
          <t>vQ2o88</t>
        </is>
      </c>
      <c r="B192" s="1" t="inlineStr">
        <is>
          <t>字串</t>
        </is>
      </c>
      <c r="C192" s="1" t="n">
        <v>150</v>
      </c>
      <c r="D192" s="1" t="n">
        <v>0</v>
      </c>
      <c r="E192" s="1">
        <f>IF(B192="數值","(F"&amp;C192&amp;"."&amp;D192&amp;")","(A"&amp;C192&amp;")")</f>
        <v/>
      </c>
      <c r="F192" s="1">
        <f>"alter type "&amp;A192&amp;" "&amp;E192&amp;"."</f>
        <v/>
      </c>
    </row>
    <row r="193">
      <c r="A193" s="1" t="inlineStr">
        <is>
          <t>vQ3m01</t>
        </is>
      </c>
      <c r="B193" s="1" t="inlineStr">
        <is>
          <t>數值</t>
        </is>
      </c>
      <c r="C193" s="1" t="n">
        <v>2</v>
      </c>
      <c r="D193" s="1" t="n">
        <v>0</v>
      </c>
      <c r="E193" s="1">
        <f>IF(B193="數值","(F"&amp;C193&amp;"."&amp;D193&amp;")","(A"&amp;C193&amp;")")</f>
        <v/>
      </c>
      <c r="F193" s="1">
        <f>"alter type "&amp;A193&amp;" "&amp;E193&amp;"."</f>
        <v/>
      </c>
    </row>
    <row r="194">
      <c r="A194" s="1" t="inlineStr">
        <is>
          <t>vQ3m02</t>
        </is>
      </c>
      <c r="B194" s="1" t="inlineStr">
        <is>
          <t>數值</t>
        </is>
      </c>
      <c r="C194" s="1" t="n">
        <v>2</v>
      </c>
      <c r="D194" s="1" t="n">
        <v>0</v>
      </c>
      <c r="E194" s="1">
        <f>IF(B194="數值","(F"&amp;C194&amp;"."&amp;D194&amp;")","(A"&amp;C194&amp;")")</f>
        <v/>
      </c>
      <c r="F194" s="1">
        <f>"alter type "&amp;A194&amp;" "&amp;E194&amp;"."</f>
        <v/>
      </c>
    </row>
    <row r="195">
      <c r="A195" s="1" t="inlineStr">
        <is>
          <t>vQ3m03</t>
        </is>
      </c>
      <c r="B195" s="1" t="inlineStr">
        <is>
          <t>數值</t>
        </is>
      </c>
      <c r="C195" s="1" t="n">
        <v>2</v>
      </c>
      <c r="D195" s="1" t="n">
        <v>0</v>
      </c>
      <c r="E195" s="1">
        <f>IF(B195="數值","(F"&amp;C195&amp;"."&amp;D195&amp;")","(A"&amp;C195&amp;")")</f>
        <v/>
      </c>
      <c r="F195" s="1">
        <f>"alter type "&amp;A195&amp;" "&amp;E195&amp;"."</f>
        <v/>
      </c>
    </row>
    <row r="196">
      <c r="A196" s="1" t="inlineStr">
        <is>
          <t>vQ3m88</t>
        </is>
      </c>
      <c r="B196" s="1" t="inlineStr">
        <is>
          <t>數值</t>
        </is>
      </c>
      <c r="C196" s="1" t="n">
        <v>2</v>
      </c>
      <c r="D196" s="1" t="n">
        <v>0</v>
      </c>
      <c r="E196" s="1">
        <f>IF(B196="數值","(F"&amp;C196&amp;"."&amp;D196&amp;")","(A"&amp;C196&amp;")")</f>
        <v/>
      </c>
      <c r="F196" s="1">
        <f>"alter type "&amp;A196&amp;" "&amp;E196&amp;"."</f>
        <v/>
      </c>
    </row>
    <row r="197">
      <c r="A197" s="1" t="inlineStr">
        <is>
          <t>vQ3m90</t>
        </is>
      </c>
      <c r="B197" s="1" t="inlineStr">
        <is>
          <t>數值</t>
        </is>
      </c>
      <c r="C197" s="1" t="n">
        <v>2</v>
      </c>
      <c r="D197" s="1" t="n">
        <v>0</v>
      </c>
      <c r="E197" s="1">
        <f>IF(B197="數值","(F"&amp;C197&amp;"."&amp;D197&amp;")","(A"&amp;C197&amp;")")</f>
        <v/>
      </c>
      <c r="F197" s="1">
        <f>"alter type "&amp;A197&amp;" "&amp;E197&amp;"."</f>
        <v/>
      </c>
    </row>
    <row r="198">
      <c r="A198" s="1" t="inlineStr">
        <is>
          <t>vQ3o88</t>
        </is>
      </c>
      <c r="B198" s="1" t="inlineStr">
        <is>
          <t>字串</t>
        </is>
      </c>
      <c r="C198" s="1" t="n">
        <v>150</v>
      </c>
      <c r="D198" s="1" t="n">
        <v>0</v>
      </c>
      <c r="E198" s="1">
        <f>IF(B198="數值","(F"&amp;C198&amp;"."&amp;D198&amp;")","(A"&amp;C198&amp;")")</f>
        <v/>
      </c>
      <c r="F198" s="1">
        <f>"alter type "&amp;A198&amp;" "&amp;E198&amp;"."</f>
        <v/>
      </c>
    </row>
    <row r="199">
      <c r="A199" s="1" t="inlineStr">
        <is>
          <t>vE16m01</t>
        </is>
      </c>
      <c r="B199" s="1" t="inlineStr">
        <is>
          <t>數值</t>
        </is>
      </c>
      <c r="C199" s="1" t="n">
        <v>2</v>
      </c>
      <c r="D199" s="1" t="n">
        <v>0</v>
      </c>
      <c r="E199" s="1">
        <f>IF(B199="數值","(F"&amp;C199&amp;"."&amp;D199&amp;")","(A"&amp;C199&amp;")")</f>
        <v/>
      </c>
      <c r="F199" s="1">
        <f>"alter type "&amp;A199&amp;" "&amp;E199&amp;"."</f>
        <v/>
      </c>
    </row>
    <row r="200">
      <c r="A200" s="1" t="inlineStr">
        <is>
          <t>vE16m02</t>
        </is>
      </c>
      <c r="B200" s="1" t="inlineStr">
        <is>
          <t>數值</t>
        </is>
      </c>
      <c r="C200" s="1" t="n">
        <v>2</v>
      </c>
      <c r="D200" s="1" t="n">
        <v>0</v>
      </c>
      <c r="E200" s="1">
        <f>IF(B200="數值","(F"&amp;C200&amp;"."&amp;D200&amp;")","(A"&amp;C200&amp;")")</f>
        <v/>
      </c>
      <c r="F200" s="1">
        <f>"alter type "&amp;A200&amp;" "&amp;E200&amp;"."</f>
        <v/>
      </c>
    </row>
    <row r="201">
      <c r="A201" s="1" t="inlineStr">
        <is>
          <t>vE16m03</t>
        </is>
      </c>
      <c r="B201" s="1" t="inlineStr">
        <is>
          <t>數值</t>
        </is>
      </c>
      <c r="C201" s="1" t="n">
        <v>2</v>
      </c>
      <c r="D201" s="1" t="n">
        <v>0</v>
      </c>
      <c r="E201" s="1">
        <f>IF(B201="數值","(F"&amp;C201&amp;"."&amp;D201&amp;")","(A"&amp;C201&amp;")")</f>
        <v/>
      </c>
      <c r="F201" s="1">
        <f>"alter type "&amp;A201&amp;" "&amp;E201&amp;"."</f>
        <v/>
      </c>
    </row>
    <row r="202">
      <c r="A202" s="1" t="inlineStr">
        <is>
          <t>vE16m04</t>
        </is>
      </c>
      <c r="B202" s="1" t="inlineStr">
        <is>
          <t>數值</t>
        </is>
      </c>
      <c r="C202" s="1" t="n">
        <v>2</v>
      </c>
      <c r="D202" s="1" t="n">
        <v>0</v>
      </c>
      <c r="E202" s="1">
        <f>IF(B202="數值","(F"&amp;C202&amp;"."&amp;D202&amp;")","(A"&amp;C202&amp;")")</f>
        <v/>
      </c>
      <c r="F202" s="1">
        <f>"alter type "&amp;A202&amp;" "&amp;E202&amp;"."</f>
        <v/>
      </c>
    </row>
    <row r="203">
      <c r="A203" s="1" t="inlineStr">
        <is>
          <t>vE16m05</t>
        </is>
      </c>
      <c r="B203" s="1" t="inlineStr">
        <is>
          <t>數值</t>
        </is>
      </c>
      <c r="C203" s="1" t="n">
        <v>2</v>
      </c>
      <c r="D203" s="1" t="n">
        <v>0</v>
      </c>
      <c r="E203" s="1">
        <f>IF(B203="數值","(F"&amp;C203&amp;"."&amp;D203&amp;")","(A"&amp;C203&amp;")")</f>
        <v/>
      </c>
      <c r="F203" s="1">
        <f>"alter type "&amp;A203&amp;" "&amp;E203&amp;"."</f>
        <v/>
      </c>
    </row>
    <row r="204">
      <c r="A204" s="1" t="inlineStr">
        <is>
          <t>vE16m88</t>
        </is>
      </c>
      <c r="B204" s="1" t="inlineStr">
        <is>
          <t>數值</t>
        </is>
      </c>
      <c r="C204" s="1" t="n">
        <v>2</v>
      </c>
      <c r="D204" s="1" t="n">
        <v>0</v>
      </c>
      <c r="E204" s="1">
        <f>IF(B204="數值","(F"&amp;C204&amp;"."&amp;D204&amp;")","(A"&amp;C204&amp;")")</f>
        <v/>
      </c>
      <c r="F204" s="1">
        <f>"alter type "&amp;A204&amp;" "&amp;E204&amp;"."</f>
        <v/>
      </c>
    </row>
    <row r="205">
      <c r="A205" s="1" t="inlineStr">
        <is>
          <t>vE16m90</t>
        </is>
      </c>
      <c r="B205" s="1" t="inlineStr">
        <is>
          <t>數值</t>
        </is>
      </c>
      <c r="C205" s="1" t="n">
        <v>2</v>
      </c>
      <c r="D205" s="1" t="n">
        <v>0</v>
      </c>
      <c r="E205" s="1">
        <f>IF(B205="數值","(F"&amp;C205&amp;"."&amp;D205&amp;")","(A"&amp;C205&amp;")")</f>
        <v/>
      </c>
      <c r="F205" s="1">
        <f>"alter type "&amp;A205&amp;" "&amp;E205&amp;"."</f>
        <v/>
      </c>
    </row>
    <row r="206">
      <c r="A206" s="1" t="inlineStr">
        <is>
          <t>vE16o88</t>
        </is>
      </c>
      <c r="B206" s="1" t="inlineStr">
        <is>
          <t>字串</t>
        </is>
      </c>
      <c r="C206" s="1" t="n">
        <v>150</v>
      </c>
      <c r="D206" s="1" t="n">
        <v>0</v>
      </c>
      <c r="E206" s="1">
        <f>IF(B206="數值","(F"&amp;C206&amp;"."&amp;D206&amp;")","(A"&amp;C206&amp;")")</f>
        <v/>
      </c>
      <c r="F206" s="1">
        <f>"alter type "&amp;A206&amp;" "&amp;E206&amp;"."</f>
        <v/>
      </c>
    </row>
    <row r="207">
      <c r="A207" s="1" t="inlineStr">
        <is>
          <t>vF1</t>
        </is>
      </c>
      <c r="B207" s="1" t="inlineStr">
        <is>
          <t>數值</t>
        </is>
      </c>
      <c r="C207" s="1" t="n">
        <v>5</v>
      </c>
      <c r="D207" s="1" t="n">
        <v>0</v>
      </c>
      <c r="E207" s="1">
        <f>IF(B207="數值","(F"&amp;C207&amp;"."&amp;D207&amp;")","(A"&amp;C207&amp;")")</f>
        <v/>
      </c>
      <c r="F207" s="1">
        <f>"alter type "&amp;A207&amp;" "&amp;E207&amp;"."</f>
        <v/>
      </c>
    </row>
    <row r="208">
      <c r="A208" s="1" t="inlineStr">
        <is>
          <t>vF2</t>
        </is>
      </c>
      <c r="B208" s="1" t="inlineStr">
        <is>
          <t>數值</t>
        </is>
      </c>
      <c r="C208" s="1" t="n">
        <v>5</v>
      </c>
      <c r="D208" s="1" t="n">
        <v>0</v>
      </c>
      <c r="E208" s="1">
        <f>IF(B208="數值","(F"&amp;C208&amp;"."&amp;D208&amp;")","(A"&amp;C208&amp;")")</f>
        <v/>
      </c>
      <c r="F208" s="1">
        <f>"alter type "&amp;A208&amp;" "&amp;E208&amp;"."</f>
        <v/>
      </c>
    </row>
    <row r="209">
      <c r="A209" s="1" t="inlineStr">
        <is>
          <t>vF3</t>
        </is>
      </c>
      <c r="B209" s="1" t="inlineStr">
        <is>
          <t>數值</t>
        </is>
      </c>
      <c r="C209" s="1" t="n">
        <v>5</v>
      </c>
      <c r="D209" s="1" t="n">
        <v>0</v>
      </c>
      <c r="E209" s="1">
        <f>IF(B209="數值","(F"&amp;C209&amp;"."&amp;D209&amp;")","(A"&amp;C209&amp;")")</f>
        <v/>
      </c>
      <c r="F209" s="1">
        <f>"alter type "&amp;A209&amp;" "&amp;E209&amp;"."</f>
        <v/>
      </c>
    </row>
    <row r="210">
      <c r="A210" s="1" t="inlineStr">
        <is>
          <t>vF4</t>
        </is>
      </c>
      <c r="B210" s="1" t="inlineStr">
        <is>
          <t>數值</t>
        </is>
      </c>
      <c r="C210" s="1" t="n">
        <v>5</v>
      </c>
      <c r="D210" s="1" t="n">
        <v>0</v>
      </c>
      <c r="E210" s="1">
        <f>IF(B210="數值","(F"&amp;C210&amp;"."&amp;D210&amp;")","(A"&amp;C210&amp;")")</f>
        <v/>
      </c>
      <c r="F210" s="1">
        <f>"alter type "&amp;A210&amp;" "&amp;E210&amp;"."</f>
        <v/>
      </c>
    </row>
    <row r="211">
      <c r="A211" s="1" t="inlineStr">
        <is>
          <t>vF5m01</t>
        </is>
      </c>
      <c r="B211" s="1" t="inlineStr">
        <is>
          <t>數值</t>
        </is>
      </c>
      <c r="C211" s="1" t="n">
        <v>2</v>
      </c>
      <c r="D211" s="1" t="n">
        <v>0</v>
      </c>
      <c r="E211" s="1">
        <f>IF(B211="數值","(F"&amp;C211&amp;"."&amp;D211&amp;")","(A"&amp;C211&amp;")")</f>
        <v/>
      </c>
      <c r="F211" s="1">
        <f>"alter type "&amp;A211&amp;" "&amp;E211&amp;"."</f>
        <v/>
      </c>
    </row>
    <row r="212">
      <c r="A212" s="1" t="inlineStr">
        <is>
          <t>vF5m02</t>
        </is>
      </c>
      <c r="B212" s="1" t="inlineStr">
        <is>
          <t>數值</t>
        </is>
      </c>
      <c r="C212" s="1" t="n">
        <v>2</v>
      </c>
      <c r="D212" s="1" t="n">
        <v>0</v>
      </c>
      <c r="E212" s="1">
        <f>IF(B212="數值","(F"&amp;C212&amp;"."&amp;D212&amp;")","(A"&amp;C212&amp;")")</f>
        <v/>
      </c>
      <c r="F212" s="1">
        <f>"alter type "&amp;A212&amp;" "&amp;E212&amp;"."</f>
        <v/>
      </c>
    </row>
    <row r="213">
      <c r="A213" s="1" t="inlineStr">
        <is>
          <t>vF5m03</t>
        </is>
      </c>
      <c r="B213" s="1" t="inlineStr">
        <is>
          <t>數值</t>
        </is>
      </c>
      <c r="C213" s="1" t="n">
        <v>2</v>
      </c>
      <c r="D213" s="1" t="n">
        <v>0</v>
      </c>
      <c r="E213" s="1">
        <f>IF(B213="數值","(F"&amp;C213&amp;"."&amp;D213&amp;")","(A"&amp;C213&amp;")")</f>
        <v/>
      </c>
      <c r="F213" s="1">
        <f>"alter type "&amp;A213&amp;" "&amp;E213&amp;"."</f>
        <v/>
      </c>
    </row>
    <row r="214">
      <c r="A214" s="1" t="inlineStr">
        <is>
          <t>vF5m04</t>
        </is>
      </c>
      <c r="B214" s="1" t="inlineStr">
        <is>
          <t>數值</t>
        </is>
      </c>
      <c r="C214" s="1" t="n">
        <v>2</v>
      </c>
      <c r="D214" s="1" t="n">
        <v>0</v>
      </c>
      <c r="E214" s="1">
        <f>IF(B214="數值","(F"&amp;C214&amp;"."&amp;D214&amp;")","(A"&amp;C214&amp;")")</f>
        <v/>
      </c>
      <c r="F214" s="1">
        <f>"alter type "&amp;A214&amp;" "&amp;E214&amp;"."</f>
        <v/>
      </c>
    </row>
    <row r="215">
      <c r="A215" s="1" t="inlineStr">
        <is>
          <t>vF5m05</t>
        </is>
      </c>
      <c r="B215" s="1" t="inlineStr">
        <is>
          <t>數值</t>
        </is>
      </c>
      <c r="C215" s="1" t="n">
        <v>2</v>
      </c>
      <c r="D215" s="1" t="n">
        <v>0</v>
      </c>
      <c r="E215" s="1">
        <f>IF(B215="數值","(F"&amp;C215&amp;"."&amp;D215&amp;")","(A"&amp;C215&amp;")")</f>
        <v/>
      </c>
      <c r="F215" s="1">
        <f>"alter type "&amp;A215&amp;" "&amp;E215&amp;"."</f>
        <v/>
      </c>
    </row>
    <row r="216">
      <c r="A216" s="1" t="inlineStr">
        <is>
          <t>vF5m06</t>
        </is>
      </c>
      <c r="B216" s="1" t="inlineStr">
        <is>
          <t>數值</t>
        </is>
      </c>
      <c r="C216" s="1" t="n">
        <v>2</v>
      </c>
      <c r="D216" s="1" t="n">
        <v>0</v>
      </c>
      <c r="E216" s="1">
        <f>IF(B216="數值","(F"&amp;C216&amp;"."&amp;D216&amp;")","(A"&amp;C216&amp;")")</f>
        <v/>
      </c>
      <c r="F216" s="1">
        <f>"alter type "&amp;A216&amp;" "&amp;E216&amp;"."</f>
        <v/>
      </c>
    </row>
    <row r="217">
      <c r="A217" s="1" t="inlineStr">
        <is>
          <t>vF5m07</t>
        </is>
      </c>
      <c r="B217" s="1" t="inlineStr">
        <is>
          <t>數值</t>
        </is>
      </c>
      <c r="C217" s="1" t="n">
        <v>2</v>
      </c>
      <c r="D217" s="1" t="n">
        <v>0</v>
      </c>
      <c r="E217" s="1">
        <f>IF(B217="數值","(F"&amp;C217&amp;"."&amp;D217&amp;")","(A"&amp;C217&amp;")")</f>
        <v/>
      </c>
      <c r="F217" s="1">
        <f>"alter type "&amp;A217&amp;" "&amp;E217&amp;"."</f>
        <v/>
      </c>
    </row>
    <row r="218">
      <c r="A218" s="1" t="inlineStr">
        <is>
          <t>vF5m08</t>
        </is>
      </c>
      <c r="B218" s="1" t="inlineStr">
        <is>
          <t>數值</t>
        </is>
      </c>
      <c r="C218" s="1" t="n">
        <v>2</v>
      </c>
      <c r="D218" s="1" t="n">
        <v>0</v>
      </c>
      <c r="E218" s="1">
        <f>IF(B218="數值","(F"&amp;C218&amp;"."&amp;D218&amp;")","(A"&amp;C218&amp;")")</f>
        <v/>
      </c>
      <c r="F218" s="1">
        <f>"alter type "&amp;A218&amp;" "&amp;E218&amp;"."</f>
        <v/>
      </c>
    </row>
    <row r="219">
      <c r="A219" s="1" t="inlineStr">
        <is>
          <t>vF5m88</t>
        </is>
      </c>
      <c r="B219" s="1" t="inlineStr">
        <is>
          <t>數值</t>
        </is>
      </c>
      <c r="C219" s="1" t="n">
        <v>2</v>
      </c>
      <c r="D219" s="1" t="n">
        <v>0</v>
      </c>
      <c r="E219" s="1">
        <f>IF(B219="數值","(F"&amp;C219&amp;"."&amp;D219&amp;")","(A"&amp;C219&amp;")")</f>
        <v/>
      </c>
      <c r="F219" s="1">
        <f>"alter type "&amp;A219&amp;" "&amp;E219&amp;"."</f>
        <v/>
      </c>
    </row>
    <row r="220">
      <c r="A220" s="1" t="inlineStr">
        <is>
          <t>vF5o88</t>
        </is>
      </c>
      <c r="B220" s="1" t="inlineStr">
        <is>
          <t>字串</t>
        </is>
      </c>
      <c r="C220" s="1" t="n">
        <v>150</v>
      </c>
      <c r="D220" s="1" t="n">
        <v>0</v>
      </c>
      <c r="E220" s="1">
        <f>IF(B220="數值","(F"&amp;C220&amp;"."&amp;D220&amp;")","(A"&amp;C220&amp;")")</f>
        <v/>
      </c>
      <c r="F220" s="1">
        <f>"alter type "&amp;A220&amp;" "&amp;E220&amp;"."</f>
        <v/>
      </c>
    </row>
    <row r="221">
      <c r="A221" s="1" t="inlineStr">
        <is>
          <t>vG1</t>
        </is>
      </c>
      <c r="B221" s="1" t="inlineStr">
        <is>
          <t>數值</t>
        </is>
      </c>
      <c r="C221" s="1" t="n">
        <v>4</v>
      </c>
      <c r="D221" s="1" t="n">
        <v>1</v>
      </c>
      <c r="E221" s="1">
        <f>IF(B221="數值","(F"&amp;C221&amp;"."&amp;D221&amp;")","(A"&amp;C221&amp;")")</f>
        <v/>
      </c>
      <c r="F221" s="1">
        <f>"alter type "&amp;A221&amp;" "&amp;E221&amp;"."</f>
        <v/>
      </c>
    </row>
    <row r="222">
      <c r="A222" s="1" t="inlineStr">
        <is>
          <t>vG2</t>
        </is>
      </c>
      <c r="B222" s="1" t="inlineStr">
        <is>
          <t>數值</t>
        </is>
      </c>
      <c r="C222" s="1" t="n">
        <v>5</v>
      </c>
      <c r="D222" s="1" t="n">
        <v>0</v>
      </c>
      <c r="E222" s="1">
        <f>IF(B222="數值","(F"&amp;C222&amp;"."&amp;D222&amp;")","(A"&amp;C222&amp;")")</f>
        <v/>
      </c>
      <c r="F222" s="1">
        <f>"alter type "&amp;A222&amp;" "&amp;E222&amp;"."</f>
        <v/>
      </c>
    </row>
    <row r="223">
      <c r="A223" s="1" t="inlineStr">
        <is>
          <t>vG3m01</t>
        </is>
      </c>
      <c r="B223" s="1" t="inlineStr">
        <is>
          <t>數值</t>
        </is>
      </c>
      <c r="C223" s="1" t="n">
        <v>2</v>
      </c>
      <c r="D223" s="1" t="n">
        <v>0</v>
      </c>
      <c r="E223" s="1">
        <f>IF(B223="數值","(F"&amp;C223&amp;"."&amp;D223&amp;")","(A"&amp;C223&amp;")")</f>
        <v/>
      </c>
      <c r="F223" s="1">
        <f>"alter type "&amp;A223&amp;" "&amp;E223&amp;"."</f>
        <v/>
      </c>
    </row>
    <row r="224">
      <c r="A224" s="1" t="inlineStr">
        <is>
          <t>vG3m02</t>
        </is>
      </c>
      <c r="B224" s="1" t="inlineStr">
        <is>
          <t>數值</t>
        </is>
      </c>
      <c r="C224" s="1" t="n">
        <v>2</v>
      </c>
      <c r="D224" s="1" t="n">
        <v>0</v>
      </c>
      <c r="E224" s="1">
        <f>IF(B224="數值","(F"&amp;C224&amp;"."&amp;D224&amp;")","(A"&amp;C224&amp;")")</f>
        <v/>
      </c>
      <c r="F224" s="1">
        <f>"alter type "&amp;A224&amp;" "&amp;E224&amp;"."</f>
        <v/>
      </c>
    </row>
    <row r="225">
      <c r="A225" s="1" t="inlineStr">
        <is>
          <t>vG3m03</t>
        </is>
      </c>
      <c r="B225" s="1" t="inlineStr">
        <is>
          <t>數值</t>
        </is>
      </c>
      <c r="C225" s="1" t="n">
        <v>2</v>
      </c>
      <c r="D225" s="1" t="n">
        <v>0</v>
      </c>
      <c r="E225" s="1">
        <f>IF(B225="數值","(F"&amp;C225&amp;"."&amp;D225&amp;")","(A"&amp;C225&amp;")")</f>
        <v/>
      </c>
      <c r="F225" s="1">
        <f>"alter type "&amp;A225&amp;" "&amp;E225&amp;"."</f>
        <v/>
      </c>
    </row>
    <row r="226">
      <c r="A226" s="1" t="inlineStr">
        <is>
          <t>vG3m04</t>
        </is>
      </c>
      <c r="B226" s="1" t="inlineStr">
        <is>
          <t>數值</t>
        </is>
      </c>
      <c r="C226" s="1" t="n">
        <v>2</v>
      </c>
      <c r="D226" s="1" t="n">
        <v>0</v>
      </c>
      <c r="E226" s="1">
        <f>IF(B226="數值","(F"&amp;C226&amp;"."&amp;D226&amp;")","(A"&amp;C226&amp;")")</f>
        <v/>
      </c>
      <c r="F226" s="1">
        <f>"alter type "&amp;A226&amp;" "&amp;E226&amp;"."</f>
        <v/>
      </c>
    </row>
    <row r="227">
      <c r="A227" s="1" t="inlineStr">
        <is>
          <t>vG3m05</t>
        </is>
      </c>
      <c r="B227" s="1" t="inlineStr">
        <is>
          <t>數值</t>
        </is>
      </c>
      <c r="C227" s="1" t="n">
        <v>2</v>
      </c>
      <c r="D227" s="1" t="n">
        <v>0</v>
      </c>
      <c r="E227" s="1">
        <f>IF(B227="數值","(F"&amp;C227&amp;"."&amp;D227&amp;")","(A"&amp;C227&amp;")")</f>
        <v/>
      </c>
      <c r="F227" s="1">
        <f>"alter type "&amp;A227&amp;" "&amp;E227&amp;"."</f>
        <v/>
      </c>
    </row>
    <row r="228">
      <c r="A228" s="1" t="inlineStr">
        <is>
          <t>vG3m06</t>
        </is>
      </c>
      <c r="B228" s="1" t="inlineStr">
        <is>
          <t>數值</t>
        </is>
      </c>
      <c r="C228" s="1" t="n">
        <v>2</v>
      </c>
      <c r="D228" s="1" t="n">
        <v>0</v>
      </c>
      <c r="E228" s="1">
        <f>IF(B228="數值","(F"&amp;C228&amp;"."&amp;D228&amp;")","(A"&amp;C228&amp;")")</f>
        <v/>
      </c>
      <c r="F228" s="1">
        <f>"alter type "&amp;A228&amp;" "&amp;E228&amp;"."</f>
        <v/>
      </c>
    </row>
    <row r="229">
      <c r="A229" s="1" t="inlineStr">
        <is>
          <t>vG3m07</t>
        </is>
      </c>
      <c r="B229" s="1" t="inlineStr">
        <is>
          <t>數值</t>
        </is>
      </c>
      <c r="C229" s="1" t="n">
        <v>2</v>
      </c>
      <c r="D229" s="1" t="n">
        <v>0</v>
      </c>
      <c r="E229" s="1">
        <f>IF(B229="數值","(F"&amp;C229&amp;"."&amp;D229&amp;")","(A"&amp;C229&amp;")")</f>
        <v/>
      </c>
      <c r="F229" s="1">
        <f>"alter type "&amp;A229&amp;" "&amp;E229&amp;"."</f>
        <v/>
      </c>
    </row>
    <row r="230">
      <c r="A230" s="1" t="inlineStr">
        <is>
          <t>vG3m08</t>
        </is>
      </c>
      <c r="B230" s="1" t="inlineStr">
        <is>
          <t>數值</t>
        </is>
      </c>
      <c r="C230" s="1" t="n">
        <v>2</v>
      </c>
      <c r="D230" s="1" t="n">
        <v>0</v>
      </c>
      <c r="E230" s="1">
        <f>IF(B230="數值","(F"&amp;C230&amp;"."&amp;D230&amp;")","(A"&amp;C230&amp;")")</f>
        <v/>
      </c>
      <c r="F230" s="1">
        <f>"alter type "&amp;A230&amp;" "&amp;E230&amp;"."</f>
        <v/>
      </c>
    </row>
    <row r="231">
      <c r="A231" s="1" t="inlineStr">
        <is>
          <t>vG3m09</t>
        </is>
      </c>
      <c r="B231" s="1" t="inlineStr">
        <is>
          <t>數值</t>
        </is>
      </c>
      <c r="C231" s="1" t="n">
        <v>2</v>
      </c>
      <c r="D231" s="1" t="n">
        <v>0</v>
      </c>
      <c r="E231" s="1">
        <f>IF(B231="數值","(F"&amp;C231&amp;"."&amp;D231&amp;")","(A"&amp;C231&amp;")")</f>
        <v/>
      </c>
      <c r="F231" s="1">
        <f>"alter type "&amp;A231&amp;" "&amp;E231&amp;"."</f>
        <v/>
      </c>
    </row>
    <row r="232">
      <c r="A232" s="1" t="inlineStr">
        <is>
          <t>vG3m10</t>
        </is>
      </c>
      <c r="B232" s="1" t="inlineStr">
        <is>
          <t>數值</t>
        </is>
      </c>
      <c r="C232" s="1" t="n">
        <v>2</v>
      </c>
      <c r="D232" s="1" t="n">
        <v>0</v>
      </c>
      <c r="E232" s="1">
        <f>IF(B232="數值","(F"&amp;C232&amp;"."&amp;D232&amp;")","(A"&amp;C232&amp;")")</f>
        <v/>
      </c>
      <c r="F232" s="1">
        <f>"alter type "&amp;A232&amp;" "&amp;E232&amp;"."</f>
        <v/>
      </c>
    </row>
    <row r="233">
      <c r="A233" s="1" t="inlineStr">
        <is>
          <t>vG3m11</t>
        </is>
      </c>
      <c r="B233" s="1" t="inlineStr">
        <is>
          <t>數值</t>
        </is>
      </c>
      <c r="C233" s="1" t="n">
        <v>2</v>
      </c>
      <c r="D233" s="1" t="n">
        <v>0</v>
      </c>
      <c r="E233" s="1">
        <f>IF(B233="數值","(F"&amp;C233&amp;"."&amp;D233&amp;")","(A"&amp;C233&amp;")")</f>
        <v/>
      </c>
      <c r="F233" s="1">
        <f>"alter type "&amp;A233&amp;" "&amp;E233&amp;"."</f>
        <v/>
      </c>
    </row>
    <row r="234">
      <c r="A234" s="1" t="inlineStr">
        <is>
          <t>vG3m12</t>
        </is>
      </c>
      <c r="B234" s="1" t="inlineStr">
        <is>
          <t>數值</t>
        </is>
      </c>
      <c r="C234" s="1" t="n">
        <v>2</v>
      </c>
      <c r="D234" s="1" t="n">
        <v>0</v>
      </c>
      <c r="E234" s="1">
        <f>IF(B234="數值","(F"&amp;C234&amp;"."&amp;D234&amp;")","(A"&amp;C234&amp;")")</f>
        <v/>
      </c>
      <c r="F234" s="1">
        <f>"alter type "&amp;A234&amp;" "&amp;E234&amp;"."</f>
        <v/>
      </c>
    </row>
    <row r="235">
      <c r="A235" s="1" t="inlineStr">
        <is>
          <t>vG3m13</t>
        </is>
      </c>
      <c r="B235" s="1" t="inlineStr">
        <is>
          <t>數值</t>
        </is>
      </c>
      <c r="C235" s="1" t="n">
        <v>2</v>
      </c>
      <c r="D235" s="1" t="n">
        <v>0</v>
      </c>
      <c r="E235" s="1">
        <f>IF(B235="數值","(F"&amp;C235&amp;"."&amp;D235&amp;")","(A"&amp;C235&amp;")")</f>
        <v/>
      </c>
      <c r="F235" s="1">
        <f>"alter type "&amp;A235&amp;" "&amp;E235&amp;"."</f>
        <v/>
      </c>
    </row>
    <row r="236">
      <c r="A236" s="1" t="inlineStr">
        <is>
          <t>vG3m14</t>
        </is>
      </c>
      <c r="B236" s="1" t="inlineStr">
        <is>
          <t>數值</t>
        </is>
      </c>
      <c r="C236" s="1" t="n">
        <v>2</v>
      </c>
      <c r="D236" s="1" t="n">
        <v>0</v>
      </c>
      <c r="E236" s="1">
        <f>IF(B236="數值","(F"&amp;C236&amp;"."&amp;D236&amp;")","(A"&amp;C236&amp;")")</f>
        <v/>
      </c>
      <c r="F236" s="1">
        <f>"alter type "&amp;A236&amp;" "&amp;E236&amp;"."</f>
        <v/>
      </c>
    </row>
    <row r="237">
      <c r="A237" s="1" t="inlineStr">
        <is>
          <t>vG3m15</t>
        </is>
      </c>
      <c r="B237" s="1" t="inlineStr">
        <is>
          <t>數值</t>
        </is>
      </c>
      <c r="C237" s="1" t="n">
        <v>2</v>
      </c>
      <c r="D237" s="1" t="n">
        <v>0</v>
      </c>
      <c r="E237" s="1">
        <f>IF(B237="數值","(F"&amp;C237&amp;"."&amp;D237&amp;")","(A"&amp;C237&amp;")")</f>
        <v/>
      </c>
      <c r="F237" s="1">
        <f>"alter type "&amp;A237&amp;" "&amp;E237&amp;"."</f>
        <v/>
      </c>
    </row>
    <row r="238">
      <c r="A238" s="1" t="inlineStr">
        <is>
          <t>vG3m16</t>
        </is>
      </c>
      <c r="B238" s="1" t="inlineStr">
        <is>
          <t>數值</t>
        </is>
      </c>
      <c r="C238" s="1" t="n">
        <v>2</v>
      </c>
      <c r="D238" s="1" t="n">
        <v>0</v>
      </c>
      <c r="E238" s="1">
        <f>IF(B238="數值","(F"&amp;C238&amp;"."&amp;D238&amp;")","(A"&amp;C238&amp;")")</f>
        <v/>
      </c>
      <c r="F238" s="1">
        <f>"alter type "&amp;A238&amp;" "&amp;E238&amp;"."</f>
        <v/>
      </c>
    </row>
    <row r="239">
      <c r="A239" s="1" t="inlineStr">
        <is>
          <t>vG3m18</t>
        </is>
      </c>
      <c r="B239" s="1" t="inlineStr">
        <is>
          <t>數值</t>
        </is>
      </c>
      <c r="C239" s="1" t="n">
        <v>2</v>
      </c>
      <c r="D239" s="1" t="n">
        <v>0</v>
      </c>
      <c r="E239" s="1">
        <f>IF(B239="數值","(F"&amp;C239&amp;"."&amp;D239&amp;")","(A"&amp;C239&amp;")")</f>
        <v/>
      </c>
      <c r="F239" s="1">
        <f>"alter type "&amp;A239&amp;" "&amp;E239&amp;"."</f>
        <v/>
      </c>
    </row>
    <row r="240">
      <c r="A240" s="1" t="inlineStr">
        <is>
          <t>vG3m19</t>
        </is>
      </c>
      <c r="B240" s="1" t="inlineStr">
        <is>
          <t>數值</t>
        </is>
      </c>
      <c r="C240" s="1" t="n">
        <v>2</v>
      </c>
      <c r="D240" s="1" t="n">
        <v>0</v>
      </c>
      <c r="E240" s="1">
        <f>IF(B240="數值","(F"&amp;C240&amp;"."&amp;D240&amp;")","(A"&amp;C240&amp;")")</f>
        <v/>
      </c>
      <c r="F240" s="1">
        <f>"alter type "&amp;A240&amp;" "&amp;E240&amp;"."</f>
        <v/>
      </c>
    </row>
    <row r="241">
      <c r="A241" s="1" t="inlineStr">
        <is>
          <t>vG3m20</t>
        </is>
      </c>
      <c r="B241" s="1" t="inlineStr">
        <is>
          <t>數值</t>
        </is>
      </c>
      <c r="C241" s="1" t="n">
        <v>2</v>
      </c>
      <c r="D241" s="1" t="n">
        <v>0</v>
      </c>
      <c r="E241" s="1">
        <f>IF(B241="數值","(F"&amp;C241&amp;"."&amp;D241&amp;")","(A"&amp;C241&amp;")")</f>
        <v/>
      </c>
      <c r="F241" s="1">
        <f>"alter type "&amp;A241&amp;" "&amp;E241&amp;"."</f>
        <v/>
      </c>
    </row>
    <row r="242">
      <c r="A242" s="1" t="inlineStr">
        <is>
          <t>vG3m21</t>
        </is>
      </c>
      <c r="B242" s="1" t="inlineStr">
        <is>
          <t>數值</t>
        </is>
      </c>
      <c r="C242" s="1" t="n">
        <v>2</v>
      </c>
      <c r="D242" s="1" t="n">
        <v>0</v>
      </c>
      <c r="E242" s="1">
        <f>IF(B242="數值","(F"&amp;C242&amp;"."&amp;D242&amp;")","(A"&amp;C242&amp;")")</f>
        <v/>
      </c>
      <c r="F242" s="1">
        <f>"alter type "&amp;A242&amp;" "&amp;E242&amp;"."</f>
        <v/>
      </c>
    </row>
    <row r="243">
      <c r="A243" s="1" t="inlineStr">
        <is>
          <t>vG3m22</t>
        </is>
      </c>
      <c r="B243" s="1" t="inlineStr">
        <is>
          <t>數值</t>
        </is>
      </c>
      <c r="C243" s="1" t="n">
        <v>2</v>
      </c>
      <c r="D243" s="1" t="n">
        <v>0</v>
      </c>
      <c r="E243" s="1">
        <f>IF(B243="數值","(F"&amp;C243&amp;"."&amp;D243&amp;")","(A"&amp;C243&amp;")")</f>
        <v/>
      </c>
      <c r="F243" s="1">
        <f>"alter type "&amp;A243&amp;" "&amp;E243&amp;"."</f>
        <v/>
      </c>
    </row>
    <row r="244">
      <c r="A244" s="1" t="inlineStr">
        <is>
          <t>vG3m23</t>
        </is>
      </c>
      <c r="B244" s="1" t="inlineStr">
        <is>
          <t>數值</t>
        </is>
      </c>
      <c r="C244" s="1" t="n">
        <v>2</v>
      </c>
      <c r="D244" s="1" t="n">
        <v>0</v>
      </c>
      <c r="E244" s="1">
        <f>IF(B244="數值","(F"&amp;C244&amp;"."&amp;D244&amp;")","(A"&amp;C244&amp;")")</f>
        <v/>
      </c>
      <c r="F244" s="1">
        <f>"alter type "&amp;A244&amp;" "&amp;E244&amp;"."</f>
        <v/>
      </c>
    </row>
    <row r="245">
      <c r="A245" s="1" t="inlineStr">
        <is>
          <t>vG3m24</t>
        </is>
      </c>
      <c r="B245" s="1" t="inlineStr">
        <is>
          <t>數值</t>
        </is>
      </c>
      <c r="C245" s="1" t="n">
        <v>2</v>
      </c>
      <c r="D245" s="1" t="n">
        <v>0</v>
      </c>
      <c r="E245" s="1">
        <f>IF(B245="數值","(F"&amp;C245&amp;"."&amp;D245&amp;")","(A"&amp;C245&amp;")")</f>
        <v/>
      </c>
      <c r="F245" s="1">
        <f>"alter type "&amp;A245&amp;" "&amp;E245&amp;"."</f>
        <v/>
      </c>
    </row>
    <row r="246">
      <c r="A246" s="1" t="inlineStr">
        <is>
          <t>vG3m25</t>
        </is>
      </c>
      <c r="B246" s="1" t="inlineStr">
        <is>
          <t>數值</t>
        </is>
      </c>
      <c r="C246" s="1" t="n">
        <v>2</v>
      </c>
      <c r="D246" s="1" t="n">
        <v>0</v>
      </c>
      <c r="E246" s="1">
        <f>IF(B246="數值","(F"&amp;C246&amp;"."&amp;D246&amp;")","(A"&amp;C246&amp;")")</f>
        <v/>
      </c>
      <c r="F246" s="1">
        <f>"alter type "&amp;A246&amp;" "&amp;E246&amp;"."</f>
        <v/>
      </c>
    </row>
    <row r="247">
      <c r="A247" s="1" t="inlineStr">
        <is>
          <t>vG3m26</t>
        </is>
      </c>
      <c r="B247" s="1" t="inlineStr">
        <is>
          <t>數值</t>
        </is>
      </c>
      <c r="C247" s="1" t="n">
        <v>2</v>
      </c>
      <c r="D247" s="1" t="n">
        <v>0</v>
      </c>
      <c r="E247" s="1">
        <f>IF(B247="數值","(F"&amp;C247&amp;"."&amp;D247&amp;")","(A"&amp;C247&amp;")")</f>
        <v/>
      </c>
      <c r="F247" s="1">
        <f>"alter type "&amp;A247&amp;" "&amp;E247&amp;"."</f>
        <v/>
      </c>
    </row>
    <row r="248">
      <c r="A248" s="1" t="inlineStr">
        <is>
          <t>vG3m27</t>
        </is>
      </c>
      <c r="B248" s="1" t="inlineStr">
        <is>
          <t>數值</t>
        </is>
      </c>
      <c r="C248" s="1" t="n">
        <v>2</v>
      </c>
      <c r="D248" s="1" t="n">
        <v>0</v>
      </c>
      <c r="E248" s="1">
        <f>IF(B248="數值","(F"&amp;C248&amp;"."&amp;D248&amp;")","(A"&amp;C248&amp;")")</f>
        <v/>
      </c>
      <c r="F248" s="1">
        <f>"alter type "&amp;A248&amp;" "&amp;E248&amp;"."</f>
        <v/>
      </c>
    </row>
    <row r="249">
      <c r="A249" s="1" t="inlineStr">
        <is>
          <t>vG3m28</t>
        </is>
      </c>
      <c r="B249" s="1" t="inlineStr">
        <is>
          <t>數值</t>
        </is>
      </c>
      <c r="C249" s="1" t="n">
        <v>2</v>
      </c>
      <c r="D249" s="1" t="n">
        <v>0</v>
      </c>
      <c r="E249" s="1">
        <f>IF(B249="數值","(F"&amp;C249&amp;"."&amp;D249&amp;")","(A"&amp;C249&amp;")")</f>
        <v/>
      </c>
      <c r="F249" s="1">
        <f>"alter type "&amp;A249&amp;" "&amp;E249&amp;"."</f>
        <v/>
      </c>
    </row>
    <row r="250">
      <c r="A250" s="1" t="inlineStr">
        <is>
          <t>vG3m29</t>
        </is>
      </c>
      <c r="B250" s="1" t="inlineStr">
        <is>
          <t>數值</t>
        </is>
      </c>
      <c r="C250" s="1" t="n">
        <v>2</v>
      </c>
      <c r="D250" s="1" t="n">
        <v>0</v>
      </c>
      <c r="E250" s="1">
        <f>IF(B250="數值","(F"&amp;C250&amp;"."&amp;D250&amp;")","(A"&amp;C250&amp;")")</f>
        <v/>
      </c>
      <c r="F250" s="1">
        <f>"alter type "&amp;A250&amp;" "&amp;E250&amp;"."</f>
        <v/>
      </c>
    </row>
    <row r="251">
      <c r="A251" s="1" t="inlineStr">
        <is>
          <t>vG3m30</t>
        </is>
      </c>
      <c r="B251" s="1" t="inlineStr">
        <is>
          <t>數值</t>
        </is>
      </c>
      <c r="C251" s="1" t="n">
        <v>2</v>
      </c>
      <c r="D251" s="1" t="n">
        <v>0</v>
      </c>
      <c r="E251" s="1">
        <f>IF(B251="數值","(F"&amp;C251&amp;"."&amp;D251&amp;")","(A"&amp;C251&amp;")")</f>
        <v/>
      </c>
      <c r="F251" s="1">
        <f>"alter type "&amp;A251&amp;" "&amp;E251&amp;"."</f>
        <v/>
      </c>
    </row>
    <row r="252">
      <c r="A252" s="1" t="inlineStr">
        <is>
          <t>vG3m31</t>
        </is>
      </c>
      <c r="B252" s="1" t="inlineStr">
        <is>
          <t>數值</t>
        </is>
      </c>
      <c r="C252" s="1" t="n">
        <v>2</v>
      </c>
      <c r="D252" s="1" t="n">
        <v>0</v>
      </c>
      <c r="E252" s="1">
        <f>IF(B252="數值","(F"&amp;C252&amp;"."&amp;D252&amp;")","(A"&amp;C252&amp;")")</f>
        <v/>
      </c>
      <c r="F252" s="1">
        <f>"alter type "&amp;A252&amp;" "&amp;E252&amp;"."</f>
        <v/>
      </c>
    </row>
    <row r="253">
      <c r="A253" s="1" t="inlineStr">
        <is>
          <t>vG3m32</t>
        </is>
      </c>
      <c r="B253" s="1" t="inlineStr">
        <is>
          <t>數值</t>
        </is>
      </c>
      <c r="C253" s="1" t="n">
        <v>2</v>
      </c>
      <c r="D253" s="1" t="n">
        <v>0</v>
      </c>
      <c r="E253" s="1">
        <f>IF(B253="數值","(F"&amp;C253&amp;"."&amp;D253&amp;")","(A"&amp;C253&amp;")")</f>
        <v/>
      </c>
      <c r="F253" s="1">
        <f>"alter type "&amp;A253&amp;" "&amp;E253&amp;"."</f>
        <v/>
      </c>
    </row>
    <row r="254">
      <c r="A254" s="1" t="inlineStr">
        <is>
          <t>vG3m33</t>
        </is>
      </c>
      <c r="B254" s="1" t="inlineStr">
        <is>
          <t>數值</t>
        </is>
      </c>
      <c r="C254" s="1" t="n">
        <v>2</v>
      </c>
      <c r="D254" s="1" t="n">
        <v>0</v>
      </c>
      <c r="E254" s="1">
        <f>IF(B254="數值","(F"&amp;C254&amp;"."&amp;D254&amp;")","(A"&amp;C254&amp;")")</f>
        <v/>
      </c>
      <c r="F254" s="1">
        <f>"alter type "&amp;A254&amp;" "&amp;E254&amp;"."</f>
        <v/>
      </c>
    </row>
    <row r="255">
      <c r="A255" s="1" t="inlineStr">
        <is>
          <t>vG3m88</t>
        </is>
      </c>
      <c r="B255" s="1" t="inlineStr">
        <is>
          <t>數值</t>
        </is>
      </c>
      <c r="C255" s="1" t="n">
        <v>2</v>
      </c>
      <c r="D255" s="1" t="n">
        <v>0</v>
      </c>
      <c r="E255" s="1">
        <f>IF(B255="數值","(F"&amp;C255&amp;"."&amp;D255&amp;")","(A"&amp;C255&amp;")")</f>
        <v/>
      </c>
      <c r="F255" s="1">
        <f>"alter type "&amp;A255&amp;" "&amp;E255&amp;"."</f>
        <v/>
      </c>
    </row>
    <row r="256">
      <c r="A256" s="1" t="inlineStr">
        <is>
          <t>vG3o88</t>
        </is>
      </c>
      <c r="B256" s="1" t="inlineStr">
        <is>
          <t>字串</t>
        </is>
      </c>
      <c r="C256" s="1" t="n">
        <v>150</v>
      </c>
      <c r="D256" s="1" t="n">
        <v>0</v>
      </c>
      <c r="E256" s="1">
        <f>IF(B256="數值","(F"&amp;C256&amp;"."&amp;D256&amp;")","(A"&amp;C256&amp;")")</f>
        <v/>
      </c>
      <c r="F256" s="1">
        <f>"alter type "&amp;A256&amp;" "&amp;E256&amp;"."</f>
        <v/>
      </c>
    </row>
    <row r="257">
      <c r="A257" s="1" t="inlineStr">
        <is>
          <t>vG4</t>
        </is>
      </c>
      <c r="B257" s="1" t="inlineStr">
        <is>
          <t>數值</t>
        </is>
      </c>
      <c r="C257" s="1" t="n">
        <v>4</v>
      </c>
      <c r="D257" s="1" t="n">
        <v>1</v>
      </c>
      <c r="E257" s="1">
        <f>IF(B257="數值","(F"&amp;C257&amp;"."&amp;D257&amp;")","(A"&amp;C257&amp;")")</f>
        <v/>
      </c>
      <c r="F257" s="1">
        <f>"alter type "&amp;A257&amp;" "&amp;E257&amp;"."</f>
        <v/>
      </c>
    </row>
    <row r="258">
      <c r="A258" s="1" t="inlineStr">
        <is>
          <t>vG5</t>
        </is>
      </c>
      <c r="B258" s="1" t="inlineStr">
        <is>
          <t>數值</t>
        </is>
      </c>
      <c r="C258" s="1" t="n">
        <v>5</v>
      </c>
      <c r="D258" s="1" t="n">
        <v>0</v>
      </c>
      <c r="E258" s="1">
        <f>IF(B258="數值","(F"&amp;C258&amp;"."&amp;D258&amp;")","(A"&amp;C258&amp;")")</f>
        <v/>
      </c>
      <c r="F258" s="1">
        <f>"alter type "&amp;A258&amp;" "&amp;E258&amp;"."</f>
        <v/>
      </c>
    </row>
    <row r="259">
      <c r="A259" s="1" t="inlineStr">
        <is>
          <t>vG6m01</t>
        </is>
      </c>
      <c r="B259" s="1" t="inlineStr">
        <is>
          <t>數值</t>
        </is>
      </c>
      <c r="C259" s="1" t="n">
        <v>2</v>
      </c>
      <c r="D259" s="1" t="n">
        <v>0</v>
      </c>
      <c r="E259" s="1">
        <f>IF(B259="數值","(F"&amp;C259&amp;"."&amp;D259&amp;")","(A"&amp;C259&amp;")")</f>
        <v/>
      </c>
      <c r="F259" s="1">
        <f>"alter type "&amp;A259&amp;" "&amp;E259&amp;"."</f>
        <v/>
      </c>
    </row>
    <row r="260">
      <c r="A260" s="1" t="inlineStr">
        <is>
          <t>vG6m02</t>
        </is>
      </c>
      <c r="B260" s="1" t="inlineStr">
        <is>
          <t>數值</t>
        </is>
      </c>
      <c r="C260" s="1" t="n">
        <v>2</v>
      </c>
      <c r="D260" s="1" t="n">
        <v>0</v>
      </c>
      <c r="E260" s="1">
        <f>IF(B260="數值","(F"&amp;C260&amp;"."&amp;D260&amp;")","(A"&amp;C260&amp;")")</f>
        <v/>
      </c>
      <c r="F260" s="1">
        <f>"alter type "&amp;A260&amp;" "&amp;E260&amp;"."</f>
        <v/>
      </c>
    </row>
    <row r="261">
      <c r="A261" s="1" t="inlineStr">
        <is>
          <t>vG6m03</t>
        </is>
      </c>
      <c r="B261" s="1" t="inlineStr">
        <is>
          <t>數值</t>
        </is>
      </c>
      <c r="C261" s="1" t="n">
        <v>2</v>
      </c>
      <c r="D261" s="1" t="n">
        <v>0</v>
      </c>
      <c r="E261" s="1">
        <f>IF(B261="數值","(F"&amp;C261&amp;"."&amp;D261&amp;")","(A"&amp;C261&amp;")")</f>
        <v/>
      </c>
      <c r="F261" s="1">
        <f>"alter type "&amp;A261&amp;" "&amp;E261&amp;"."</f>
        <v/>
      </c>
    </row>
    <row r="262">
      <c r="A262" s="1" t="inlineStr">
        <is>
          <t>vG6m04</t>
        </is>
      </c>
      <c r="B262" s="1" t="inlineStr">
        <is>
          <t>數值</t>
        </is>
      </c>
      <c r="C262" s="1" t="n">
        <v>2</v>
      </c>
      <c r="D262" s="1" t="n">
        <v>0</v>
      </c>
      <c r="E262" s="1">
        <f>IF(B262="數值","(F"&amp;C262&amp;"."&amp;D262&amp;")","(A"&amp;C262&amp;")")</f>
        <v/>
      </c>
      <c r="F262" s="1">
        <f>"alter type "&amp;A262&amp;" "&amp;E262&amp;"."</f>
        <v/>
      </c>
    </row>
    <row r="263">
      <c r="A263" s="1" t="inlineStr">
        <is>
          <t>vG6m05</t>
        </is>
      </c>
      <c r="B263" s="1" t="inlineStr">
        <is>
          <t>數值</t>
        </is>
      </c>
      <c r="C263" s="1" t="n">
        <v>2</v>
      </c>
      <c r="D263" s="1" t="n">
        <v>0</v>
      </c>
      <c r="E263" s="1">
        <f>IF(B263="數值","(F"&amp;C263&amp;"."&amp;D263&amp;")","(A"&amp;C263&amp;")")</f>
        <v/>
      </c>
      <c r="F263" s="1">
        <f>"alter type "&amp;A263&amp;" "&amp;E263&amp;"."</f>
        <v/>
      </c>
    </row>
    <row r="264">
      <c r="A264" s="1" t="inlineStr">
        <is>
          <t>vG6m88</t>
        </is>
      </c>
      <c r="B264" s="1" t="inlineStr">
        <is>
          <t>數值</t>
        </is>
      </c>
      <c r="C264" s="1" t="n">
        <v>2</v>
      </c>
      <c r="D264" s="1" t="n">
        <v>0</v>
      </c>
      <c r="E264" s="1">
        <f>IF(B264="數值","(F"&amp;C264&amp;"."&amp;D264&amp;")","(A"&amp;C264&amp;")")</f>
        <v/>
      </c>
      <c r="F264" s="1">
        <f>"alter type "&amp;A264&amp;" "&amp;E264&amp;"."</f>
        <v/>
      </c>
    </row>
    <row r="265">
      <c r="A265" s="1" t="inlineStr">
        <is>
          <t>vG6o88</t>
        </is>
      </c>
      <c r="B265" s="1" t="inlineStr">
        <is>
          <t>字串</t>
        </is>
      </c>
      <c r="C265" s="1" t="n">
        <v>150</v>
      </c>
      <c r="D265" s="1" t="n">
        <v>0</v>
      </c>
      <c r="E265" s="1">
        <f>IF(B265="數值","(F"&amp;C265&amp;"."&amp;D265&amp;")","(A"&amp;C265&amp;")")</f>
        <v/>
      </c>
      <c r="F265" s="1">
        <f>"alter type "&amp;A265&amp;" "&amp;E265&amp;"."</f>
        <v/>
      </c>
    </row>
    <row r="266">
      <c r="A266" s="1" t="inlineStr">
        <is>
          <t>vG7m01</t>
        </is>
      </c>
      <c r="B266" s="1" t="inlineStr">
        <is>
          <t>數值</t>
        </is>
      </c>
      <c r="C266" s="1" t="n">
        <v>2</v>
      </c>
      <c r="D266" s="1" t="n">
        <v>0</v>
      </c>
      <c r="E266" s="1">
        <f>IF(B266="數值","(F"&amp;C266&amp;"."&amp;D266&amp;")","(A"&amp;C266&amp;")")</f>
        <v/>
      </c>
      <c r="F266" s="1">
        <f>"alter type "&amp;A266&amp;" "&amp;E266&amp;"."</f>
        <v/>
      </c>
    </row>
    <row r="267">
      <c r="A267" s="1" t="inlineStr">
        <is>
          <t>vG7m02</t>
        </is>
      </c>
      <c r="B267" s="1" t="inlineStr">
        <is>
          <t>數值</t>
        </is>
      </c>
      <c r="C267" s="1" t="n">
        <v>2</v>
      </c>
      <c r="D267" s="1" t="n">
        <v>0</v>
      </c>
      <c r="E267" s="1">
        <f>IF(B267="數值","(F"&amp;C267&amp;"."&amp;D267&amp;")","(A"&amp;C267&amp;")")</f>
        <v/>
      </c>
      <c r="F267" s="1">
        <f>"alter type "&amp;A267&amp;" "&amp;E267&amp;"."</f>
        <v/>
      </c>
    </row>
    <row r="268">
      <c r="A268" s="1" t="inlineStr">
        <is>
          <t>vG7m03</t>
        </is>
      </c>
      <c r="B268" s="1" t="inlineStr">
        <is>
          <t>數值</t>
        </is>
      </c>
      <c r="C268" s="1" t="n">
        <v>2</v>
      </c>
      <c r="D268" s="1" t="n">
        <v>0</v>
      </c>
      <c r="E268" s="1">
        <f>IF(B268="數值","(F"&amp;C268&amp;"."&amp;D268&amp;")","(A"&amp;C268&amp;")")</f>
        <v/>
      </c>
      <c r="F268" s="1">
        <f>"alter type "&amp;A268&amp;" "&amp;E268&amp;"."</f>
        <v/>
      </c>
    </row>
    <row r="269">
      <c r="A269" s="1" t="inlineStr">
        <is>
          <t>vG7m05</t>
        </is>
      </c>
      <c r="B269" s="1" t="inlineStr">
        <is>
          <t>數值</t>
        </is>
      </c>
      <c r="C269" s="1" t="n">
        <v>2</v>
      </c>
      <c r="D269" s="1" t="n">
        <v>0</v>
      </c>
      <c r="E269" s="1">
        <f>IF(B269="數值","(F"&amp;C269&amp;"."&amp;D269&amp;")","(A"&amp;C269&amp;")")</f>
        <v/>
      </c>
      <c r="F269" s="1">
        <f>"alter type "&amp;A269&amp;" "&amp;E269&amp;"."</f>
        <v/>
      </c>
    </row>
    <row r="270">
      <c r="A270" s="1" t="inlineStr">
        <is>
          <t>vG7m06</t>
        </is>
      </c>
      <c r="B270" s="1" t="inlineStr">
        <is>
          <t>數值</t>
        </is>
      </c>
      <c r="C270" s="1" t="n">
        <v>2</v>
      </c>
      <c r="D270" s="1" t="n">
        <v>0</v>
      </c>
      <c r="E270" s="1">
        <f>IF(B270="數值","(F"&amp;C270&amp;"."&amp;D270&amp;")","(A"&amp;C270&amp;")")</f>
        <v/>
      </c>
      <c r="F270" s="1">
        <f>"alter type "&amp;A270&amp;" "&amp;E270&amp;"."</f>
        <v/>
      </c>
    </row>
    <row r="271">
      <c r="A271" s="1" t="inlineStr">
        <is>
          <t>vG7m07</t>
        </is>
      </c>
      <c r="B271" s="1" t="inlineStr">
        <is>
          <t>數值</t>
        </is>
      </c>
      <c r="C271" s="1" t="n">
        <v>2</v>
      </c>
      <c r="D271" s="1" t="n">
        <v>0</v>
      </c>
      <c r="E271" s="1">
        <f>IF(B271="數值","(F"&amp;C271&amp;"."&amp;D271&amp;")","(A"&amp;C271&amp;")")</f>
        <v/>
      </c>
      <c r="F271" s="1">
        <f>"alter type "&amp;A271&amp;" "&amp;E271&amp;"."</f>
        <v/>
      </c>
    </row>
    <row r="272">
      <c r="A272" s="1" t="inlineStr">
        <is>
          <t>vG7m08</t>
        </is>
      </c>
      <c r="B272" s="1" t="inlineStr">
        <is>
          <t>數值</t>
        </is>
      </c>
      <c r="C272" s="1" t="n">
        <v>2</v>
      </c>
      <c r="D272" s="1" t="n">
        <v>0</v>
      </c>
      <c r="E272" s="1">
        <f>IF(B272="數值","(F"&amp;C272&amp;"."&amp;D272&amp;")","(A"&amp;C272&amp;")")</f>
        <v/>
      </c>
      <c r="F272" s="1">
        <f>"alter type "&amp;A272&amp;" "&amp;E272&amp;"."</f>
        <v/>
      </c>
    </row>
    <row r="273">
      <c r="A273" s="1" t="inlineStr">
        <is>
          <t>vG7m09</t>
        </is>
      </c>
      <c r="B273" s="1" t="inlineStr">
        <is>
          <t>數值</t>
        </is>
      </c>
      <c r="C273" s="1" t="n">
        <v>2</v>
      </c>
      <c r="D273" s="1" t="n">
        <v>0</v>
      </c>
      <c r="E273" s="1">
        <f>IF(B273="數值","(F"&amp;C273&amp;"."&amp;D273&amp;")","(A"&amp;C273&amp;")")</f>
        <v/>
      </c>
      <c r="F273" s="1">
        <f>"alter type "&amp;A273&amp;" "&amp;E273&amp;"."</f>
        <v/>
      </c>
    </row>
    <row r="274">
      <c r="A274" s="1" t="inlineStr">
        <is>
          <t>vG7m10</t>
        </is>
      </c>
      <c r="B274" s="1" t="inlineStr">
        <is>
          <t>數值</t>
        </is>
      </c>
      <c r="C274" s="1" t="n">
        <v>2</v>
      </c>
      <c r="D274" s="1" t="n">
        <v>0</v>
      </c>
      <c r="E274" s="1">
        <f>IF(B274="數值","(F"&amp;C274&amp;"."&amp;D274&amp;")","(A"&amp;C274&amp;")")</f>
        <v/>
      </c>
      <c r="F274" s="1">
        <f>"alter type "&amp;A274&amp;" "&amp;E274&amp;"."</f>
        <v/>
      </c>
    </row>
    <row r="275">
      <c r="A275" s="1" t="inlineStr">
        <is>
          <t>vG7m11</t>
        </is>
      </c>
      <c r="B275" s="1" t="inlineStr">
        <is>
          <t>數值</t>
        </is>
      </c>
      <c r="C275" s="1" t="n">
        <v>2</v>
      </c>
      <c r="D275" s="1" t="n">
        <v>0</v>
      </c>
      <c r="E275" s="1">
        <f>IF(B275="數值","(F"&amp;C275&amp;"."&amp;D275&amp;")","(A"&amp;C275&amp;")")</f>
        <v/>
      </c>
      <c r="F275" s="1">
        <f>"alter type "&amp;A275&amp;" "&amp;E275&amp;"."</f>
        <v/>
      </c>
    </row>
    <row r="276">
      <c r="A276" s="1" t="inlineStr">
        <is>
          <t>vG7m12</t>
        </is>
      </c>
      <c r="B276" s="1" t="inlineStr">
        <is>
          <t>數值</t>
        </is>
      </c>
      <c r="C276" s="1" t="n">
        <v>2</v>
      </c>
      <c r="D276" s="1" t="n">
        <v>0</v>
      </c>
      <c r="E276" s="1">
        <f>IF(B276="數值","(F"&amp;C276&amp;"."&amp;D276&amp;")","(A"&amp;C276&amp;")")</f>
        <v/>
      </c>
      <c r="F276" s="1">
        <f>"alter type "&amp;A276&amp;" "&amp;E276&amp;"."</f>
        <v/>
      </c>
    </row>
    <row r="277">
      <c r="A277" s="1" t="inlineStr">
        <is>
          <t>vG7m88</t>
        </is>
      </c>
      <c r="B277" s="1" t="inlineStr">
        <is>
          <t>數值</t>
        </is>
      </c>
      <c r="C277" s="1" t="n">
        <v>2</v>
      </c>
      <c r="D277" s="1" t="n">
        <v>0</v>
      </c>
      <c r="E277" s="1">
        <f>IF(B277="數值","(F"&amp;C277&amp;"."&amp;D277&amp;")","(A"&amp;C277&amp;")")</f>
        <v/>
      </c>
      <c r="F277" s="1">
        <f>"alter type "&amp;A277&amp;" "&amp;E277&amp;"."</f>
        <v/>
      </c>
    </row>
    <row r="278">
      <c r="A278" s="1" t="inlineStr">
        <is>
          <t>vG7o88</t>
        </is>
      </c>
      <c r="B278" s="1" t="inlineStr">
        <is>
          <t>字串</t>
        </is>
      </c>
      <c r="C278" s="1" t="n">
        <v>150</v>
      </c>
      <c r="D278" s="1" t="n">
        <v>0</v>
      </c>
      <c r="E278" s="1">
        <f>IF(B278="數值","(F"&amp;C278&amp;"."&amp;D278&amp;")","(A"&amp;C278&amp;")")</f>
        <v/>
      </c>
      <c r="F278" s="1">
        <f>"alter type "&amp;A278&amp;" "&amp;E278&amp;"."</f>
        <v/>
      </c>
    </row>
    <row r="279">
      <c r="A279" s="1" t="inlineStr">
        <is>
          <t>vG8m01</t>
        </is>
      </c>
      <c r="B279" s="1" t="inlineStr">
        <is>
          <t>數值</t>
        </is>
      </c>
      <c r="C279" s="1" t="n">
        <v>2</v>
      </c>
      <c r="D279" s="1" t="n">
        <v>0</v>
      </c>
      <c r="E279" s="1">
        <f>IF(B279="數值","(F"&amp;C279&amp;"."&amp;D279&amp;")","(A"&amp;C279&amp;")")</f>
        <v/>
      </c>
      <c r="F279" s="1">
        <f>"alter type "&amp;A279&amp;" "&amp;E279&amp;"."</f>
        <v/>
      </c>
    </row>
    <row r="280">
      <c r="A280" s="1" t="inlineStr">
        <is>
          <t>vG8m02</t>
        </is>
      </c>
      <c r="B280" s="1" t="inlineStr">
        <is>
          <t>數值</t>
        </is>
      </c>
      <c r="C280" s="1" t="n">
        <v>2</v>
      </c>
      <c r="D280" s="1" t="n">
        <v>0</v>
      </c>
      <c r="E280" s="1">
        <f>IF(B280="數值","(F"&amp;C280&amp;"."&amp;D280&amp;")","(A"&amp;C280&amp;")")</f>
        <v/>
      </c>
      <c r="F280" s="1">
        <f>"alter type "&amp;A280&amp;" "&amp;E280&amp;"."</f>
        <v/>
      </c>
    </row>
    <row r="281">
      <c r="A281" s="1" t="inlineStr">
        <is>
          <t>vG8m03</t>
        </is>
      </c>
      <c r="B281" s="1" t="inlineStr">
        <is>
          <t>數值</t>
        </is>
      </c>
      <c r="C281" s="1" t="n">
        <v>2</v>
      </c>
      <c r="D281" s="1" t="n">
        <v>0</v>
      </c>
      <c r="E281" s="1">
        <f>IF(B281="數值","(F"&amp;C281&amp;"."&amp;D281&amp;")","(A"&amp;C281&amp;")")</f>
        <v/>
      </c>
      <c r="F281" s="1">
        <f>"alter type "&amp;A281&amp;" "&amp;E281&amp;"."</f>
        <v/>
      </c>
    </row>
    <row r="282">
      <c r="A282" s="1" t="inlineStr">
        <is>
          <t>vG8m04</t>
        </is>
      </c>
      <c r="B282" s="1" t="inlineStr">
        <is>
          <t>數值</t>
        </is>
      </c>
      <c r="C282" s="1" t="n">
        <v>2</v>
      </c>
      <c r="D282" s="1" t="n">
        <v>0</v>
      </c>
      <c r="E282" s="1">
        <f>IF(B282="數值","(F"&amp;C282&amp;"."&amp;D282&amp;")","(A"&amp;C282&amp;")")</f>
        <v/>
      </c>
      <c r="F282" s="1">
        <f>"alter type "&amp;A282&amp;" "&amp;E282&amp;"."</f>
        <v/>
      </c>
    </row>
    <row r="283">
      <c r="A283" s="1" t="inlineStr">
        <is>
          <t>vG8m05</t>
        </is>
      </c>
      <c r="B283" s="1" t="inlineStr">
        <is>
          <t>數值</t>
        </is>
      </c>
      <c r="C283" s="1" t="n">
        <v>2</v>
      </c>
      <c r="D283" s="1" t="n">
        <v>0</v>
      </c>
      <c r="E283" s="1">
        <f>IF(B283="數值","(F"&amp;C283&amp;"."&amp;D283&amp;")","(A"&amp;C283&amp;")")</f>
        <v/>
      </c>
      <c r="F283" s="1">
        <f>"alter type "&amp;A283&amp;" "&amp;E283&amp;"."</f>
        <v/>
      </c>
    </row>
    <row r="284">
      <c r="A284" s="1" t="inlineStr">
        <is>
          <t>vG8m06</t>
        </is>
      </c>
      <c r="B284" s="1" t="inlineStr">
        <is>
          <t>數值</t>
        </is>
      </c>
      <c r="C284" s="1" t="n">
        <v>2</v>
      </c>
      <c r="D284" s="1" t="n">
        <v>0</v>
      </c>
      <c r="E284" s="1">
        <f>IF(B284="數值","(F"&amp;C284&amp;"."&amp;D284&amp;")","(A"&amp;C284&amp;")")</f>
        <v/>
      </c>
      <c r="F284" s="1">
        <f>"alter type "&amp;A284&amp;" "&amp;E284&amp;"."</f>
        <v/>
      </c>
    </row>
    <row r="285">
      <c r="A285" s="1" t="inlineStr">
        <is>
          <t>vG8m07</t>
        </is>
      </c>
      <c r="B285" s="1" t="inlineStr">
        <is>
          <t>數值</t>
        </is>
      </c>
      <c r="C285" s="1" t="n">
        <v>2</v>
      </c>
      <c r="D285" s="1" t="n">
        <v>0</v>
      </c>
      <c r="E285" s="1">
        <f>IF(B285="數值","(F"&amp;C285&amp;"."&amp;D285&amp;")","(A"&amp;C285&amp;")")</f>
        <v/>
      </c>
      <c r="F285" s="1">
        <f>"alter type "&amp;A285&amp;" "&amp;E285&amp;"."</f>
        <v/>
      </c>
    </row>
    <row r="286">
      <c r="A286" s="1" t="inlineStr">
        <is>
          <t>vG8m08</t>
        </is>
      </c>
      <c r="B286" s="1" t="inlineStr">
        <is>
          <t>數值</t>
        </is>
      </c>
      <c r="C286" s="1" t="n">
        <v>2</v>
      </c>
      <c r="D286" s="1" t="n">
        <v>0</v>
      </c>
      <c r="E286" s="1">
        <f>IF(B286="數值","(F"&amp;C286&amp;"."&amp;D286&amp;")","(A"&amp;C286&amp;")")</f>
        <v/>
      </c>
      <c r="F286" s="1">
        <f>"alter type "&amp;A286&amp;" "&amp;E286&amp;"."</f>
        <v/>
      </c>
    </row>
    <row r="287">
      <c r="A287" s="1" t="inlineStr">
        <is>
          <t>vG8m09</t>
        </is>
      </c>
      <c r="B287" s="1" t="inlineStr">
        <is>
          <t>數值</t>
        </is>
      </c>
      <c r="C287" s="1" t="n">
        <v>2</v>
      </c>
      <c r="D287" s="1" t="n">
        <v>0</v>
      </c>
      <c r="E287" s="1">
        <f>IF(B287="數值","(F"&amp;C287&amp;"."&amp;D287&amp;")","(A"&amp;C287&amp;")")</f>
        <v/>
      </c>
      <c r="F287" s="1">
        <f>"alter type "&amp;A287&amp;" "&amp;E287&amp;"."</f>
        <v/>
      </c>
    </row>
    <row r="288">
      <c r="A288" s="1" t="inlineStr">
        <is>
          <t>vG8m10</t>
        </is>
      </c>
      <c r="B288" s="1" t="inlineStr">
        <is>
          <t>數值</t>
        </is>
      </c>
      <c r="C288" s="1" t="n">
        <v>2</v>
      </c>
      <c r="D288" s="1" t="n">
        <v>0</v>
      </c>
      <c r="E288" s="1">
        <f>IF(B288="數值","(F"&amp;C288&amp;"."&amp;D288&amp;")","(A"&amp;C288&amp;")")</f>
        <v/>
      </c>
      <c r="F288" s="1">
        <f>"alter type "&amp;A288&amp;" "&amp;E288&amp;"."</f>
        <v/>
      </c>
    </row>
    <row r="289">
      <c r="A289" s="1" t="inlineStr">
        <is>
          <t>vG8m11</t>
        </is>
      </c>
      <c r="B289" s="1" t="inlineStr">
        <is>
          <t>數值</t>
        </is>
      </c>
      <c r="C289" s="1" t="n">
        <v>2</v>
      </c>
      <c r="D289" s="1" t="n">
        <v>0</v>
      </c>
      <c r="E289" s="1">
        <f>IF(B289="數值","(F"&amp;C289&amp;"."&amp;D289&amp;")","(A"&amp;C289&amp;")")</f>
        <v/>
      </c>
      <c r="F289" s="1">
        <f>"alter type "&amp;A289&amp;" "&amp;E289&amp;"."</f>
        <v/>
      </c>
    </row>
    <row r="290">
      <c r="A290" s="1" t="inlineStr">
        <is>
          <t>vG8m12</t>
        </is>
      </c>
      <c r="B290" s="1" t="inlineStr">
        <is>
          <t>數值</t>
        </is>
      </c>
      <c r="C290" s="1" t="n">
        <v>2</v>
      </c>
      <c r="D290" s="1" t="n">
        <v>0</v>
      </c>
      <c r="E290" s="1">
        <f>IF(B290="數值","(F"&amp;C290&amp;"."&amp;D290&amp;")","(A"&amp;C290&amp;")")</f>
        <v/>
      </c>
      <c r="F290" s="1">
        <f>"alter type "&amp;A290&amp;" "&amp;E290&amp;"."</f>
        <v/>
      </c>
    </row>
    <row r="291">
      <c r="A291" s="1" t="inlineStr">
        <is>
          <t>vG8m13</t>
        </is>
      </c>
      <c r="B291" s="1" t="inlineStr">
        <is>
          <t>數值</t>
        </is>
      </c>
      <c r="C291" s="1" t="n">
        <v>2</v>
      </c>
      <c r="D291" s="1" t="n">
        <v>0</v>
      </c>
      <c r="E291" s="1">
        <f>IF(B291="數值","(F"&amp;C291&amp;"."&amp;D291&amp;")","(A"&amp;C291&amp;")")</f>
        <v/>
      </c>
      <c r="F291" s="1">
        <f>"alter type "&amp;A291&amp;" "&amp;E291&amp;"."</f>
        <v/>
      </c>
    </row>
    <row r="292">
      <c r="A292" s="1" t="inlineStr">
        <is>
          <t>vG8m14</t>
        </is>
      </c>
      <c r="B292" s="1" t="inlineStr">
        <is>
          <t>數值</t>
        </is>
      </c>
      <c r="C292" s="1" t="n">
        <v>2</v>
      </c>
      <c r="D292" s="1" t="n">
        <v>0</v>
      </c>
      <c r="E292" s="1">
        <f>IF(B292="數值","(F"&amp;C292&amp;"."&amp;D292&amp;")","(A"&amp;C292&amp;")")</f>
        <v/>
      </c>
      <c r="F292" s="1">
        <f>"alter type "&amp;A292&amp;" "&amp;E292&amp;"."</f>
        <v/>
      </c>
    </row>
    <row r="293">
      <c r="A293" s="1" t="inlineStr">
        <is>
          <t>vG8m15</t>
        </is>
      </c>
      <c r="B293" s="1" t="inlineStr">
        <is>
          <t>數值</t>
        </is>
      </c>
      <c r="C293" s="1" t="n">
        <v>2</v>
      </c>
      <c r="D293" s="1" t="n">
        <v>0</v>
      </c>
      <c r="E293" s="1">
        <f>IF(B293="數值","(F"&amp;C293&amp;"."&amp;D293&amp;")","(A"&amp;C293&amp;")")</f>
        <v/>
      </c>
      <c r="F293" s="1">
        <f>"alter type "&amp;A293&amp;" "&amp;E293&amp;"."</f>
        <v/>
      </c>
    </row>
    <row r="294">
      <c r="A294" s="1" t="inlineStr">
        <is>
          <t>vG8m16</t>
        </is>
      </c>
      <c r="B294" s="1" t="inlineStr">
        <is>
          <t>數值</t>
        </is>
      </c>
      <c r="C294" s="1" t="n">
        <v>2</v>
      </c>
      <c r="D294" s="1" t="n">
        <v>0</v>
      </c>
      <c r="E294" s="1">
        <f>IF(B294="數值","(F"&amp;C294&amp;"."&amp;D294&amp;")","(A"&amp;C294&amp;")")</f>
        <v/>
      </c>
      <c r="F294" s="1">
        <f>"alter type "&amp;A294&amp;" "&amp;E294&amp;"."</f>
        <v/>
      </c>
    </row>
    <row r="295">
      <c r="A295" s="1" t="inlineStr">
        <is>
          <t>vG8m88</t>
        </is>
      </c>
      <c r="B295" s="1" t="inlineStr">
        <is>
          <t>數值</t>
        </is>
      </c>
      <c r="C295" s="1" t="n">
        <v>2</v>
      </c>
      <c r="D295" s="1" t="n">
        <v>0</v>
      </c>
      <c r="E295" s="1">
        <f>IF(B295="數值","(F"&amp;C295&amp;"."&amp;D295&amp;")","(A"&amp;C295&amp;")")</f>
        <v/>
      </c>
      <c r="F295" s="1">
        <f>"alter type "&amp;A295&amp;" "&amp;E295&amp;"."</f>
        <v/>
      </c>
    </row>
    <row r="296">
      <c r="A296" s="1" t="inlineStr">
        <is>
          <t>vG8o88</t>
        </is>
      </c>
      <c r="B296" s="1" t="inlineStr">
        <is>
          <t>字串</t>
        </is>
      </c>
      <c r="C296" s="1" t="n">
        <v>150</v>
      </c>
      <c r="D296" s="1" t="n">
        <v>0</v>
      </c>
      <c r="E296" s="1">
        <f>IF(B296="數值","(F"&amp;C296&amp;"."&amp;D296&amp;")","(A"&amp;C296&amp;")")</f>
        <v/>
      </c>
      <c r="F296" s="1">
        <f>"alter type "&amp;A296&amp;" "&amp;E296&amp;"."</f>
        <v/>
      </c>
    </row>
    <row r="297">
      <c r="A297" s="1" t="inlineStr">
        <is>
          <t>vG9m01</t>
        </is>
      </c>
      <c r="B297" s="1" t="inlineStr">
        <is>
          <t>數值</t>
        </is>
      </c>
      <c r="C297" s="1" t="n">
        <v>2</v>
      </c>
      <c r="D297" s="1" t="n">
        <v>0</v>
      </c>
      <c r="E297" s="1">
        <f>IF(B297="數值","(F"&amp;C297&amp;"."&amp;D297&amp;")","(A"&amp;C297&amp;")")</f>
        <v/>
      </c>
      <c r="F297" s="1">
        <f>"alter type "&amp;A297&amp;" "&amp;E297&amp;"."</f>
        <v/>
      </c>
    </row>
    <row r="298">
      <c r="A298" s="1" t="inlineStr">
        <is>
          <t>vG9m02</t>
        </is>
      </c>
      <c r="B298" s="1" t="inlineStr">
        <is>
          <t>數值</t>
        </is>
      </c>
      <c r="C298" s="1" t="n">
        <v>2</v>
      </c>
      <c r="D298" s="1" t="n">
        <v>0</v>
      </c>
      <c r="E298" s="1">
        <f>IF(B298="數值","(F"&amp;C298&amp;"."&amp;D298&amp;")","(A"&amp;C298&amp;")")</f>
        <v/>
      </c>
      <c r="F298" s="1">
        <f>"alter type "&amp;A298&amp;" "&amp;E298&amp;"."</f>
        <v/>
      </c>
    </row>
    <row r="299">
      <c r="A299" s="1" t="inlineStr">
        <is>
          <t>vG9m03</t>
        </is>
      </c>
      <c r="B299" s="1" t="inlineStr">
        <is>
          <t>數值</t>
        </is>
      </c>
      <c r="C299" s="1" t="n">
        <v>2</v>
      </c>
      <c r="D299" s="1" t="n">
        <v>0</v>
      </c>
      <c r="E299" s="1">
        <f>IF(B299="數值","(F"&amp;C299&amp;"."&amp;D299&amp;")","(A"&amp;C299&amp;")")</f>
        <v/>
      </c>
      <c r="F299" s="1">
        <f>"alter type "&amp;A299&amp;" "&amp;E299&amp;"."</f>
        <v/>
      </c>
    </row>
    <row r="300">
      <c r="A300" s="1" t="inlineStr">
        <is>
          <t>vG9m04</t>
        </is>
      </c>
      <c r="B300" s="1" t="inlineStr">
        <is>
          <t>數值</t>
        </is>
      </c>
      <c r="C300" s="1" t="n">
        <v>2</v>
      </c>
      <c r="D300" s="1" t="n">
        <v>0</v>
      </c>
      <c r="E300" s="1">
        <f>IF(B300="數值","(F"&amp;C300&amp;"."&amp;D300&amp;")","(A"&amp;C300&amp;")")</f>
        <v/>
      </c>
      <c r="F300" s="1">
        <f>"alter type "&amp;A300&amp;" "&amp;E300&amp;"."</f>
        <v/>
      </c>
    </row>
    <row r="301">
      <c r="A301" s="1" t="inlineStr">
        <is>
          <t>vG9m05</t>
        </is>
      </c>
      <c r="B301" s="1" t="inlineStr">
        <is>
          <t>數值</t>
        </is>
      </c>
      <c r="C301" s="1" t="n">
        <v>2</v>
      </c>
      <c r="D301" s="1" t="n">
        <v>0</v>
      </c>
      <c r="E301" s="1">
        <f>IF(B301="數值","(F"&amp;C301&amp;"."&amp;D301&amp;")","(A"&amp;C301&amp;")")</f>
        <v/>
      </c>
      <c r="F301" s="1">
        <f>"alter type "&amp;A301&amp;" "&amp;E301&amp;"."</f>
        <v/>
      </c>
    </row>
    <row r="302">
      <c r="A302" s="1" t="inlineStr">
        <is>
          <t>vG9m06</t>
        </is>
      </c>
      <c r="B302" s="1" t="inlineStr">
        <is>
          <t>數值</t>
        </is>
      </c>
      <c r="C302" s="1" t="n">
        <v>2</v>
      </c>
      <c r="D302" s="1" t="n">
        <v>0</v>
      </c>
      <c r="E302" s="1">
        <f>IF(B302="數值","(F"&amp;C302&amp;"."&amp;D302&amp;")","(A"&amp;C302&amp;")")</f>
        <v/>
      </c>
      <c r="F302" s="1">
        <f>"alter type "&amp;A302&amp;" "&amp;E302&amp;"."</f>
        <v/>
      </c>
    </row>
    <row r="303">
      <c r="A303" s="1" t="inlineStr">
        <is>
          <t>vG9m07</t>
        </is>
      </c>
      <c r="B303" s="1" t="inlineStr">
        <is>
          <t>數值</t>
        </is>
      </c>
      <c r="C303" s="1" t="n">
        <v>2</v>
      </c>
      <c r="D303" s="1" t="n">
        <v>0</v>
      </c>
      <c r="E303" s="1">
        <f>IF(B303="數值","(F"&amp;C303&amp;"."&amp;D303&amp;")","(A"&amp;C303&amp;")")</f>
        <v/>
      </c>
      <c r="F303" s="1">
        <f>"alter type "&amp;A303&amp;" "&amp;E303&amp;"."</f>
        <v/>
      </c>
    </row>
    <row r="304">
      <c r="A304" s="1" t="inlineStr">
        <is>
          <t>vG9m08</t>
        </is>
      </c>
      <c r="B304" s="1" t="inlineStr">
        <is>
          <t>數值</t>
        </is>
      </c>
      <c r="C304" s="1" t="n">
        <v>2</v>
      </c>
      <c r="D304" s="1" t="n">
        <v>0</v>
      </c>
      <c r="E304" s="1">
        <f>IF(B304="數值","(F"&amp;C304&amp;"."&amp;D304&amp;")","(A"&amp;C304&amp;")")</f>
        <v/>
      </c>
      <c r="F304" s="1">
        <f>"alter type "&amp;A304&amp;" "&amp;E304&amp;"."</f>
        <v/>
      </c>
    </row>
    <row r="305">
      <c r="A305" s="1" t="inlineStr">
        <is>
          <t>vG9m09</t>
        </is>
      </c>
      <c r="B305" s="1" t="inlineStr">
        <is>
          <t>數值</t>
        </is>
      </c>
      <c r="C305" s="1" t="n">
        <v>2</v>
      </c>
      <c r="D305" s="1" t="n">
        <v>0</v>
      </c>
      <c r="E305" s="1">
        <f>IF(B305="數值","(F"&amp;C305&amp;"."&amp;D305&amp;")","(A"&amp;C305&amp;")")</f>
        <v/>
      </c>
      <c r="F305" s="1">
        <f>"alter type "&amp;A305&amp;" "&amp;E305&amp;"."</f>
        <v/>
      </c>
    </row>
    <row r="306">
      <c r="A306" s="1" t="inlineStr">
        <is>
          <t>vG9m10</t>
        </is>
      </c>
      <c r="B306" s="1" t="inlineStr">
        <is>
          <t>數值</t>
        </is>
      </c>
      <c r="C306" s="1" t="n">
        <v>2</v>
      </c>
      <c r="D306" s="1" t="n">
        <v>0</v>
      </c>
      <c r="E306" s="1">
        <f>IF(B306="數值","(F"&amp;C306&amp;"."&amp;D306&amp;")","(A"&amp;C306&amp;")")</f>
        <v/>
      </c>
      <c r="F306" s="1">
        <f>"alter type "&amp;A306&amp;" "&amp;E306&amp;"."</f>
        <v/>
      </c>
    </row>
    <row r="307">
      <c r="A307" s="1" t="inlineStr">
        <is>
          <t>vG9m11</t>
        </is>
      </c>
      <c r="B307" s="1" t="inlineStr">
        <is>
          <t>數值</t>
        </is>
      </c>
      <c r="C307" s="1" t="n">
        <v>2</v>
      </c>
      <c r="D307" s="1" t="n">
        <v>0</v>
      </c>
      <c r="E307" s="1">
        <f>IF(B307="數值","(F"&amp;C307&amp;"."&amp;D307&amp;")","(A"&amp;C307&amp;")")</f>
        <v/>
      </c>
      <c r="F307" s="1">
        <f>"alter type "&amp;A307&amp;" "&amp;E307&amp;"."</f>
        <v/>
      </c>
    </row>
    <row r="308">
      <c r="A308" s="1" t="inlineStr">
        <is>
          <t>vG9m12</t>
        </is>
      </c>
      <c r="B308" s="1" t="inlineStr">
        <is>
          <t>數值</t>
        </is>
      </c>
      <c r="C308" s="1" t="n">
        <v>2</v>
      </c>
      <c r="D308" s="1" t="n">
        <v>0</v>
      </c>
      <c r="E308" s="1">
        <f>IF(B308="數值","(F"&amp;C308&amp;"."&amp;D308&amp;")","(A"&amp;C308&amp;")")</f>
        <v/>
      </c>
      <c r="F308" s="1">
        <f>"alter type "&amp;A308&amp;" "&amp;E308&amp;"."</f>
        <v/>
      </c>
    </row>
    <row r="309">
      <c r="A309" s="1" t="inlineStr">
        <is>
          <t>vG9m13</t>
        </is>
      </c>
      <c r="B309" s="1" t="inlineStr">
        <is>
          <t>數值</t>
        </is>
      </c>
      <c r="C309" s="1" t="n">
        <v>2</v>
      </c>
      <c r="D309" s="1" t="n">
        <v>0</v>
      </c>
      <c r="E309" s="1">
        <f>IF(B309="數值","(F"&amp;C309&amp;"."&amp;D309&amp;")","(A"&amp;C309&amp;")")</f>
        <v/>
      </c>
      <c r="F309" s="1">
        <f>"alter type "&amp;A309&amp;" "&amp;E309&amp;"."</f>
        <v/>
      </c>
    </row>
    <row r="310">
      <c r="A310" s="1" t="inlineStr">
        <is>
          <t>vG9m88</t>
        </is>
      </c>
      <c r="B310" s="1" t="inlineStr">
        <is>
          <t>數值</t>
        </is>
      </c>
      <c r="C310" s="1" t="n">
        <v>2</v>
      </c>
      <c r="D310" s="1" t="n">
        <v>0</v>
      </c>
      <c r="E310" s="1">
        <f>IF(B310="數值","(F"&amp;C310&amp;"."&amp;D310&amp;")","(A"&amp;C310&amp;")")</f>
        <v/>
      </c>
      <c r="F310" s="1">
        <f>"alter type "&amp;A310&amp;" "&amp;E310&amp;"."</f>
        <v/>
      </c>
    </row>
    <row r="311">
      <c r="A311" s="1" t="inlineStr">
        <is>
          <t>vG9o88</t>
        </is>
      </c>
      <c r="B311" s="1" t="inlineStr">
        <is>
          <t>字串</t>
        </is>
      </c>
      <c r="C311" s="1" t="n">
        <v>150</v>
      </c>
      <c r="D311" s="1" t="n">
        <v>0</v>
      </c>
      <c r="E311" s="1">
        <f>IF(B311="數值","(F"&amp;C311&amp;"."&amp;D311&amp;")","(A"&amp;C311&amp;")")</f>
        <v/>
      </c>
      <c r="F311" s="1">
        <f>"alter type "&amp;A311&amp;" "&amp;E311&amp;"."</f>
        <v/>
      </c>
    </row>
    <row r="312">
      <c r="A312" s="1" t="inlineStr">
        <is>
          <t>vG10m01</t>
        </is>
      </c>
      <c r="B312" s="1" t="inlineStr">
        <is>
          <t>數值</t>
        </is>
      </c>
      <c r="C312" s="1" t="n">
        <v>2</v>
      </c>
      <c r="D312" s="1" t="n">
        <v>0</v>
      </c>
      <c r="E312" s="1">
        <f>IF(B312="數值","(F"&amp;C312&amp;"."&amp;D312&amp;")","(A"&amp;C312&amp;")")</f>
        <v/>
      </c>
      <c r="F312" s="1">
        <f>"alter type "&amp;A312&amp;" "&amp;E312&amp;"."</f>
        <v/>
      </c>
    </row>
    <row r="313">
      <c r="A313" s="1" t="inlineStr">
        <is>
          <t>vG10m02</t>
        </is>
      </c>
      <c r="B313" s="1" t="inlineStr">
        <is>
          <t>數值</t>
        </is>
      </c>
      <c r="C313" s="1" t="n">
        <v>2</v>
      </c>
      <c r="D313" s="1" t="n">
        <v>0</v>
      </c>
      <c r="E313" s="1">
        <f>IF(B313="數值","(F"&amp;C313&amp;"."&amp;D313&amp;")","(A"&amp;C313&amp;")")</f>
        <v/>
      </c>
      <c r="F313" s="1">
        <f>"alter type "&amp;A313&amp;" "&amp;E313&amp;"."</f>
        <v/>
      </c>
    </row>
    <row r="314">
      <c r="A314" s="1" t="inlineStr">
        <is>
          <t>vG10m03</t>
        </is>
      </c>
      <c r="B314" s="1" t="inlineStr">
        <is>
          <t>數值</t>
        </is>
      </c>
      <c r="C314" s="1" t="n">
        <v>2</v>
      </c>
      <c r="D314" s="1" t="n">
        <v>0</v>
      </c>
      <c r="E314" s="1">
        <f>IF(B314="數值","(F"&amp;C314&amp;"."&amp;D314&amp;")","(A"&amp;C314&amp;")")</f>
        <v/>
      </c>
      <c r="F314" s="1">
        <f>"alter type "&amp;A314&amp;" "&amp;E314&amp;"."</f>
        <v/>
      </c>
    </row>
    <row r="315">
      <c r="A315" s="1" t="inlineStr">
        <is>
          <t>vG10m04</t>
        </is>
      </c>
      <c r="B315" s="1" t="inlineStr">
        <is>
          <t>數值</t>
        </is>
      </c>
      <c r="C315" s="1" t="n">
        <v>2</v>
      </c>
      <c r="D315" s="1" t="n">
        <v>0</v>
      </c>
      <c r="E315" s="1">
        <f>IF(B315="數值","(F"&amp;C315&amp;"."&amp;D315&amp;")","(A"&amp;C315&amp;")")</f>
        <v/>
      </c>
      <c r="F315" s="1">
        <f>"alter type "&amp;A315&amp;" "&amp;E315&amp;"."</f>
        <v/>
      </c>
    </row>
    <row r="316">
      <c r="A316" s="1" t="inlineStr">
        <is>
          <t>vG10m05</t>
        </is>
      </c>
      <c r="B316" s="1" t="inlineStr">
        <is>
          <t>數值</t>
        </is>
      </c>
      <c r="C316" s="1" t="n">
        <v>2</v>
      </c>
      <c r="D316" s="1" t="n">
        <v>0</v>
      </c>
      <c r="E316" s="1">
        <f>IF(B316="數值","(F"&amp;C316&amp;"."&amp;D316&amp;")","(A"&amp;C316&amp;")")</f>
        <v/>
      </c>
      <c r="F316" s="1">
        <f>"alter type "&amp;A316&amp;" "&amp;E316&amp;"."</f>
        <v/>
      </c>
    </row>
    <row r="317">
      <c r="A317" s="1" t="inlineStr">
        <is>
          <t>vG10m06</t>
        </is>
      </c>
      <c r="B317" s="1" t="inlineStr">
        <is>
          <t>數值</t>
        </is>
      </c>
      <c r="C317" s="1" t="n">
        <v>2</v>
      </c>
      <c r="D317" s="1" t="n">
        <v>0</v>
      </c>
      <c r="E317" s="1">
        <f>IF(B317="數值","(F"&amp;C317&amp;"."&amp;D317&amp;")","(A"&amp;C317&amp;")")</f>
        <v/>
      </c>
      <c r="F317" s="1">
        <f>"alter type "&amp;A317&amp;" "&amp;E317&amp;"."</f>
        <v/>
      </c>
    </row>
    <row r="318">
      <c r="A318" s="1" t="inlineStr">
        <is>
          <t>vG10m07</t>
        </is>
      </c>
      <c r="B318" s="1" t="inlineStr">
        <is>
          <t>數值</t>
        </is>
      </c>
      <c r="C318" s="1" t="n">
        <v>2</v>
      </c>
      <c r="D318" s="1" t="n">
        <v>0</v>
      </c>
      <c r="E318" s="1">
        <f>IF(B318="數值","(F"&amp;C318&amp;"."&amp;D318&amp;")","(A"&amp;C318&amp;")")</f>
        <v/>
      </c>
      <c r="F318" s="1">
        <f>"alter type "&amp;A318&amp;" "&amp;E318&amp;"."</f>
        <v/>
      </c>
    </row>
    <row r="319">
      <c r="A319" s="1" t="inlineStr">
        <is>
          <t>vG10m08</t>
        </is>
      </c>
      <c r="B319" s="1" t="inlineStr">
        <is>
          <t>數值</t>
        </is>
      </c>
      <c r="C319" s="1" t="n">
        <v>2</v>
      </c>
      <c r="D319" s="1" t="n">
        <v>0</v>
      </c>
      <c r="E319" s="1">
        <f>IF(B319="數值","(F"&amp;C319&amp;"."&amp;D319&amp;")","(A"&amp;C319&amp;")")</f>
        <v/>
      </c>
      <c r="F319" s="1">
        <f>"alter type "&amp;A319&amp;" "&amp;E319&amp;"."</f>
        <v/>
      </c>
    </row>
    <row r="320">
      <c r="A320" s="1" t="inlineStr">
        <is>
          <t>vG10m09</t>
        </is>
      </c>
      <c r="B320" s="1" t="inlineStr">
        <is>
          <t>數值</t>
        </is>
      </c>
      <c r="C320" s="1" t="n">
        <v>2</v>
      </c>
      <c r="D320" s="1" t="n">
        <v>0</v>
      </c>
      <c r="E320" s="1">
        <f>IF(B320="數值","(F"&amp;C320&amp;"."&amp;D320&amp;")","(A"&amp;C320&amp;")")</f>
        <v/>
      </c>
      <c r="F320" s="1">
        <f>"alter type "&amp;A320&amp;" "&amp;E320&amp;"."</f>
        <v/>
      </c>
    </row>
    <row r="321">
      <c r="A321" s="1" t="inlineStr">
        <is>
          <t>vG10m10</t>
        </is>
      </c>
      <c r="B321" s="1" t="inlineStr">
        <is>
          <t>數值</t>
        </is>
      </c>
      <c r="C321" s="1" t="n">
        <v>2</v>
      </c>
      <c r="D321" s="1" t="n">
        <v>0</v>
      </c>
      <c r="E321" s="1">
        <f>IF(B321="數值","(F"&amp;C321&amp;"."&amp;D321&amp;")","(A"&amp;C321&amp;")")</f>
        <v/>
      </c>
      <c r="F321" s="1">
        <f>"alter type "&amp;A321&amp;" "&amp;E321&amp;"."</f>
        <v/>
      </c>
    </row>
    <row r="322">
      <c r="A322" s="1" t="inlineStr">
        <is>
          <t>vG10m11</t>
        </is>
      </c>
      <c r="B322" s="1" t="inlineStr">
        <is>
          <t>數值</t>
        </is>
      </c>
      <c r="C322" s="1" t="n">
        <v>2</v>
      </c>
      <c r="D322" s="1" t="n">
        <v>0</v>
      </c>
      <c r="E322" s="1">
        <f>IF(B322="數值","(F"&amp;C322&amp;"."&amp;D322&amp;")","(A"&amp;C322&amp;")")</f>
        <v/>
      </c>
      <c r="F322" s="1">
        <f>"alter type "&amp;A322&amp;" "&amp;E322&amp;"."</f>
        <v/>
      </c>
    </row>
    <row r="323">
      <c r="A323" s="1" t="inlineStr">
        <is>
          <t>vG10m12</t>
        </is>
      </c>
      <c r="B323" s="1" t="inlineStr">
        <is>
          <t>數值</t>
        </is>
      </c>
      <c r="C323" s="1" t="n">
        <v>2</v>
      </c>
      <c r="D323" s="1" t="n">
        <v>0</v>
      </c>
      <c r="E323" s="1">
        <f>IF(B323="數值","(F"&amp;C323&amp;"."&amp;D323&amp;")","(A"&amp;C323&amp;")")</f>
        <v/>
      </c>
      <c r="F323" s="1">
        <f>"alter type "&amp;A323&amp;" "&amp;E323&amp;"."</f>
        <v/>
      </c>
    </row>
    <row r="324">
      <c r="A324" s="1" t="inlineStr">
        <is>
          <t>vG10m13</t>
        </is>
      </c>
      <c r="B324" s="1" t="inlineStr">
        <is>
          <t>數值</t>
        </is>
      </c>
      <c r="C324" s="1" t="n">
        <v>2</v>
      </c>
      <c r="D324" s="1" t="n">
        <v>0</v>
      </c>
      <c r="E324" s="1">
        <f>IF(B324="數值","(F"&amp;C324&amp;"."&amp;D324&amp;")","(A"&amp;C324&amp;")")</f>
        <v/>
      </c>
      <c r="F324" s="1">
        <f>"alter type "&amp;A324&amp;" "&amp;E324&amp;"."</f>
        <v/>
      </c>
    </row>
    <row r="325">
      <c r="A325" s="1" t="inlineStr">
        <is>
          <t>vG10m14</t>
        </is>
      </c>
      <c r="B325" s="1" t="inlineStr">
        <is>
          <t>數值</t>
        </is>
      </c>
      <c r="C325" s="1" t="n">
        <v>2</v>
      </c>
      <c r="D325" s="1" t="n">
        <v>0</v>
      </c>
      <c r="E325" s="1">
        <f>IF(B325="數值","(F"&amp;C325&amp;"."&amp;D325&amp;")","(A"&amp;C325&amp;")")</f>
        <v/>
      </c>
      <c r="F325" s="1">
        <f>"alter type "&amp;A325&amp;" "&amp;E325&amp;"."</f>
        <v/>
      </c>
    </row>
    <row r="326">
      <c r="A326" s="1" t="inlineStr">
        <is>
          <t>vG10m15</t>
        </is>
      </c>
      <c r="B326" s="1" t="inlineStr">
        <is>
          <t>數值</t>
        </is>
      </c>
      <c r="C326" s="1" t="n">
        <v>2</v>
      </c>
      <c r="D326" s="1" t="n">
        <v>0</v>
      </c>
      <c r="E326" s="1">
        <f>IF(B326="數值","(F"&amp;C326&amp;"."&amp;D326&amp;")","(A"&amp;C326&amp;")")</f>
        <v/>
      </c>
      <c r="F326" s="1">
        <f>"alter type "&amp;A326&amp;" "&amp;E326&amp;"."</f>
        <v/>
      </c>
    </row>
    <row r="327">
      <c r="A327" s="1" t="inlineStr">
        <is>
          <t>vG10m16</t>
        </is>
      </c>
      <c r="B327" s="1" t="inlineStr">
        <is>
          <t>數值</t>
        </is>
      </c>
      <c r="C327" s="1" t="n">
        <v>2</v>
      </c>
      <c r="D327" s="1" t="n">
        <v>0</v>
      </c>
      <c r="E327" s="1">
        <f>IF(B327="數值","(F"&amp;C327&amp;"."&amp;D327&amp;")","(A"&amp;C327&amp;")")</f>
        <v/>
      </c>
      <c r="F327" s="1">
        <f>"alter type "&amp;A327&amp;" "&amp;E327&amp;"."</f>
        <v/>
      </c>
    </row>
    <row r="328">
      <c r="A328" s="1" t="inlineStr">
        <is>
          <t>vG10m17</t>
        </is>
      </c>
      <c r="B328" s="1" t="inlineStr">
        <is>
          <t>數值</t>
        </is>
      </c>
      <c r="C328" s="1" t="n">
        <v>2</v>
      </c>
      <c r="D328" s="1" t="n">
        <v>0</v>
      </c>
      <c r="E328" s="1">
        <f>IF(B328="數值","(F"&amp;C328&amp;"."&amp;D328&amp;")","(A"&amp;C328&amp;")")</f>
        <v/>
      </c>
      <c r="F328" s="1">
        <f>"alter type "&amp;A328&amp;" "&amp;E328&amp;"."</f>
        <v/>
      </c>
    </row>
    <row r="329">
      <c r="A329" s="1" t="inlineStr">
        <is>
          <t>vG10m18</t>
        </is>
      </c>
      <c r="B329" s="1" t="inlineStr">
        <is>
          <t>數值</t>
        </is>
      </c>
      <c r="C329" s="1" t="n">
        <v>2</v>
      </c>
      <c r="D329" s="1" t="n">
        <v>0</v>
      </c>
      <c r="E329" s="1">
        <f>IF(B329="數值","(F"&amp;C329&amp;"."&amp;D329&amp;")","(A"&amp;C329&amp;")")</f>
        <v/>
      </c>
      <c r="F329" s="1">
        <f>"alter type "&amp;A329&amp;" "&amp;E329&amp;"."</f>
        <v/>
      </c>
    </row>
    <row r="330">
      <c r="A330" s="1" t="inlineStr">
        <is>
          <t>vG10m19</t>
        </is>
      </c>
      <c r="B330" s="1" t="inlineStr">
        <is>
          <t>數值</t>
        </is>
      </c>
      <c r="C330" s="1" t="n">
        <v>2</v>
      </c>
      <c r="D330" s="1" t="n">
        <v>0</v>
      </c>
      <c r="E330" s="1">
        <f>IF(B330="數值","(F"&amp;C330&amp;"."&amp;D330&amp;")","(A"&amp;C330&amp;")")</f>
        <v/>
      </c>
      <c r="F330" s="1">
        <f>"alter type "&amp;A330&amp;" "&amp;E330&amp;"."</f>
        <v/>
      </c>
    </row>
    <row r="331">
      <c r="A331" s="1" t="inlineStr">
        <is>
          <t>vG10m88</t>
        </is>
      </c>
      <c r="B331" s="1" t="inlineStr">
        <is>
          <t>數值</t>
        </is>
      </c>
      <c r="C331" s="1" t="n">
        <v>2</v>
      </c>
      <c r="D331" s="1" t="n">
        <v>0</v>
      </c>
      <c r="E331" s="1">
        <f>IF(B331="數值","(F"&amp;C331&amp;"."&amp;D331&amp;")","(A"&amp;C331&amp;")")</f>
        <v/>
      </c>
      <c r="F331" s="1">
        <f>"alter type "&amp;A331&amp;" "&amp;E331&amp;"."</f>
        <v/>
      </c>
    </row>
    <row r="332">
      <c r="A332" s="1" t="inlineStr">
        <is>
          <t>vG10o88</t>
        </is>
      </c>
      <c r="B332" s="1" t="inlineStr">
        <is>
          <t>字串</t>
        </is>
      </c>
      <c r="C332" s="1" t="n">
        <v>150</v>
      </c>
      <c r="D332" s="1" t="n">
        <v>0</v>
      </c>
      <c r="E332" s="1">
        <f>IF(B332="數值","(F"&amp;C332&amp;"."&amp;D332&amp;")","(A"&amp;C332&amp;")")</f>
        <v/>
      </c>
      <c r="F332" s="1">
        <f>"alter type "&amp;A332&amp;" "&amp;E332&amp;"."</f>
        <v/>
      </c>
    </row>
    <row r="333">
      <c r="A333" s="1" t="inlineStr">
        <is>
          <t>vG11m01</t>
        </is>
      </c>
      <c r="B333" s="1" t="inlineStr">
        <is>
          <t>數值</t>
        </is>
      </c>
      <c r="C333" s="1" t="n">
        <v>2</v>
      </c>
      <c r="D333" s="1" t="n">
        <v>0</v>
      </c>
      <c r="E333" s="1">
        <f>IF(B333="數值","(F"&amp;C333&amp;"."&amp;D333&amp;")","(A"&amp;C333&amp;")")</f>
        <v/>
      </c>
      <c r="F333" s="1">
        <f>"alter type "&amp;A333&amp;" "&amp;E333&amp;"."</f>
        <v/>
      </c>
    </row>
    <row r="334">
      <c r="A334" s="1" t="inlineStr">
        <is>
          <t>vG11m02</t>
        </is>
      </c>
      <c r="B334" s="1" t="inlineStr">
        <is>
          <t>數值</t>
        </is>
      </c>
      <c r="C334" s="1" t="n">
        <v>2</v>
      </c>
      <c r="D334" s="1" t="n">
        <v>0</v>
      </c>
      <c r="E334" s="1">
        <f>IF(B334="數值","(F"&amp;C334&amp;"."&amp;D334&amp;")","(A"&amp;C334&amp;")")</f>
        <v/>
      </c>
      <c r="F334" s="1">
        <f>"alter type "&amp;A334&amp;" "&amp;E334&amp;"."</f>
        <v/>
      </c>
    </row>
    <row r="335">
      <c r="A335" s="1" t="inlineStr">
        <is>
          <t>vG11m03</t>
        </is>
      </c>
      <c r="B335" s="1" t="inlineStr">
        <is>
          <t>數值</t>
        </is>
      </c>
      <c r="C335" s="1" t="n">
        <v>2</v>
      </c>
      <c r="D335" s="1" t="n">
        <v>0</v>
      </c>
      <c r="E335" s="1">
        <f>IF(B335="數值","(F"&amp;C335&amp;"."&amp;D335&amp;")","(A"&amp;C335&amp;")")</f>
        <v/>
      </c>
      <c r="F335" s="1">
        <f>"alter type "&amp;A335&amp;" "&amp;E335&amp;"."</f>
        <v/>
      </c>
    </row>
    <row r="336">
      <c r="A336" s="1" t="inlineStr">
        <is>
          <t>vG11m04</t>
        </is>
      </c>
      <c r="B336" s="1" t="inlineStr">
        <is>
          <t>數值</t>
        </is>
      </c>
      <c r="C336" s="1" t="n">
        <v>2</v>
      </c>
      <c r="D336" s="1" t="n">
        <v>0</v>
      </c>
      <c r="E336" s="1">
        <f>IF(B336="數值","(F"&amp;C336&amp;"."&amp;D336&amp;")","(A"&amp;C336&amp;")")</f>
        <v/>
      </c>
      <c r="F336" s="1">
        <f>"alter type "&amp;A336&amp;" "&amp;E336&amp;"."</f>
        <v/>
      </c>
    </row>
    <row r="337">
      <c r="A337" s="1" t="inlineStr">
        <is>
          <t>vG11m05</t>
        </is>
      </c>
      <c r="B337" s="1" t="inlineStr">
        <is>
          <t>數值</t>
        </is>
      </c>
      <c r="C337" s="1" t="n">
        <v>2</v>
      </c>
      <c r="D337" s="1" t="n">
        <v>0</v>
      </c>
      <c r="E337" s="1">
        <f>IF(B337="數值","(F"&amp;C337&amp;"."&amp;D337&amp;")","(A"&amp;C337&amp;")")</f>
        <v/>
      </c>
      <c r="F337" s="1">
        <f>"alter type "&amp;A337&amp;" "&amp;E337&amp;"."</f>
        <v/>
      </c>
    </row>
    <row r="338">
      <c r="A338" s="1" t="inlineStr">
        <is>
          <t>vG11m88</t>
        </is>
      </c>
      <c r="B338" s="1" t="inlineStr">
        <is>
          <t>數值</t>
        </is>
      </c>
      <c r="C338" s="1" t="n">
        <v>2</v>
      </c>
      <c r="D338" s="1" t="n">
        <v>0</v>
      </c>
      <c r="E338" s="1">
        <f>IF(B338="數值","(F"&amp;C338&amp;"."&amp;D338&amp;")","(A"&amp;C338&amp;")")</f>
        <v/>
      </c>
      <c r="F338" s="1">
        <f>"alter type "&amp;A338&amp;" "&amp;E338&amp;"."</f>
        <v/>
      </c>
    </row>
    <row r="339">
      <c r="A339" s="1" t="inlineStr">
        <is>
          <t>vG11o88</t>
        </is>
      </c>
      <c r="B339" s="1" t="inlineStr">
        <is>
          <t>字串</t>
        </is>
      </c>
      <c r="C339" s="1" t="n">
        <v>150</v>
      </c>
      <c r="D339" s="1" t="n">
        <v>0</v>
      </c>
      <c r="E339" s="1">
        <f>IF(B339="數值","(F"&amp;C339&amp;"."&amp;D339&amp;")","(A"&amp;C339&amp;")")</f>
        <v/>
      </c>
      <c r="F339" s="1">
        <f>"alter type "&amp;A339&amp;" "&amp;E339&amp;"."</f>
        <v/>
      </c>
    </row>
    <row r="340">
      <c r="A340" s="1" t="inlineStr">
        <is>
          <t>vG12m01</t>
        </is>
      </c>
      <c r="B340" s="1" t="inlineStr">
        <is>
          <t>數值</t>
        </is>
      </c>
      <c r="C340" s="1" t="n">
        <v>2</v>
      </c>
      <c r="D340" s="1" t="n">
        <v>0</v>
      </c>
      <c r="E340" s="1">
        <f>IF(B340="數值","(F"&amp;C340&amp;"."&amp;D340&amp;")","(A"&amp;C340&amp;")")</f>
        <v/>
      </c>
      <c r="F340" s="1">
        <f>"alter type "&amp;A340&amp;" "&amp;E340&amp;"."</f>
        <v/>
      </c>
    </row>
    <row r="341">
      <c r="A341" s="1" t="inlineStr">
        <is>
          <t>vG12m02</t>
        </is>
      </c>
      <c r="B341" s="1" t="inlineStr">
        <is>
          <t>數值</t>
        </is>
      </c>
      <c r="C341" s="1" t="n">
        <v>2</v>
      </c>
      <c r="D341" s="1" t="n">
        <v>0</v>
      </c>
      <c r="E341" s="1">
        <f>IF(B341="數值","(F"&amp;C341&amp;"."&amp;D341&amp;")","(A"&amp;C341&amp;")")</f>
        <v/>
      </c>
      <c r="F341" s="1">
        <f>"alter type "&amp;A341&amp;" "&amp;E341&amp;"."</f>
        <v/>
      </c>
    </row>
    <row r="342">
      <c r="A342" s="1" t="inlineStr">
        <is>
          <t>vG12m03</t>
        </is>
      </c>
      <c r="B342" s="1" t="inlineStr">
        <is>
          <t>數值</t>
        </is>
      </c>
      <c r="C342" s="1" t="n">
        <v>2</v>
      </c>
      <c r="D342" s="1" t="n">
        <v>0</v>
      </c>
      <c r="E342" s="1">
        <f>IF(B342="數值","(F"&amp;C342&amp;"."&amp;D342&amp;")","(A"&amp;C342&amp;")")</f>
        <v/>
      </c>
      <c r="F342" s="1">
        <f>"alter type "&amp;A342&amp;" "&amp;E342&amp;"."</f>
        <v/>
      </c>
    </row>
    <row r="343">
      <c r="A343" s="1" t="inlineStr">
        <is>
          <t>vG12m04</t>
        </is>
      </c>
      <c r="B343" s="1" t="inlineStr">
        <is>
          <t>數值</t>
        </is>
      </c>
      <c r="C343" s="1" t="n">
        <v>2</v>
      </c>
      <c r="D343" s="1" t="n">
        <v>0</v>
      </c>
      <c r="E343" s="1">
        <f>IF(B343="數值","(F"&amp;C343&amp;"."&amp;D343&amp;")","(A"&amp;C343&amp;")")</f>
        <v/>
      </c>
      <c r="F343" s="1">
        <f>"alter type "&amp;A343&amp;" "&amp;E343&amp;"."</f>
        <v/>
      </c>
    </row>
    <row r="344">
      <c r="A344" s="1" t="inlineStr">
        <is>
          <t>vG12m05</t>
        </is>
      </c>
      <c r="B344" s="1" t="inlineStr">
        <is>
          <t>數值</t>
        </is>
      </c>
      <c r="C344" s="1" t="n">
        <v>2</v>
      </c>
      <c r="D344" s="1" t="n">
        <v>0</v>
      </c>
      <c r="E344" s="1">
        <f>IF(B344="數值","(F"&amp;C344&amp;"."&amp;D344&amp;")","(A"&amp;C344&amp;")")</f>
        <v/>
      </c>
      <c r="F344" s="1">
        <f>"alter type "&amp;A344&amp;" "&amp;E344&amp;"."</f>
        <v/>
      </c>
    </row>
    <row r="345">
      <c r="A345" s="1" t="inlineStr">
        <is>
          <t>vG12m06</t>
        </is>
      </c>
      <c r="B345" s="1" t="inlineStr">
        <is>
          <t>數值</t>
        </is>
      </c>
      <c r="C345" s="1" t="n">
        <v>2</v>
      </c>
      <c r="D345" s="1" t="n">
        <v>0</v>
      </c>
      <c r="E345" s="1">
        <f>IF(B345="數值","(F"&amp;C345&amp;"."&amp;D345&amp;")","(A"&amp;C345&amp;")")</f>
        <v/>
      </c>
      <c r="F345" s="1">
        <f>"alter type "&amp;A345&amp;" "&amp;E345&amp;"."</f>
        <v/>
      </c>
    </row>
    <row r="346">
      <c r="A346" s="1" t="inlineStr">
        <is>
          <t>vG12m07</t>
        </is>
      </c>
      <c r="B346" s="1" t="inlineStr">
        <is>
          <t>數值</t>
        </is>
      </c>
      <c r="C346" s="1" t="n">
        <v>2</v>
      </c>
      <c r="D346" s="1" t="n">
        <v>0</v>
      </c>
      <c r="E346" s="1">
        <f>IF(B346="數值","(F"&amp;C346&amp;"."&amp;D346&amp;")","(A"&amp;C346&amp;")")</f>
        <v/>
      </c>
      <c r="F346" s="1">
        <f>"alter type "&amp;A346&amp;" "&amp;E346&amp;"."</f>
        <v/>
      </c>
    </row>
    <row r="347">
      <c r="A347" s="1" t="inlineStr">
        <is>
          <t>vG12m08</t>
        </is>
      </c>
      <c r="B347" s="1" t="inlineStr">
        <is>
          <t>數值</t>
        </is>
      </c>
      <c r="C347" s="1" t="n">
        <v>2</v>
      </c>
      <c r="D347" s="1" t="n">
        <v>0</v>
      </c>
      <c r="E347" s="1">
        <f>IF(B347="數值","(F"&amp;C347&amp;"."&amp;D347&amp;")","(A"&amp;C347&amp;")")</f>
        <v/>
      </c>
      <c r="F347" s="1">
        <f>"alter type "&amp;A347&amp;" "&amp;E347&amp;"."</f>
        <v/>
      </c>
    </row>
    <row r="348">
      <c r="A348" s="1" t="inlineStr">
        <is>
          <t>vG12m88</t>
        </is>
      </c>
      <c r="B348" s="1" t="inlineStr">
        <is>
          <t>數值</t>
        </is>
      </c>
      <c r="C348" s="1" t="n">
        <v>2</v>
      </c>
      <c r="D348" s="1" t="n">
        <v>0</v>
      </c>
      <c r="E348" s="1">
        <f>IF(B348="數值","(F"&amp;C348&amp;"."&amp;D348&amp;")","(A"&amp;C348&amp;")")</f>
        <v/>
      </c>
      <c r="F348" s="1">
        <f>"alter type "&amp;A348&amp;" "&amp;E348&amp;"."</f>
        <v/>
      </c>
    </row>
    <row r="349">
      <c r="A349" s="1" t="inlineStr">
        <is>
          <t>vG12o88</t>
        </is>
      </c>
      <c r="B349" s="1" t="inlineStr">
        <is>
          <t>字串</t>
        </is>
      </c>
      <c r="C349" s="1" t="n">
        <v>150</v>
      </c>
      <c r="D349" s="1" t="n">
        <v>0</v>
      </c>
      <c r="E349" s="1">
        <f>IF(B349="數值","(F"&amp;C349&amp;"."&amp;D349&amp;")","(A"&amp;C349&amp;")")</f>
        <v/>
      </c>
      <c r="F349" s="1">
        <f>"alter type "&amp;A349&amp;" "&amp;E349&amp;"."</f>
        <v/>
      </c>
    </row>
    <row r="350">
      <c r="A350" s="1" t="inlineStr">
        <is>
          <t>vCKG12</t>
        </is>
      </c>
      <c r="B350" s="1" t="inlineStr">
        <is>
          <t>數值</t>
        </is>
      </c>
      <c r="C350" s="1" t="n">
        <v>2</v>
      </c>
      <c r="D350" s="1" t="n">
        <v>0</v>
      </c>
      <c r="E350" s="1">
        <f>IF(B350="數值","(F"&amp;C350&amp;"."&amp;D350&amp;")","(A"&amp;C350&amp;")")</f>
        <v/>
      </c>
      <c r="F350" s="1">
        <f>"alter type "&amp;A350&amp;" "&amp;E350&amp;"."</f>
        <v/>
      </c>
    </row>
    <row r="351">
      <c r="A351" s="1" t="inlineStr">
        <is>
          <t>vH1</t>
        </is>
      </c>
      <c r="B351" s="1" t="inlineStr">
        <is>
          <t>數值</t>
        </is>
      </c>
      <c r="C351" s="1" t="n">
        <v>4</v>
      </c>
      <c r="D351" s="1" t="n">
        <v>0</v>
      </c>
      <c r="E351" s="1">
        <f>IF(B351="數值","(F"&amp;C351&amp;"."&amp;D351&amp;")","(A"&amp;C351&amp;")")</f>
        <v/>
      </c>
      <c r="F351" s="1">
        <f>"alter type "&amp;A351&amp;" "&amp;E351&amp;"."</f>
        <v/>
      </c>
    </row>
    <row r="352">
      <c r="A352" s="1" t="inlineStr">
        <is>
          <t>vH2</t>
        </is>
      </c>
      <c r="B352" s="1" t="inlineStr">
        <is>
          <t>數值</t>
        </is>
      </c>
      <c r="C352" s="1" t="n">
        <v>2</v>
      </c>
      <c r="D352" s="1" t="n">
        <v>0</v>
      </c>
      <c r="E352" s="1">
        <f>IF(B352="數值","(F"&amp;C352&amp;"."&amp;D352&amp;")","(A"&amp;C352&amp;")")</f>
        <v/>
      </c>
      <c r="F352" s="1">
        <f>"alter type "&amp;A352&amp;" "&amp;E352&amp;"."</f>
        <v/>
      </c>
    </row>
    <row r="353">
      <c r="A353" s="1" t="inlineStr">
        <is>
          <t>vH3</t>
        </is>
      </c>
      <c r="B353" s="1" t="inlineStr">
        <is>
          <t>數值</t>
        </is>
      </c>
      <c r="C353" s="1" t="n">
        <v>2</v>
      </c>
      <c r="D353" s="1" t="n">
        <v>0</v>
      </c>
      <c r="E353" s="1">
        <f>IF(B353="數值","(F"&amp;C353&amp;"."&amp;D353&amp;")","(A"&amp;C353&amp;")")</f>
        <v/>
      </c>
      <c r="F353" s="1">
        <f>"alter type "&amp;A353&amp;" "&amp;E353&amp;"."</f>
        <v/>
      </c>
    </row>
    <row r="354">
      <c r="A354" s="1" t="inlineStr">
        <is>
          <t>vH4</t>
        </is>
      </c>
      <c r="B354" s="1" t="inlineStr">
        <is>
          <t>數值</t>
        </is>
      </c>
      <c r="C354" s="1" t="n">
        <v>4</v>
      </c>
      <c r="D354" s="1" t="n">
        <v>0</v>
      </c>
      <c r="E354" s="1">
        <f>IF(B354="數值","(F"&amp;C354&amp;"."&amp;D354&amp;")","(A"&amp;C354&amp;")")</f>
        <v/>
      </c>
      <c r="F354" s="1">
        <f>"alter type "&amp;A354&amp;" "&amp;E354&amp;"."</f>
        <v/>
      </c>
    </row>
    <row r="355">
      <c r="A355" s="1" t="inlineStr">
        <is>
          <t>vH5</t>
        </is>
      </c>
      <c r="B355" s="1" t="inlineStr">
        <is>
          <t>數值</t>
        </is>
      </c>
      <c r="C355" s="1" t="n">
        <v>2</v>
      </c>
      <c r="D355" s="1" t="n">
        <v>0</v>
      </c>
      <c r="E355" s="1">
        <f>IF(B355="數值","(F"&amp;C355&amp;"."&amp;D355&amp;")","(A"&amp;C355&amp;")")</f>
        <v/>
      </c>
      <c r="F355" s="1">
        <f>"alter type "&amp;A355&amp;" "&amp;E355&amp;"."</f>
        <v/>
      </c>
    </row>
    <row r="356">
      <c r="A356" s="1" t="inlineStr">
        <is>
          <t>vH6</t>
        </is>
      </c>
      <c r="B356" s="1" t="inlineStr">
        <is>
          <t>數值</t>
        </is>
      </c>
      <c r="C356" s="1" t="n">
        <v>2</v>
      </c>
      <c r="D356" s="1" t="n">
        <v>0</v>
      </c>
      <c r="E356" s="1">
        <f>IF(B356="數值","(F"&amp;C356&amp;"."&amp;D356&amp;")","(A"&amp;C356&amp;")")</f>
        <v/>
      </c>
      <c r="F356" s="1">
        <f>"alter type "&amp;A356&amp;" "&amp;E356&amp;"."</f>
        <v/>
      </c>
    </row>
    <row r="357">
      <c r="A357" s="1" t="inlineStr">
        <is>
          <t>vH7</t>
        </is>
      </c>
      <c r="B357" s="1" t="inlineStr">
        <is>
          <t>數值</t>
        </is>
      </c>
      <c r="C357" s="1" t="n">
        <v>4</v>
      </c>
      <c r="D357" s="1" t="n">
        <v>0</v>
      </c>
      <c r="E357" s="1">
        <f>IF(B357="數值","(F"&amp;C357&amp;"."&amp;D357&amp;")","(A"&amp;C357&amp;")")</f>
        <v/>
      </c>
      <c r="F357" s="1">
        <f>"alter type "&amp;A357&amp;" "&amp;E357&amp;"."</f>
        <v/>
      </c>
    </row>
    <row r="358">
      <c r="A358" s="1" t="inlineStr">
        <is>
          <t>vH7_1</t>
        </is>
      </c>
      <c r="B358" s="1" t="inlineStr">
        <is>
          <t>數值</t>
        </is>
      </c>
      <c r="C358" s="1" t="n">
        <v>4</v>
      </c>
      <c r="D358" s="1" t="n">
        <v>0</v>
      </c>
      <c r="E358" s="1">
        <f>IF(B358="數值","(F"&amp;C358&amp;"."&amp;D358&amp;")","(A"&amp;C358&amp;")")</f>
        <v/>
      </c>
      <c r="F358" s="1">
        <f>"alter type "&amp;A358&amp;" "&amp;E358&amp;"."</f>
        <v/>
      </c>
    </row>
    <row r="359">
      <c r="A359" s="1" t="inlineStr">
        <is>
          <t>vH7_2</t>
        </is>
      </c>
      <c r="B359" s="1" t="inlineStr">
        <is>
          <t>數值</t>
        </is>
      </c>
      <c r="C359" s="1" t="n">
        <v>4</v>
      </c>
      <c r="D359" s="1" t="n">
        <v>0</v>
      </c>
      <c r="E359" s="1">
        <f>IF(B359="數值","(F"&amp;C359&amp;"."&amp;D359&amp;")","(A"&amp;C359&amp;")")</f>
        <v/>
      </c>
      <c r="F359" s="1">
        <f>"alter type "&amp;A359&amp;" "&amp;E359&amp;"."</f>
        <v/>
      </c>
    </row>
    <row r="360">
      <c r="A360" s="1" t="inlineStr">
        <is>
          <t>vH7_3</t>
        </is>
      </c>
      <c r="B360" s="1" t="inlineStr">
        <is>
          <t>數值</t>
        </is>
      </c>
      <c r="C360" s="1" t="n">
        <v>4</v>
      </c>
      <c r="D360" s="1" t="n">
        <v>0</v>
      </c>
      <c r="E360" s="1">
        <f>IF(B360="數值","(F"&amp;C360&amp;"."&amp;D360&amp;")","(A"&amp;C360&amp;")")</f>
        <v/>
      </c>
      <c r="F360" s="1">
        <f>"alter type "&amp;A360&amp;" "&amp;E360&amp;"."</f>
        <v/>
      </c>
    </row>
    <row r="361">
      <c r="A361" s="1" t="inlineStr">
        <is>
          <t>vCKH7</t>
        </is>
      </c>
      <c r="B361" s="1" t="inlineStr">
        <is>
          <t>數值</t>
        </is>
      </c>
      <c r="C361" s="1" t="n">
        <v>14</v>
      </c>
      <c r="D361" s="1" t="n">
        <v>0</v>
      </c>
      <c r="E361" s="1">
        <f>IF(B361="數值","(F"&amp;C361&amp;"."&amp;D361&amp;")","(A"&amp;C361&amp;")")</f>
        <v/>
      </c>
      <c r="F361" s="1">
        <f>"alter type "&amp;A361&amp;" "&amp;E361&amp;"."</f>
        <v/>
      </c>
    </row>
    <row r="362">
      <c r="A362" s="1" t="inlineStr">
        <is>
          <t>vCKH7_1</t>
        </is>
      </c>
      <c r="B362" s="1" t="inlineStr">
        <is>
          <t>數值</t>
        </is>
      </c>
      <c r="C362" s="1" t="n">
        <v>14</v>
      </c>
      <c r="D362" s="1" t="n">
        <v>0</v>
      </c>
      <c r="E362" s="1">
        <f>IF(B362="數值","(F"&amp;C362&amp;"."&amp;D362&amp;")","(A"&amp;C362&amp;")")</f>
        <v/>
      </c>
      <c r="F362" s="1">
        <f>"alter type "&amp;A362&amp;" "&amp;E362&amp;"."</f>
        <v/>
      </c>
    </row>
    <row r="363">
      <c r="A363" s="1" t="inlineStr">
        <is>
          <t>vCKH7_2</t>
        </is>
      </c>
      <c r="B363" s="1" t="inlineStr">
        <is>
          <t>數值</t>
        </is>
      </c>
      <c r="C363" s="1" t="n">
        <v>14</v>
      </c>
      <c r="D363" s="1" t="n">
        <v>0</v>
      </c>
      <c r="E363" s="1">
        <f>IF(B363="數值","(F"&amp;C363&amp;"."&amp;D363&amp;")","(A"&amp;C363&amp;")")</f>
        <v/>
      </c>
      <c r="F363" s="1">
        <f>"alter type "&amp;A363&amp;" "&amp;E363&amp;"."</f>
        <v/>
      </c>
    </row>
    <row r="364">
      <c r="A364" s="1" t="inlineStr">
        <is>
          <t>vCKH7_3</t>
        </is>
      </c>
      <c r="B364" s="1" t="inlineStr">
        <is>
          <t>數值</t>
        </is>
      </c>
      <c r="C364" s="1" t="n">
        <v>14</v>
      </c>
      <c r="D364" s="1" t="n">
        <v>0</v>
      </c>
      <c r="E364" s="1">
        <f>IF(B364="數值","(F"&amp;C364&amp;"."&amp;D364&amp;")","(A"&amp;C364&amp;")")</f>
        <v/>
      </c>
      <c r="F364" s="1">
        <f>"alter type "&amp;A364&amp;" "&amp;E364&amp;"."</f>
        <v/>
      </c>
    </row>
    <row r="365">
      <c r="A365" s="1" t="inlineStr">
        <is>
          <t>vH8</t>
        </is>
      </c>
      <c r="B365" s="1" t="inlineStr">
        <is>
          <t>數值</t>
        </is>
      </c>
      <c r="C365" s="1" t="n">
        <v>4</v>
      </c>
      <c r="D365" s="1" t="n">
        <v>0</v>
      </c>
      <c r="E365" s="1">
        <f>IF(B365="數值","(F"&amp;C365&amp;"."&amp;D365&amp;")","(A"&amp;C365&amp;")")</f>
        <v/>
      </c>
      <c r="F365" s="1">
        <f>"alter type "&amp;A365&amp;" "&amp;E365&amp;"."</f>
        <v/>
      </c>
    </row>
    <row r="366">
      <c r="A366" s="1" t="inlineStr">
        <is>
          <t>vI1</t>
        </is>
      </c>
      <c r="B366" s="1" t="inlineStr">
        <is>
          <t>數值</t>
        </is>
      </c>
      <c r="C366" s="1" t="n">
        <v>4</v>
      </c>
      <c r="D366" s="1" t="n">
        <v>1</v>
      </c>
      <c r="E366" s="1">
        <f>IF(B366="數值","(F"&amp;C366&amp;"."&amp;D366&amp;")","(A"&amp;C366&amp;")")</f>
        <v/>
      </c>
      <c r="F366" s="1">
        <f>"alter type "&amp;A366&amp;" "&amp;E366&amp;"."</f>
        <v/>
      </c>
    </row>
    <row r="367">
      <c r="A367" s="1" t="inlineStr">
        <is>
          <t>vI2</t>
        </is>
      </c>
      <c r="B367" s="1" t="inlineStr">
        <is>
          <t>數值</t>
        </is>
      </c>
      <c r="C367" s="1" t="n">
        <v>5</v>
      </c>
      <c r="D367" s="1" t="n">
        <v>0</v>
      </c>
      <c r="E367" s="1">
        <f>IF(B367="數值","(F"&amp;C367&amp;"."&amp;D367&amp;")","(A"&amp;C367&amp;")")</f>
        <v/>
      </c>
      <c r="F367" s="1">
        <f>"alter type "&amp;A367&amp;" "&amp;E367&amp;"."</f>
        <v/>
      </c>
    </row>
    <row r="368">
      <c r="A368" s="1" t="inlineStr">
        <is>
          <t>vI3</t>
        </is>
      </c>
      <c r="B368" s="1" t="inlineStr">
        <is>
          <t>數值</t>
        </is>
      </c>
      <c r="C368" s="1" t="n">
        <v>4</v>
      </c>
      <c r="D368" s="1" t="n">
        <v>1</v>
      </c>
      <c r="E368" s="1">
        <f>IF(B368="數值","(F"&amp;C368&amp;"."&amp;D368&amp;")","(A"&amp;C368&amp;")")</f>
        <v/>
      </c>
      <c r="F368" s="1">
        <f>"alter type "&amp;A368&amp;" "&amp;E368&amp;"."</f>
        <v/>
      </c>
    </row>
    <row r="369">
      <c r="A369" s="1" t="inlineStr">
        <is>
          <t>vI4</t>
        </is>
      </c>
      <c r="B369" s="1" t="inlineStr">
        <is>
          <t>數值</t>
        </is>
      </c>
      <c r="C369" s="1" t="n">
        <v>5</v>
      </c>
      <c r="D369" s="1" t="n">
        <v>0</v>
      </c>
      <c r="E369" s="1">
        <f>IF(B369="數值","(F"&amp;C369&amp;"."&amp;D369&amp;")","(A"&amp;C369&amp;")")</f>
        <v/>
      </c>
      <c r="F369" s="1">
        <f>"alter type "&amp;A369&amp;" "&amp;E369&amp;"."</f>
        <v/>
      </c>
    </row>
    <row r="370">
      <c r="A370" s="1" t="inlineStr">
        <is>
          <t>vI5m01</t>
        </is>
      </c>
      <c r="B370" s="1" t="inlineStr">
        <is>
          <t>數值</t>
        </is>
      </c>
      <c r="C370" s="1" t="n">
        <v>2</v>
      </c>
      <c r="D370" s="1" t="n">
        <v>0</v>
      </c>
      <c r="E370" s="1">
        <f>IF(B370="數值","(F"&amp;C370&amp;"."&amp;D370&amp;")","(A"&amp;C370&amp;")")</f>
        <v/>
      </c>
      <c r="F370" s="1">
        <f>"alter type "&amp;A370&amp;" "&amp;E370&amp;"."</f>
        <v/>
      </c>
    </row>
    <row r="371">
      <c r="A371" s="1" t="inlineStr">
        <is>
          <t>vI5m02</t>
        </is>
      </c>
      <c r="B371" s="1" t="inlineStr">
        <is>
          <t>數值</t>
        </is>
      </c>
      <c r="C371" s="1" t="n">
        <v>2</v>
      </c>
      <c r="D371" s="1" t="n">
        <v>0</v>
      </c>
      <c r="E371" s="1">
        <f>IF(B371="數值","(F"&amp;C371&amp;"."&amp;D371&amp;")","(A"&amp;C371&amp;")")</f>
        <v/>
      </c>
      <c r="F371" s="1">
        <f>"alter type "&amp;A371&amp;" "&amp;E371&amp;"."</f>
        <v/>
      </c>
    </row>
    <row r="372">
      <c r="A372" s="1" t="inlineStr">
        <is>
          <t>vI5m03</t>
        </is>
      </c>
      <c r="B372" s="1" t="inlineStr">
        <is>
          <t>數值</t>
        </is>
      </c>
      <c r="C372" s="1" t="n">
        <v>2</v>
      </c>
      <c r="D372" s="1" t="n">
        <v>0</v>
      </c>
      <c r="E372" s="1">
        <f>IF(B372="數值","(F"&amp;C372&amp;"."&amp;D372&amp;")","(A"&amp;C372&amp;")")</f>
        <v/>
      </c>
      <c r="F372" s="1">
        <f>"alter type "&amp;A372&amp;" "&amp;E372&amp;"."</f>
        <v/>
      </c>
    </row>
    <row r="373">
      <c r="A373" s="1" t="inlineStr">
        <is>
          <t>vI5m04</t>
        </is>
      </c>
      <c r="B373" s="1" t="inlineStr">
        <is>
          <t>數值</t>
        </is>
      </c>
      <c r="C373" s="1" t="n">
        <v>2</v>
      </c>
      <c r="D373" s="1" t="n">
        <v>0</v>
      </c>
      <c r="E373" s="1">
        <f>IF(B373="數值","(F"&amp;C373&amp;"."&amp;D373&amp;")","(A"&amp;C373&amp;")")</f>
        <v/>
      </c>
      <c r="F373" s="1">
        <f>"alter type "&amp;A373&amp;" "&amp;E373&amp;"."</f>
        <v/>
      </c>
    </row>
    <row r="374">
      <c r="A374" s="1" t="inlineStr">
        <is>
          <t>vI5m05</t>
        </is>
      </c>
      <c r="B374" s="1" t="inlineStr">
        <is>
          <t>數值</t>
        </is>
      </c>
      <c r="C374" s="1" t="n">
        <v>2</v>
      </c>
      <c r="D374" s="1" t="n">
        <v>0</v>
      </c>
      <c r="E374" s="1">
        <f>IF(B374="數值","(F"&amp;C374&amp;"."&amp;D374&amp;")","(A"&amp;C374&amp;")")</f>
        <v/>
      </c>
      <c r="F374" s="1">
        <f>"alter type "&amp;A374&amp;" "&amp;E374&amp;"."</f>
        <v/>
      </c>
    </row>
    <row r="375">
      <c r="A375" s="1" t="inlineStr">
        <is>
          <t>vI5m06</t>
        </is>
      </c>
      <c r="B375" s="1" t="inlineStr">
        <is>
          <t>數值</t>
        </is>
      </c>
      <c r="C375" s="1" t="n">
        <v>2</v>
      </c>
      <c r="D375" s="1" t="n">
        <v>0</v>
      </c>
      <c r="E375" s="1">
        <f>IF(B375="數值","(F"&amp;C375&amp;"."&amp;D375&amp;")","(A"&amp;C375&amp;")")</f>
        <v/>
      </c>
      <c r="F375" s="1">
        <f>"alter type "&amp;A375&amp;" "&amp;E375&amp;"."</f>
        <v/>
      </c>
    </row>
    <row r="376">
      <c r="A376" s="1" t="inlineStr">
        <is>
          <t>vI5m07</t>
        </is>
      </c>
      <c r="B376" s="1" t="inlineStr">
        <is>
          <t>數值</t>
        </is>
      </c>
      <c r="C376" s="1" t="n">
        <v>2</v>
      </c>
      <c r="D376" s="1" t="n">
        <v>0</v>
      </c>
      <c r="E376" s="1">
        <f>IF(B376="數值","(F"&amp;C376&amp;"."&amp;D376&amp;")","(A"&amp;C376&amp;")")</f>
        <v/>
      </c>
      <c r="F376" s="1">
        <f>"alter type "&amp;A376&amp;" "&amp;E376&amp;"."</f>
        <v/>
      </c>
    </row>
    <row r="377">
      <c r="A377" s="1" t="inlineStr">
        <is>
          <t>vI5m08</t>
        </is>
      </c>
      <c r="B377" s="1" t="inlineStr">
        <is>
          <t>數值</t>
        </is>
      </c>
      <c r="C377" s="1" t="n">
        <v>2</v>
      </c>
      <c r="D377" s="1" t="n">
        <v>0</v>
      </c>
      <c r="E377" s="1">
        <f>IF(B377="數值","(F"&amp;C377&amp;"."&amp;D377&amp;")","(A"&amp;C377&amp;")")</f>
        <v/>
      </c>
      <c r="F377" s="1">
        <f>"alter type "&amp;A377&amp;" "&amp;E377&amp;"."</f>
        <v/>
      </c>
    </row>
    <row r="378">
      <c r="A378" s="1" t="inlineStr">
        <is>
          <t>vI5m09</t>
        </is>
      </c>
      <c r="B378" s="1" t="inlineStr">
        <is>
          <t>數值</t>
        </is>
      </c>
      <c r="C378" s="1" t="n">
        <v>2</v>
      </c>
      <c r="D378" s="1" t="n">
        <v>0</v>
      </c>
      <c r="E378" s="1">
        <f>IF(B378="數值","(F"&amp;C378&amp;"."&amp;D378&amp;")","(A"&amp;C378&amp;")")</f>
        <v/>
      </c>
      <c r="F378" s="1">
        <f>"alter type "&amp;A378&amp;" "&amp;E378&amp;"."</f>
        <v/>
      </c>
    </row>
    <row r="379">
      <c r="A379" s="1" t="inlineStr">
        <is>
          <t>vI5m10</t>
        </is>
      </c>
      <c r="B379" s="1" t="inlineStr">
        <is>
          <t>數值</t>
        </is>
      </c>
      <c r="C379" s="1" t="n">
        <v>2</v>
      </c>
      <c r="D379" s="1" t="n">
        <v>0</v>
      </c>
      <c r="E379" s="1">
        <f>IF(B379="數值","(F"&amp;C379&amp;"."&amp;D379&amp;")","(A"&amp;C379&amp;")")</f>
        <v/>
      </c>
      <c r="F379" s="1">
        <f>"alter type "&amp;A379&amp;" "&amp;E379&amp;"."</f>
        <v/>
      </c>
    </row>
    <row r="380">
      <c r="A380" s="1" t="inlineStr">
        <is>
          <t>vI5m11</t>
        </is>
      </c>
      <c r="B380" s="1" t="inlineStr">
        <is>
          <t>數值</t>
        </is>
      </c>
      <c r="C380" s="1" t="n">
        <v>2</v>
      </c>
      <c r="D380" s="1" t="n">
        <v>0</v>
      </c>
      <c r="E380" s="1">
        <f>IF(B380="數值","(F"&amp;C380&amp;"."&amp;D380&amp;")","(A"&amp;C380&amp;")")</f>
        <v/>
      </c>
      <c r="F380" s="1">
        <f>"alter type "&amp;A380&amp;" "&amp;E380&amp;"."</f>
        <v/>
      </c>
    </row>
    <row r="381">
      <c r="A381" s="1" t="inlineStr">
        <is>
          <t>vI5m12</t>
        </is>
      </c>
      <c r="B381" s="1" t="inlineStr">
        <is>
          <t>數值</t>
        </is>
      </c>
      <c r="C381" s="1" t="n">
        <v>2</v>
      </c>
      <c r="D381" s="1" t="n">
        <v>0</v>
      </c>
      <c r="E381" s="1">
        <f>IF(B381="數值","(F"&amp;C381&amp;"."&amp;D381&amp;")","(A"&amp;C381&amp;")")</f>
        <v/>
      </c>
      <c r="F381" s="1">
        <f>"alter type "&amp;A381&amp;" "&amp;E381&amp;"."</f>
        <v/>
      </c>
    </row>
    <row r="382">
      <c r="A382" s="1" t="inlineStr">
        <is>
          <t>vI5m13</t>
        </is>
      </c>
      <c r="B382" s="1" t="inlineStr">
        <is>
          <t>數值</t>
        </is>
      </c>
      <c r="C382" s="1" t="n">
        <v>2</v>
      </c>
      <c r="D382" s="1" t="n">
        <v>0</v>
      </c>
      <c r="E382" s="1">
        <f>IF(B382="數值","(F"&amp;C382&amp;"."&amp;D382&amp;")","(A"&amp;C382&amp;")")</f>
        <v/>
      </c>
      <c r="F382" s="1">
        <f>"alter type "&amp;A382&amp;" "&amp;E382&amp;"."</f>
        <v/>
      </c>
    </row>
    <row r="383">
      <c r="A383" s="1" t="inlineStr">
        <is>
          <t>vI5m88</t>
        </is>
      </c>
      <c r="B383" s="1" t="inlineStr">
        <is>
          <t>數值</t>
        </is>
      </c>
      <c r="C383" s="1" t="n">
        <v>2</v>
      </c>
      <c r="D383" s="1" t="n">
        <v>0</v>
      </c>
      <c r="E383" s="1">
        <f>IF(B383="數值","(F"&amp;C383&amp;"."&amp;D383&amp;")","(A"&amp;C383&amp;")")</f>
        <v/>
      </c>
      <c r="F383" s="1">
        <f>"alter type "&amp;A383&amp;" "&amp;E383&amp;"."</f>
        <v/>
      </c>
    </row>
    <row r="384">
      <c r="A384" s="1" t="inlineStr">
        <is>
          <t>vI5o88</t>
        </is>
      </c>
      <c r="B384" s="1" t="inlineStr">
        <is>
          <t>字串</t>
        </is>
      </c>
      <c r="C384" s="1" t="n">
        <v>150</v>
      </c>
      <c r="D384" s="1" t="n">
        <v>0</v>
      </c>
      <c r="E384" s="1">
        <f>IF(B384="數值","(F"&amp;C384&amp;"."&amp;D384&amp;")","(A"&amp;C384&amp;")")</f>
        <v/>
      </c>
      <c r="F384" s="1">
        <f>"alter type "&amp;A384&amp;" "&amp;E384&amp;"."</f>
        <v/>
      </c>
    </row>
    <row r="385">
      <c r="A385" s="1" t="inlineStr">
        <is>
          <t>vI6</t>
        </is>
      </c>
      <c r="B385" s="1" t="inlineStr">
        <is>
          <t>數值</t>
        </is>
      </c>
      <c r="C385" s="1" t="n">
        <v>2</v>
      </c>
      <c r="D385" s="1" t="n">
        <v>0</v>
      </c>
      <c r="E385" s="1">
        <f>IF(B385="數值","(F"&amp;C385&amp;"."&amp;D385&amp;")","(A"&amp;C385&amp;")")</f>
        <v/>
      </c>
      <c r="F385" s="1">
        <f>"alter type "&amp;A385&amp;" "&amp;E385&amp;"."</f>
        <v/>
      </c>
    </row>
    <row r="386">
      <c r="A386" s="1" t="inlineStr">
        <is>
          <t>vI6o01</t>
        </is>
      </c>
      <c r="B386" s="1" t="inlineStr">
        <is>
          <t>字串</t>
        </is>
      </c>
      <c r="C386" s="1" t="n">
        <v>150</v>
      </c>
      <c r="D386" s="1" t="n">
        <v>0</v>
      </c>
      <c r="E386" s="1">
        <f>IF(B386="數值","(F"&amp;C386&amp;"."&amp;D386&amp;")","(A"&amp;C386&amp;")")</f>
        <v/>
      </c>
      <c r="F386" s="1">
        <f>"alter type "&amp;A386&amp;" "&amp;E386&amp;"."</f>
        <v/>
      </c>
    </row>
    <row r="387">
      <c r="A387" s="1" t="inlineStr">
        <is>
          <t>vI7</t>
        </is>
      </c>
      <c r="B387" s="1" t="inlineStr">
        <is>
          <t>數值</t>
        </is>
      </c>
      <c r="C387" s="1" t="n">
        <v>2</v>
      </c>
      <c r="D387" s="1" t="n">
        <v>0</v>
      </c>
      <c r="E387" s="1">
        <f>IF(B387="數值","(F"&amp;C387&amp;"."&amp;D387&amp;")","(A"&amp;C387&amp;")")</f>
        <v/>
      </c>
      <c r="F387" s="1">
        <f>"alter type "&amp;A387&amp;" "&amp;E387&amp;"."</f>
        <v/>
      </c>
    </row>
    <row r="388">
      <c r="A388" s="1" t="inlineStr">
        <is>
          <t>vI7o02</t>
        </is>
      </c>
      <c r="B388" s="1" t="inlineStr">
        <is>
          <t>字串</t>
        </is>
      </c>
      <c r="C388" s="1" t="n">
        <v>150</v>
      </c>
      <c r="D388" s="1" t="n">
        <v>0</v>
      </c>
      <c r="E388" s="1">
        <f>IF(B388="數值","(F"&amp;C388&amp;"."&amp;D388&amp;")","(A"&amp;C388&amp;")")</f>
        <v/>
      </c>
      <c r="F388" s="1">
        <f>"alter type "&amp;A388&amp;" "&amp;E388&amp;"."</f>
        <v/>
      </c>
    </row>
    <row r="389">
      <c r="A389" s="1" t="inlineStr">
        <is>
          <t>vI8</t>
        </is>
      </c>
      <c r="B389" s="1" t="inlineStr">
        <is>
          <t>數值</t>
        </is>
      </c>
      <c r="C389" s="1" t="n">
        <v>2</v>
      </c>
      <c r="D389" s="1" t="n">
        <v>0</v>
      </c>
      <c r="E389" s="1">
        <f>IF(B389="數值","(F"&amp;C389&amp;"."&amp;D389&amp;")","(A"&amp;C389&amp;")")</f>
        <v/>
      </c>
      <c r="F389" s="1">
        <f>"alter type "&amp;A389&amp;" "&amp;E389&amp;"."</f>
        <v/>
      </c>
    </row>
    <row r="390">
      <c r="A390" s="1" t="inlineStr">
        <is>
          <t>vI8o03</t>
        </is>
      </c>
      <c r="B390" s="1" t="inlineStr">
        <is>
          <t>字串</t>
        </is>
      </c>
      <c r="C390" s="1" t="n">
        <v>150</v>
      </c>
      <c r="D390" s="1" t="n">
        <v>0</v>
      </c>
      <c r="E390" s="1">
        <f>IF(B390="數值","(F"&amp;C390&amp;"."&amp;D390&amp;")","(A"&amp;C390&amp;")")</f>
        <v/>
      </c>
      <c r="F390" s="1">
        <f>"alter type "&amp;A390&amp;" "&amp;E390&amp;"."</f>
        <v/>
      </c>
    </row>
    <row r="391">
      <c r="A391" s="1" t="inlineStr">
        <is>
          <t>vI9</t>
        </is>
      </c>
      <c r="B391" s="1" t="inlineStr">
        <is>
          <t>數值</t>
        </is>
      </c>
      <c r="C391" s="1" t="n">
        <v>2</v>
      </c>
      <c r="D391" s="1" t="n">
        <v>0</v>
      </c>
      <c r="E391" s="1">
        <f>IF(B391="數值","(F"&amp;C391&amp;"."&amp;D391&amp;")","(A"&amp;C391&amp;")")</f>
        <v/>
      </c>
      <c r="F391" s="1">
        <f>"alter type "&amp;A391&amp;" "&amp;E391&amp;"."</f>
        <v/>
      </c>
    </row>
    <row r="392">
      <c r="A392" s="1" t="inlineStr">
        <is>
          <t>vI9o88</t>
        </is>
      </c>
      <c r="B392" s="1" t="inlineStr">
        <is>
          <t>字串</t>
        </is>
      </c>
      <c r="C392" s="1" t="n">
        <v>150</v>
      </c>
      <c r="D392" s="1" t="n">
        <v>0</v>
      </c>
      <c r="E392" s="1">
        <f>IF(B392="數值","(F"&amp;C392&amp;"."&amp;D392&amp;")","(A"&amp;C392&amp;")")</f>
        <v/>
      </c>
      <c r="F392" s="1">
        <f>"alter type "&amp;A392&amp;" "&amp;E392&amp;"."</f>
        <v/>
      </c>
    </row>
    <row r="393">
      <c r="A393" s="1" t="inlineStr">
        <is>
          <t>vI10_1</t>
        </is>
      </c>
      <c r="B393" s="1" t="inlineStr">
        <is>
          <t>數值</t>
        </is>
      </c>
      <c r="C393" s="1" t="n">
        <v>2</v>
      </c>
      <c r="D393" s="1" t="n">
        <v>0</v>
      </c>
      <c r="E393" s="1">
        <f>IF(B393="數值","(F"&amp;C393&amp;"."&amp;D393&amp;")","(A"&amp;C393&amp;")")</f>
        <v/>
      </c>
      <c r="F393" s="1">
        <f>"alter type "&amp;A393&amp;" "&amp;E393&amp;"."</f>
        <v/>
      </c>
    </row>
    <row r="394">
      <c r="A394" s="1" t="inlineStr">
        <is>
          <t>vI10_1o88</t>
        </is>
      </c>
      <c r="B394" s="1" t="inlineStr">
        <is>
          <t>字串</t>
        </is>
      </c>
      <c r="C394" s="1" t="n">
        <v>150</v>
      </c>
      <c r="D394" s="1" t="n">
        <v>0</v>
      </c>
      <c r="E394" s="1">
        <f>IF(B394="數值","(F"&amp;C394&amp;"."&amp;D394&amp;")","(A"&amp;C394&amp;")")</f>
        <v/>
      </c>
      <c r="F394" s="1">
        <f>"alter type "&amp;A394&amp;" "&amp;E394&amp;"."</f>
        <v/>
      </c>
    </row>
    <row r="395">
      <c r="A395" s="1" t="inlineStr">
        <is>
          <t>vI10_2</t>
        </is>
      </c>
      <c r="B395" s="1" t="inlineStr">
        <is>
          <t>數值</t>
        </is>
      </c>
      <c r="C395" s="1" t="n">
        <v>2</v>
      </c>
      <c r="D395" s="1" t="n">
        <v>0</v>
      </c>
      <c r="E395" s="1">
        <f>IF(B395="數值","(F"&amp;C395&amp;"."&amp;D395&amp;")","(A"&amp;C395&amp;")")</f>
        <v/>
      </c>
      <c r="F395" s="1">
        <f>"alter type "&amp;A395&amp;" "&amp;E395&amp;"."</f>
        <v/>
      </c>
    </row>
    <row r="396">
      <c r="A396" s="1" t="inlineStr">
        <is>
          <t>vI10_2o88</t>
        </is>
      </c>
      <c r="B396" s="1" t="inlineStr">
        <is>
          <t>字串</t>
        </is>
      </c>
      <c r="C396" s="1" t="n">
        <v>150</v>
      </c>
      <c r="D396" s="1" t="n">
        <v>0</v>
      </c>
      <c r="E396" s="1">
        <f>IF(B396="數值","(F"&amp;C396&amp;"."&amp;D396&amp;")","(A"&amp;C396&amp;")")</f>
        <v/>
      </c>
      <c r="F396" s="1">
        <f>"alter type "&amp;A396&amp;" "&amp;E396&amp;"."</f>
        <v/>
      </c>
    </row>
    <row r="397">
      <c r="A397" s="1" t="inlineStr">
        <is>
          <t>vI11m01</t>
        </is>
      </c>
      <c r="B397" s="1" t="inlineStr">
        <is>
          <t>數值</t>
        </is>
      </c>
      <c r="C397" s="1" t="n">
        <v>2</v>
      </c>
      <c r="D397" s="1" t="n">
        <v>0</v>
      </c>
      <c r="E397" s="1">
        <f>IF(B397="數值","(F"&amp;C397&amp;"."&amp;D397&amp;")","(A"&amp;C397&amp;")")</f>
        <v/>
      </c>
      <c r="F397" s="1">
        <f>"alter type "&amp;A397&amp;" "&amp;E397&amp;"."</f>
        <v/>
      </c>
    </row>
    <row r="398">
      <c r="A398" s="1" t="inlineStr">
        <is>
          <t>vI11m02</t>
        </is>
      </c>
      <c r="B398" s="1" t="inlineStr">
        <is>
          <t>數值</t>
        </is>
      </c>
      <c r="C398" s="1" t="n">
        <v>2</v>
      </c>
      <c r="D398" s="1" t="n">
        <v>0</v>
      </c>
      <c r="E398" s="1">
        <f>IF(B398="數值","(F"&amp;C398&amp;"."&amp;D398&amp;")","(A"&amp;C398&amp;")")</f>
        <v/>
      </c>
      <c r="F398" s="1">
        <f>"alter type "&amp;A398&amp;" "&amp;E398&amp;"."</f>
        <v/>
      </c>
    </row>
    <row r="399">
      <c r="A399" s="1" t="inlineStr">
        <is>
          <t>vI11m03</t>
        </is>
      </c>
      <c r="B399" s="1" t="inlineStr">
        <is>
          <t>數值</t>
        </is>
      </c>
      <c r="C399" s="1" t="n">
        <v>2</v>
      </c>
      <c r="D399" s="1" t="n">
        <v>0</v>
      </c>
      <c r="E399" s="1">
        <f>IF(B399="數值","(F"&amp;C399&amp;"."&amp;D399&amp;")","(A"&amp;C399&amp;")")</f>
        <v/>
      </c>
      <c r="F399" s="1">
        <f>"alter type "&amp;A399&amp;" "&amp;E399&amp;"."</f>
        <v/>
      </c>
    </row>
    <row r="400">
      <c r="A400" s="1" t="inlineStr">
        <is>
          <t>vI11m04</t>
        </is>
      </c>
      <c r="B400" s="1" t="inlineStr">
        <is>
          <t>數值</t>
        </is>
      </c>
      <c r="C400" s="1" t="n">
        <v>2</v>
      </c>
      <c r="D400" s="1" t="n">
        <v>0</v>
      </c>
      <c r="E400" s="1">
        <f>IF(B400="數值","(F"&amp;C400&amp;"."&amp;D400&amp;")","(A"&amp;C400&amp;")")</f>
        <v/>
      </c>
      <c r="F400" s="1">
        <f>"alter type "&amp;A400&amp;" "&amp;E400&amp;"."</f>
        <v/>
      </c>
    </row>
    <row r="401">
      <c r="A401" s="1" t="inlineStr">
        <is>
          <t>vI11m05</t>
        </is>
      </c>
      <c r="B401" s="1" t="inlineStr">
        <is>
          <t>數值</t>
        </is>
      </c>
      <c r="C401" s="1" t="n">
        <v>2</v>
      </c>
      <c r="D401" s="1" t="n">
        <v>0</v>
      </c>
      <c r="E401" s="1">
        <f>IF(B401="數值","(F"&amp;C401&amp;"."&amp;D401&amp;")","(A"&amp;C401&amp;")")</f>
        <v/>
      </c>
      <c r="F401" s="1">
        <f>"alter type "&amp;A401&amp;" "&amp;E401&amp;"."</f>
        <v/>
      </c>
    </row>
    <row r="402">
      <c r="A402" s="1" t="inlineStr">
        <is>
          <t>vI11m06</t>
        </is>
      </c>
      <c r="B402" s="1" t="inlineStr">
        <is>
          <t>數值</t>
        </is>
      </c>
      <c r="C402" s="1" t="n">
        <v>2</v>
      </c>
      <c r="D402" s="1" t="n">
        <v>0</v>
      </c>
      <c r="E402" s="1">
        <f>IF(B402="數值","(F"&amp;C402&amp;"."&amp;D402&amp;")","(A"&amp;C402&amp;")")</f>
        <v/>
      </c>
      <c r="F402" s="1">
        <f>"alter type "&amp;A402&amp;" "&amp;E402&amp;"."</f>
        <v/>
      </c>
    </row>
    <row r="403">
      <c r="A403" s="1" t="inlineStr">
        <is>
          <t>vI11m07</t>
        </is>
      </c>
      <c r="B403" s="1" t="inlineStr">
        <is>
          <t>數值</t>
        </is>
      </c>
      <c r="C403" s="1" t="n">
        <v>2</v>
      </c>
      <c r="D403" s="1" t="n">
        <v>0</v>
      </c>
      <c r="E403" s="1">
        <f>IF(B403="數值","(F"&amp;C403&amp;"."&amp;D403&amp;")","(A"&amp;C403&amp;")")</f>
        <v/>
      </c>
      <c r="F403" s="1">
        <f>"alter type "&amp;A403&amp;" "&amp;E403&amp;"."</f>
        <v/>
      </c>
    </row>
    <row r="404">
      <c r="A404" s="1" t="inlineStr">
        <is>
          <t>vI11m08</t>
        </is>
      </c>
      <c r="B404" s="1" t="inlineStr">
        <is>
          <t>數值</t>
        </is>
      </c>
      <c r="C404" s="1" t="n">
        <v>2</v>
      </c>
      <c r="D404" s="1" t="n">
        <v>0</v>
      </c>
      <c r="E404" s="1">
        <f>IF(B404="數值","(F"&amp;C404&amp;"."&amp;D404&amp;")","(A"&amp;C404&amp;")")</f>
        <v/>
      </c>
      <c r="F404" s="1">
        <f>"alter type "&amp;A404&amp;" "&amp;E404&amp;"."</f>
        <v/>
      </c>
    </row>
    <row r="405">
      <c r="A405" s="1" t="inlineStr">
        <is>
          <t>vI11m09</t>
        </is>
      </c>
      <c r="B405" s="1" t="inlineStr">
        <is>
          <t>數值</t>
        </is>
      </c>
      <c r="C405" s="1" t="n">
        <v>2</v>
      </c>
      <c r="D405" s="1" t="n">
        <v>0</v>
      </c>
      <c r="E405" s="1">
        <f>IF(B405="數值","(F"&amp;C405&amp;"."&amp;D405&amp;")","(A"&amp;C405&amp;")")</f>
        <v/>
      </c>
      <c r="F405" s="1">
        <f>"alter type "&amp;A405&amp;" "&amp;E405&amp;"."</f>
        <v/>
      </c>
    </row>
    <row r="406">
      <c r="A406" s="1" t="inlineStr">
        <is>
          <t>vI11m10</t>
        </is>
      </c>
      <c r="B406" s="1" t="inlineStr">
        <is>
          <t>數值</t>
        </is>
      </c>
      <c r="C406" s="1" t="n">
        <v>2</v>
      </c>
      <c r="D406" s="1" t="n">
        <v>0</v>
      </c>
      <c r="E406" s="1">
        <f>IF(B406="數值","(F"&amp;C406&amp;"."&amp;D406&amp;")","(A"&amp;C406&amp;")")</f>
        <v/>
      </c>
      <c r="F406" s="1">
        <f>"alter type "&amp;A406&amp;" "&amp;E406&amp;"."</f>
        <v/>
      </c>
    </row>
    <row r="407">
      <c r="A407" s="1" t="inlineStr">
        <is>
          <t>vI11m11</t>
        </is>
      </c>
      <c r="B407" s="1" t="inlineStr">
        <is>
          <t>數值</t>
        </is>
      </c>
      <c r="C407" s="1" t="n">
        <v>2</v>
      </c>
      <c r="D407" s="1" t="n">
        <v>0</v>
      </c>
      <c r="E407" s="1">
        <f>IF(B407="數值","(F"&amp;C407&amp;"."&amp;D407&amp;")","(A"&amp;C407&amp;")")</f>
        <v/>
      </c>
      <c r="F407" s="1">
        <f>"alter type "&amp;A407&amp;" "&amp;E407&amp;"."</f>
        <v/>
      </c>
    </row>
    <row r="408">
      <c r="A408" s="1" t="inlineStr">
        <is>
          <t>vI11m12</t>
        </is>
      </c>
      <c r="B408" s="1" t="inlineStr">
        <is>
          <t>數值</t>
        </is>
      </c>
      <c r="C408" s="1" t="n">
        <v>2</v>
      </c>
      <c r="D408" s="1" t="n">
        <v>0</v>
      </c>
      <c r="E408" s="1">
        <f>IF(B408="數值","(F"&amp;C408&amp;"."&amp;D408&amp;")","(A"&amp;C408&amp;")")</f>
        <v/>
      </c>
      <c r="F408" s="1">
        <f>"alter type "&amp;A408&amp;" "&amp;E408&amp;"."</f>
        <v/>
      </c>
    </row>
    <row r="409">
      <c r="A409" s="1" t="inlineStr">
        <is>
          <t>vI11m13</t>
        </is>
      </c>
      <c r="B409" s="1" t="inlineStr">
        <is>
          <t>數值</t>
        </is>
      </c>
      <c r="C409" s="1" t="n">
        <v>2</v>
      </c>
      <c r="D409" s="1" t="n">
        <v>0</v>
      </c>
      <c r="E409" s="1">
        <f>IF(B409="數值","(F"&amp;C409&amp;"."&amp;D409&amp;")","(A"&amp;C409&amp;")")</f>
        <v/>
      </c>
      <c r="F409" s="1">
        <f>"alter type "&amp;A409&amp;" "&amp;E409&amp;"."</f>
        <v/>
      </c>
    </row>
    <row r="410">
      <c r="A410" s="1" t="inlineStr">
        <is>
          <t>vI11m14</t>
        </is>
      </c>
      <c r="B410" s="1" t="inlineStr">
        <is>
          <t>數值</t>
        </is>
      </c>
      <c r="C410" s="1" t="n">
        <v>2</v>
      </c>
      <c r="D410" s="1" t="n">
        <v>0</v>
      </c>
      <c r="E410" s="1">
        <f>IF(B410="數值","(F"&amp;C410&amp;"."&amp;D410&amp;")","(A"&amp;C410&amp;")")</f>
        <v/>
      </c>
      <c r="F410" s="1">
        <f>"alter type "&amp;A410&amp;" "&amp;E410&amp;"."</f>
        <v/>
      </c>
    </row>
    <row r="411">
      <c r="A411" s="1" t="inlineStr">
        <is>
          <t>vI11m15</t>
        </is>
      </c>
      <c r="B411" s="1" t="inlineStr">
        <is>
          <t>數值</t>
        </is>
      </c>
      <c r="C411" s="1" t="n">
        <v>2</v>
      </c>
      <c r="D411" s="1" t="n">
        <v>0</v>
      </c>
      <c r="E411" s="1">
        <f>IF(B411="數值","(F"&amp;C411&amp;"."&amp;D411&amp;")","(A"&amp;C411&amp;")")</f>
        <v/>
      </c>
      <c r="F411" s="1">
        <f>"alter type "&amp;A411&amp;" "&amp;E411&amp;"."</f>
        <v/>
      </c>
    </row>
    <row r="412">
      <c r="A412" s="1" t="inlineStr">
        <is>
          <t>vI11m16</t>
        </is>
      </c>
      <c r="B412" s="1" t="inlineStr">
        <is>
          <t>數值</t>
        </is>
      </c>
      <c r="C412" s="1" t="n">
        <v>2</v>
      </c>
      <c r="D412" s="1" t="n">
        <v>0</v>
      </c>
      <c r="E412" s="1">
        <f>IF(B412="數值","(F"&amp;C412&amp;"."&amp;D412&amp;")","(A"&amp;C412&amp;")")</f>
        <v/>
      </c>
      <c r="F412" s="1">
        <f>"alter type "&amp;A412&amp;" "&amp;E412&amp;"."</f>
        <v/>
      </c>
    </row>
    <row r="413">
      <c r="A413" s="1" t="inlineStr">
        <is>
          <t>vI11m88</t>
        </is>
      </c>
      <c r="B413" s="1" t="inlineStr">
        <is>
          <t>數值</t>
        </is>
      </c>
      <c r="C413" s="1" t="n">
        <v>2</v>
      </c>
      <c r="D413" s="1" t="n">
        <v>0</v>
      </c>
      <c r="E413" s="1">
        <f>IF(B413="數值","(F"&amp;C413&amp;"."&amp;D413&amp;")","(A"&amp;C413&amp;")")</f>
        <v/>
      </c>
      <c r="F413" s="1">
        <f>"alter type "&amp;A413&amp;" "&amp;E413&amp;"."</f>
        <v/>
      </c>
    </row>
    <row r="414">
      <c r="A414" s="1" t="inlineStr">
        <is>
          <t>vI11o88</t>
        </is>
      </c>
      <c r="B414" s="1" t="inlineStr">
        <is>
          <t>字串</t>
        </is>
      </c>
      <c r="C414" s="1" t="n">
        <v>150</v>
      </c>
      <c r="D414" s="1" t="n">
        <v>0</v>
      </c>
      <c r="E414" s="1">
        <f>IF(B414="數值","(F"&amp;C414&amp;"."&amp;D414&amp;")","(A"&amp;C414&amp;")")</f>
        <v/>
      </c>
      <c r="F414" s="1">
        <f>"alter type "&amp;A414&amp;" "&amp;E414&amp;"."</f>
        <v/>
      </c>
    </row>
    <row r="415">
      <c r="A415" s="1" t="inlineStr">
        <is>
          <t>vI12s01</t>
        </is>
      </c>
      <c r="B415" s="1" t="inlineStr">
        <is>
          <t>數值</t>
        </is>
      </c>
      <c r="C415" s="1" t="n">
        <v>2</v>
      </c>
      <c r="D415" s="1" t="n">
        <v>0</v>
      </c>
      <c r="E415" s="1">
        <f>IF(B415="數值","(F"&amp;C415&amp;"."&amp;D415&amp;")","(A"&amp;C415&amp;")")</f>
        <v/>
      </c>
      <c r="F415" s="1">
        <f>"alter type "&amp;A415&amp;" "&amp;E415&amp;"."</f>
        <v/>
      </c>
    </row>
    <row r="416">
      <c r="A416" s="1" t="inlineStr">
        <is>
          <t>vI12s02</t>
        </is>
      </c>
      <c r="B416" s="1" t="inlineStr">
        <is>
          <t>數值</t>
        </is>
      </c>
      <c r="C416" s="1" t="n">
        <v>2</v>
      </c>
      <c r="D416" s="1" t="n">
        <v>0</v>
      </c>
      <c r="E416" s="1">
        <f>IF(B416="數值","(F"&amp;C416&amp;"."&amp;D416&amp;")","(A"&amp;C416&amp;")")</f>
        <v/>
      </c>
      <c r="F416" s="1">
        <f>"alter type "&amp;A416&amp;" "&amp;E416&amp;"."</f>
        <v/>
      </c>
    </row>
    <row r="417">
      <c r="A417" s="1" t="inlineStr">
        <is>
          <t>vI12s03</t>
        </is>
      </c>
      <c r="B417" s="1" t="inlineStr">
        <is>
          <t>數值</t>
        </is>
      </c>
      <c r="C417" s="1" t="n">
        <v>2</v>
      </c>
      <c r="D417" s="1" t="n">
        <v>0</v>
      </c>
      <c r="E417" s="1">
        <f>IF(B417="數值","(F"&amp;C417&amp;"."&amp;D417&amp;")","(A"&amp;C417&amp;")")</f>
        <v/>
      </c>
      <c r="F417" s="1">
        <f>"alter type "&amp;A417&amp;" "&amp;E417&amp;"."</f>
        <v/>
      </c>
    </row>
    <row r="418">
      <c r="A418" s="1" t="inlineStr">
        <is>
          <t>vI12s04</t>
        </is>
      </c>
      <c r="B418" s="1" t="inlineStr">
        <is>
          <t>數值</t>
        </is>
      </c>
      <c r="C418" s="1" t="n">
        <v>2</v>
      </c>
      <c r="D418" s="1" t="n">
        <v>0</v>
      </c>
      <c r="E418" s="1">
        <f>IF(B418="數值","(F"&amp;C418&amp;"."&amp;D418&amp;")","(A"&amp;C418&amp;")")</f>
        <v/>
      </c>
      <c r="F418" s="1">
        <f>"alter type "&amp;A418&amp;" "&amp;E418&amp;"."</f>
        <v/>
      </c>
    </row>
    <row r="419">
      <c r="A419" s="1" t="inlineStr">
        <is>
          <t>vK1m01</t>
        </is>
      </c>
      <c r="B419" s="1" t="inlineStr">
        <is>
          <t>數值</t>
        </is>
      </c>
      <c r="C419" s="1" t="n">
        <v>2</v>
      </c>
      <c r="D419" s="1" t="n">
        <v>0</v>
      </c>
      <c r="E419" s="1">
        <f>IF(B419="數值","(F"&amp;C419&amp;"."&amp;D419&amp;")","(A"&amp;C419&amp;")")</f>
        <v/>
      </c>
      <c r="F419" s="1">
        <f>"alter type "&amp;A419&amp;" "&amp;E419&amp;"."</f>
        <v/>
      </c>
    </row>
    <row r="420">
      <c r="A420" s="1" t="inlineStr">
        <is>
          <t>vK1m02</t>
        </is>
      </c>
      <c r="B420" s="1" t="inlineStr">
        <is>
          <t>數值</t>
        </is>
      </c>
      <c r="C420" s="1" t="n">
        <v>2</v>
      </c>
      <c r="D420" s="1" t="n">
        <v>0</v>
      </c>
      <c r="E420" s="1">
        <f>IF(B420="數值","(F"&amp;C420&amp;"."&amp;D420&amp;")","(A"&amp;C420&amp;")")</f>
        <v/>
      </c>
      <c r="F420" s="1">
        <f>"alter type "&amp;A420&amp;" "&amp;E420&amp;"."</f>
        <v/>
      </c>
    </row>
    <row r="421">
      <c r="A421" s="1" t="inlineStr">
        <is>
          <t>vK1m03</t>
        </is>
      </c>
      <c r="B421" s="1" t="inlineStr">
        <is>
          <t>數值</t>
        </is>
      </c>
      <c r="C421" s="1" t="n">
        <v>2</v>
      </c>
      <c r="D421" s="1" t="n">
        <v>0</v>
      </c>
      <c r="E421" s="1">
        <f>IF(B421="數值","(F"&amp;C421&amp;"."&amp;D421&amp;")","(A"&amp;C421&amp;")")</f>
        <v/>
      </c>
      <c r="F421" s="1">
        <f>"alter type "&amp;A421&amp;" "&amp;E421&amp;"."</f>
        <v/>
      </c>
    </row>
    <row r="422">
      <c r="A422" s="1" t="inlineStr">
        <is>
          <t>vK1m04</t>
        </is>
      </c>
      <c r="B422" s="1" t="inlineStr">
        <is>
          <t>數值</t>
        </is>
      </c>
      <c r="C422" s="1" t="n">
        <v>2</v>
      </c>
      <c r="D422" s="1" t="n">
        <v>0</v>
      </c>
      <c r="E422" s="1">
        <f>IF(B422="數值","(F"&amp;C422&amp;"."&amp;D422&amp;")","(A"&amp;C422&amp;")")</f>
        <v/>
      </c>
      <c r="F422" s="1">
        <f>"alter type "&amp;A422&amp;" "&amp;E422&amp;"."</f>
        <v/>
      </c>
    </row>
    <row r="423">
      <c r="A423" s="1" t="inlineStr">
        <is>
          <t>vK1m05</t>
        </is>
      </c>
      <c r="B423" s="1" t="inlineStr">
        <is>
          <t>數值</t>
        </is>
      </c>
      <c r="C423" s="1" t="n">
        <v>2</v>
      </c>
      <c r="D423" s="1" t="n">
        <v>0</v>
      </c>
      <c r="E423" s="1">
        <f>IF(B423="數值","(F"&amp;C423&amp;"."&amp;D423&amp;")","(A"&amp;C423&amp;")")</f>
        <v/>
      </c>
      <c r="F423" s="1">
        <f>"alter type "&amp;A423&amp;" "&amp;E423&amp;"."</f>
        <v/>
      </c>
    </row>
    <row r="424">
      <c r="A424" s="1" t="inlineStr">
        <is>
          <t>vK1m06</t>
        </is>
      </c>
      <c r="B424" s="1" t="inlineStr">
        <is>
          <t>數值</t>
        </is>
      </c>
      <c r="C424" s="1" t="n">
        <v>2</v>
      </c>
      <c r="D424" s="1" t="n">
        <v>0</v>
      </c>
      <c r="E424" s="1">
        <f>IF(B424="數值","(F"&amp;C424&amp;"."&amp;D424&amp;")","(A"&amp;C424&amp;")")</f>
        <v/>
      </c>
      <c r="F424" s="1">
        <f>"alter type "&amp;A424&amp;" "&amp;E424&amp;"."</f>
        <v/>
      </c>
    </row>
    <row r="425">
      <c r="A425" s="1" t="inlineStr">
        <is>
          <t>vK1m07</t>
        </is>
      </c>
      <c r="B425" s="1" t="inlineStr">
        <is>
          <t>數值</t>
        </is>
      </c>
      <c r="C425" s="1" t="n">
        <v>2</v>
      </c>
      <c r="D425" s="1" t="n">
        <v>0</v>
      </c>
      <c r="E425" s="1">
        <f>IF(B425="數值","(F"&amp;C425&amp;"."&amp;D425&amp;")","(A"&amp;C425&amp;")")</f>
        <v/>
      </c>
      <c r="F425" s="1">
        <f>"alter type "&amp;A425&amp;" "&amp;E425&amp;"."</f>
        <v/>
      </c>
    </row>
    <row r="426">
      <c r="A426" s="1" t="inlineStr">
        <is>
          <t>vK1m08</t>
        </is>
      </c>
      <c r="B426" s="1" t="inlineStr">
        <is>
          <t>數值</t>
        </is>
      </c>
      <c r="C426" s="1" t="n">
        <v>2</v>
      </c>
      <c r="D426" s="1" t="n">
        <v>0</v>
      </c>
      <c r="E426" s="1">
        <f>IF(B426="數值","(F"&amp;C426&amp;"."&amp;D426&amp;")","(A"&amp;C426&amp;")")</f>
        <v/>
      </c>
      <c r="F426" s="1">
        <f>"alter type "&amp;A426&amp;" "&amp;E426&amp;"."</f>
        <v/>
      </c>
    </row>
    <row r="427">
      <c r="A427" s="1" t="inlineStr">
        <is>
          <t>vK1m09</t>
        </is>
      </c>
      <c r="B427" s="1" t="inlineStr">
        <is>
          <t>數值</t>
        </is>
      </c>
      <c r="C427" s="1" t="n">
        <v>2</v>
      </c>
      <c r="D427" s="1" t="n">
        <v>0</v>
      </c>
      <c r="E427" s="1">
        <f>IF(B427="數值","(F"&amp;C427&amp;"."&amp;D427&amp;")","(A"&amp;C427&amp;")")</f>
        <v/>
      </c>
      <c r="F427" s="1">
        <f>"alter type "&amp;A427&amp;" "&amp;E427&amp;"."</f>
        <v/>
      </c>
    </row>
    <row r="428">
      <c r="A428" s="1" t="inlineStr">
        <is>
          <t>vK1m10</t>
        </is>
      </c>
      <c r="B428" s="1" t="inlineStr">
        <is>
          <t>數值</t>
        </is>
      </c>
      <c r="C428" s="1" t="n">
        <v>2</v>
      </c>
      <c r="D428" s="1" t="n">
        <v>0</v>
      </c>
      <c r="E428" s="1">
        <f>IF(B428="數值","(F"&amp;C428&amp;"."&amp;D428&amp;")","(A"&amp;C428&amp;")")</f>
        <v/>
      </c>
      <c r="F428" s="1">
        <f>"alter type "&amp;A428&amp;" "&amp;E428&amp;"."</f>
        <v/>
      </c>
    </row>
    <row r="429">
      <c r="A429" s="1" t="inlineStr">
        <is>
          <t>vK1m88</t>
        </is>
      </c>
      <c r="B429" s="1" t="inlineStr">
        <is>
          <t>數值</t>
        </is>
      </c>
      <c r="C429" s="1" t="n">
        <v>2</v>
      </c>
      <c r="D429" s="1" t="n">
        <v>0</v>
      </c>
      <c r="E429" s="1">
        <f>IF(B429="數值","(F"&amp;C429&amp;"."&amp;D429&amp;")","(A"&amp;C429&amp;")")</f>
        <v/>
      </c>
      <c r="F429" s="1">
        <f>"alter type "&amp;A429&amp;" "&amp;E429&amp;"."</f>
        <v/>
      </c>
    </row>
    <row r="430">
      <c r="A430" s="1" t="inlineStr">
        <is>
          <t>vK1m90</t>
        </is>
      </c>
      <c r="B430" s="1" t="inlineStr">
        <is>
          <t>數值</t>
        </is>
      </c>
      <c r="C430" s="1" t="n">
        <v>2</v>
      </c>
      <c r="D430" s="1" t="n">
        <v>0</v>
      </c>
      <c r="E430" s="1">
        <f>IF(B430="數值","(F"&amp;C430&amp;"."&amp;D430&amp;")","(A"&amp;C430&amp;")")</f>
        <v/>
      </c>
      <c r="F430" s="1">
        <f>"alter type "&amp;A430&amp;" "&amp;E430&amp;"."</f>
        <v/>
      </c>
    </row>
    <row r="431">
      <c r="A431" s="1" t="inlineStr">
        <is>
          <t>vK1o88</t>
        </is>
      </c>
      <c r="B431" s="1" t="inlineStr">
        <is>
          <t>字串</t>
        </is>
      </c>
      <c r="C431" s="1" t="n">
        <v>150</v>
      </c>
      <c r="D431" s="1" t="n">
        <v>0</v>
      </c>
      <c r="E431" s="1">
        <f>IF(B431="數值","(F"&amp;C431&amp;"."&amp;D431&amp;")","(A"&amp;C431&amp;")")</f>
        <v/>
      </c>
      <c r="F431" s="1">
        <f>"alter type "&amp;A431&amp;" "&amp;E431&amp;"."</f>
        <v/>
      </c>
    </row>
    <row r="432">
      <c r="A432" s="1" t="inlineStr">
        <is>
          <t>vCKK1</t>
        </is>
      </c>
      <c r="B432" s="1" t="inlineStr">
        <is>
          <t>數值</t>
        </is>
      </c>
      <c r="C432" s="1" t="n">
        <v>2</v>
      </c>
      <c r="D432" s="1" t="n">
        <v>0</v>
      </c>
      <c r="E432" s="1">
        <f>IF(B432="數值","(F"&amp;C432&amp;"."&amp;D432&amp;")","(A"&amp;C432&amp;")")</f>
        <v/>
      </c>
      <c r="F432" s="1">
        <f>"alter type "&amp;A432&amp;" "&amp;E432&amp;"."</f>
        <v/>
      </c>
    </row>
    <row r="433">
      <c r="A433" s="1" t="inlineStr">
        <is>
          <t>vK2m01</t>
        </is>
      </c>
      <c r="B433" s="1" t="inlineStr">
        <is>
          <t>數值</t>
        </is>
      </c>
      <c r="C433" s="1" t="n">
        <v>2</v>
      </c>
      <c r="D433" s="1" t="n">
        <v>0</v>
      </c>
      <c r="E433" s="1">
        <f>IF(B433="數值","(F"&amp;C433&amp;"."&amp;D433&amp;")","(A"&amp;C433&amp;")")</f>
        <v/>
      </c>
      <c r="F433" s="1">
        <f>"alter type "&amp;A433&amp;" "&amp;E433&amp;"."</f>
        <v/>
      </c>
    </row>
    <row r="434">
      <c r="A434" s="1" t="inlineStr">
        <is>
          <t>vK2m02</t>
        </is>
      </c>
      <c r="B434" s="1" t="inlineStr">
        <is>
          <t>數值</t>
        </is>
      </c>
      <c r="C434" s="1" t="n">
        <v>2</v>
      </c>
      <c r="D434" s="1" t="n">
        <v>0</v>
      </c>
      <c r="E434" s="1">
        <f>IF(B434="數值","(F"&amp;C434&amp;"."&amp;D434&amp;")","(A"&amp;C434&amp;")")</f>
        <v/>
      </c>
      <c r="F434" s="1">
        <f>"alter type "&amp;A434&amp;" "&amp;E434&amp;"."</f>
        <v/>
      </c>
    </row>
    <row r="435">
      <c r="A435" s="1" t="inlineStr">
        <is>
          <t>vK2m03</t>
        </is>
      </c>
      <c r="B435" s="1" t="inlineStr">
        <is>
          <t>數值</t>
        </is>
      </c>
      <c r="C435" s="1" t="n">
        <v>2</v>
      </c>
      <c r="D435" s="1" t="n">
        <v>0</v>
      </c>
      <c r="E435" s="1">
        <f>IF(B435="數值","(F"&amp;C435&amp;"."&amp;D435&amp;")","(A"&amp;C435&amp;")")</f>
        <v/>
      </c>
      <c r="F435" s="1">
        <f>"alter type "&amp;A435&amp;" "&amp;E435&amp;"."</f>
        <v/>
      </c>
    </row>
    <row r="436">
      <c r="A436" s="1" t="inlineStr">
        <is>
          <t>vK2m04</t>
        </is>
      </c>
      <c r="B436" s="1" t="inlineStr">
        <is>
          <t>數值</t>
        </is>
      </c>
      <c r="C436" s="1" t="n">
        <v>2</v>
      </c>
      <c r="D436" s="1" t="n">
        <v>0</v>
      </c>
      <c r="E436" s="1">
        <f>IF(B436="數值","(F"&amp;C436&amp;"."&amp;D436&amp;")","(A"&amp;C436&amp;")")</f>
        <v/>
      </c>
      <c r="F436" s="1">
        <f>"alter type "&amp;A436&amp;" "&amp;E436&amp;"."</f>
        <v/>
      </c>
    </row>
    <row r="437">
      <c r="A437" s="1" t="inlineStr">
        <is>
          <t>vK2m05</t>
        </is>
      </c>
      <c r="B437" s="1" t="inlineStr">
        <is>
          <t>數值</t>
        </is>
      </c>
      <c r="C437" s="1" t="n">
        <v>2</v>
      </c>
      <c r="D437" s="1" t="n">
        <v>0</v>
      </c>
      <c r="E437" s="1">
        <f>IF(B437="數值","(F"&amp;C437&amp;"."&amp;D437&amp;")","(A"&amp;C437&amp;")")</f>
        <v/>
      </c>
      <c r="F437" s="1">
        <f>"alter type "&amp;A437&amp;" "&amp;E437&amp;"."</f>
        <v/>
      </c>
    </row>
    <row r="438">
      <c r="A438" s="1" t="inlineStr">
        <is>
          <t>vK2m06</t>
        </is>
      </c>
      <c r="B438" s="1" t="inlineStr">
        <is>
          <t>數值</t>
        </is>
      </c>
      <c r="C438" s="1" t="n">
        <v>2</v>
      </c>
      <c r="D438" s="1" t="n">
        <v>0</v>
      </c>
      <c r="E438" s="1">
        <f>IF(B438="數值","(F"&amp;C438&amp;"."&amp;D438&amp;")","(A"&amp;C438&amp;")")</f>
        <v/>
      </c>
      <c r="F438" s="1">
        <f>"alter type "&amp;A438&amp;" "&amp;E438&amp;"."</f>
        <v/>
      </c>
    </row>
    <row r="439">
      <c r="A439" s="1" t="inlineStr">
        <is>
          <t>vK2m07</t>
        </is>
      </c>
      <c r="B439" s="1" t="inlineStr">
        <is>
          <t>數值</t>
        </is>
      </c>
      <c r="C439" s="1" t="n">
        <v>2</v>
      </c>
      <c r="D439" s="1" t="n">
        <v>0</v>
      </c>
      <c r="E439" s="1">
        <f>IF(B439="數值","(F"&amp;C439&amp;"."&amp;D439&amp;")","(A"&amp;C439&amp;")")</f>
        <v/>
      </c>
      <c r="F439" s="1">
        <f>"alter type "&amp;A439&amp;" "&amp;E439&amp;"."</f>
        <v/>
      </c>
    </row>
    <row r="440">
      <c r="A440" s="1" t="inlineStr">
        <is>
          <t>vK2m08</t>
        </is>
      </c>
      <c r="B440" s="1" t="inlineStr">
        <is>
          <t>數值</t>
        </is>
      </c>
      <c r="C440" s="1" t="n">
        <v>2</v>
      </c>
      <c r="D440" s="1" t="n">
        <v>0</v>
      </c>
      <c r="E440" s="1">
        <f>IF(B440="數值","(F"&amp;C440&amp;"."&amp;D440&amp;")","(A"&amp;C440&amp;")")</f>
        <v/>
      </c>
      <c r="F440" s="1">
        <f>"alter type "&amp;A440&amp;" "&amp;E440&amp;"."</f>
        <v/>
      </c>
    </row>
    <row r="441">
      <c r="A441" s="1" t="inlineStr">
        <is>
          <t>vK2m09</t>
        </is>
      </c>
      <c r="B441" s="1" t="inlineStr">
        <is>
          <t>數值</t>
        </is>
      </c>
      <c r="C441" s="1" t="n">
        <v>2</v>
      </c>
      <c r="D441" s="1" t="n">
        <v>0</v>
      </c>
      <c r="E441" s="1">
        <f>IF(B441="數值","(F"&amp;C441&amp;"."&amp;D441&amp;")","(A"&amp;C441&amp;")")</f>
        <v/>
      </c>
      <c r="F441" s="1">
        <f>"alter type "&amp;A441&amp;" "&amp;E441&amp;"."</f>
        <v/>
      </c>
    </row>
    <row r="442">
      <c r="A442" s="1" t="inlineStr">
        <is>
          <t>vK2m10</t>
        </is>
      </c>
      <c r="B442" s="1" t="inlineStr">
        <is>
          <t>數值</t>
        </is>
      </c>
      <c r="C442" s="1" t="n">
        <v>2</v>
      </c>
      <c r="D442" s="1" t="n">
        <v>0</v>
      </c>
      <c r="E442" s="1">
        <f>IF(B442="數值","(F"&amp;C442&amp;"."&amp;D442&amp;")","(A"&amp;C442&amp;")")</f>
        <v/>
      </c>
      <c r="F442" s="1">
        <f>"alter type "&amp;A442&amp;" "&amp;E442&amp;"."</f>
        <v/>
      </c>
    </row>
    <row r="443">
      <c r="A443" s="1" t="inlineStr">
        <is>
          <t>vK2m11</t>
        </is>
      </c>
      <c r="B443" s="1" t="inlineStr">
        <is>
          <t>數值</t>
        </is>
      </c>
      <c r="C443" s="1" t="n">
        <v>2</v>
      </c>
      <c r="D443" s="1" t="n">
        <v>0</v>
      </c>
      <c r="E443" s="1">
        <f>IF(B443="數值","(F"&amp;C443&amp;"."&amp;D443&amp;")","(A"&amp;C443&amp;")")</f>
        <v/>
      </c>
      <c r="F443" s="1">
        <f>"alter type "&amp;A443&amp;" "&amp;E443&amp;"."</f>
        <v/>
      </c>
    </row>
    <row r="444">
      <c r="A444" s="1" t="inlineStr">
        <is>
          <t>vK2m12</t>
        </is>
      </c>
      <c r="B444" s="1" t="inlineStr">
        <is>
          <t>數值</t>
        </is>
      </c>
      <c r="C444" s="1" t="n">
        <v>2</v>
      </c>
      <c r="D444" s="1" t="n">
        <v>0</v>
      </c>
      <c r="E444" s="1">
        <f>IF(B444="數值","(F"&amp;C444&amp;"."&amp;D444&amp;")","(A"&amp;C444&amp;")")</f>
        <v/>
      </c>
      <c r="F444" s="1">
        <f>"alter type "&amp;A444&amp;" "&amp;E444&amp;"."</f>
        <v/>
      </c>
    </row>
    <row r="445">
      <c r="A445" s="1" t="inlineStr">
        <is>
          <t>vK2m88</t>
        </is>
      </c>
      <c r="B445" s="1" t="inlineStr">
        <is>
          <t>數值</t>
        </is>
      </c>
      <c r="C445" s="1" t="n">
        <v>2</v>
      </c>
      <c r="D445" s="1" t="n">
        <v>0</v>
      </c>
      <c r="E445" s="1">
        <f>IF(B445="數值","(F"&amp;C445&amp;"."&amp;D445&amp;")","(A"&amp;C445&amp;")")</f>
        <v/>
      </c>
      <c r="F445" s="1">
        <f>"alter type "&amp;A445&amp;" "&amp;E445&amp;"."</f>
        <v/>
      </c>
    </row>
    <row r="446">
      <c r="A446" s="1" t="inlineStr">
        <is>
          <t>vK2m90</t>
        </is>
      </c>
      <c r="B446" s="1" t="inlineStr">
        <is>
          <t>數值</t>
        </is>
      </c>
      <c r="C446" s="1" t="n">
        <v>2</v>
      </c>
      <c r="D446" s="1" t="n">
        <v>0</v>
      </c>
      <c r="E446" s="1">
        <f>IF(B446="數值","(F"&amp;C446&amp;"."&amp;D446&amp;")","(A"&amp;C446&amp;")")</f>
        <v/>
      </c>
      <c r="F446" s="1">
        <f>"alter type "&amp;A446&amp;" "&amp;E446&amp;"."</f>
        <v/>
      </c>
    </row>
    <row r="447">
      <c r="A447" s="1" t="inlineStr">
        <is>
          <t>vK2o88</t>
        </is>
      </c>
      <c r="B447" s="1" t="inlineStr">
        <is>
          <t>字串</t>
        </is>
      </c>
      <c r="C447" s="1" t="n">
        <v>150</v>
      </c>
      <c r="D447" s="1" t="n">
        <v>0</v>
      </c>
      <c r="E447" s="1">
        <f>IF(B447="數值","(F"&amp;C447&amp;"."&amp;D447&amp;")","(A"&amp;C447&amp;")")</f>
        <v/>
      </c>
      <c r="F447" s="1">
        <f>"alter type "&amp;A447&amp;" "&amp;E447&amp;"."</f>
        <v/>
      </c>
    </row>
    <row r="448">
      <c r="A448" s="1" t="inlineStr">
        <is>
          <t>vCKFB1</t>
        </is>
      </c>
      <c r="B448" s="1" t="inlineStr">
        <is>
          <t>數值</t>
        </is>
      </c>
      <c r="C448" s="1" t="n">
        <v>14</v>
      </c>
      <c r="D448" s="1" t="n">
        <v>0</v>
      </c>
      <c r="E448" s="1">
        <f>IF(B448="數值","(F"&amp;C448&amp;"."&amp;D448&amp;")","(A"&amp;C448&amp;")")</f>
        <v/>
      </c>
      <c r="F448" s="1">
        <f>"alter type "&amp;A448&amp;" "&amp;E448&amp;"."</f>
        <v/>
      </c>
    </row>
    <row r="449">
      <c r="A449" s="1" t="inlineStr">
        <is>
          <t>vCKFB2</t>
        </is>
      </c>
      <c r="B449" s="1" t="inlineStr">
        <is>
          <t>數值</t>
        </is>
      </c>
      <c r="C449" s="1" t="n">
        <v>14</v>
      </c>
      <c r="D449" s="1" t="n">
        <v>0</v>
      </c>
      <c r="E449" s="1">
        <f>IF(B449="數值","(F"&amp;C449&amp;"."&amp;D449&amp;")","(A"&amp;C449&amp;")")</f>
        <v/>
      </c>
      <c r="F449" s="1">
        <f>"alter type "&amp;A449&amp;" "&amp;E449&amp;"."</f>
        <v/>
      </c>
    </row>
    <row r="450">
      <c r="A450" s="1" t="inlineStr">
        <is>
          <t>vCKFB3</t>
        </is>
      </c>
      <c r="B450" s="1" t="inlineStr">
        <is>
          <t>數值</t>
        </is>
      </c>
      <c r="C450" s="1" t="n">
        <v>14</v>
      </c>
      <c r="D450" s="1" t="n">
        <v>0</v>
      </c>
      <c r="E450" s="1">
        <f>IF(B450="數值","(F"&amp;C450&amp;"."&amp;D450&amp;")","(A"&amp;C450&amp;")")</f>
        <v/>
      </c>
      <c r="F450" s="1">
        <f>"alter type "&amp;A450&amp;" "&amp;E450&amp;"."</f>
        <v/>
      </c>
    </row>
    <row r="451">
      <c r="A451" s="1" t="inlineStr">
        <is>
          <t>vCKIG1</t>
        </is>
      </c>
      <c r="B451" s="1" t="inlineStr">
        <is>
          <t>數值</t>
        </is>
      </c>
      <c r="C451" s="1" t="n">
        <v>14</v>
      </c>
      <c r="D451" s="1" t="n">
        <v>0</v>
      </c>
      <c r="E451" s="1">
        <f>IF(B451="數值","(F"&amp;C451&amp;"."&amp;D451&amp;")","(A"&amp;C451&amp;")")</f>
        <v/>
      </c>
      <c r="F451" s="1">
        <f>"alter type "&amp;A451&amp;" "&amp;E451&amp;"."</f>
        <v/>
      </c>
    </row>
    <row r="452">
      <c r="A452" s="1" t="inlineStr">
        <is>
          <t>vCKIG2</t>
        </is>
      </c>
      <c r="B452" s="1" t="inlineStr">
        <is>
          <t>數值</t>
        </is>
      </c>
      <c r="C452" s="1" t="n">
        <v>14</v>
      </c>
      <c r="D452" s="1" t="n">
        <v>0</v>
      </c>
      <c r="E452" s="1">
        <f>IF(B452="數值","(F"&amp;C452&amp;"."&amp;D452&amp;")","(A"&amp;C452&amp;")")</f>
        <v/>
      </c>
      <c r="F452" s="1">
        <f>"alter type "&amp;A452&amp;" "&amp;E452&amp;"."</f>
        <v/>
      </c>
    </row>
    <row r="453">
      <c r="A453" s="1" t="inlineStr">
        <is>
          <t>vK3m01</t>
        </is>
      </c>
      <c r="B453" s="1" t="inlineStr">
        <is>
          <t>數值</t>
        </is>
      </c>
      <c r="C453" s="1" t="n">
        <v>2</v>
      </c>
      <c r="D453" s="1" t="n">
        <v>0</v>
      </c>
      <c r="E453" s="1">
        <f>IF(B453="數值","(F"&amp;C453&amp;"."&amp;D453&amp;")","(A"&amp;C453&amp;")")</f>
        <v/>
      </c>
      <c r="F453" s="1">
        <f>"alter type "&amp;A453&amp;" "&amp;E453&amp;"."</f>
        <v/>
      </c>
    </row>
    <row r="454">
      <c r="A454" s="1" t="inlineStr">
        <is>
          <t>vK3m02</t>
        </is>
      </c>
      <c r="B454" s="1" t="inlineStr">
        <is>
          <t>數值</t>
        </is>
      </c>
      <c r="C454" s="1" t="n">
        <v>2</v>
      </c>
      <c r="D454" s="1" t="n">
        <v>0</v>
      </c>
      <c r="E454" s="1">
        <f>IF(B454="數值","(F"&amp;C454&amp;"."&amp;D454&amp;")","(A"&amp;C454&amp;")")</f>
        <v/>
      </c>
      <c r="F454" s="1">
        <f>"alter type "&amp;A454&amp;" "&amp;E454&amp;"."</f>
        <v/>
      </c>
    </row>
    <row r="455">
      <c r="A455" s="1" t="inlineStr">
        <is>
          <t>vK3m03</t>
        </is>
      </c>
      <c r="B455" s="1" t="inlineStr">
        <is>
          <t>數值</t>
        </is>
      </c>
      <c r="C455" s="1" t="n">
        <v>2</v>
      </c>
      <c r="D455" s="1" t="n">
        <v>0</v>
      </c>
      <c r="E455" s="1">
        <f>IF(B455="數值","(F"&amp;C455&amp;"."&amp;D455&amp;")","(A"&amp;C455&amp;")")</f>
        <v/>
      </c>
      <c r="F455" s="1">
        <f>"alter type "&amp;A455&amp;" "&amp;E455&amp;"."</f>
        <v/>
      </c>
    </row>
    <row r="456">
      <c r="A456" s="1" t="inlineStr">
        <is>
          <t>vK3m04</t>
        </is>
      </c>
      <c r="B456" s="1" t="inlineStr">
        <is>
          <t>數值</t>
        </is>
      </c>
      <c r="C456" s="1" t="n">
        <v>2</v>
      </c>
      <c r="D456" s="1" t="n">
        <v>0</v>
      </c>
      <c r="E456" s="1">
        <f>IF(B456="數值","(F"&amp;C456&amp;"."&amp;D456&amp;")","(A"&amp;C456&amp;")")</f>
        <v/>
      </c>
      <c r="F456" s="1">
        <f>"alter type "&amp;A456&amp;" "&amp;E456&amp;"."</f>
        <v/>
      </c>
    </row>
    <row r="457">
      <c r="A457" s="1" t="inlineStr">
        <is>
          <t>vK3m05</t>
        </is>
      </c>
      <c r="B457" s="1" t="inlineStr">
        <is>
          <t>數值</t>
        </is>
      </c>
      <c r="C457" s="1" t="n">
        <v>2</v>
      </c>
      <c r="D457" s="1" t="n">
        <v>0</v>
      </c>
      <c r="E457" s="1">
        <f>IF(B457="數值","(F"&amp;C457&amp;"."&amp;D457&amp;")","(A"&amp;C457&amp;")")</f>
        <v/>
      </c>
      <c r="F457" s="1">
        <f>"alter type "&amp;A457&amp;" "&amp;E457&amp;"."</f>
        <v/>
      </c>
    </row>
    <row r="458">
      <c r="A458" s="1" t="inlineStr">
        <is>
          <t>vK3m06</t>
        </is>
      </c>
      <c r="B458" s="1" t="inlineStr">
        <is>
          <t>數值</t>
        </is>
      </c>
      <c r="C458" s="1" t="n">
        <v>2</v>
      </c>
      <c r="D458" s="1" t="n">
        <v>0</v>
      </c>
      <c r="E458" s="1">
        <f>IF(B458="數值","(F"&amp;C458&amp;"."&amp;D458&amp;")","(A"&amp;C458&amp;")")</f>
        <v/>
      </c>
      <c r="F458" s="1">
        <f>"alter type "&amp;A458&amp;" "&amp;E458&amp;"."</f>
        <v/>
      </c>
    </row>
    <row r="459">
      <c r="A459" s="1" t="inlineStr">
        <is>
          <t>vK3m07</t>
        </is>
      </c>
      <c r="B459" s="1" t="inlineStr">
        <is>
          <t>數值</t>
        </is>
      </c>
      <c r="C459" s="1" t="n">
        <v>2</v>
      </c>
      <c r="D459" s="1" t="n">
        <v>0</v>
      </c>
      <c r="E459" s="1">
        <f>IF(B459="數值","(F"&amp;C459&amp;"."&amp;D459&amp;")","(A"&amp;C459&amp;")")</f>
        <v/>
      </c>
      <c r="F459" s="1">
        <f>"alter type "&amp;A459&amp;" "&amp;E459&amp;"."</f>
        <v/>
      </c>
    </row>
    <row r="460">
      <c r="A460" s="1" t="inlineStr">
        <is>
          <t>vK3m08</t>
        </is>
      </c>
      <c r="B460" s="1" t="inlineStr">
        <is>
          <t>數值</t>
        </is>
      </c>
      <c r="C460" s="1" t="n">
        <v>2</v>
      </c>
      <c r="D460" s="1" t="n">
        <v>0</v>
      </c>
      <c r="E460" s="1">
        <f>IF(B460="數值","(F"&amp;C460&amp;"."&amp;D460&amp;")","(A"&amp;C460&amp;")")</f>
        <v/>
      </c>
      <c r="F460" s="1">
        <f>"alter type "&amp;A460&amp;" "&amp;E460&amp;"."</f>
        <v/>
      </c>
    </row>
    <row r="461">
      <c r="A461" s="1" t="inlineStr">
        <is>
          <t>vK3m09</t>
        </is>
      </c>
      <c r="B461" s="1" t="inlineStr">
        <is>
          <t>數值</t>
        </is>
      </c>
      <c r="C461" s="1" t="n">
        <v>2</v>
      </c>
      <c r="D461" s="1" t="n">
        <v>0</v>
      </c>
      <c r="E461" s="1">
        <f>IF(B461="數值","(F"&amp;C461&amp;"."&amp;D461&amp;")","(A"&amp;C461&amp;")")</f>
        <v/>
      </c>
      <c r="F461" s="1">
        <f>"alter type "&amp;A461&amp;" "&amp;E461&amp;"."</f>
        <v/>
      </c>
    </row>
    <row r="462">
      <c r="A462" s="1" t="inlineStr">
        <is>
          <t>vK3m88</t>
        </is>
      </c>
      <c r="B462" s="1" t="inlineStr">
        <is>
          <t>數值</t>
        </is>
      </c>
      <c r="C462" s="1" t="n">
        <v>2</v>
      </c>
      <c r="D462" s="1" t="n">
        <v>0</v>
      </c>
      <c r="E462" s="1">
        <f>IF(B462="數值","(F"&amp;C462&amp;"."&amp;D462&amp;")","(A"&amp;C462&amp;")")</f>
        <v/>
      </c>
      <c r="F462" s="1">
        <f>"alter type "&amp;A462&amp;" "&amp;E462&amp;"."</f>
        <v/>
      </c>
    </row>
    <row r="463">
      <c r="A463" s="1" t="inlineStr">
        <is>
          <t>vK3m90</t>
        </is>
      </c>
      <c r="B463" s="1" t="inlineStr">
        <is>
          <t>數值</t>
        </is>
      </c>
      <c r="C463" s="1" t="n">
        <v>2</v>
      </c>
      <c r="D463" s="1" t="n">
        <v>0</v>
      </c>
      <c r="E463" s="1">
        <f>IF(B463="數值","(F"&amp;C463&amp;"."&amp;D463&amp;")","(A"&amp;C463&amp;")")</f>
        <v/>
      </c>
      <c r="F463" s="1">
        <f>"alter type "&amp;A463&amp;" "&amp;E463&amp;"."</f>
        <v/>
      </c>
    </row>
    <row r="464">
      <c r="A464" s="1" t="inlineStr">
        <is>
          <t>vK3o88</t>
        </is>
      </c>
      <c r="B464" s="1" t="inlineStr">
        <is>
          <t>字串</t>
        </is>
      </c>
      <c r="C464" s="1" t="n">
        <v>150</v>
      </c>
      <c r="D464" s="1" t="n">
        <v>0</v>
      </c>
      <c r="E464" s="1">
        <f>IF(B464="數值","(F"&amp;C464&amp;"."&amp;D464&amp;")","(A"&amp;C464&amp;")")</f>
        <v/>
      </c>
      <c r="F464" s="1">
        <f>"alter type "&amp;A464&amp;" "&amp;E464&amp;"."</f>
        <v/>
      </c>
    </row>
    <row r="465">
      <c r="A465" s="1" t="inlineStr">
        <is>
          <t>vCKK3</t>
        </is>
      </c>
      <c r="B465" s="1" t="inlineStr">
        <is>
          <t>數值</t>
        </is>
      </c>
      <c r="C465" s="1" t="n">
        <v>2</v>
      </c>
      <c r="D465" s="1" t="n">
        <v>0</v>
      </c>
      <c r="E465" s="1">
        <f>IF(B465="數值","(F"&amp;C465&amp;"."&amp;D465&amp;")","(A"&amp;C465&amp;")")</f>
        <v/>
      </c>
      <c r="F465" s="1">
        <f>"alter type "&amp;A465&amp;" "&amp;E465&amp;"."</f>
        <v/>
      </c>
    </row>
    <row r="466">
      <c r="A466" s="1" t="inlineStr">
        <is>
          <t>vCKYT</t>
        </is>
      </c>
      <c r="B466" s="1" t="inlineStr">
        <is>
          <t>數值</t>
        </is>
      </c>
      <c r="C466" s="1" t="n">
        <v>2</v>
      </c>
      <c r="D466" s="1" t="n">
        <v>0</v>
      </c>
      <c r="E466" s="1">
        <f>IF(B466="數值","(F"&amp;C466&amp;"."&amp;D466&amp;")","(A"&amp;C466&amp;")")</f>
        <v/>
      </c>
      <c r="F466" s="1">
        <f>"alter type "&amp;A466&amp;" "&amp;E466&amp;"."</f>
        <v/>
      </c>
    </row>
    <row r="467">
      <c r="A467" s="1" t="inlineStr">
        <is>
          <t>vCKQY</t>
        </is>
      </c>
      <c r="B467" s="1" t="inlineStr">
        <is>
          <t>數值</t>
        </is>
      </c>
      <c r="C467" s="1" t="n">
        <v>2</v>
      </c>
      <c r="D467" s="1" t="n">
        <v>0</v>
      </c>
      <c r="E467" s="1">
        <f>IF(B467="數值","(F"&amp;C467&amp;"."&amp;D467&amp;")","(A"&amp;C467&amp;")")</f>
        <v/>
      </c>
      <c r="F467" s="1">
        <f>"alter type "&amp;A467&amp;" "&amp;E467&amp;"."</f>
        <v/>
      </c>
    </row>
    <row r="468">
      <c r="A468" s="1" t="inlineStr">
        <is>
          <t>vCKNFX</t>
        </is>
      </c>
      <c r="B468" s="1" t="inlineStr">
        <is>
          <t>數值</t>
        </is>
      </c>
      <c r="C468" s="1" t="n">
        <v>2</v>
      </c>
      <c r="D468" s="1" t="n">
        <v>0</v>
      </c>
      <c r="E468" s="1">
        <f>IF(B468="數值","(F"&amp;C468&amp;"."&amp;D468&amp;")","(A"&amp;C468&amp;")")</f>
        <v/>
      </c>
      <c r="F468" s="1">
        <f>"alter type "&amp;A468&amp;" "&amp;E468&amp;"."</f>
        <v/>
      </c>
    </row>
    <row r="469">
      <c r="A469" s="1" t="inlineStr">
        <is>
          <t>vCKLTV</t>
        </is>
      </c>
      <c r="B469" s="1" t="inlineStr">
        <is>
          <t>數值</t>
        </is>
      </c>
      <c r="C469" s="1" t="n">
        <v>2</v>
      </c>
      <c r="D469" s="1" t="n">
        <v>0</v>
      </c>
      <c r="E469" s="1">
        <f>IF(B469="數值","(F"&amp;C469&amp;"."&amp;D469&amp;")","(A"&amp;C469&amp;")")</f>
        <v/>
      </c>
      <c r="F469" s="1">
        <f>"alter type "&amp;A469&amp;" "&amp;E469&amp;"."</f>
        <v/>
      </c>
    </row>
    <row r="470">
      <c r="A470" s="1" t="inlineStr">
        <is>
          <t>vCKDS</t>
        </is>
      </c>
      <c r="B470" s="1" t="inlineStr">
        <is>
          <t>數值</t>
        </is>
      </c>
      <c r="C470" s="1" t="n">
        <v>2</v>
      </c>
      <c r="D470" s="1" t="n">
        <v>0</v>
      </c>
      <c r="E470" s="1">
        <f>IF(B470="數值","(F"&amp;C470&amp;"."&amp;D470&amp;")","(A"&amp;C470&amp;")")</f>
        <v/>
      </c>
      <c r="F470" s="1">
        <f>"alter type "&amp;A470&amp;" "&amp;E470&amp;"."</f>
        <v/>
      </c>
    </row>
    <row r="471">
      <c r="A471" s="1" t="inlineStr">
        <is>
          <t>vKFB1</t>
        </is>
      </c>
      <c r="B471" s="1" t="inlineStr">
        <is>
          <t>數值</t>
        </is>
      </c>
      <c r="C471" s="1" t="n">
        <v>4</v>
      </c>
      <c r="D471" s="1" t="n">
        <v>1</v>
      </c>
      <c r="E471" s="1">
        <f>IF(B471="數值","(F"&amp;C471&amp;"."&amp;D471&amp;")","(A"&amp;C471&amp;")")</f>
        <v/>
      </c>
      <c r="F471" s="1">
        <f>"alter type "&amp;A471&amp;" "&amp;E471&amp;"."</f>
        <v/>
      </c>
    </row>
    <row r="472">
      <c r="A472" s="1" t="inlineStr">
        <is>
          <t>vKFB2</t>
        </is>
      </c>
      <c r="B472" s="1" t="inlineStr">
        <is>
          <t>數值</t>
        </is>
      </c>
      <c r="C472" s="1" t="n">
        <v>5</v>
      </c>
      <c r="D472" s="1" t="n">
        <v>0</v>
      </c>
      <c r="E472" s="1">
        <f>IF(B472="數值","(F"&amp;C472&amp;"."&amp;D472&amp;")","(A"&amp;C472&amp;")")</f>
        <v/>
      </c>
      <c r="F472" s="1">
        <f>"alter type "&amp;A472&amp;" "&amp;E472&amp;"."</f>
        <v/>
      </c>
    </row>
    <row r="473">
      <c r="A473" s="1" t="inlineStr">
        <is>
          <t>vKIG1</t>
        </is>
      </c>
      <c r="B473" s="1" t="inlineStr">
        <is>
          <t>數值</t>
        </is>
      </c>
      <c r="C473" s="1" t="n">
        <v>4</v>
      </c>
      <c r="D473" s="1" t="n">
        <v>1</v>
      </c>
      <c r="E473" s="1">
        <f>IF(B473="數值","(F"&amp;C473&amp;"."&amp;D473&amp;")","(A"&amp;C473&amp;")")</f>
        <v/>
      </c>
      <c r="F473" s="1">
        <f>"alter type "&amp;A473&amp;" "&amp;E473&amp;"."</f>
        <v/>
      </c>
    </row>
    <row r="474">
      <c r="A474" s="1" t="inlineStr">
        <is>
          <t>vKIG2</t>
        </is>
      </c>
      <c r="B474" s="1" t="inlineStr">
        <is>
          <t>數值</t>
        </is>
      </c>
      <c r="C474" s="1" t="n">
        <v>5</v>
      </c>
      <c r="D474" s="1" t="n">
        <v>0</v>
      </c>
      <c r="E474" s="1">
        <f>IF(B474="數值","(F"&amp;C474&amp;"."&amp;D474&amp;")","(A"&amp;C474&amp;")")</f>
        <v/>
      </c>
      <c r="F474" s="1">
        <f>"alter type "&amp;A474&amp;" "&amp;E474&amp;"."</f>
        <v/>
      </c>
    </row>
    <row r="475">
      <c r="A475" s="1" t="inlineStr">
        <is>
          <t>vKTT1</t>
        </is>
      </c>
      <c r="B475" s="1" t="inlineStr">
        <is>
          <t>數值</t>
        </is>
      </c>
      <c r="C475" s="1" t="n">
        <v>4</v>
      </c>
      <c r="D475" s="1" t="n">
        <v>1</v>
      </c>
      <c r="E475" s="1">
        <f>IF(B475="數值","(F"&amp;C475&amp;"."&amp;D475&amp;")","(A"&amp;C475&amp;")")</f>
        <v/>
      </c>
      <c r="F475" s="1">
        <f>"alter type "&amp;A475&amp;" "&amp;E475&amp;"."</f>
        <v/>
      </c>
    </row>
    <row r="476">
      <c r="A476" s="1" t="inlineStr">
        <is>
          <t>vKTT2</t>
        </is>
      </c>
      <c r="B476" s="1" t="inlineStr">
        <is>
          <t>數值</t>
        </is>
      </c>
      <c r="C476" s="1" t="n">
        <v>5</v>
      </c>
      <c r="D476" s="1" t="n">
        <v>0</v>
      </c>
      <c r="E476" s="1">
        <f>IF(B476="數值","(F"&amp;C476&amp;"."&amp;D476&amp;")","(A"&amp;C476&amp;")")</f>
        <v/>
      </c>
      <c r="F476" s="1">
        <f>"alter type "&amp;A476&amp;" "&amp;E476&amp;"."</f>
        <v/>
      </c>
    </row>
    <row r="477">
      <c r="A477" s="1" t="inlineStr">
        <is>
          <t>vP3sP3_1</t>
        </is>
      </c>
      <c r="B477" s="1" t="inlineStr">
        <is>
          <t>數值</t>
        </is>
      </c>
      <c r="C477" s="1" t="n">
        <v>2</v>
      </c>
      <c r="D477" s="1" t="n">
        <v>0</v>
      </c>
      <c r="E477" s="1">
        <f>IF(B477="數值","(F"&amp;C477&amp;"."&amp;D477&amp;")","(A"&amp;C477&amp;")")</f>
        <v/>
      </c>
      <c r="F477" s="1">
        <f>"alter type "&amp;A477&amp;" "&amp;E477&amp;"."</f>
        <v/>
      </c>
    </row>
    <row r="478">
      <c r="A478" s="1" t="inlineStr">
        <is>
          <t>vP3sP3_2</t>
        </is>
      </c>
      <c r="B478" s="1" t="inlineStr">
        <is>
          <t>數值</t>
        </is>
      </c>
      <c r="C478" s="1" t="n">
        <v>2</v>
      </c>
      <c r="D478" s="1" t="n">
        <v>0</v>
      </c>
      <c r="E478" s="1">
        <f>IF(B478="數值","(F"&amp;C478&amp;"."&amp;D478&amp;")","(A"&amp;C478&amp;")")</f>
        <v/>
      </c>
      <c r="F478" s="1">
        <f>"alter type "&amp;A478&amp;" "&amp;E478&amp;"."</f>
        <v/>
      </c>
    </row>
    <row r="479">
      <c r="A479" s="1" t="inlineStr">
        <is>
          <t>vP3sP3_3</t>
        </is>
      </c>
      <c r="B479" s="1" t="inlineStr">
        <is>
          <t>數值</t>
        </is>
      </c>
      <c r="C479" s="1" t="n">
        <v>2</v>
      </c>
      <c r="D479" s="1" t="n">
        <v>0</v>
      </c>
      <c r="E479" s="1">
        <f>IF(B479="數值","(F"&amp;C479&amp;"."&amp;D479&amp;")","(A"&amp;C479&amp;")")</f>
        <v/>
      </c>
      <c r="F479" s="1">
        <f>"alter type "&amp;A479&amp;" "&amp;E479&amp;"."</f>
        <v/>
      </c>
    </row>
    <row r="480">
      <c r="A480" s="1" t="inlineStr">
        <is>
          <t>vP3_4sP3_4</t>
        </is>
      </c>
      <c r="B480" s="1" t="inlineStr">
        <is>
          <t>數值</t>
        </is>
      </c>
      <c r="C480" s="1" t="n">
        <v>2</v>
      </c>
      <c r="D480" s="1" t="n">
        <v>0</v>
      </c>
      <c r="E480" s="1">
        <f>IF(B480="數值","(F"&amp;C480&amp;"."&amp;D480&amp;")","(A"&amp;C480&amp;")")</f>
        <v/>
      </c>
      <c r="F480" s="1">
        <f>"alter type "&amp;A480&amp;" "&amp;E480&amp;"."</f>
        <v/>
      </c>
    </row>
    <row r="481">
      <c r="A481" s="1" t="inlineStr">
        <is>
          <t>vP3_4sP3_5</t>
        </is>
      </c>
      <c r="B481" s="1" t="inlineStr">
        <is>
          <t>數值</t>
        </is>
      </c>
      <c r="C481" s="1" t="n">
        <v>2</v>
      </c>
      <c r="D481" s="1" t="n">
        <v>0</v>
      </c>
      <c r="E481" s="1">
        <f>IF(B481="數值","(F"&amp;C481&amp;"."&amp;D481&amp;")","(A"&amp;C481&amp;")")</f>
        <v/>
      </c>
      <c r="F481" s="1">
        <f>"alter type "&amp;A481&amp;" "&amp;E481&amp;"."</f>
        <v/>
      </c>
    </row>
    <row r="482">
      <c r="A482" s="1" t="inlineStr">
        <is>
          <t>vP3_4sP3_6</t>
        </is>
      </c>
      <c r="B482" s="1" t="inlineStr">
        <is>
          <t>數值</t>
        </is>
      </c>
      <c r="C482" s="1" t="n">
        <v>2</v>
      </c>
      <c r="D482" s="1" t="n">
        <v>0</v>
      </c>
      <c r="E482" s="1">
        <f>IF(B482="數值","(F"&amp;C482&amp;"."&amp;D482&amp;")","(A"&amp;C482&amp;")")</f>
        <v/>
      </c>
      <c r="F482" s="1">
        <f>"alter type "&amp;A482&amp;" "&amp;E482&amp;"."</f>
        <v/>
      </c>
    </row>
    <row r="483">
      <c r="A483" s="1" t="inlineStr">
        <is>
          <t>vP3_7sP3_7</t>
        </is>
      </c>
      <c r="B483" s="1" t="inlineStr">
        <is>
          <t>數值</t>
        </is>
      </c>
      <c r="C483" s="1" t="n">
        <v>2</v>
      </c>
      <c r="D483" s="1" t="n">
        <v>0</v>
      </c>
      <c r="E483" s="1">
        <f>IF(B483="數值","(F"&amp;C483&amp;"."&amp;D483&amp;")","(A"&amp;C483&amp;")")</f>
        <v/>
      </c>
      <c r="F483" s="1">
        <f>"alter type "&amp;A483&amp;" "&amp;E483&amp;"."</f>
        <v/>
      </c>
    </row>
    <row r="484">
      <c r="A484" s="1" t="inlineStr">
        <is>
          <t>vP3_7sP3_8</t>
        </is>
      </c>
      <c r="B484" s="1" t="inlineStr">
        <is>
          <t>數值</t>
        </is>
      </c>
      <c r="C484" s="1" t="n">
        <v>2</v>
      </c>
      <c r="D484" s="1" t="n">
        <v>0</v>
      </c>
      <c r="E484" s="1">
        <f>IF(B484="數值","(F"&amp;C484&amp;"."&amp;D484&amp;")","(A"&amp;C484&amp;")")</f>
        <v/>
      </c>
      <c r="F484" s="1">
        <f>"alter type "&amp;A484&amp;" "&amp;E484&amp;"."</f>
        <v/>
      </c>
    </row>
    <row r="485">
      <c r="A485" s="1" t="inlineStr">
        <is>
          <t>vP3_7sP3_9</t>
        </is>
      </c>
      <c r="B485" s="1" t="inlineStr">
        <is>
          <t>數值</t>
        </is>
      </c>
      <c r="C485" s="1" t="n">
        <v>2</v>
      </c>
      <c r="D485" s="1" t="n">
        <v>0</v>
      </c>
      <c r="E485" s="1">
        <f>IF(B485="數值","(F"&amp;C485&amp;"."&amp;D485&amp;")","(A"&amp;C485&amp;")")</f>
        <v/>
      </c>
      <c r="F485" s="1">
        <f>"alter type "&amp;A485&amp;" "&amp;E485&amp;"."</f>
        <v/>
      </c>
    </row>
    <row r="486">
      <c r="A486" s="1" t="inlineStr">
        <is>
          <t>vP6_1</t>
        </is>
      </c>
      <c r="B486" s="1" t="inlineStr">
        <is>
          <t>數值</t>
        </is>
      </c>
      <c r="C486" s="1" t="n">
        <v>2</v>
      </c>
      <c r="D486" s="1" t="n">
        <v>0</v>
      </c>
      <c r="E486" s="1">
        <f>IF(B486="數值","(F"&amp;C486&amp;"."&amp;D486&amp;")","(A"&amp;C486&amp;")")</f>
        <v/>
      </c>
      <c r="F486" s="1">
        <f>"alter type "&amp;A486&amp;" "&amp;E486&amp;"."</f>
        <v/>
      </c>
    </row>
    <row r="487">
      <c r="A487" s="1" t="inlineStr">
        <is>
          <t>vP6_2</t>
        </is>
      </c>
      <c r="B487" s="1" t="inlineStr">
        <is>
          <t>數值</t>
        </is>
      </c>
      <c r="C487" s="1" t="n">
        <v>2</v>
      </c>
      <c r="D487" s="1" t="n">
        <v>0</v>
      </c>
      <c r="E487" s="1">
        <f>IF(B487="數值","(F"&amp;C487&amp;"."&amp;D487&amp;")","(A"&amp;C487&amp;")")</f>
        <v/>
      </c>
      <c r="F487" s="1">
        <f>"alter type "&amp;A487&amp;" "&amp;E487&amp;"."</f>
        <v/>
      </c>
    </row>
    <row r="488">
      <c r="A488" s="1" t="inlineStr">
        <is>
          <t>vP6_3</t>
        </is>
      </c>
      <c r="B488" s="1" t="inlineStr">
        <is>
          <t>數值</t>
        </is>
      </c>
      <c r="C488" s="1" t="n">
        <v>2</v>
      </c>
      <c r="D488" s="1" t="n">
        <v>0</v>
      </c>
      <c r="E488" s="1">
        <f>IF(B488="數值","(F"&amp;C488&amp;"."&amp;D488&amp;")","(A"&amp;C488&amp;")")</f>
        <v/>
      </c>
      <c r="F488" s="1">
        <f>"alter type "&amp;A488&amp;" "&amp;E488&amp;"."</f>
        <v/>
      </c>
    </row>
    <row r="489">
      <c r="A489" s="1" t="inlineStr">
        <is>
          <t>vP6_4</t>
        </is>
      </c>
      <c r="B489" s="1" t="inlineStr">
        <is>
          <t>數值</t>
        </is>
      </c>
      <c r="C489" s="1" t="n">
        <v>2</v>
      </c>
      <c r="D489" s="1" t="n">
        <v>0</v>
      </c>
      <c r="E489" s="1">
        <f>IF(B489="數值","(F"&amp;C489&amp;"."&amp;D489&amp;")","(A"&amp;C489&amp;")")</f>
        <v/>
      </c>
      <c r="F489" s="1">
        <f>"alter type "&amp;A489&amp;" "&amp;E489&amp;"."</f>
        <v/>
      </c>
    </row>
    <row r="490">
      <c r="A490" s="1" t="inlineStr">
        <is>
          <t>vP6sP6_5</t>
        </is>
      </c>
      <c r="B490" s="1" t="inlineStr">
        <is>
          <t>數值</t>
        </is>
      </c>
      <c r="C490" s="1" t="n">
        <v>2</v>
      </c>
      <c r="D490" s="1" t="n">
        <v>0</v>
      </c>
      <c r="E490" s="1">
        <f>IF(B490="數值","(F"&amp;C490&amp;"."&amp;D490&amp;")","(A"&amp;C490&amp;")")</f>
        <v/>
      </c>
      <c r="F490" s="1">
        <f>"alter type "&amp;A490&amp;" "&amp;E490&amp;"."</f>
        <v/>
      </c>
    </row>
    <row r="491">
      <c r="A491" s="1" t="inlineStr">
        <is>
          <t>vP6sP6_6</t>
        </is>
      </c>
      <c r="B491" s="1" t="inlineStr">
        <is>
          <t>數值</t>
        </is>
      </c>
      <c r="C491" s="1" t="n">
        <v>2</v>
      </c>
      <c r="D491" s="1" t="n">
        <v>0</v>
      </c>
      <c r="E491" s="1">
        <f>IF(B491="數值","(F"&amp;C491&amp;"."&amp;D491&amp;")","(A"&amp;C491&amp;")")</f>
        <v/>
      </c>
      <c r="F491" s="1">
        <f>"alter type "&amp;A491&amp;" "&amp;E491&amp;"."</f>
        <v/>
      </c>
    </row>
    <row r="492">
      <c r="A492" s="1" t="inlineStr">
        <is>
          <t>vP4</t>
        </is>
      </c>
      <c r="B492" s="1" t="inlineStr">
        <is>
          <t>數值</t>
        </is>
      </c>
      <c r="C492" s="1" t="n">
        <v>14</v>
      </c>
      <c r="D492" s="1" t="n">
        <v>0</v>
      </c>
      <c r="E492" s="1">
        <f>IF(B492="數值","(F"&amp;C492&amp;"."&amp;D492&amp;")","(A"&amp;C492&amp;")")</f>
        <v/>
      </c>
      <c r="F492" s="1">
        <f>"alter type "&amp;A492&amp;" "&amp;E492&amp;"."</f>
        <v/>
      </c>
    </row>
    <row r="493">
      <c r="A493" s="1" t="inlineStr">
        <is>
          <t>vP4_1</t>
        </is>
      </c>
      <c r="B493" s="1" t="inlineStr">
        <is>
          <t>數值</t>
        </is>
      </c>
      <c r="C493" s="1" t="n">
        <v>2</v>
      </c>
      <c r="D493" s="1" t="n">
        <v>0</v>
      </c>
      <c r="E493" s="1">
        <f>IF(B493="數值","(F"&amp;C493&amp;"."&amp;D493&amp;")","(A"&amp;C493&amp;")")</f>
        <v/>
      </c>
      <c r="F493" s="1">
        <f>"alter type "&amp;A493&amp;" "&amp;E493&amp;"."</f>
        <v/>
      </c>
    </row>
    <row r="494">
      <c r="A494" s="1" t="inlineStr">
        <is>
          <t>vP4_2</t>
        </is>
      </c>
      <c r="B494" s="1" t="inlineStr">
        <is>
          <t>數值</t>
        </is>
      </c>
      <c r="C494" s="1" t="n">
        <v>2</v>
      </c>
      <c r="D494" s="1" t="n">
        <v>0</v>
      </c>
      <c r="E494" s="1">
        <f>IF(B494="數值","(F"&amp;C494&amp;"."&amp;D494&amp;")","(A"&amp;C494&amp;")")</f>
        <v/>
      </c>
      <c r="F494" s="1">
        <f>"alter type "&amp;A494&amp;" "&amp;E494&amp;"."</f>
        <v/>
      </c>
    </row>
    <row r="495">
      <c r="A495" s="1" t="inlineStr">
        <is>
          <t>vP4_3A</t>
        </is>
      </c>
      <c r="B495" s="1" t="inlineStr">
        <is>
          <t>數值</t>
        </is>
      </c>
      <c r="C495" s="1" t="n">
        <v>2</v>
      </c>
      <c r="D495" s="1" t="n">
        <v>0</v>
      </c>
      <c r="E495" s="1">
        <f>IF(B495="數值","(F"&amp;C495&amp;"."&amp;D495&amp;")","(A"&amp;C495&amp;")")</f>
        <v/>
      </c>
      <c r="F495" s="1">
        <f>"alter type "&amp;A495&amp;" "&amp;E495&amp;"."</f>
        <v/>
      </c>
    </row>
    <row r="496">
      <c r="A496" s="1" t="inlineStr">
        <is>
          <t>vP4_3</t>
        </is>
      </c>
      <c r="B496" s="1" t="inlineStr">
        <is>
          <t>數值</t>
        </is>
      </c>
      <c r="C496" s="1" t="n">
        <v>2</v>
      </c>
      <c r="D496" s="1" t="n">
        <v>0</v>
      </c>
      <c r="E496" s="1">
        <f>IF(B496="數值","(F"&amp;C496&amp;"."&amp;D496&amp;")","(A"&amp;C496&amp;")")</f>
        <v/>
      </c>
      <c r="F496" s="1">
        <f>"alter type "&amp;A496&amp;" "&amp;E496&amp;"."</f>
        <v/>
      </c>
    </row>
    <row r="497">
      <c r="A497" s="1" t="inlineStr">
        <is>
          <t>vP4_4</t>
        </is>
      </c>
      <c r="B497" s="1" t="inlineStr">
        <is>
          <t>數值</t>
        </is>
      </c>
      <c r="C497" s="1" t="n">
        <v>2</v>
      </c>
      <c r="D497" s="1" t="n">
        <v>0</v>
      </c>
      <c r="E497" s="1">
        <f>IF(B497="數值","(F"&amp;C497&amp;"."&amp;D497&amp;")","(A"&amp;C497&amp;")")</f>
        <v/>
      </c>
      <c r="F497" s="1">
        <f>"alter type "&amp;A497&amp;" "&amp;E497&amp;"."</f>
        <v/>
      </c>
    </row>
    <row r="498">
      <c r="A498" s="1" t="inlineStr">
        <is>
          <t>vP4_5</t>
        </is>
      </c>
      <c r="B498" s="1" t="inlineStr">
        <is>
          <t>數值</t>
        </is>
      </c>
      <c r="C498" s="1" t="n">
        <v>2</v>
      </c>
      <c r="D498" s="1" t="n">
        <v>0</v>
      </c>
      <c r="E498" s="1">
        <f>IF(B498="數值","(F"&amp;C498&amp;"."&amp;D498&amp;")","(A"&amp;C498&amp;")")</f>
        <v/>
      </c>
      <c r="F498" s="1">
        <f>"alter type "&amp;A498&amp;" "&amp;E498&amp;"."</f>
        <v/>
      </c>
    </row>
    <row r="499">
      <c r="A499" s="1" t="inlineStr">
        <is>
          <t>vP4_6</t>
        </is>
      </c>
      <c r="B499" s="1" t="inlineStr">
        <is>
          <t>數值</t>
        </is>
      </c>
      <c r="C499" s="1" t="n">
        <v>2</v>
      </c>
      <c r="D499" s="1" t="n">
        <v>0</v>
      </c>
      <c r="E499" s="1">
        <f>IF(B499="數值","(F"&amp;C499&amp;"."&amp;D499&amp;")","(A"&amp;C499&amp;")")</f>
        <v/>
      </c>
      <c r="F499" s="1">
        <f>"alter type "&amp;A499&amp;" "&amp;E499&amp;"."</f>
        <v/>
      </c>
    </row>
    <row r="500">
      <c r="A500" s="1" t="inlineStr">
        <is>
          <t>vP2_1m01</t>
        </is>
      </c>
      <c r="B500" s="1" t="inlineStr">
        <is>
          <t>數值</t>
        </is>
      </c>
      <c r="C500" s="1" t="n">
        <v>2</v>
      </c>
      <c r="D500" s="1" t="n">
        <v>0</v>
      </c>
      <c r="E500" s="1">
        <f>IF(B500="數值","(F"&amp;C500&amp;"."&amp;D500&amp;")","(A"&amp;C500&amp;")")</f>
        <v/>
      </c>
      <c r="F500" s="1">
        <f>"alter type "&amp;A500&amp;" "&amp;E500&amp;"."</f>
        <v/>
      </c>
    </row>
    <row r="501">
      <c r="A501" s="1" t="inlineStr">
        <is>
          <t>vP2_1m02</t>
        </is>
      </c>
      <c r="B501" s="1" t="inlineStr">
        <is>
          <t>數值</t>
        </is>
      </c>
      <c r="C501" s="1" t="n">
        <v>2</v>
      </c>
      <c r="D501" s="1" t="n">
        <v>0</v>
      </c>
      <c r="E501" s="1">
        <f>IF(B501="數值","(F"&amp;C501&amp;"."&amp;D501&amp;")","(A"&amp;C501&amp;")")</f>
        <v/>
      </c>
      <c r="F501" s="1">
        <f>"alter type "&amp;A501&amp;" "&amp;E501&amp;"."</f>
        <v/>
      </c>
    </row>
    <row r="502">
      <c r="A502" s="1" t="inlineStr">
        <is>
          <t>vP2_1m03</t>
        </is>
      </c>
      <c r="B502" s="1" t="inlineStr">
        <is>
          <t>數值</t>
        </is>
      </c>
      <c r="C502" s="1" t="n">
        <v>2</v>
      </c>
      <c r="D502" s="1" t="n">
        <v>0</v>
      </c>
      <c r="E502" s="1">
        <f>IF(B502="數值","(F"&amp;C502&amp;"."&amp;D502&amp;")","(A"&amp;C502&amp;")")</f>
        <v/>
      </c>
      <c r="F502" s="1">
        <f>"alter type "&amp;A502&amp;" "&amp;E502&amp;"."</f>
        <v/>
      </c>
    </row>
    <row r="503">
      <c r="A503" s="1" t="inlineStr">
        <is>
          <t>vP2_1m04</t>
        </is>
      </c>
      <c r="B503" s="1" t="inlineStr">
        <is>
          <t>數值</t>
        </is>
      </c>
      <c r="C503" s="1" t="n">
        <v>2</v>
      </c>
      <c r="D503" s="1" t="n">
        <v>0</v>
      </c>
      <c r="E503" s="1">
        <f>IF(B503="數值","(F"&amp;C503&amp;"."&amp;D503&amp;")","(A"&amp;C503&amp;")")</f>
        <v/>
      </c>
      <c r="F503" s="1">
        <f>"alter type "&amp;A503&amp;" "&amp;E503&amp;"."</f>
        <v/>
      </c>
    </row>
    <row r="504">
      <c r="A504" s="1" t="inlineStr">
        <is>
          <t>vP2_1m05</t>
        </is>
      </c>
      <c r="B504" s="1" t="inlineStr">
        <is>
          <t>數值</t>
        </is>
      </c>
      <c r="C504" s="1" t="n">
        <v>2</v>
      </c>
      <c r="D504" s="1" t="n">
        <v>0</v>
      </c>
      <c r="E504" s="1">
        <f>IF(B504="數值","(F"&amp;C504&amp;"."&amp;D504&amp;")","(A"&amp;C504&amp;")")</f>
        <v/>
      </c>
      <c r="F504" s="1">
        <f>"alter type "&amp;A504&amp;" "&amp;E504&amp;"."</f>
        <v/>
      </c>
    </row>
    <row r="505">
      <c r="A505" s="1" t="inlineStr">
        <is>
          <t>vP2_1m06</t>
        </is>
      </c>
      <c r="B505" s="1" t="inlineStr">
        <is>
          <t>數值</t>
        </is>
      </c>
      <c r="C505" s="1" t="n">
        <v>2</v>
      </c>
      <c r="D505" s="1" t="n">
        <v>0</v>
      </c>
      <c r="E505" s="1">
        <f>IF(B505="數值","(F"&amp;C505&amp;"."&amp;D505&amp;")","(A"&amp;C505&amp;")")</f>
        <v/>
      </c>
      <c r="F505" s="1">
        <f>"alter type "&amp;A505&amp;" "&amp;E505&amp;"."</f>
        <v/>
      </c>
    </row>
    <row r="506">
      <c r="A506" s="1" t="inlineStr">
        <is>
          <t>vP2_1m07</t>
        </is>
      </c>
      <c r="B506" s="1" t="inlineStr">
        <is>
          <t>數值</t>
        </is>
      </c>
      <c r="C506" s="1" t="n">
        <v>2</v>
      </c>
      <c r="D506" s="1" t="n">
        <v>0</v>
      </c>
      <c r="E506" s="1">
        <f>IF(B506="數值","(F"&amp;C506&amp;"."&amp;D506&amp;")","(A"&amp;C506&amp;")")</f>
        <v/>
      </c>
      <c r="F506" s="1">
        <f>"alter type "&amp;A506&amp;" "&amp;E506&amp;"."</f>
        <v/>
      </c>
    </row>
    <row r="507">
      <c r="A507" s="1" t="inlineStr">
        <is>
          <t>vP2_1m08</t>
        </is>
      </c>
      <c r="B507" s="1" t="inlineStr">
        <is>
          <t>數值</t>
        </is>
      </c>
      <c r="C507" s="1" t="n">
        <v>2</v>
      </c>
      <c r="D507" s="1" t="n">
        <v>0</v>
      </c>
      <c r="E507" s="1">
        <f>IF(B507="數值","(F"&amp;C507&amp;"."&amp;D507&amp;")","(A"&amp;C507&amp;")")</f>
        <v/>
      </c>
      <c r="F507" s="1">
        <f>"alter type "&amp;A507&amp;" "&amp;E507&amp;"."</f>
        <v/>
      </c>
    </row>
    <row r="508">
      <c r="A508" s="1" t="inlineStr">
        <is>
          <t>vP2_1m09</t>
        </is>
      </c>
      <c r="B508" s="1" t="inlineStr">
        <is>
          <t>數值</t>
        </is>
      </c>
      <c r="C508" s="1" t="n">
        <v>2</v>
      </c>
      <c r="D508" s="1" t="n">
        <v>0</v>
      </c>
      <c r="E508" s="1">
        <f>IF(B508="數值","(F"&amp;C508&amp;"."&amp;D508&amp;")","(A"&amp;C508&amp;")")</f>
        <v/>
      </c>
      <c r="F508" s="1">
        <f>"alter type "&amp;A508&amp;" "&amp;E508&amp;"."</f>
        <v/>
      </c>
    </row>
    <row r="509">
      <c r="A509" s="1" t="inlineStr">
        <is>
          <t>vP2_1m10</t>
        </is>
      </c>
      <c r="B509" s="1" t="inlineStr">
        <is>
          <t>數值</t>
        </is>
      </c>
      <c r="C509" s="1" t="n">
        <v>2</v>
      </c>
      <c r="D509" s="1" t="n">
        <v>0</v>
      </c>
      <c r="E509" s="1">
        <f>IF(B509="數值","(F"&amp;C509&amp;"."&amp;D509&amp;")","(A"&amp;C509&amp;")")</f>
        <v/>
      </c>
      <c r="F509" s="1">
        <f>"alter type "&amp;A509&amp;" "&amp;E509&amp;"."</f>
        <v/>
      </c>
    </row>
    <row r="510">
      <c r="A510" s="1" t="inlineStr">
        <is>
          <t>vP2_1m11</t>
        </is>
      </c>
      <c r="B510" s="1" t="inlineStr">
        <is>
          <t>數值</t>
        </is>
      </c>
      <c r="C510" s="1" t="n">
        <v>2</v>
      </c>
      <c r="D510" s="1" t="n">
        <v>0</v>
      </c>
      <c r="E510" s="1">
        <f>IF(B510="數值","(F"&amp;C510&amp;"."&amp;D510&amp;")","(A"&amp;C510&amp;")")</f>
        <v/>
      </c>
      <c r="F510" s="1">
        <f>"alter type "&amp;A510&amp;" "&amp;E510&amp;"."</f>
        <v/>
      </c>
    </row>
    <row r="511">
      <c r="A511" s="1" t="inlineStr">
        <is>
          <t>vP2_1m12</t>
        </is>
      </c>
      <c r="B511" s="1" t="inlineStr">
        <is>
          <t>數值</t>
        </is>
      </c>
      <c r="C511" s="1" t="n">
        <v>2</v>
      </c>
      <c r="D511" s="1" t="n">
        <v>0</v>
      </c>
      <c r="E511" s="1">
        <f>IF(B511="數值","(F"&amp;C511&amp;"."&amp;D511&amp;")","(A"&amp;C511&amp;")")</f>
        <v/>
      </c>
      <c r="F511" s="1">
        <f>"alter type "&amp;A511&amp;" "&amp;E511&amp;"."</f>
        <v/>
      </c>
    </row>
    <row r="512">
      <c r="A512" s="1" t="inlineStr">
        <is>
          <t>vP2_1m13</t>
        </is>
      </c>
      <c r="B512" s="1" t="inlineStr">
        <is>
          <t>數值</t>
        </is>
      </c>
      <c r="C512" s="1" t="n">
        <v>2</v>
      </c>
      <c r="D512" s="1" t="n">
        <v>0</v>
      </c>
      <c r="E512" s="1">
        <f>IF(B512="數值","(F"&amp;C512&amp;"."&amp;D512&amp;")","(A"&amp;C512&amp;")")</f>
        <v/>
      </c>
      <c r="F512" s="1">
        <f>"alter type "&amp;A512&amp;" "&amp;E512&amp;"."</f>
        <v/>
      </c>
    </row>
    <row r="513">
      <c r="A513" s="1" t="inlineStr">
        <is>
          <t>vP2_1m14</t>
        </is>
      </c>
      <c r="B513" s="1" t="inlineStr">
        <is>
          <t>數值</t>
        </is>
      </c>
      <c r="C513" s="1" t="n">
        <v>2</v>
      </c>
      <c r="D513" s="1" t="n">
        <v>0</v>
      </c>
      <c r="E513" s="1">
        <f>IF(B513="數值","(F"&amp;C513&amp;"."&amp;D513&amp;")","(A"&amp;C513&amp;")")</f>
        <v/>
      </c>
      <c r="F513" s="1">
        <f>"alter type "&amp;A513&amp;" "&amp;E513&amp;"."</f>
        <v/>
      </c>
    </row>
    <row r="514">
      <c r="A514" s="1" t="inlineStr">
        <is>
          <t>vP2_1m88</t>
        </is>
      </c>
      <c r="B514" s="1" t="inlineStr">
        <is>
          <t>數值</t>
        </is>
      </c>
      <c r="C514" s="1" t="n">
        <v>2</v>
      </c>
      <c r="D514" s="1" t="n">
        <v>0</v>
      </c>
      <c r="E514" s="1">
        <f>IF(B514="數值","(F"&amp;C514&amp;"."&amp;D514&amp;")","(A"&amp;C514&amp;")")</f>
        <v/>
      </c>
      <c r="F514" s="1">
        <f>"alter type "&amp;A514&amp;" "&amp;E514&amp;"."</f>
        <v/>
      </c>
    </row>
    <row r="515">
      <c r="A515" s="1" t="inlineStr">
        <is>
          <t>vP2_1o88</t>
        </is>
      </c>
      <c r="B515" s="1" t="inlineStr">
        <is>
          <t>字串</t>
        </is>
      </c>
      <c r="C515" s="1" t="n">
        <v>150</v>
      </c>
      <c r="D515" s="1" t="n">
        <v>0</v>
      </c>
      <c r="E515" s="1">
        <f>IF(B515="數值","(F"&amp;C515&amp;"."&amp;D515&amp;")","(A"&amp;C515&amp;")")</f>
        <v/>
      </c>
      <c r="F515" s="1">
        <f>"alter type "&amp;A515&amp;" "&amp;E515&amp;"."</f>
        <v/>
      </c>
    </row>
    <row r="516">
      <c r="A516" s="1" t="inlineStr">
        <is>
          <t>vP2_2</t>
        </is>
      </c>
      <c r="B516" s="1" t="inlineStr">
        <is>
          <t>數值</t>
        </is>
      </c>
      <c r="C516" s="1" t="n">
        <v>6</v>
      </c>
      <c r="D516" s="1" t="n">
        <v>0</v>
      </c>
      <c r="E516" s="1">
        <f>IF(B516="數值","(F"&amp;C516&amp;"."&amp;D516&amp;")","(A"&amp;C516&amp;")")</f>
        <v/>
      </c>
      <c r="F516" s="1">
        <f>"alter type "&amp;A516&amp;" "&amp;E516&amp;"."</f>
        <v/>
      </c>
    </row>
    <row r="517">
      <c r="A517" s="1" t="inlineStr">
        <is>
          <t>vP2_3m01</t>
        </is>
      </c>
      <c r="B517" s="1" t="inlineStr">
        <is>
          <t>數值</t>
        </is>
      </c>
      <c r="C517" s="1" t="n">
        <v>2</v>
      </c>
      <c r="D517" s="1" t="n">
        <v>0</v>
      </c>
      <c r="E517" s="1">
        <f>IF(B517="數值","(F"&amp;C517&amp;"."&amp;D517&amp;")","(A"&amp;C517&amp;")")</f>
        <v/>
      </c>
      <c r="F517" s="1">
        <f>"alter type "&amp;A517&amp;" "&amp;E517&amp;"."</f>
        <v/>
      </c>
    </row>
    <row r="518">
      <c r="A518" s="1" t="inlineStr">
        <is>
          <t>vP2_3m02</t>
        </is>
      </c>
      <c r="B518" s="1" t="inlineStr">
        <is>
          <t>數值</t>
        </is>
      </c>
      <c r="C518" s="1" t="n">
        <v>2</v>
      </c>
      <c r="D518" s="1" t="n">
        <v>0</v>
      </c>
      <c r="E518" s="1">
        <f>IF(B518="數值","(F"&amp;C518&amp;"."&amp;D518&amp;")","(A"&amp;C518&amp;")")</f>
        <v/>
      </c>
      <c r="F518" s="1">
        <f>"alter type "&amp;A518&amp;" "&amp;E518&amp;"."</f>
        <v/>
      </c>
    </row>
    <row r="519">
      <c r="A519" s="1" t="inlineStr">
        <is>
          <t>vP2_3m03</t>
        </is>
      </c>
      <c r="B519" s="1" t="inlineStr">
        <is>
          <t>數值</t>
        </is>
      </c>
      <c r="C519" s="1" t="n">
        <v>2</v>
      </c>
      <c r="D519" s="1" t="n">
        <v>0</v>
      </c>
      <c r="E519" s="1">
        <f>IF(B519="數值","(F"&amp;C519&amp;"."&amp;D519&amp;")","(A"&amp;C519&amp;")")</f>
        <v/>
      </c>
      <c r="F519" s="1">
        <f>"alter type "&amp;A519&amp;" "&amp;E519&amp;"."</f>
        <v/>
      </c>
    </row>
    <row r="520">
      <c r="A520" s="1" t="inlineStr">
        <is>
          <t>vP2_3m04</t>
        </is>
      </c>
      <c r="B520" s="1" t="inlineStr">
        <is>
          <t>數值</t>
        </is>
      </c>
      <c r="C520" s="1" t="n">
        <v>2</v>
      </c>
      <c r="D520" s="1" t="n">
        <v>0</v>
      </c>
      <c r="E520" s="1">
        <f>IF(B520="數值","(F"&amp;C520&amp;"."&amp;D520&amp;")","(A"&amp;C520&amp;")")</f>
        <v/>
      </c>
      <c r="F520" s="1">
        <f>"alter type "&amp;A520&amp;" "&amp;E520&amp;"."</f>
        <v/>
      </c>
    </row>
    <row r="521">
      <c r="A521" s="1" t="inlineStr">
        <is>
          <t>vP2_3m05</t>
        </is>
      </c>
      <c r="B521" s="1" t="inlineStr">
        <is>
          <t>數值</t>
        </is>
      </c>
      <c r="C521" s="1" t="n">
        <v>2</v>
      </c>
      <c r="D521" s="1" t="n">
        <v>0</v>
      </c>
      <c r="E521" s="1">
        <f>IF(B521="數值","(F"&amp;C521&amp;"."&amp;D521&amp;")","(A"&amp;C521&amp;")")</f>
        <v/>
      </c>
      <c r="F521" s="1">
        <f>"alter type "&amp;A521&amp;" "&amp;E521&amp;"."</f>
        <v/>
      </c>
    </row>
    <row r="522">
      <c r="A522" s="1" t="inlineStr">
        <is>
          <t>vP2_3m06</t>
        </is>
      </c>
      <c r="B522" s="1" t="inlineStr">
        <is>
          <t>數值</t>
        </is>
      </c>
      <c r="C522" s="1" t="n">
        <v>2</v>
      </c>
      <c r="D522" s="1" t="n">
        <v>0</v>
      </c>
      <c r="E522" s="1">
        <f>IF(B522="數值","(F"&amp;C522&amp;"."&amp;D522&amp;")","(A"&amp;C522&amp;")")</f>
        <v/>
      </c>
      <c r="F522" s="1">
        <f>"alter type "&amp;A522&amp;" "&amp;E522&amp;"."</f>
        <v/>
      </c>
    </row>
    <row r="523">
      <c r="A523" s="1" t="inlineStr">
        <is>
          <t>vP2_3m07</t>
        </is>
      </c>
      <c r="B523" s="1" t="inlineStr">
        <is>
          <t>數值</t>
        </is>
      </c>
      <c r="C523" s="1" t="n">
        <v>2</v>
      </c>
      <c r="D523" s="1" t="n">
        <v>0</v>
      </c>
      <c r="E523" s="1">
        <f>IF(B523="數值","(F"&amp;C523&amp;"."&amp;D523&amp;")","(A"&amp;C523&amp;")")</f>
        <v/>
      </c>
      <c r="F523" s="1">
        <f>"alter type "&amp;A523&amp;" "&amp;E523&amp;"."</f>
        <v/>
      </c>
    </row>
    <row r="524">
      <c r="A524" s="1" t="inlineStr">
        <is>
          <t>vP2_3m08</t>
        </is>
      </c>
      <c r="B524" s="1" t="inlineStr">
        <is>
          <t>數值</t>
        </is>
      </c>
      <c r="C524" s="1" t="n">
        <v>2</v>
      </c>
      <c r="D524" s="1" t="n">
        <v>0</v>
      </c>
      <c r="E524" s="1">
        <f>IF(B524="數值","(F"&amp;C524&amp;"."&amp;D524&amp;")","(A"&amp;C524&amp;")")</f>
        <v/>
      </c>
      <c r="F524" s="1">
        <f>"alter type "&amp;A524&amp;" "&amp;E524&amp;"."</f>
        <v/>
      </c>
    </row>
    <row r="525">
      <c r="A525" s="1" t="inlineStr">
        <is>
          <t>vP2_3m09</t>
        </is>
      </c>
      <c r="B525" s="1" t="inlineStr">
        <is>
          <t>數值</t>
        </is>
      </c>
      <c r="C525" s="1" t="n">
        <v>2</v>
      </c>
      <c r="D525" s="1" t="n">
        <v>0</v>
      </c>
      <c r="E525" s="1">
        <f>IF(B525="數值","(F"&amp;C525&amp;"."&amp;D525&amp;")","(A"&amp;C525&amp;")")</f>
        <v/>
      </c>
      <c r="F525" s="1">
        <f>"alter type "&amp;A525&amp;" "&amp;E525&amp;"."</f>
        <v/>
      </c>
    </row>
    <row r="526">
      <c r="A526" s="1" t="inlineStr">
        <is>
          <t>vP2_3m10</t>
        </is>
      </c>
      <c r="B526" s="1" t="inlineStr">
        <is>
          <t>數值</t>
        </is>
      </c>
      <c r="C526" s="1" t="n">
        <v>2</v>
      </c>
      <c r="D526" s="1" t="n">
        <v>0</v>
      </c>
      <c r="E526" s="1">
        <f>IF(B526="數值","(F"&amp;C526&amp;"."&amp;D526&amp;")","(A"&amp;C526&amp;")")</f>
        <v/>
      </c>
      <c r="F526" s="1">
        <f>"alter type "&amp;A526&amp;" "&amp;E526&amp;"."</f>
        <v/>
      </c>
    </row>
    <row r="527">
      <c r="A527" s="1" t="inlineStr">
        <is>
          <t>vP2_3m11</t>
        </is>
      </c>
      <c r="B527" s="1" t="inlineStr">
        <is>
          <t>數值</t>
        </is>
      </c>
      <c r="C527" s="1" t="n">
        <v>2</v>
      </c>
      <c r="D527" s="1" t="n">
        <v>0</v>
      </c>
      <c r="E527" s="1">
        <f>IF(B527="數值","(F"&amp;C527&amp;"."&amp;D527&amp;")","(A"&amp;C527&amp;")")</f>
        <v/>
      </c>
      <c r="F527" s="1">
        <f>"alter type "&amp;A527&amp;" "&amp;E527&amp;"."</f>
        <v/>
      </c>
    </row>
    <row r="528">
      <c r="A528" s="1" t="inlineStr">
        <is>
          <t>vP2_3m88</t>
        </is>
      </c>
      <c r="B528" s="1" t="inlineStr">
        <is>
          <t>數值</t>
        </is>
      </c>
      <c r="C528" s="1" t="n">
        <v>2</v>
      </c>
      <c r="D528" s="1" t="n">
        <v>0</v>
      </c>
      <c r="E528" s="1">
        <f>IF(B528="數值","(F"&amp;C528&amp;"."&amp;D528&amp;")","(A"&amp;C528&amp;")")</f>
        <v/>
      </c>
      <c r="F528" s="1">
        <f>"alter type "&amp;A528&amp;" "&amp;E528&amp;"."</f>
        <v/>
      </c>
    </row>
    <row r="529">
      <c r="A529" s="1" t="inlineStr">
        <is>
          <t>vP2_3o88</t>
        </is>
      </c>
      <c r="B529" s="1" t="inlineStr">
        <is>
          <t>字串</t>
        </is>
      </c>
      <c r="C529" s="1" t="n">
        <v>150</v>
      </c>
      <c r="D529" s="1" t="n">
        <v>0</v>
      </c>
      <c r="E529" s="1">
        <f>IF(B529="數值","(F"&amp;C529&amp;"."&amp;D529&amp;")","(A"&amp;C529&amp;")")</f>
        <v/>
      </c>
      <c r="F529" s="1">
        <f>"alter type "&amp;A529&amp;" "&amp;E529&amp;"."</f>
        <v/>
      </c>
    </row>
    <row r="530">
      <c r="A530" s="1" t="inlineStr">
        <is>
          <t>vP2_4m01</t>
        </is>
      </c>
      <c r="B530" s="1" t="inlineStr">
        <is>
          <t>數值</t>
        </is>
      </c>
      <c r="C530" s="1" t="n">
        <v>2</v>
      </c>
      <c r="D530" s="1" t="n">
        <v>0</v>
      </c>
      <c r="E530" s="1">
        <f>IF(B530="數值","(F"&amp;C530&amp;"."&amp;D530&amp;")","(A"&amp;C530&amp;")")</f>
        <v/>
      </c>
      <c r="F530" s="1">
        <f>"alter type "&amp;A530&amp;" "&amp;E530&amp;"."</f>
        <v/>
      </c>
    </row>
    <row r="531">
      <c r="A531" s="1" t="inlineStr">
        <is>
          <t>vP2_4m02</t>
        </is>
      </c>
      <c r="B531" s="1" t="inlineStr">
        <is>
          <t>數值</t>
        </is>
      </c>
      <c r="C531" s="1" t="n">
        <v>2</v>
      </c>
      <c r="D531" s="1" t="n">
        <v>0</v>
      </c>
      <c r="E531" s="1">
        <f>IF(B531="數值","(F"&amp;C531&amp;"."&amp;D531&amp;")","(A"&amp;C531&amp;")")</f>
        <v/>
      </c>
      <c r="F531" s="1">
        <f>"alter type "&amp;A531&amp;" "&amp;E531&amp;"."</f>
        <v/>
      </c>
    </row>
    <row r="532">
      <c r="A532" s="1" t="inlineStr">
        <is>
          <t>vP2_4m03</t>
        </is>
      </c>
      <c r="B532" s="1" t="inlineStr">
        <is>
          <t>數值</t>
        </is>
      </c>
      <c r="C532" s="1" t="n">
        <v>2</v>
      </c>
      <c r="D532" s="1" t="n">
        <v>0</v>
      </c>
      <c r="E532" s="1">
        <f>IF(B532="數值","(F"&amp;C532&amp;"."&amp;D532&amp;")","(A"&amp;C532&amp;")")</f>
        <v/>
      </c>
      <c r="F532" s="1">
        <f>"alter type "&amp;A532&amp;" "&amp;E532&amp;"."</f>
        <v/>
      </c>
    </row>
    <row r="533">
      <c r="A533" s="1" t="inlineStr">
        <is>
          <t>vP2_4m04</t>
        </is>
      </c>
      <c r="B533" s="1" t="inlineStr">
        <is>
          <t>數值</t>
        </is>
      </c>
      <c r="C533" s="1" t="n">
        <v>2</v>
      </c>
      <c r="D533" s="1" t="n">
        <v>0</v>
      </c>
      <c r="E533" s="1">
        <f>IF(B533="數值","(F"&amp;C533&amp;"."&amp;D533&amp;")","(A"&amp;C533&amp;")")</f>
        <v/>
      </c>
      <c r="F533" s="1">
        <f>"alter type "&amp;A533&amp;" "&amp;E533&amp;"."</f>
        <v/>
      </c>
    </row>
    <row r="534">
      <c r="A534" s="1" t="inlineStr">
        <is>
          <t>vP2_4m05</t>
        </is>
      </c>
      <c r="B534" s="1" t="inlineStr">
        <is>
          <t>數值</t>
        </is>
      </c>
      <c r="C534" s="1" t="n">
        <v>2</v>
      </c>
      <c r="D534" s="1" t="n">
        <v>0</v>
      </c>
      <c r="E534" s="1">
        <f>IF(B534="數值","(F"&amp;C534&amp;"."&amp;D534&amp;")","(A"&amp;C534&amp;")")</f>
        <v/>
      </c>
      <c r="F534" s="1">
        <f>"alter type "&amp;A534&amp;" "&amp;E534&amp;"."</f>
        <v/>
      </c>
    </row>
    <row r="535">
      <c r="A535" s="1" t="inlineStr">
        <is>
          <t>vP2_4m06</t>
        </is>
      </c>
      <c r="B535" s="1" t="inlineStr">
        <is>
          <t>數值</t>
        </is>
      </c>
      <c r="C535" s="1" t="n">
        <v>2</v>
      </c>
      <c r="D535" s="1" t="n">
        <v>0</v>
      </c>
      <c r="E535" s="1">
        <f>IF(B535="數值","(F"&amp;C535&amp;"."&amp;D535&amp;")","(A"&amp;C535&amp;")")</f>
        <v/>
      </c>
      <c r="F535" s="1">
        <f>"alter type "&amp;A535&amp;" "&amp;E535&amp;"."</f>
        <v/>
      </c>
    </row>
    <row r="536">
      <c r="A536" s="1" t="inlineStr">
        <is>
          <t>vP2_4m07</t>
        </is>
      </c>
      <c r="B536" s="1" t="inlineStr">
        <is>
          <t>數值</t>
        </is>
      </c>
      <c r="C536" s="1" t="n">
        <v>2</v>
      </c>
      <c r="D536" s="1" t="n">
        <v>0</v>
      </c>
      <c r="E536" s="1">
        <f>IF(B536="數值","(F"&amp;C536&amp;"."&amp;D536&amp;")","(A"&amp;C536&amp;")")</f>
        <v/>
      </c>
      <c r="F536" s="1">
        <f>"alter type "&amp;A536&amp;" "&amp;E536&amp;"."</f>
        <v/>
      </c>
    </row>
    <row r="537">
      <c r="A537" s="1" t="inlineStr">
        <is>
          <t>vP2_4m08</t>
        </is>
      </c>
      <c r="B537" s="1" t="inlineStr">
        <is>
          <t>數值</t>
        </is>
      </c>
      <c r="C537" s="1" t="n">
        <v>2</v>
      </c>
      <c r="D537" s="1" t="n">
        <v>0</v>
      </c>
      <c r="E537" s="1">
        <f>IF(B537="數值","(F"&amp;C537&amp;"."&amp;D537&amp;")","(A"&amp;C537&amp;")")</f>
        <v/>
      </c>
      <c r="F537" s="1">
        <f>"alter type "&amp;A537&amp;" "&amp;E537&amp;"."</f>
        <v/>
      </c>
    </row>
    <row r="538">
      <c r="A538" s="1" t="inlineStr">
        <is>
          <t>vP2_4m09</t>
        </is>
      </c>
      <c r="B538" s="1" t="inlineStr">
        <is>
          <t>數值</t>
        </is>
      </c>
      <c r="C538" s="1" t="n">
        <v>2</v>
      </c>
      <c r="D538" s="1" t="n">
        <v>0</v>
      </c>
      <c r="E538" s="1">
        <f>IF(B538="數值","(F"&amp;C538&amp;"."&amp;D538&amp;")","(A"&amp;C538&amp;")")</f>
        <v/>
      </c>
      <c r="F538" s="1">
        <f>"alter type "&amp;A538&amp;" "&amp;E538&amp;"."</f>
        <v/>
      </c>
    </row>
    <row r="539">
      <c r="A539" s="1" t="inlineStr">
        <is>
          <t>vP2_4m88</t>
        </is>
      </c>
      <c r="B539" s="1" t="inlineStr">
        <is>
          <t>數值</t>
        </is>
      </c>
      <c r="C539" s="1" t="n">
        <v>2</v>
      </c>
      <c r="D539" s="1" t="n">
        <v>0</v>
      </c>
      <c r="E539" s="1">
        <f>IF(B539="數值","(F"&amp;C539&amp;"."&amp;D539&amp;")","(A"&amp;C539&amp;")")</f>
        <v/>
      </c>
      <c r="F539" s="1">
        <f>"alter type "&amp;A539&amp;" "&amp;E539&amp;"."</f>
        <v/>
      </c>
    </row>
    <row r="540">
      <c r="A540" s="1" t="inlineStr">
        <is>
          <t>vP2_4m91</t>
        </is>
      </c>
      <c r="B540" s="1" t="inlineStr">
        <is>
          <t>數值</t>
        </is>
      </c>
      <c r="C540" s="1" t="n">
        <v>2</v>
      </c>
      <c r="D540" s="1" t="n">
        <v>0</v>
      </c>
      <c r="E540" s="1">
        <f>IF(B540="數值","(F"&amp;C540&amp;"."&amp;D540&amp;")","(A"&amp;C540&amp;")")</f>
        <v/>
      </c>
      <c r="F540" s="1">
        <f>"alter type "&amp;A540&amp;" "&amp;E540&amp;"."</f>
        <v/>
      </c>
    </row>
    <row r="541">
      <c r="A541" s="1" t="inlineStr">
        <is>
          <t>vP2_4m92</t>
        </is>
      </c>
      <c r="B541" s="1" t="inlineStr">
        <is>
          <t>數值</t>
        </is>
      </c>
      <c r="C541" s="1" t="n">
        <v>2</v>
      </c>
      <c r="D541" s="1" t="n">
        <v>0</v>
      </c>
      <c r="E541" s="1">
        <f>IF(B541="數值","(F"&amp;C541&amp;"."&amp;D541&amp;")","(A"&amp;C541&amp;")")</f>
        <v/>
      </c>
      <c r="F541" s="1">
        <f>"alter type "&amp;A541&amp;" "&amp;E541&amp;"."</f>
        <v/>
      </c>
    </row>
    <row r="542">
      <c r="A542" s="1" t="inlineStr">
        <is>
          <t>vP2_4o88</t>
        </is>
      </c>
      <c r="B542" s="1" t="inlineStr">
        <is>
          <t>字串</t>
        </is>
      </c>
      <c r="C542" s="1" t="n">
        <v>150</v>
      </c>
      <c r="D542" s="1" t="n">
        <v>0</v>
      </c>
      <c r="E542" s="1">
        <f>IF(B542="數值","(F"&amp;C542&amp;"."&amp;D542&amp;")","(A"&amp;C542&amp;")")</f>
        <v/>
      </c>
      <c r="F542" s="1">
        <f>"alter type "&amp;A542&amp;" "&amp;E542&amp;"."</f>
        <v/>
      </c>
    </row>
    <row r="543">
      <c r="A543" s="1" t="inlineStr">
        <is>
          <t>vP2_5m01</t>
        </is>
      </c>
      <c r="B543" s="1" t="inlineStr">
        <is>
          <t>數值</t>
        </is>
      </c>
      <c r="C543" s="1" t="n">
        <v>2</v>
      </c>
      <c r="D543" s="1" t="n">
        <v>0</v>
      </c>
      <c r="E543" s="1">
        <f>IF(B543="數值","(F"&amp;C543&amp;"."&amp;D543&amp;")","(A"&amp;C543&amp;")")</f>
        <v/>
      </c>
      <c r="F543" s="1">
        <f>"alter type "&amp;A543&amp;" "&amp;E543&amp;"."</f>
        <v/>
      </c>
    </row>
    <row r="544">
      <c r="A544" s="1" t="inlineStr">
        <is>
          <t>vP2_5m02</t>
        </is>
      </c>
      <c r="B544" s="1" t="inlineStr">
        <is>
          <t>數值</t>
        </is>
      </c>
      <c r="C544" s="1" t="n">
        <v>2</v>
      </c>
      <c r="D544" s="1" t="n">
        <v>0</v>
      </c>
      <c r="E544" s="1">
        <f>IF(B544="數值","(F"&amp;C544&amp;"."&amp;D544&amp;")","(A"&amp;C544&amp;")")</f>
        <v/>
      </c>
      <c r="F544" s="1">
        <f>"alter type "&amp;A544&amp;" "&amp;E544&amp;"."</f>
        <v/>
      </c>
    </row>
    <row r="545">
      <c r="A545" s="1" t="inlineStr">
        <is>
          <t>vP2_5m03</t>
        </is>
      </c>
      <c r="B545" s="1" t="inlineStr">
        <is>
          <t>數值</t>
        </is>
      </c>
      <c r="C545" s="1" t="n">
        <v>2</v>
      </c>
      <c r="D545" s="1" t="n">
        <v>0</v>
      </c>
      <c r="E545" s="1">
        <f>IF(B545="數值","(F"&amp;C545&amp;"."&amp;D545&amp;")","(A"&amp;C545&amp;")")</f>
        <v/>
      </c>
      <c r="F545" s="1">
        <f>"alter type "&amp;A545&amp;" "&amp;E545&amp;"."</f>
        <v/>
      </c>
    </row>
    <row r="546">
      <c r="A546" s="1" t="inlineStr">
        <is>
          <t>vP2_5m04</t>
        </is>
      </c>
      <c r="B546" s="1" t="inlineStr">
        <is>
          <t>數值</t>
        </is>
      </c>
      <c r="C546" s="1" t="n">
        <v>2</v>
      </c>
      <c r="D546" s="1" t="n">
        <v>0</v>
      </c>
      <c r="E546" s="1">
        <f>IF(B546="數值","(F"&amp;C546&amp;"."&amp;D546&amp;")","(A"&amp;C546&amp;")")</f>
        <v/>
      </c>
      <c r="F546" s="1">
        <f>"alter type "&amp;A546&amp;" "&amp;E546&amp;"."</f>
        <v/>
      </c>
    </row>
    <row r="547">
      <c r="A547" s="1" t="inlineStr">
        <is>
          <t>vP2_5m05</t>
        </is>
      </c>
      <c r="B547" s="1" t="inlineStr">
        <is>
          <t>數值</t>
        </is>
      </c>
      <c r="C547" s="1" t="n">
        <v>2</v>
      </c>
      <c r="D547" s="1" t="n">
        <v>0</v>
      </c>
      <c r="E547" s="1">
        <f>IF(B547="數值","(F"&amp;C547&amp;"."&amp;D547&amp;")","(A"&amp;C547&amp;")")</f>
        <v/>
      </c>
      <c r="F547" s="1">
        <f>"alter type "&amp;A547&amp;" "&amp;E547&amp;"."</f>
        <v/>
      </c>
    </row>
    <row r="548">
      <c r="A548" s="1" t="inlineStr">
        <is>
          <t>vP2_5m06</t>
        </is>
      </c>
      <c r="B548" s="1" t="inlineStr">
        <is>
          <t>數值</t>
        </is>
      </c>
      <c r="C548" s="1" t="n">
        <v>2</v>
      </c>
      <c r="D548" s="1" t="n">
        <v>0</v>
      </c>
      <c r="E548" s="1">
        <f>IF(B548="數值","(F"&amp;C548&amp;"."&amp;D548&amp;")","(A"&amp;C548&amp;")")</f>
        <v/>
      </c>
      <c r="F548" s="1">
        <f>"alter type "&amp;A548&amp;" "&amp;E548&amp;"."</f>
        <v/>
      </c>
    </row>
    <row r="549">
      <c r="A549" s="1" t="inlineStr">
        <is>
          <t>vP2_5m07</t>
        </is>
      </c>
      <c r="B549" s="1" t="inlineStr">
        <is>
          <t>數值</t>
        </is>
      </c>
      <c r="C549" s="1" t="n">
        <v>2</v>
      </c>
      <c r="D549" s="1" t="n">
        <v>0</v>
      </c>
      <c r="E549" s="1">
        <f>IF(B549="數值","(F"&amp;C549&amp;"."&amp;D549&amp;")","(A"&amp;C549&amp;")")</f>
        <v/>
      </c>
      <c r="F549" s="1">
        <f>"alter type "&amp;A549&amp;" "&amp;E549&amp;"."</f>
        <v/>
      </c>
    </row>
    <row r="550">
      <c r="A550" s="1" t="inlineStr">
        <is>
          <t>vP2_5m08</t>
        </is>
      </c>
      <c r="B550" s="1" t="inlineStr">
        <is>
          <t>數值</t>
        </is>
      </c>
      <c r="C550" s="1" t="n">
        <v>2</v>
      </c>
      <c r="D550" s="1" t="n">
        <v>0</v>
      </c>
      <c r="E550" s="1">
        <f>IF(B550="數值","(F"&amp;C550&amp;"."&amp;D550&amp;")","(A"&amp;C550&amp;")")</f>
        <v/>
      </c>
      <c r="F550" s="1">
        <f>"alter type "&amp;A550&amp;" "&amp;E550&amp;"."</f>
        <v/>
      </c>
    </row>
    <row r="551">
      <c r="A551" s="1" t="inlineStr">
        <is>
          <t>vP2_5m88</t>
        </is>
      </c>
      <c r="B551" s="1" t="inlineStr">
        <is>
          <t>數值</t>
        </is>
      </c>
      <c r="C551" s="1" t="n">
        <v>2</v>
      </c>
      <c r="D551" s="1" t="n">
        <v>0</v>
      </c>
      <c r="E551" s="1">
        <f>IF(B551="數值","(F"&amp;C551&amp;"."&amp;D551&amp;")","(A"&amp;C551&amp;")")</f>
        <v/>
      </c>
      <c r="F551" s="1">
        <f>"alter type "&amp;A551&amp;" "&amp;E551&amp;"."</f>
        <v/>
      </c>
    </row>
    <row r="552">
      <c r="A552" s="1" t="inlineStr">
        <is>
          <t>vP2_5m90</t>
        </is>
      </c>
      <c r="B552" s="1" t="inlineStr">
        <is>
          <t>數值</t>
        </is>
      </c>
      <c r="C552" s="1" t="n">
        <v>2</v>
      </c>
      <c r="D552" s="1" t="n">
        <v>0</v>
      </c>
      <c r="E552" s="1">
        <f>IF(B552="數值","(F"&amp;C552&amp;"."&amp;D552&amp;")","(A"&amp;C552&amp;")")</f>
        <v/>
      </c>
      <c r="F552" s="1">
        <f>"alter type "&amp;A552&amp;" "&amp;E552&amp;"."</f>
        <v/>
      </c>
    </row>
    <row r="553">
      <c r="A553" s="1" t="inlineStr">
        <is>
          <t>vP2_5m91</t>
        </is>
      </c>
      <c r="B553" s="1" t="inlineStr">
        <is>
          <t>數值</t>
        </is>
      </c>
      <c r="C553" s="1" t="n">
        <v>2</v>
      </c>
      <c r="D553" s="1" t="n">
        <v>0</v>
      </c>
      <c r="E553" s="1">
        <f>IF(B553="數值","(F"&amp;C553&amp;"."&amp;D553&amp;")","(A"&amp;C553&amp;")")</f>
        <v/>
      </c>
      <c r="F553" s="1">
        <f>"alter type "&amp;A553&amp;" "&amp;E553&amp;"."</f>
        <v/>
      </c>
    </row>
    <row r="554">
      <c r="A554" s="1" t="inlineStr">
        <is>
          <t>vP2_5m92</t>
        </is>
      </c>
      <c r="B554" s="1" t="inlineStr">
        <is>
          <t>數值</t>
        </is>
      </c>
      <c r="C554" s="1" t="n">
        <v>2</v>
      </c>
      <c r="D554" s="1" t="n">
        <v>0</v>
      </c>
      <c r="E554" s="1">
        <f>IF(B554="數值","(F"&amp;C554&amp;"."&amp;D554&amp;")","(A"&amp;C554&amp;")")</f>
        <v/>
      </c>
      <c r="F554" s="1">
        <f>"alter type "&amp;A554&amp;" "&amp;E554&amp;"."</f>
        <v/>
      </c>
    </row>
    <row r="555">
      <c r="A555" s="1" t="inlineStr">
        <is>
          <t>vP2_5o88</t>
        </is>
      </c>
      <c r="B555" s="1" t="inlineStr">
        <is>
          <t>字串</t>
        </is>
      </c>
      <c r="C555" s="1" t="n">
        <v>150</v>
      </c>
      <c r="D555" s="1" t="n">
        <v>0</v>
      </c>
      <c r="E555" s="1">
        <f>IF(B555="數值","(F"&amp;C555&amp;"."&amp;D555&amp;")","(A"&amp;C555&amp;")")</f>
        <v/>
      </c>
      <c r="F555" s="1">
        <f>"alter type "&amp;A555&amp;" "&amp;E555&amp;"."</f>
        <v/>
      </c>
    </row>
    <row r="556">
      <c r="A556" s="1" t="inlineStr">
        <is>
          <t>vP2_6m01</t>
        </is>
      </c>
      <c r="B556" s="1" t="inlineStr">
        <is>
          <t>數值</t>
        </is>
      </c>
      <c r="C556" s="1" t="n">
        <v>2</v>
      </c>
      <c r="D556" s="1" t="n">
        <v>0</v>
      </c>
      <c r="E556" s="1">
        <f>IF(B556="數值","(F"&amp;C556&amp;"."&amp;D556&amp;")","(A"&amp;C556&amp;")")</f>
        <v/>
      </c>
      <c r="F556" s="1">
        <f>"alter type "&amp;A556&amp;" "&amp;E556&amp;"."</f>
        <v/>
      </c>
    </row>
    <row r="557">
      <c r="A557" s="1" t="inlineStr">
        <is>
          <t>vP2_6m02</t>
        </is>
      </c>
      <c r="B557" s="1" t="inlineStr">
        <is>
          <t>數值</t>
        </is>
      </c>
      <c r="C557" s="1" t="n">
        <v>2</v>
      </c>
      <c r="D557" s="1" t="n">
        <v>0</v>
      </c>
      <c r="E557" s="1">
        <f>IF(B557="數值","(F"&amp;C557&amp;"."&amp;D557&amp;")","(A"&amp;C557&amp;")")</f>
        <v/>
      </c>
      <c r="F557" s="1">
        <f>"alter type "&amp;A557&amp;" "&amp;E557&amp;"."</f>
        <v/>
      </c>
    </row>
    <row r="558">
      <c r="A558" s="1" t="inlineStr">
        <is>
          <t>vP2_6m03</t>
        </is>
      </c>
      <c r="B558" s="1" t="inlineStr">
        <is>
          <t>數值</t>
        </is>
      </c>
      <c r="C558" s="1" t="n">
        <v>2</v>
      </c>
      <c r="D558" s="1" t="n">
        <v>0</v>
      </c>
      <c r="E558" s="1">
        <f>IF(B558="數值","(F"&amp;C558&amp;"."&amp;D558&amp;")","(A"&amp;C558&amp;")")</f>
        <v/>
      </c>
      <c r="F558" s="1">
        <f>"alter type "&amp;A558&amp;" "&amp;E558&amp;"."</f>
        <v/>
      </c>
    </row>
    <row r="559">
      <c r="A559" s="1" t="inlineStr">
        <is>
          <t>vP2_6m04</t>
        </is>
      </c>
      <c r="B559" s="1" t="inlineStr">
        <is>
          <t>數值</t>
        </is>
      </c>
      <c r="C559" s="1" t="n">
        <v>2</v>
      </c>
      <c r="D559" s="1" t="n">
        <v>0</v>
      </c>
      <c r="E559" s="1">
        <f>IF(B559="數值","(F"&amp;C559&amp;"."&amp;D559&amp;")","(A"&amp;C559&amp;")")</f>
        <v/>
      </c>
      <c r="F559" s="1">
        <f>"alter type "&amp;A559&amp;" "&amp;E559&amp;"."</f>
        <v/>
      </c>
    </row>
    <row r="560">
      <c r="A560" s="1" t="inlineStr">
        <is>
          <t>vP2_6m05</t>
        </is>
      </c>
      <c r="B560" s="1" t="inlineStr">
        <is>
          <t>數值</t>
        </is>
      </c>
      <c r="C560" s="1" t="n">
        <v>2</v>
      </c>
      <c r="D560" s="1" t="n">
        <v>0</v>
      </c>
      <c r="E560" s="1">
        <f>IF(B560="數值","(F"&amp;C560&amp;"."&amp;D560&amp;")","(A"&amp;C560&amp;")")</f>
        <v/>
      </c>
      <c r="F560" s="1">
        <f>"alter type "&amp;A560&amp;" "&amp;E560&amp;"."</f>
        <v/>
      </c>
    </row>
    <row r="561">
      <c r="A561" s="1" t="inlineStr">
        <is>
          <t>vP2_6m06</t>
        </is>
      </c>
      <c r="B561" s="1" t="inlineStr">
        <is>
          <t>數值</t>
        </is>
      </c>
      <c r="C561" s="1" t="n">
        <v>2</v>
      </c>
      <c r="D561" s="1" t="n">
        <v>0</v>
      </c>
      <c r="E561" s="1">
        <f>IF(B561="數值","(F"&amp;C561&amp;"."&amp;D561&amp;")","(A"&amp;C561&amp;")")</f>
        <v/>
      </c>
      <c r="F561" s="1">
        <f>"alter type "&amp;A561&amp;" "&amp;E561&amp;"."</f>
        <v/>
      </c>
    </row>
    <row r="562">
      <c r="A562" s="1" t="inlineStr">
        <is>
          <t>vP2_6m07</t>
        </is>
      </c>
      <c r="B562" s="1" t="inlineStr">
        <is>
          <t>數值</t>
        </is>
      </c>
      <c r="C562" s="1" t="n">
        <v>2</v>
      </c>
      <c r="D562" s="1" t="n">
        <v>0</v>
      </c>
      <c r="E562" s="1">
        <f>IF(B562="數值","(F"&amp;C562&amp;"."&amp;D562&amp;")","(A"&amp;C562&amp;")")</f>
        <v/>
      </c>
      <c r="F562" s="1">
        <f>"alter type "&amp;A562&amp;" "&amp;E562&amp;"."</f>
        <v/>
      </c>
    </row>
    <row r="563">
      <c r="A563" s="1" t="inlineStr">
        <is>
          <t>vP2_6m08</t>
        </is>
      </c>
      <c r="B563" s="1" t="inlineStr">
        <is>
          <t>數值</t>
        </is>
      </c>
      <c r="C563" s="1" t="n">
        <v>2</v>
      </c>
      <c r="D563" s="1" t="n">
        <v>0</v>
      </c>
      <c r="E563" s="1">
        <f>IF(B563="數值","(F"&amp;C563&amp;"."&amp;D563&amp;")","(A"&amp;C563&amp;")")</f>
        <v/>
      </c>
      <c r="F563" s="1">
        <f>"alter type "&amp;A563&amp;" "&amp;E563&amp;"."</f>
        <v/>
      </c>
    </row>
    <row r="564">
      <c r="A564" s="1" t="inlineStr">
        <is>
          <t>vP2_6m88</t>
        </is>
      </c>
      <c r="B564" s="1" t="inlineStr">
        <is>
          <t>數值</t>
        </is>
      </c>
      <c r="C564" s="1" t="n">
        <v>2</v>
      </c>
      <c r="D564" s="1" t="n">
        <v>0</v>
      </c>
      <c r="E564" s="1">
        <f>IF(B564="數值","(F"&amp;C564&amp;"."&amp;D564&amp;")","(A"&amp;C564&amp;")")</f>
        <v/>
      </c>
      <c r="F564" s="1">
        <f>"alter type "&amp;A564&amp;" "&amp;E564&amp;"."</f>
        <v/>
      </c>
    </row>
    <row r="565">
      <c r="A565" s="1" t="inlineStr">
        <is>
          <t>vP2_6m90</t>
        </is>
      </c>
      <c r="B565" s="1" t="inlineStr">
        <is>
          <t>數值</t>
        </is>
      </c>
      <c r="C565" s="1" t="n">
        <v>2</v>
      </c>
      <c r="D565" s="1" t="n">
        <v>0</v>
      </c>
      <c r="E565" s="1">
        <f>IF(B565="數值","(F"&amp;C565&amp;"."&amp;D565&amp;")","(A"&amp;C565&amp;")")</f>
        <v/>
      </c>
      <c r="F565" s="1">
        <f>"alter type "&amp;A565&amp;" "&amp;E565&amp;"."</f>
        <v/>
      </c>
    </row>
    <row r="566">
      <c r="A566" s="1" t="inlineStr">
        <is>
          <t>vP2_6o88</t>
        </is>
      </c>
      <c r="B566" s="1" t="inlineStr">
        <is>
          <t>字串</t>
        </is>
      </c>
      <c r="C566" s="1" t="n">
        <v>150</v>
      </c>
      <c r="D566" s="1" t="n">
        <v>0</v>
      </c>
      <c r="E566" s="1">
        <f>IF(B566="數值","(F"&amp;C566&amp;"."&amp;D566&amp;")","(A"&amp;C566&amp;")")</f>
        <v/>
      </c>
      <c r="F566" s="1">
        <f>"alter type "&amp;A566&amp;" "&amp;E566&amp;"."</f>
        <v/>
      </c>
    </row>
    <row r="567">
      <c r="A567" s="1" t="inlineStr">
        <is>
          <t>vKLI1</t>
        </is>
      </c>
      <c r="B567" s="1" t="inlineStr">
        <is>
          <t>數值</t>
        </is>
      </c>
      <c r="C567" s="1" t="n">
        <v>4</v>
      </c>
      <c r="D567" s="1" t="n">
        <v>1</v>
      </c>
      <c r="E567" s="1">
        <f>IF(B567="數值","(F"&amp;C567&amp;"."&amp;D567&amp;")","(A"&amp;C567&amp;")")</f>
        <v/>
      </c>
      <c r="F567" s="1">
        <f>"alter type "&amp;A567&amp;" "&amp;E567&amp;"."</f>
        <v/>
      </c>
    </row>
    <row r="568">
      <c r="A568" s="1" t="inlineStr">
        <is>
          <t>vKLI2</t>
        </is>
      </c>
      <c r="B568" s="1" t="inlineStr">
        <is>
          <t>數值</t>
        </is>
      </c>
      <c r="C568" s="1" t="n">
        <v>5</v>
      </c>
      <c r="D568" s="1" t="n">
        <v>0</v>
      </c>
      <c r="E568" s="1">
        <f>IF(B568="數值","(F"&amp;C568&amp;"."&amp;D568&amp;")","(A"&amp;C568&amp;")")</f>
        <v/>
      </c>
      <c r="F568" s="1">
        <f>"alter type "&amp;A568&amp;" "&amp;E568&amp;"."</f>
        <v/>
      </c>
    </row>
    <row r="569">
      <c r="A569" s="1" t="inlineStr">
        <is>
          <t>vKLI3m01</t>
        </is>
      </c>
      <c r="B569" s="1" t="inlineStr">
        <is>
          <t>數值</t>
        </is>
      </c>
      <c r="C569" s="1" t="n">
        <v>2</v>
      </c>
      <c r="D569" s="1" t="n">
        <v>0</v>
      </c>
      <c r="E569" s="1">
        <f>IF(B569="數值","(F"&amp;C569&amp;"."&amp;D569&amp;")","(A"&amp;C569&amp;")")</f>
        <v/>
      </c>
      <c r="F569" s="1">
        <f>"alter type "&amp;A569&amp;" "&amp;E569&amp;"."</f>
        <v/>
      </c>
    </row>
    <row r="570">
      <c r="A570" s="1" t="inlineStr">
        <is>
          <t>vKLI3m02</t>
        </is>
      </c>
      <c r="B570" s="1" t="inlineStr">
        <is>
          <t>數值</t>
        </is>
      </c>
      <c r="C570" s="1" t="n">
        <v>2</v>
      </c>
      <c r="D570" s="1" t="n">
        <v>0</v>
      </c>
      <c r="E570" s="1">
        <f>IF(B570="數值","(F"&amp;C570&amp;"."&amp;D570&amp;")","(A"&amp;C570&amp;")")</f>
        <v/>
      </c>
      <c r="F570" s="1">
        <f>"alter type "&amp;A570&amp;" "&amp;E570&amp;"."</f>
        <v/>
      </c>
    </row>
    <row r="571">
      <c r="A571" s="1" t="inlineStr">
        <is>
          <t>vKLI3m03</t>
        </is>
      </c>
      <c r="B571" s="1" t="inlineStr">
        <is>
          <t>數值</t>
        </is>
      </c>
      <c r="C571" s="1" t="n">
        <v>2</v>
      </c>
      <c r="D571" s="1" t="n">
        <v>0</v>
      </c>
      <c r="E571" s="1">
        <f>IF(B571="數值","(F"&amp;C571&amp;"."&amp;D571&amp;")","(A"&amp;C571&amp;")")</f>
        <v/>
      </c>
      <c r="F571" s="1">
        <f>"alter type "&amp;A571&amp;" "&amp;E571&amp;"."</f>
        <v/>
      </c>
    </row>
    <row r="572">
      <c r="A572" s="1" t="inlineStr">
        <is>
          <t>vKLI3m04</t>
        </is>
      </c>
      <c r="B572" s="1" t="inlineStr">
        <is>
          <t>數值</t>
        </is>
      </c>
      <c r="C572" s="1" t="n">
        <v>2</v>
      </c>
      <c r="D572" s="1" t="n">
        <v>0</v>
      </c>
      <c r="E572" s="1">
        <f>IF(B572="數值","(F"&amp;C572&amp;"."&amp;D572&amp;")","(A"&amp;C572&amp;")")</f>
        <v/>
      </c>
      <c r="F572" s="1">
        <f>"alter type "&amp;A572&amp;" "&amp;E572&amp;"."</f>
        <v/>
      </c>
    </row>
    <row r="573">
      <c r="A573" s="1" t="inlineStr">
        <is>
          <t>vKLI3m05</t>
        </is>
      </c>
      <c r="B573" s="1" t="inlineStr">
        <is>
          <t>數值</t>
        </is>
      </c>
      <c r="C573" s="1" t="n">
        <v>2</v>
      </c>
      <c r="D573" s="1" t="n">
        <v>0</v>
      </c>
      <c r="E573" s="1">
        <f>IF(B573="數值","(F"&amp;C573&amp;"."&amp;D573&amp;")","(A"&amp;C573&amp;")")</f>
        <v/>
      </c>
      <c r="F573" s="1">
        <f>"alter type "&amp;A573&amp;" "&amp;E573&amp;"."</f>
        <v/>
      </c>
    </row>
    <row r="574">
      <c r="A574" s="1" t="inlineStr">
        <is>
          <t>vKLI3m06</t>
        </is>
      </c>
      <c r="B574" s="1" t="inlineStr">
        <is>
          <t>數值</t>
        </is>
      </c>
      <c r="C574" s="1" t="n">
        <v>2</v>
      </c>
      <c r="D574" s="1" t="n">
        <v>0</v>
      </c>
      <c r="E574" s="1">
        <f>IF(B574="數值","(F"&amp;C574&amp;"."&amp;D574&amp;")","(A"&amp;C574&amp;")")</f>
        <v/>
      </c>
      <c r="F574" s="1">
        <f>"alter type "&amp;A574&amp;" "&amp;E574&amp;"."</f>
        <v/>
      </c>
    </row>
    <row r="575">
      <c r="A575" s="1" t="inlineStr">
        <is>
          <t>vKLI3m07</t>
        </is>
      </c>
      <c r="B575" s="1" t="inlineStr">
        <is>
          <t>數值</t>
        </is>
      </c>
      <c r="C575" s="1" t="n">
        <v>2</v>
      </c>
      <c r="D575" s="1" t="n">
        <v>0</v>
      </c>
      <c r="E575" s="1">
        <f>IF(B575="數值","(F"&amp;C575&amp;"."&amp;D575&amp;")","(A"&amp;C575&amp;")")</f>
        <v/>
      </c>
      <c r="F575" s="1">
        <f>"alter type "&amp;A575&amp;" "&amp;E575&amp;"."</f>
        <v/>
      </c>
    </row>
    <row r="576">
      <c r="A576" s="1" t="inlineStr">
        <is>
          <t>vKLI3m08</t>
        </is>
      </c>
      <c r="B576" s="1" t="inlineStr">
        <is>
          <t>數值</t>
        </is>
      </c>
      <c r="C576" s="1" t="n">
        <v>2</v>
      </c>
      <c r="D576" s="1" t="n">
        <v>0</v>
      </c>
      <c r="E576" s="1">
        <f>IF(B576="數值","(F"&amp;C576&amp;"."&amp;D576&amp;")","(A"&amp;C576&amp;")")</f>
        <v/>
      </c>
      <c r="F576" s="1">
        <f>"alter type "&amp;A576&amp;" "&amp;E576&amp;"."</f>
        <v/>
      </c>
    </row>
    <row r="577">
      <c r="A577" s="1" t="inlineStr">
        <is>
          <t>vKLI3m09</t>
        </is>
      </c>
      <c r="B577" s="1" t="inlineStr">
        <is>
          <t>數值</t>
        </is>
      </c>
      <c r="C577" s="1" t="n">
        <v>2</v>
      </c>
      <c r="D577" s="1" t="n">
        <v>0</v>
      </c>
      <c r="E577" s="1">
        <f>IF(B577="數值","(F"&amp;C577&amp;"."&amp;D577&amp;")","(A"&amp;C577&amp;")")</f>
        <v/>
      </c>
      <c r="F577" s="1">
        <f>"alter type "&amp;A577&amp;" "&amp;E577&amp;"."</f>
        <v/>
      </c>
    </row>
    <row r="578">
      <c r="A578" s="1" t="inlineStr">
        <is>
          <t>vKLI3m10</t>
        </is>
      </c>
      <c r="B578" s="1" t="inlineStr">
        <is>
          <t>數值</t>
        </is>
      </c>
      <c r="C578" s="1" t="n">
        <v>2</v>
      </c>
      <c r="D578" s="1" t="n">
        <v>0</v>
      </c>
      <c r="E578" s="1">
        <f>IF(B578="數值","(F"&amp;C578&amp;"."&amp;D578&amp;")","(A"&amp;C578&amp;")")</f>
        <v/>
      </c>
      <c r="F578" s="1">
        <f>"alter type "&amp;A578&amp;" "&amp;E578&amp;"."</f>
        <v/>
      </c>
    </row>
    <row r="579">
      <c r="A579" s="1" t="inlineStr">
        <is>
          <t>vKLI3m11</t>
        </is>
      </c>
      <c r="B579" s="1" t="inlineStr">
        <is>
          <t>數值</t>
        </is>
      </c>
      <c r="C579" s="1" t="n">
        <v>2</v>
      </c>
      <c r="D579" s="1" t="n">
        <v>0</v>
      </c>
      <c r="E579" s="1">
        <f>IF(B579="數值","(F"&amp;C579&amp;"."&amp;D579&amp;")","(A"&amp;C579&amp;")")</f>
        <v/>
      </c>
      <c r="F579" s="1">
        <f>"alter type "&amp;A579&amp;" "&amp;E579&amp;"."</f>
        <v/>
      </c>
    </row>
    <row r="580">
      <c r="A580" s="1" t="inlineStr">
        <is>
          <t>vKLI3m12</t>
        </is>
      </c>
      <c r="B580" s="1" t="inlineStr">
        <is>
          <t>數值</t>
        </is>
      </c>
      <c r="C580" s="1" t="n">
        <v>2</v>
      </c>
      <c r="D580" s="1" t="n">
        <v>0</v>
      </c>
      <c r="E580" s="1">
        <f>IF(B580="數值","(F"&amp;C580&amp;"."&amp;D580&amp;")","(A"&amp;C580&amp;")")</f>
        <v/>
      </c>
      <c r="F580" s="1">
        <f>"alter type "&amp;A580&amp;" "&amp;E580&amp;"."</f>
        <v/>
      </c>
    </row>
    <row r="581">
      <c r="A581" s="1" t="inlineStr">
        <is>
          <t>vKLI3m13</t>
        </is>
      </c>
      <c r="B581" s="1" t="inlineStr">
        <is>
          <t>數值</t>
        </is>
      </c>
      <c r="C581" s="1" t="n">
        <v>2</v>
      </c>
      <c r="D581" s="1" t="n">
        <v>0</v>
      </c>
      <c r="E581" s="1">
        <f>IF(B581="數值","(F"&amp;C581&amp;"."&amp;D581&amp;")","(A"&amp;C581&amp;")")</f>
        <v/>
      </c>
      <c r="F581" s="1">
        <f>"alter type "&amp;A581&amp;" "&amp;E581&amp;"."</f>
        <v/>
      </c>
    </row>
    <row r="582">
      <c r="A582" s="1" t="inlineStr">
        <is>
          <t>vKLI3m14</t>
        </is>
      </c>
      <c r="B582" s="1" t="inlineStr">
        <is>
          <t>數值</t>
        </is>
      </c>
      <c r="C582" s="1" t="n">
        <v>2</v>
      </c>
      <c r="D582" s="1" t="n">
        <v>0</v>
      </c>
      <c r="E582" s="1">
        <f>IF(B582="數值","(F"&amp;C582&amp;"."&amp;D582&amp;")","(A"&amp;C582&amp;")")</f>
        <v/>
      </c>
      <c r="F582" s="1">
        <f>"alter type "&amp;A582&amp;" "&amp;E582&amp;"."</f>
        <v/>
      </c>
    </row>
    <row r="583">
      <c r="A583" s="1" t="inlineStr">
        <is>
          <t>vKLI3m15</t>
        </is>
      </c>
      <c r="B583" s="1" t="inlineStr">
        <is>
          <t>數值</t>
        </is>
      </c>
      <c r="C583" s="1" t="n">
        <v>2</v>
      </c>
      <c r="D583" s="1" t="n">
        <v>0</v>
      </c>
      <c r="E583" s="1">
        <f>IF(B583="數值","(F"&amp;C583&amp;"."&amp;D583&amp;")","(A"&amp;C583&amp;")")</f>
        <v/>
      </c>
      <c r="F583" s="1">
        <f>"alter type "&amp;A583&amp;" "&amp;E583&amp;"."</f>
        <v/>
      </c>
    </row>
    <row r="584">
      <c r="A584" s="1" t="inlineStr">
        <is>
          <t>vKLI3m16</t>
        </is>
      </c>
      <c r="B584" s="1" t="inlineStr">
        <is>
          <t>數值</t>
        </is>
      </c>
      <c r="C584" s="1" t="n">
        <v>2</v>
      </c>
      <c r="D584" s="1" t="n">
        <v>0</v>
      </c>
      <c r="E584" s="1">
        <f>IF(B584="數值","(F"&amp;C584&amp;"."&amp;D584&amp;")","(A"&amp;C584&amp;")")</f>
        <v/>
      </c>
      <c r="F584" s="1">
        <f>"alter type "&amp;A584&amp;" "&amp;E584&amp;"."</f>
        <v/>
      </c>
    </row>
    <row r="585">
      <c r="A585" s="1" t="inlineStr">
        <is>
          <t>vKLI3m17</t>
        </is>
      </c>
      <c r="B585" s="1" t="inlineStr">
        <is>
          <t>數值</t>
        </is>
      </c>
      <c r="C585" s="1" t="n">
        <v>2</v>
      </c>
      <c r="D585" s="1" t="n">
        <v>0</v>
      </c>
      <c r="E585" s="1">
        <f>IF(B585="數值","(F"&amp;C585&amp;"."&amp;D585&amp;")","(A"&amp;C585&amp;")")</f>
        <v/>
      </c>
      <c r="F585" s="1">
        <f>"alter type "&amp;A585&amp;" "&amp;E585&amp;"."</f>
        <v/>
      </c>
    </row>
    <row r="586">
      <c r="A586" s="1" t="inlineStr">
        <is>
          <t>vKLI3m88</t>
        </is>
      </c>
      <c r="B586" s="1" t="inlineStr">
        <is>
          <t>數值</t>
        </is>
      </c>
      <c r="C586" s="1" t="n">
        <v>2</v>
      </c>
      <c r="D586" s="1" t="n">
        <v>0</v>
      </c>
      <c r="E586" s="1">
        <f>IF(B586="數值","(F"&amp;C586&amp;"."&amp;D586&amp;")","(A"&amp;C586&amp;")")</f>
        <v/>
      </c>
      <c r="F586" s="1">
        <f>"alter type "&amp;A586&amp;" "&amp;E586&amp;"."</f>
        <v/>
      </c>
    </row>
    <row r="587">
      <c r="A587" s="1" t="inlineStr">
        <is>
          <t>vKLI3o88</t>
        </is>
      </c>
      <c r="B587" s="1" t="inlineStr">
        <is>
          <t>字串</t>
        </is>
      </c>
      <c r="C587" s="1" t="n">
        <v>150</v>
      </c>
      <c r="D587" s="1" t="n">
        <v>0</v>
      </c>
      <c r="E587" s="1">
        <f>IF(B587="數值","(F"&amp;C587&amp;"."&amp;D587&amp;")","(A"&amp;C587&amp;")")</f>
        <v/>
      </c>
      <c r="F587" s="1">
        <f>"alter type "&amp;A587&amp;" "&amp;E587&amp;"."</f>
        <v/>
      </c>
    </row>
    <row r="588">
      <c r="A588" s="1" t="inlineStr">
        <is>
          <t>vKLI4m01</t>
        </is>
      </c>
      <c r="B588" s="1" t="inlineStr">
        <is>
          <t>數值</t>
        </is>
      </c>
      <c r="C588" s="1" t="n">
        <v>2</v>
      </c>
      <c r="D588" s="1" t="n">
        <v>0</v>
      </c>
      <c r="E588" s="1">
        <f>IF(B588="數值","(F"&amp;C588&amp;"."&amp;D588&amp;")","(A"&amp;C588&amp;")")</f>
        <v/>
      </c>
      <c r="F588" s="1">
        <f>"alter type "&amp;A588&amp;" "&amp;E588&amp;"."</f>
        <v/>
      </c>
    </row>
    <row r="589">
      <c r="A589" s="1" t="inlineStr">
        <is>
          <t>vKLI4m02</t>
        </is>
      </c>
      <c r="B589" s="1" t="inlineStr">
        <is>
          <t>數值</t>
        </is>
      </c>
      <c r="C589" s="1" t="n">
        <v>2</v>
      </c>
      <c r="D589" s="1" t="n">
        <v>0</v>
      </c>
      <c r="E589" s="1">
        <f>IF(B589="數值","(F"&amp;C589&amp;"."&amp;D589&amp;")","(A"&amp;C589&amp;")")</f>
        <v/>
      </c>
      <c r="F589" s="1">
        <f>"alter type "&amp;A589&amp;" "&amp;E589&amp;"."</f>
        <v/>
      </c>
    </row>
    <row r="590">
      <c r="A590" s="1" t="inlineStr">
        <is>
          <t>vKLI4m03</t>
        </is>
      </c>
      <c r="B590" s="1" t="inlineStr">
        <is>
          <t>數值</t>
        </is>
      </c>
      <c r="C590" s="1" t="n">
        <v>2</v>
      </c>
      <c r="D590" s="1" t="n">
        <v>0</v>
      </c>
      <c r="E590" s="1">
        <f>IF(B590="數值","(F"&amp;C590&amp;"."&amp;D590&amp;")","(A"&amp;C590&amp;")")</f>
        <v/>
      </c>
      <c r="F590" s="1">
        <f>"alter type "&amp;A590&amp;" "&amp;E590&amp;"."</f>
        <v/>
      </c>
    </row>
    <row r="591">
      <c r="A591" s="1" t="inlineStr">
        <is>
          <t>vKLI4m04</t>
        </is>
      </c>
      <c r="B591" s="1" t="inlineStr">
        <is>
          <t>數值</t>
        </is>
      </c>
      <c r="C591" s="1" t="n">
        <v>2</v>
      </c>
      <c r="D591" s="1" t="n">
        <v>0</v>
      </c>
      <c r="E591" s="1">
        <f>IF(B591="數值","(F"&amp;C591&amp;"."&amp;D591&amp;")","(A"&amp;C591&amp;")")</f>
        <v/>
      </c>
      <c r="F591" s="1">
        <f>"alter type "&amp;A591&amp;" "&amp;E591&amp;"."</f>
        <v/>
      </c>
    </row>
    <row r="592">
      <c r="A592" s="1" t="inlineStr">
        <is>
          <t>vKLI4m05</t>
        </is>
      </c>
      <c r="B592" s="1" t="inlineStr">
        <is>
          <t>數值</t>
        </is>
      </c>
      <c r="C592" s="1" t="n">
        <v>2</v>
      </c>
      <c r="D592" s="1" t="n">
        <v>0</v>
      </c>
      <c r="E592" s="1">
        <f>IF(B592="數值","(F"&amp;C592&amp;"."&amp;D592&amp;")","(A"&amp;C592&amp;")")</f>
        <v/>
      </c>
      <c r="F592" s="1">
        <f>"alter type "&amp;A592&amp;" "&amp;E592&amp;"."</f>
        <v/>
      </c>
    </row>
    <row r="593">
      <c r="A593" s="1" t="inlineStr">
        <is>
          <t>vKLI4m06</t>
        </is>
      </c>
      <c r="B593" s="1" t="inlineStr">
        <is>
          <t>數值</t>
        </is>
      </c>
      <c r="C593" s="1" t="n">
        <v>2</v>
      </c>
      <c r="D593" s="1" t="n">
        <v>0</v>
      </c>
      <c r="E593" s="1">
        <f>IF(B593="數值","(F"&amp;C593&amp;"."&amp;D593&amp;")","(A"&amp;C593&amp;")")</f>
        <v/>
      </c>
      <c r="F593" s="1">
        <f>"alter type "&amp;A593&amp;" "&amp;E593&amp;"."</f>
        <v/>
      </c>
    </row>
    <row r="594">
      <c r="A594" s="1" t="inlineStr">
        <is>
          <t>vKLI4m07</t>
        </is>
      </c>
      <c r="B594" s="1" t="inlineStr">
        <is>
          <t>數值</t>
        </is>
      </c>
      <c r="C594" s="1" t="n">
        <v>2</v>
      </c>
      <c r="D594" s="1" t="n">
        <v>0</v>
      </c>
      <c r="E594" s="1">
        <f>IF(B594="數值","(F"&amp;C594&amp;"."&amp;D594&amp;")","(A"&amp;C594&amp;")")</f>
        <v/>
      </c>
      <c r="F594" s="1">
        <f>"alter type "&amp;A594&amp;" "&amp;E594&amp;"."</f>
        <v/>
      </c>
    </row>
    <row r="595">
      <c r="A595" s="1" t="inlineStr">
        <is>
          <t>vKLI4m08</t>
        </is>
      </c>
      <c r="B595" s="1" t="inlineStr">
        <is>
          <t>數值</t>
        </is>
      </c>
      <c r="C595" s="1" t="n">
        <v>2</v>
      </c>
      <c r="D595" s="1" t="n">
        <v>0</v>
      </c>
      <c r="E595" s="1">
        <f>IF(B595="數值","(F"&amp;C595&amp;"."&amp;D595&amp;")","(A"&amp;C595&amp;")")</f>
        <v/>
      </c>
      <c r="F595" s="1">
        <f>"alter type "&amp;A595&amp;" "&amp;E595&amp;"."</f>
        <v/>
      </c>
    </row>
    <row r="596">
      <c r="A596" s="1" t="inlineStr">
        <is>
          <t>vKLI4m09</t>
        </is>
      </c>
      <c r="B596" s="1" t="inlineStr">
        <is>
          <t>數值</t>
        </is>
      </c>
      <c r="C596" s="1" t="n">
        <v>2</v>
      </c>
      <c r="D596" s="1" t="n">
        <v>0</v>
      </c>
      <c r="E596" s="1">
        <f>IF(B596="數值","(F"&amp;C596&amp;"."&amp;D596&amp;")","(A"&amp;C596&amp;")")</f>
        <v/>
      </c>
      <c r="F596" s="1">
        <f>"alter type "&amp;A596&amp;" "&amp;E596&amp;"."</f>
        <v/>
      </c>
    </row>
    <row r="597">
      <c r="A597" s="1" t="inlineStr">
        <is>
          <t>vKLI4m10</t>
        </is>
      </c>
      <c r="B597" s="1" t="inlineStr">
        <is>
          <t>數值</t>
        </is>
      </c>
      <c r="C597" s="1" t="n">
        <v>2</v>
      </c>
      <c r="D597" s="1" t="n">
        <v>0</v>
      </c>
      <c r="E597" s="1">
        <f>IF(B597="數值","(F"&amp;C597&amp;"."&amp;D597&amp;")","(A"&amp;C597&amp;")")</f>
        <v/>
      </c>
      <c r="F597" s="1">
        <f>"alter type "&amp;A597&amp;" "&amp;E597&amp;"."</f>
        <v/>
      </c>
    </row>
    <row r="598">
      <c r="A598" s="1" t="inlineStr">
        <is>
          <t>vKLI4m11</t>
        </is>
      </c>
      <c r="B598" s="1" t="inlineStr">
        <is>
          <t>數值</t>
        </is>
      </c>
      <c r="C598" s="1" t="n">
        <v>2</v>
      </c>
      <c r="D598" s="1" t="n">
        <v>0</v>
      </c>
      <c r="E598" s="1">
        <f>IF(B598="數值","(F"&amp;C598&amp;"."&amp;D598&amp;")","(A"&amp;C598&amp;")")</f>
        <v/>
      </c>
      <c r="F598" s="1">
        <f>"alter type "&amp;A598&amp;" "&amp;E598&amp;"."</f>
        <v/>
      </c>
    </row>
    <row r="599">
      <c r="A599" s="1" t="inlineStr">
        <is>
          <t>vKLI4m12</t>
        </is>
      </c>
      <c r="B599" s="1" t="inlineStr">
        <is>
          <t>數值</t>
        </is>
      </c>
      <c r="C599" s="1" t="n">
        <v>2</v>
      </c>
      <c r="D599" s="1" t="n">
        <v>0</v>
      </c>
      <c r="E599" s="1">
        <f>IF(B599="數值","(F"&amp;C599&amp;"."&amp;D599&amp;")","(A"&amp;C599&amp;")")</f>
        <v/>
      </c>
      <c r="F599" s="1">
        <f>"alter type "&amp;A599&amp;" "&amp;E599&amp;"."</f>
        <v/>
      </c>
    </row>
    <row r="600">
      <c r="A600" s="1" t="inlineStr">
        <is>
          <t>vKLI4m13</t>
        </is>
      </c>
      <c r="B600" s="1" t="inlineStr">
        <is>
          <t>數值</t>
        </is>
      </c>
      <c r="C600" s="1" t="n">
        <v>2</v>
      </c>
      <c r="D600" s="1" t="n">
        <v>0</v>
      </c>
      <c r="E600" s="1">
        <f>IF(B600="數值","(F"&amp;C600&amp;"."&amp;D600&amp;")","(A"&amp;C600&amp;")")</f>
        <v/>
      </c>
      <c r="F600" s="1">
        <f>"alter type "&amp;A600&amp;" "&amp;E600&amp;"."</f>
        <v/>
      </c>
    </row>
    <row r="601">
      <c r="A601" s="1" t="inlineStr">
        <is>
          <t>vKLI4m88</t>
        </is>
      </c>
      <c r="B601" s="1" t="inlineStr">
        <is>
          <t>數值</t>
        </is>
      </c>
      <c r="C601" s="1" t="n">
        <v>2</v>
      </c>
      <c r="D601" s="1" t="n">
        <v>0</v>
      </c>
      <c r="E601" s="1">
        <f>IF(B601="數值","(F"&amp;C601&amp;"."&amp;D601&amp;")","(A"&amp;C601&amp;")")</f>
        <v/>
      </c>
      <c r="F601" s="1">
        <f>"alter type "&amp;A601&amp;" "&amp;E601&amp;"."</f>
        <v/>
      </c>
    </row>
    <row r="602">
      <c r="A602" s="1" t="inlineStr">
        <is>
          <t>vKLI4o88</t>
        </is>
      </c>
      <c r="B602" s="1" t="inlineStr">
        <is>
          <t>字串</t>
        </is>
      </c>
      <c r="C602" s="1" t="n">
        <v>150</v>
      </c>
      <c r="D602" s="1" t="n">
        <v>0</v>
      </c>
      <c r="E602" s="1">
        <f>IF(B602="數值","(F"&amp;C602&amp;"."&amp;D602&amp;")","(A"&amp;C602&amp;")")</f>
        <v/>
      </c>
      <c r="F602" s="1">
        <f>"alter type "&amp;A602&amp;" "&amp;E602&amp;"."</f>
        <v/>
      </c>
    </row>
    <row r="603">
      <c r="A603" s="1" t="inlineStr">
        <is>
          <t>vKLI5m01</t>
        </is>
      </c>
      <c r="B603" s="1" t="inlineStr">
        <is>
          <t>數值</t>
        </is>
      </c>
      <c r="C603" s="1" t="n">
        <v>2</v>
      </c>
      <c r="D603" s="1" t="n">
        <v>0</v>
      </c>
      <c r="E603" s="1">
        <f>IF(B603="數值","(F"&amp;C603&amp;"."&amp;D603&amp;")","(A"&amp;C603&amp;")")</f>
        <v/>
      </c>
      <c r="F603" s="1">
        <f>"alter type "&amp;A603&amp;" "&amp;E603&amp;"."</f>
        <v/>
      </c>
    </row>
    <row r="604">
      <c r="A604" s="1" t="inlineStr">
        <is>
          <t>vKLI5m02</t>
        </is>
      </c>
      <c r="B604" s="1" t="inlineStr">
        <is>
          <t>數值</t>
        </is>
      </c>
      <c r="C604" s="1" t="n">
        <v>2</v>
      </c>
      <c r="D604" s="1" t="n">
        <v>0</v>
      </c>
      <c r="E604" s="1">
        <f>IF(B604="數值","(F"&amp;C604&amp;"."&amp;D604&amp;")","(A"&amp;C604&amp;")")</f>
        <v/>
      </c>
      <c r="F604" s="1">
        <f>"alter type "&amp;A604&amp;" "&amp;E604&amp;"."</f>
        <v/>
      </c>
    </row>
    <row r="605">
      <c r="A605" s="1" t="inlineStr">
        <is>
          <t>vKLI5m03</t>
        </is>
      </c>
      <c r="B605" s="1" t="inlineStr">
        <is>
          <t>數值</t>
        </is>
      </c>
      <c r="C605" s="1" t="n">
        <v>2</v>
      </c>
      <c r="D605" s="1" t="n">
        <v>0</v>
      </c>
      <c r="E605" s="1">
        <f>IF(B605="數值","(F"&amp;C605&amp;"."&amp;D605&amp;")","(A"&amp;C605&amp;")")</f>
        <v/>
      </c>
      <c r="F605" s="1">
        <f>"alter type "&amp;A605&amp;" "&amp;E605&amp;"."</f>
        <v/>
      </c>
    </row>
    <row r="606">
      <c r="A606" s="1" t="inlineStr">
        <is>
          <t>vKLI5m04</t>
        </is>
      </c>
      <c r="B606" s="1" t="inlineStr">
        <is>
          <t>數值</t>
        </is>
      </c>
      <c r="C606" s="1" t="n">
        <v>2</v>
      </c>
      <c r="D606" s="1" t="n">
        <v>0</v>
      </c>
      <c r="E606" s="1">
        <f>IF(B606="數值","(F"&amp;C606&amp;"."&amp;D606&amp;")","(A"&amp;C606&amp;")")</f>
        <v/>
      </c>
      <c r="F606" s="1">
        <f>"alter type "&amp;A606&amp;" "&amp;E606&amp;"."</f>
        <v/>
      </c>
    </row>
    <row r="607">
      <c r="A607" s="1" t="inlineStr">
        <is>
          <t>vKLI5m05</t>
        </is>
      </c>
      <c r="B607" s="1" t="inlineStr">
        <is>
          <t>數值</t>
        </is>
      </c>
      <c r="C607" s="1" t="n">
        <v>2</v>
      </c>
      <c r="D607" s="1" t="n">
        <v>0</v>
      </c>
      <c r="E607" s="1">
        <f>IF(B607="數值","(F"&amp;C607&amp;"."&amp;D607&amp;")","(A"&amp;C607&amp;")")</f>
        <v/>
      </c>
      <c r="F607" s="1">
        <f>"alter type "&amp;A607&amp;" "&amp;E607&amp;"."</f>
        <v/>
      </c>
    </row>
    <row r="608">
      <c r="A608" s="1" t="inlineStr">
        <is>
          <t>vKLI5m06</t>
        </is>
      </c>
      <c r="B608" s="1" t="inlineStr">
        <is>
          <t>數值</t>
        </is>
      </c>
      <c r="C608" s="1" t="n">
        <v>2</v>
      </c>
      <c r="D608" s="1" t="n">
        <v>0</v>
      </c>
      <c r="E608" s="1">
        <f>IF(B608="數值","(F"&amp;C608&amp;"."&amp;D608&amp;")","(A"&amp;C608&amp;")")</f>
        <v/>
      </c>
      <c r="F608" s="1">
        <f>"alter type "&amp;A608&amp;" "&amp;E608&amp;"."</f>
        <v/>
      </c>
    </row>
    <row r="609">
      <c r="A609" s="1" t="inlineStr">
        <is>
          <t>vKLI5m07</t>
        </is>
      </c>
      <c r="B609" s="1" t="inlineStr">
        <is>
          <t>數值</t>
        </is>
      </c>
      <c r="C609" s="1" t="n">
        <v>2</v>
      </c>
      <c r="D609" s="1" t="n">
        <v>0</v>
      </c>
      <c r="E609" s="1">
        <f>IF(B609="數值","(F"&amp;C609&amp;"."&amp;D609&amp;")","(A"&amp;C609&amp;")")</f>
        <v/>
      </c>
      <c r="F609" s="1">
        <f>"alter type "&amp;A609&amp;" "&amp;E609&amp;"."</f>
        <v/>
      </c>
    </row>
    <row r="610">
      <c r="A610" s="1" t="inlineStr">
        <is>
          <t>vKLI5m08</t>
        </is>
      </c>
      <c r="B610" s="1" t="inlineStr">
        <is>
          <t>數值</t>
        </is>
      </c>
      <c r="C610" s="1" t="n">
        <v>2</v>
      </c>
      <c r="D610" s="1" t="n">
        <v>0</v>
      </c>
      <c r="E610" s="1">
        <f>IF(B610="數值","(F"&amp;C610&amp;"."&amp;D610&amp;")","(A"&amp;C610&amp;")")</f>
        <v/>
      </c>
      <c r="F610" s="1">
        <f>"alter type "&amp;A610&amp;" "&amp;E610&amp;"."</f>
        <v/>
      </c>
    </row>
    <row r="611">
      <c r="A611" s="1" t="inlineStr">
        <is>
          <t>vKLI5m09</t>
        </is>
      </c>
      <c r="B611" s="1" t="inlineStr">
        <is>
          <t>數值</t>
        </is>
      </c>
      <c r="C611" s="1" t="n">
        <v>2</v>
      </c>
      <c r="D611" s="1" t="n">
        <v>0</v>
      </c>
      <c r="E611" s="1">
        <f>IF(B611="數值","(F"&amp;C611&amp;"."&amp;D611&amp;")","(A"&amp;C611&amp;")")</f>
        <v/>
      </c>
      <c r="F611" s="1">
        <f>"alter type "&amp;A611&amp;" "&amp;E611&amp;"."</f>
        <v/>
      </c>
    </row>
    <row r="612">
      <c r="A612" s="1" t="inlineStr">
        <is>
          <t>vKLI5m10</t>
        </is>
      </c>
      <c r="B612" s="1" t="inlineStr">
        <is>
          <t>數值</t>
        </is>
      </c>
      <c r="C612" s="1" t="n">
        <v>2</v>
      </c>
      <c r="D612" s="1" t="n">
        <v>0</v>
      </c>
      <c r="E612" s="1">
        <f>IF(B612="數值","(F"&amp;C612&amp;"."&amp;D612&amp;")","(A"&amp;C612&amp;")")</f>
        <v/>
      </c>
      <c r="F612" s="1">
        <f>"alter type "&amp;A612&amp;" "&amp;E612&amp;"."</f>
        <v/>
      </c>
    </row>
    <row r="613">
      <c r="A613" s="1" t="inlineStr">
        <is>
          <t>vKLI5m88</t>
        </is>
      </c>
      <c r="B613" s="1" t="inlineStr">
        <is>
          <t>數值</t>
        </is>
      </c>
      <c r="C613" s="1" t="n">
        <v>2</v>
      </c>
      <c r="D613" s="1" t="n">
        <v>0</v>
      </c>
      <c r="E613" s="1">
        <f>IF(B613="數值","(F"&amp;C613&amp;"."&amp;D613&amp;")","(A"&amp;C613&amp;")")</f>
        <v/>
      </c>
      <c r="F613" s="1">
        <f>"alter type "&amp;A613&amp;" "&amp;E613&amp;"."</f>
        <v/>
      </c>
    </row>
    <row r="614">
      <c r="A614" s="1" t="inlineStr">
        <is>
          <t>vKLI5o88</t>
        </is>
      </c>
      <c r="B614" s="1" t="inlineStr">
        <is>
          <t>字串</t>
        </is>
      </c>
      <c r="C614" s="1" t="n">
        <v>150</v>
      </c>
      <c r="D614" s="1" t="n">
        <v>0</v>
      </c>
      <c r="E614" s="1">
        <f>IF(B614="數值","(F"&amp;C614&amp;"."&amp;D614&amp;")","(A"&amp;C614&amp;")")</f>
        <v/>
      </c>
      <c r="F614" s="1">
        <f>"alter type "&amp;A614&amp;" "&amp;E614&amp;"."</f>
        <v/>
      </c>
    </row>
    <row r="615">
      <c r="A615" s="1" t="inlineStr">
        <is>
          <t>vP1</t>
        </is>
      </c>
      <c r="B615" s="1" t="inlineStr">
        <is>
          <t>數值</t>
        </is>
      </c>
      <c r="C615" s="1" t="n">
        <v>14</v>
      </c>
      <c r="D615" s="1" t="n">
        <v>0</v>
      </c>
      <c r="E615" s="1">
        <f>IF(B615="數值","(F"&amp;C615&amp;"."&amp;D615&amp;")","(A"&amp;C615&amp;")")</f>
        <v/>
      </c>
      <c r="F615" s="1">
        <f>"alter type "&amp;A615&amp;" "&amp;E615&amp;"."</f>
        <v/>
      </c>
    </row>
    <row r="616">
      <c r="A616" s="1" t="inlineStr">
        <is>
          <t>vP1_1</t>
        </is>
      </c>
      <c r="B616" s="1" t="inlineStr">
        <is>
          <t>數值</t>
        </is>
      </c>
      <c r="C616" s="1" t="n">
        <v>2</v>
      </c>
      <c r="D616" s="1" t="n">
        <v>0</v>
      </c>
      <c r="E616" s="1">
        <f>IF(B616="數值","(F"&amp;C616&amp;"."&amp;D616&amp;")","(A"&amp;C616&amp;")")</f>
        <v/>
      </c>
      <c r="F616" s="1">
        <f>"alter type "&amp;A616&amp;" "&amp;E616&amp;"."</f>
        <v/>
      </c>
    </row>
    <row r="617">
      <c r="A617" s="1" t="inlineStr">
        <is>
          <t>vP1_2</t>
        </is>
      </c>
      <c r="B617" s="1" t="inlineStr">
        <is>
          <t>數值</t>
        </is>
      </c>
      <c r="C617" s="1" t="n">
        <v>2</v>
      </c>
      <c r="D617" s="1" t="n">
        <v>0</v>
      </c>
      <c r="E617" s="1">
        <f>IF(B617="數值","(F"&amp;C617&amp;"."&amp;D617&amp;")","(A"&amp;C617&amp;")")</f>
        <v/>
      </c>
      <c r="F617" s="1">
        <f>"alter type "&amp;A617&amp;" "&amp;E617&amp;"."</f>
        <v/>
      </c>
    </row>
    <row r="618">
      <c r="A618" s="1" t="inlineStr">
        <is>
          <t>vP1_3</t>
        </is>
      </c>
      <c r="B618" s="1" t="inlineStr">
        <is>
          <t>數值</t>
        </is>
      </c>
      <c r="C618" s="1" t="n">
        <v>2</v>
      </c>
      <c r="D618" s="1" t="n">
        <v>0</v>
      </c>
      <c r="E618" s="1">
        <f>IF(B618="數值","(F"&amp;C618&amp;"."&amp;D618&amp;")","(A"&amp;C618&amp;")")</f>
        <v/>
      </c>
      <c r="F618" s="1">
        <f>"alter type "&amp;A618&amp;" "&amp;E618&amp;"."</f>
        <v/>
      </c>
    </row>
    <row r="619">
      <c r="A619" s="1" t="inlineStr">
        <is>
          <t>vP1_4</t>
        </is>
      </c>
      <c r="B619" s="1" t="inlineStr">
        <is>
          <t>數值</t>
        </is>
      </c>
      <c r="C619" s="1" t="n">
        <v>2</v>
      </c>
      <c r="D619" s="1" t="n">
        <v>0</v>
      </c>
      <c r="E619" s="1">
        <f>IF(B619="數值","(F"&amp;C619&amp;"."&amp;D619&amp;")","(A"&amp;C619&amp;")")</f>
        <v/>
      </c>
      <c r="F619" s="1">
        <f>"alter type "&amp;A619&amp;" "&amp;E619&amp;"."</f>
        <v/>
      </c>
    </row>
    <row r="620">
      <c r="A620" s="1" t="inlineStr">
        <is>
          <t>vP1_5</t>
        </is>
      </c>
      <c r="B620" s="1" t="inlineStr">
        <is>
          <t>數值</t>
        </is>
      </c>
      <c r="C620" s="1" t="n">
        <v>2</v>
      </c>
      <c r="D620" s="1" t="n">
        <v>0</v>
      </c>
      <c r="E620" s="1">
        <f>IF(B620="數值","(F"&amp;C620&amp;"."&amp;D620&amp;")","(A"&amp;C620&amp;")")</f>
        <v/>
      </c>
      <c r="F620" s="1">
        <f>"alter type "&amp;A620&amp;" "&amp;E620&amp;"."</f>
        <v/>
      </c>
    </row>
    <row r="621">
      <c r="A621" s="1" t="inlineStr">
        <is>
          <t>vP1_6</t>
        </is>
      </c>
      <c r="B621" s="1" t="inlineStr">
        <is>
          <t>數值</t>
        </is>
      </c>
      <c r="C621" s="1" t="n">
        <v>2</v>
      </c>
      <c r="D621" s="1" t="n">
        <v>0</v>
      </c>
      <c r="E621" s="1">
        <f>IF(B621="數值","(F"&amp;C621&amp;"."&amp;D621&amp;")","(A"&amp;C621&amp;")")</f>
        <v/>
      </c>
      <c r="F621" s="1">
        <f>"alter type "&amp;A621&amp;" "&amp;E621&amp;"."</f>
        <v/>
      </c>
    </row>
    <row r="622">
      <c r="A622" s="1" t="inlineStr">
        <is>
          <t>vKYT1</t>
        </is>
      </c>
      <c r="B622" s="1" t="inlineStr">
        <is>
          <t>數值</t>
        </is>
      </c>
      <c r="C622" s="1" t="n">
        <v>4</v>
      </c>
      <c r="D622" s="1" t="n">
        <v>1</v>
      </c>
      <c r="E622" s="1">
        <f>IF(B622="數值","(F"&amp;C622&amp;"."&amp;D622&amp;")","(A"&amp;C622&amp;")")</f>
        <v/>
      </c>
      <c r="F622" s="1">
        <f>"alter type "&amp;A622&amp;" "&amp;E622&amp;"."</f>
        <v/>
      </c>
    </row>
    <row r="623">
      <c r="A623" s="1" t="inlineStr">
        <is>
          <t>vKYT2</t>
        </is>
      </c>
      <c r="B623" s="1" t="inlineStr">
        <is>
          <t>數值</t>
        </is>
      </c>
      <c r="C623" s="1" t="n">
        <v>5</v>
      </c>
      <c r="D623" s="1" t="n">
        <v>0</v>
      </c>
      <c r="E623" s="1">
        <f>IF(B623="數值","(F"&amp;C623&amp;"."&amp;D623&amp;")","(A"&amp;C623&amp;")")</f>
        <v/>
      </c>
      <c r="F623" s="1">
        <f>"alter type "&amp;A623&amp;" "&amp;E623&amp;"."</f>
        <v/>
      </c>
    </row>
    <row r="624">
      <c r="A624" s="1" t="inlineStr">
        <is>
          <t>vKYT3m01</t>
        </is>
      </c>
      <c r="B624" s="1" t="inlineStr">
        <is>
          <t>數值</t>
        </is>
      </c>
      <c r="C624" s="1" t="n">
        <v>2</v>
      </c>
      <c r="D624" s="1" t="n">
        <v>0</v>
      </c>
      <c r="E624" s="1">
        <f>IF(B624="數值","(F"&amp;C624&amp;"."&amp;D624&amp;")","(A"&amp;C624&amp;")")</f>
        <v/>
      </c>
      <c r="F624" s="1">
        <f>"alter type "&amp;A624&amp;" "&amp;E624&amp;"."</f>
        <v/>
      </c>
    </row>
    <row r="625">
      <c r="A625" s="1" t="inlineStr">
        <is>
          <t>vKYT3m02</t>
        </is>
      </c>
      <c r="B625" s="1" t="inlineStr">
        <is>
          <t>數值</t>
        </is>
      </c>
      <c r="C625" s="1" t="n">
        <v>2</v>
      </c>
      <c r="D625" s="1" t="n">
        <v>0</v>
      </c>
      <c r="E625" s="1">
        <f>IF(B625="數值","(F"&amp;C625&amp;"."&amp;D625&amp;")","(A"&amp;C625&amp;")")</f>
        <v/>
      </c>
      <c r="F625" s="1">
        <f>"alter type "&amp;A625&amp;" "&amp;E625&amp;"."</f>
        <v/>
      </c>
    </row>
    <row r="626">
      <c r="A626" s="1" t="inlineStr">
        <is>
          <t>vKYT3m03</t>
        </is>
      </c>
      <c r="B626" s="1" t="inlineStr">
        <is>
          <t>數值</t>
        </is>
      </c>
      <c r="C626" s="1" t="n">
        <v>2</v>
      </c>
      <c r="D626" s="1" t="n">
        <v>0</v>
      </c>
      <c r="E626" s="1">
        <f>IF(B626="數值","(F"&amp;C626&amp;"."&amp;D626&amp;")","(A"&amp;C626&amp;")")</f>
        <v/>
      </c>
      <c r="F626" s="1">
        <f>"alter type "&amp;A626&amp;" "&amp;E626&amp;"."</f>
        <v/>
      </c>
    </row>
    <row r="627">
      <c r="A627" s="1" t="inlineStr">
        <is>
          <t>vKYT3m04</t>
        </is>
      </c>
      <c r="B627" s="1" t="inlineStr">
        <is>
          <t>數值</t>
        </is>
      </c>
      <c r="C627" s="1" t="n">
        <v>2</v>
      </c>
      <c r="D627" s="1" t="n">
        <v>0</v>
      </c>
      <c r="E627" s="1">
        <f>IF(B627="數值","(F"&amp;C627&amp;"."&amp;D627&amp;")","(A"&amp;C627&amp;")")</f>
        <v/>
      </c>
      <c r="F627" s="1">
        <f>"alter type "&amp;A627&amp;" "&amp;E627&amp;"."</f>
        <v/>
      </c>
    </row>
    <row r="628">
      <c r="A628" s="1" t="inlineStr">
        <is>
          <t>vKYT3m05</t>
        </is>
      </c>
      <c r="B628" s="1" t="inlineStr">
        <is>
          <t>數值</t>
        </is>
      </c>
      <c r="C628" s="1" t="n">
        <v>2</v>
      </c>
      <c r="D628" s="1" t="n">
        <v>0</v>
      </c>
      <c r="E628" s="1">
        <f>IF(B628="數值","(F"&amp;C628&amp;"."&amp;D628&amp;")","(A"&amp;C628&amp;")")</f>
        <v/>
      </c>
      <c r="F628" s="1">
        <f>"alter type "&amp;A628&amp;" "&amp;E628&amp;"."</f>
        <v/>
      </c>
    </row>
    <row r="629">
      <c r="A629" s="1" t="inlineStr">
        <is>
          <t>vKYT3m06</t>
        </is>
      </c>
      <c r="B629" s="1" t="inlineStr">
        <is>
          <t>數值</t>
        </is>
      </c>
      <c r="C629" s="1" t="n">
        <v>2</v>
      </c>
      <c r="D629" s="1" t="n">
        <v>0</v>
      </c>
      <c r="E629" s="1">
        <f>IF(B629="數值","(F"&amp;C629&amp;"."&amp;D629&amp;")","(A"&amp;C629&amp;")")</f>
        <v/>
      </c>
      <c r="F629" s="1">
        <f>"alter type "&amp;A629&amp;" "&amp;E629&amp;"."</f>
        <v/>
      </c>
    </row>
    <row r="630">
      <c r="A630" s="1" t="inlineStr">
        <is>
          <t>vKYT3m07</t>
        </is>
      </c>
      <c r="B630" s="1" t="inlineStr">
        <is>
          <t>數值</t>
        </is>
      </c>
      <c r="C630" s="1" t="n">
        <v>2</v>
      </c>
      <c r="D630" s="1" t="n">
        <v>0</v>
      </c>
      <c r="E630" s="1">
        <f>IF(B630="數值","(F"&amp;C630&amp;"."&amp;D630&amp;")","(A"&amp;C630&amp;")")</f>
        <v/>
      </c>
      <c r="F630" s="1">
        <f>"alter type "&amp;A630&amp;" "&amp;E630&amp;"."</f>
        <v/>
      </c>
    </row>
    <row r="631">
      <c r="A631" s="1" t="inlineStr">
        <is>
          <t>vKYT3m08</t>
        </is>
      </c>
      <c r="B631" s="1" t="inlineStr">
        <is>
          <t>數值</t>
        </is>
      </c>
      <c r="C631" s="1" t="n">
        <v>2</v>
      </c>
      <c r="D631" s="1" t="n">
        <v>0</v>
      </c>
      <c r="E631" s="1">
        <f>IF(B631="數值","(F"&amp;C631&amp;"."&amp;D631&amp;")","(A"&amp;C631&amp;")")</f>
        <v/>
      </c>
      <c r="F631" s="1">
        <f>"alter type "&amp;A631&amp;" "&amp;E631&amp;"."</f>
        <v/>
      </c>
    </row>
    <row r="632">
      <c r="A632" s="1" t="inlineStr">
        <is>
          <t>vKYT3m09</t>
        </is>
      </c>
      <c r="B632" s="1" t="inlineStr">
        <is>
          <t>數值</t>
        </is>
      </c>
      <c r="C632" s="1" t="n">
        <v>2</v>
      </c>
      <c r="D632" s="1" t="n">
        <v>0</v>
      </c>
      <c r="E632" s="1">
        <f>IF(B632="數值","(F"&amp;C632&amp;"."&amp;D632&amp;")","(A"&amp;C632&amp;")")</f>
        <v/>
      </c>
      <c r="F632" s="1">
        <f>"alter type "&amp;A632&amp;" "&amp;E632&amp;"."</f>
        <v/>
      </c>
    </row>
    <row r="633">
      <c r="A633" s="1" t="inlineStr">
        <is>
          <t>vKYT3m10</t>
        </is>
      </c>
      <c r="B633" s="1" t="inlineStr">
        <is>
          <t>數值</t>
        </is>
      </c>
      <c r="C633" s="1" t="n">
        <v>2</v>
      </c>
      <c r="D633" s="1" t="n">
        <v>0</v>
      </c>
      <c r="E633" s="1">
        <f>IF(B633="數值","(F"&amp;C633&amp;"."&amp;D633&amp;")","(A"&amp;C633&amp;")")</f>
        <v/>
      </c>
      <c r="F633" s="1">
        <f>"alter type "&amp;A633&amp;" "&amp;E633&amp;"."</f>
        <v/>
      </c>
    </row>
    <row r="634">
      <c r="A634" s="1" t="inlineStr">
        <is>
          <t>vKYT3m11</t>
        </is>
      </c>
      <c r="B634" s="1" t="inlineStr">
        <is>
          <t>數值</t>
        </is>
      </c>
      <c r="C634" s="1" t="n">
        <v>2</v>
      </c>
      <c r="D634" s="1" t="n">
        <v>0</v>
      </c>
      <c r="E634" s="1">
        <f>IF(B634="數值","(F"&amp;C634&amp;"."&amp;D634&amp;")","(A"&amp;C634&amp;")")</f>
        <v/>
      </c>
      <c r="F634" s="1">
        <f>"alter type "&amp;A634&amp;" "&amp;E634&amp;"."</f>
        <v/>
      </c>
    </row>
    <row r="635">
      <c r="A635" s="1" t="inlineStr">
        <is>
          <t>vKYT3m12</t>
        </is>
      </c>
      <c r="B635" s="1" t="inlineStr">
        <is>
          <t>數值</t>
        </is>
      </c>
      <c r="C635" s="1" t="n">
        <v>2</v>
      </c>
      <c r="D635" s="1" t="n">
        <v>0</v>
      </c>
      <c r="E635" s="1">
        <f>IF(B635="數值","(F"&amp;C635&amp;"."&amp;D635&amp;")","(A"&amp;C635&amp;")")</f>
        <v/>
      </c>
      <c r="F635" s="1">
        <f>"alter type "&amp;A635&amp;" "&amp;E635&amp;"."</f>
        <v/>
      </c>
    </row>
    <row r="636">
      <c r="A636" s="1" t="inlineStr">
        <is>
          <t>vKYT3m13</t>
        </is>
      </c>
      <c r="B636" s="1" t="inlineStr">
        <is>
          <t>數值</t>
        </is>
      </c>
      <c r="C636" s="1" t="n">
        <v>2</v>
      </c>
      <c r="D636" s="1" t="n">
        <v>0</v>
      </c>
      <c r="E636" s="1">
        <f>IF(B636="數值","(F"&amp;C636&amp;"."&amp;D636&amp;")","(A"&amp;C636&amp;")")</f>
        <v/>
      </c>
      <c r="F636" s="1">
        <f>"alter type "&amp;A636&amp;" "&amp;E636&amp;"."</f>
        <v/>
      </c>
    </row>
    <row r="637">
      <c r="A637" s="1" t="inlineStr">
        <is>
          <t>vKYT3m14</t>
        </is>
      </c>
      <c r="B637" s="1" t="inlineStr">
        <is>
          <t>數值</t>
        </is>
      </c>
      <c r="C637" s="1" t="n">
        <v>2</v>
      </c>
      <c r="D637" s="1" t="n">
        <v>0</v>
      </c>
      <c r="E637" s="1">
        <f>IF(B637="數值","(F"&amp;C637&amp;"."&amp;D637&amp;")","(A"&amp;C637&amp;")")</f>
        <v/>
      </c>
      <c r="F637" s="1">
        <f>"alter type "&amp;A637&amp;" "&amp;E637&amp;"."</f>
        <v/>
      </c>
    </row>
    <row r="638">
      <c r="A638" s="1" t="inlineStr">
        <is>
          <t>vKYT3m15</t>
        </is>
      </c>
      <c r="B638" s="1" t="inlineStr">
        <is>
          <t>數值</t>
        </is>
      </c>
      <c r="C638" s="1" t="n">
        <v>2</v>
      </c>
      <c r="D638" s="1" t="n">
        <v>0</v>
      </c>
      <c r="E638" s="1">
        <f>IF(B638="數值","(F"&amp;C638&amp;"."&amp;D638&amp;")","(A"&amp;C638&amp;")")</f>
        <v/>
      </c>
      <c r="F638" s="1">
        <f>"alter type "&amp;A638&amp;" "&amp;E638&amp;"."</f>
        <v/>
      </c>
    </row>
    <row r="639">
      <c r="A639" s="1" t="inlineStr">
        <is>
          <t>vKYT3m16</t>
        </is>
      </c>
      <c r="B639" s="1" t="inlineStr">
        <is>
          <t>數值</t>
        </is>
      </c>
      <c r="C639" s="1" t="n">
        <v>2</v>
      </c>
      <c r="D639" s="1" t="n">
        <v>0</v>
      </c>
      <c r="E639" s="1">
        <f>IF(B639="數值","(F"&amp;C639&amp;"."&amp;D639&amp;")","(A"&amp;C639&amp;")")</f>
        <v/>
      </c>
      <c r="F639" s="1">
        <f>"alter type "&amp;A639&amp;" "&amp;E639&amp;"."</f>
        <v/>
      </c>
    </row>
    <row r="640">
      <c r="A640" s="1" t="inlineStr">
        <is>
          <t>vKYT3m17</t>
        </is>
      </c>
      <c r="B640" s="1" t="inlineStr">
        <is>
          <t>數值</t>
        </is>
      </c>
      <c r="C640" s="1" t="n">
        <v>2</v>
      </c>
      <c r="D640" s="1" t="n">
        <v>0</v>
      </c>
      <c r="E640" s="1">
        <f>IF(B640="數值","(F"&amp;C640&amp;"."&amp;D640&amp;")","(A"&amp;C640&amp;")")</f>
        <v/>
      </c>
      <c r="F640" s="1">
        <f>"alter type "&amp;A640&amp;" "&amp;E640&amp;"."</f>
        <v/>
      </c>
    </row>
    <row r="641">
      <c r="A641" s="1" t="inlineStr">
        <is>
          <t>vKYT3m88</t>
        </is>
      </c>
      <c r="B641" s="1" t="inlineStr">
        <is>
          <t>數值</t>
        </is>
      </c>
      <c r="C641" s="1" t="n">
        <v>2</v>
      </c>
      <c r="D641" s="1" t="n">
        <v>0</v>
      </c>
      <c r="E641" s="1">
        <f>IF(B641="數值","(F"&amp;C641&amp;"."&amp;D641&amp;")","(A"&amp;C641&amp;")")</f>
        <v/>
      </c>
      <c r="F641" s="1">
        <f>"alter type "&amp;A641&amp;" "&amp;E641&amp;"."</f>
        <v/>
      </c>
    </row>
    <row r="642">
      <c r="A642" s="1" t="inlineStr">
        <is>
          <t>vKYT3o88</t>
        </is>
      </c>
      <c r="B642" s="1" t="inlineStr">
        <is>
          <t>字串</t>
        </is>
      </c>
      <c r="C642" s="1" t="n">
        <v>150</v>
      </c>
      <c r="D642" s="1" t="n">
        <v>0</v>
      </c>
      <c r="E642" s="1">
        <f>IF(B642="數值","(F"&amp;C642&amp;"."&amp;D642&amp;")","(A"&amp;C642&amp;")")</f>
        <v/>
      </c>
      <c r="F642" s="1">
        <f>"alter type "&amp;A642&amp;" "&amp;E642&amp;"."</f>
        <v/>
      </c>
    </row>
    <row r="643">
      <c r="A643" s="1" t="inlineStr">
        <is>
          <t>vKYT4m01</t>
        </is>
      </c>
      <c r="B643" s="1" t="inlineStr">
        <is>
          <t>數值</t>
        </is>
      </c>
      <c r="C643" s="1" t="n">
        <v>2</v>
      </c>
      <c r="D643" s="1" t="n">
        <v>0</v>
      </c>
      <c r="E643" s="1">
        <f>IF(B643="數值","(F"&amp;C643&amp;"."&amp;D643&amp;")","(A"&amp;C643&amp;")")</f>
        <v/>
      </c>
      <c r="F643" s="1">
        <f>"alter type "&amp;A643&amp;" "&amp;E643&amp;"."</f>
        <v/>
      </c>
    </row>
    <row r="644">
      <c r="A644" s="1" t="inlineStr">
        <is>
          <t>vKYT4m02</t>
        </is>
      </c>
      <c r="B644" s="1" t="inlineStr">
        <is>
          <t>數值</t>
        </is>
      </c>
      <c r="C644" s="1" t="n">
        <v>2</v>
      </c>
      <c r="D644" s="1" t="n">
        <v>0</v>
      </c>
      <c r="E644" s="1">
        <f>IF(B644="數值","(F"&amp;C644&amp;"."&amp;D644&amp;")","(A"&amp;C644&amp;")")</f>
        <v/>
      </c>
      <c r="F644" s="1">
        <f>"alter type "&amp;A644&amp;" "&amp;E644&amp;"."</f>
        <v/>
      </c>
    </row>
    <row r="645">
      <c r="A645" s="1" t="inlineStr">
        <is>
          <t>vKYT4m03</t>
        </is>
      </c>
      <c r="B645" s="1" t="inlineStr">
        <is>
          <t>數值</t>
        </is>
      </c>
      <c r="C645" s="1" t="n">
        <v>2</v>
      </c>
      <c r="D645" s="1" t="n">
        <v>0</v>
      </c>
      <c r="E645" s="1">
        <f>IF(B645="數值","(F"&amp;C645&amp;"."&amp;D645&amp;")","(A"&amp;C645&amp;")")</f>
        <v/>
      </c>
      <c r="F645" s="1">
        <f>"alter type "&amp;A645&amp;" "&amp;E645&amp;"."</f>
        <v/>
      </c>
    </row>
    <row r="646">
      <c r="A646" s="1" t="inlineStr">
        <is>
          <t>vKYT4m04</t>
        </is>
      </c>
      <c r="B646" s="1" t="inlineStr">
        <is>
          <t>數值</t>
        </is>
      </c>
      <c r="C646" s="1" t="n">
        <v>2</v>
      </c>
      <c r="D646" s="1" t="n">
        <v>0</v>
      </c>
      <c r="E646" s="1">
        <f>IF(B646="數值","(F"&amp;C646&amp;"."&amp;D646&amp;")","(A"&amp;C646&amp;")")</f>
        <v/>
      </c>
      <c r="F646" s="1">
        <f>"alter type "&amp;A646&amp;" "&amp;E646&amp;"."</f>
        <v/>
      </c>
    </row>
    <row r="647">
      <c r="A647" s="1" t="inlineStr">
        <is>
          <t>vKYT4m05</t>
        </is>
      </c>
      <c r="B647" s="1" t="inlineStr">
        <is>
          <t>數值</t>
        </is>
      </c>
      <c r="C647" s="1" t="n">
        <v>2</v>
      </c>
      <c r="D647" s="1" t="n">
        <v>0</v>
      </c>
      <c r="E647" s="1">
        <f>IF(B647="數值","(F"&amp;C647&amp;"."&amp;D647&amp;")","(A"&amp;C647&amp;")")</f>
        <v/>
      </c>
      <c r="F647" s="1">
        <f>"alter type "&amp;A647&amp;" "&amp;E647&amp;"."</f>
        <v/>
      </c>
    </row>
    <row r="648">
      <c r="A648" s="1" t="inlineStr">
        <is>
          <t>vKYT4m06</t>
        </is>
      </c>
      <c r="B648" s="1" t="inlineStr">
        <is>
          <t>數值</t>
        </is>
      </c>
      <c r="C648" s="1" t="n">
        <v>2</v>
      </c>
      <c r="D648" s="1" t="n">
        <v>0</v>
      </c>
      <c r="E648" s="1">
        <f>IF(B648="數值","(F"&amp;C648&amp;"."&amp;D648&amp;")","(A"&amp;C648&amp;")")</f>
        <v/>
      </c>
      <c r="F648" s="1">
        <f>"alter type "&amp;A648&amp;" "&amp;E648&amp;"."</f>
        <v/>
      </c>
    </row>
    <row r="649">
      <c r="A649" s="1" t="inlineStr">
        <is>
          <t>vKYT4m07</t>
        </is>
      </c>
      <c r="B649" s="1" t="inlineStr">
        <is>
          <t>數值</t>
        </is>
      </c>
      <c r="C649" s="1" t="n">
        <v>2</v>
      </c>
      <c r="D649" s="1" t="n">
        <v>0</v>
      </c>
      <c r="E649" s="1">
        <f>IF(B649="數值","(F"&amp;C649&amp;"."&amp;D649&amp;")","(A"&amp;C649&amp;")")</f>
        <v/>
      </c>
      <c r="F649" s="1">
        <f>"alter type "&amp;A649&amp;" "&amp;E649&amp;"."</f>
        <v/>
      </c>
    </row>
    <row r="650">
      <c r="A650" s="1" t="inlineStr">
        <is>
          <t>vKYT4m08</t>
        </is>
      </c>
      <c r="B650" s="1" t="inlineStr">
        <is>
          <t>數值</t>
        </is>
      </c>
      <c r="C650" s="1" t="n">
        <v>2</v>
      </c>
      <c r="D650" s="1" t="n">
        <v>0</v>
      </c>
      <c r="E650" s="1">
        <f>IF(B650="數值","(F"&amp;C650&amp;"."&amp;D650&amp;")","(A"&amp;C650&amp;")")</f>
        <v/>
      </c>
      <c r="F650" s="1">
        <f>"alter type "&amp;A650&amp;" "&amp;E650&amp;"."</f>
        <v/>
      </c>
    </row>
    <row r="651">
      <c r="A651" s="1" t="inlineStr">
        <is>
          <t>vKYT4m09</t>
        </is>
      </c>
      <c r="B651" s="1" t="inlineStr">
        <is>
          <t>數值</t>
        </is>
      </c>
      <c r="C651" s="1" t="n">
        <v>2</v>
      </c>
      <c r="D651" s="1" t="n">
        <v>0</v>
      </c>
      <c r="E651" s="1">
        <f>IF(B651="數值","(F"&amp;C651&amp;"."&amp;D651&amp;")","(A"&amp;C651&amp;")")</f>
        <v/>
      </c>
      <c r="F651" s="1">
        <f>"alter type "&amp;A651&amp;" "&amp;E651&amp;"."</f>
        <v/>
      </c>
    </row>
    <row r="652">
      <c r="A652" s="1" t="inlineStr">
        <is>
          <t>vKYT4m10</t>
        </is>
      </c>
      <c r="B652" s="1" t="inlineStr">
        <is>
          <t>數值</t>
        </is>
      </c>
      <c r="C652" s="1" t="n">
        <v>2</v>
      </c>
      <c r="D652" s="1" t="n">
        <v>0</v>
      </c>
      <c r="E652" s="1">
        <f>IF(B652="數值","(F"&amp;C652&amp;"."&amp;D652&amp;")","(A"&amp;C652&amp;")")</f>
        <v/>
      </c>
      <c r="F652" s="1">
        <f>"alter type "&amp;A652&amp;" "&amp;E652&amp;"."</f>
        <v/>
      </c>
    </row>
    <row r="653">
      <c r="A653" s="1" t="inlineStr">
        <is>
          <t>vKYT4m11</t>
        </is>
      </c>
      <c r="B653" s="1" t="inlineStr">
        <is>
          <t>數值</t>
        </is>
      </c>
      <c r="C653" s="1" t="n">
        <v>2</v>
      </c>
      <c r="D653" s="1" t="n">
        <v>0</v>
      </c>
      <c r="E653" s="1">
        <f>IF(B653="數值","(F"&amp;C653&amp;"."&amp;D653&amp;")","(A"&amp;C653&amp;")")</f>
        <v/>
      </c>
      <c r="F653" s="1">
        <f>"alter type "&amp;A653&amp;" "&amp;E653&amp;"."</f>
        <v/>
      </c>
    </row>
    <row r="654">
      <c r="A654" s="1" t="inlineStr">
        <is>
          <t>vKYT4m88</t>
        </is>
      </c>
      <c r="B654" s="1" t="inlineStr">
        <is>
          <t>數值</t>
        </is>
      </c>
      <c r="C654" s="1" t="n">
        <v>2</v>
      </c>
      <c r="D654" s="1" t="n">
        <v>0</v>
      </c>
      <c r="E654" s="1">
        <f>IF(B654="數值","(F"&amp;C654&amp;"."&amp;D654&amp;")","(A"&amp;C654&amp;")")</f>
        <v/>
      </c>
      <c r="F654" s="1">
        <f>"alter type "&amp;A654&amp;" "&amp;E654&amp;"."</f>
        <v/>
      </c>
    </row>
    <row r="655">
      <c r="A655" s="1" t="inlineStr">
        <is>
          <t>vKYT4o88</t>
        </is>
      </c>
      <c r="B655" s="1" t="inlineStr">
        <is>
          <t>字串</t>
        </is>
      </c>
      <c r="C655" s="1" t="n">
        <v>150</v>
      </c>
      <c r="D655" s="1" t="n">
        <v>0</v>
      </c>
      <c r="E655" s="1">
        <f>IF(B655="數值","(F"&amp;C655&amp;"."&amp;D655&amp;")","(A"&amp;C655&amp;")")</f>
        <v/>
      </c>
      <c r="F655" s="1">
        <f>"alter type "&amp;A655&amp;" "&amp;E655&amp;"."</f>
        <v/>
      </c>
    </row>
    <row r="656">
      <c r="A656" s="1" t="inlineStr">
        <is>
          <t>vKYT5m01</t>
        </is>
      </c>
      <c r="B656" s="1" t="inlineStr">
        <is>
          <t>數值</t>
        </is>
      </c>
      <c r="C656" s="1" t="n">
        <v>2</v>
      </c>
      <c r="D656" s="1" t="n">
        <v>0</v>
      </c>
      <c r="E656" s="1">
        <f>IF(B656="數值","(F"&amp;C656&amp;"."&amp;D656&amp;")","(A"&amp;C656&amp;")")</f>
        <v/>
      </c>
      <c r="F656" s="1">
        <f>"alter type "&amp;A656&amp;" "&amp;E656&amp;"."</f>
        <v/>
      </c>
    </row>
    <row r="657">
      <c r="A657" s="1" t="inlineStr">
        <is>
          <t>vKYT5m02</t>
        </is>
      </c>
      <c r="B657" s="1" t="inlineStr">
        <is>
          <t>數值</t>
        </is>
      </c>
      <c r="C657" s="1" t="n">
        <v>2</v>
      </c>
      <c r="D657" s="1" t="n">
        <v>0</v>
      </c>
      <c r="E657" s="1">
        <f>IF(B657="數值","(F"&amp;C657&amp;"."&amp;D657&amp;")","(A"&amp;C657&amp;")")</f>
        <v/>
      </c>
      <c r="F657" s="1">
        <f>"alter type "&amp;A657&amp;" "&amp;E657&amp;"."</f>
        <v/>
      </c>
    </row>
    <row r="658">
      <c r="A658" s="1" t="inlineStr">
        <is>
          <t>vKYT5m03</t>
        </is>
      </c>
      <c r="B658" s="1" t="inlineStr">
        <is>
          <t>數值</t>
        </is>
      </c>
      <c r="C658" s="1" t="n">
        <v>2</v>
      </c>
      <c r="D658" s="1" t="n">
        <v>0</v>
      </c>
      <c r="E658" s="1">
        <f>IF(B658="數值","(F"&amp;C658&amp;"."&amp;D658&amp;")","(A"&amp;C658&amp;")")</f>
        <v/>
      </c>
      <c r="F658" s="1">
        <f>"alter type "&amp;A658&amp;" "&amp;E658&amp;"."</f>
        <v/>
      </c>
    </row>
    <row r="659">
      <c r="A659" s="1" t="inlineStr">
        <is>
          <t>vKYT5m04</t>
        </is>
      </c>
      <c r="B659" s="1" t="inlineStr">
        <is>
          <t>數值</t>
        </is>
      </c>
      <c r="C659" s="1" t="n">
        <v>2</v>
      </c>
      <c r="D659" s="1" t="n">
        <v>0</v>
      </c>
      <c r="E659" s="1">
        <f>IF(B659="數值","(F"&amp;C659&amp;"."&amp;D659&amp;")","(A"&amp;C659&amp;")")</f>
        <v/>
      </c>
      <c r="F659" s="1">
        <f>"alter type "&amp;A659&amp;" "&amp;E659&amp;"."</f>
        <v/>
      </c>
    </row>
    <row r="660">
      <c r="A660" s="1" t="inlineStr">
        <is>
          <t>vKYT5m05</t>
        </is>
      </c>
      <c r="B660" s="1" t="inlineStr">
        <is>
          <t>數值</t>
        </is>
      </c>
      <c r="C660" s="1" t="n">
        <v>2</v>
      </c>
      <c r="D660" s="1" t="n">
        <v>0</v>
      </c>
      <c r="E660" s="1">
        <f>IF(B660="數值","(F"&amp;C660&amp;"."&amp;D660&amp;")","(A"&amp;C660&amp;")")</f>
        <v/>
      </c>
      <c r="F660" s="1">
        <f>"alter type "&amp;A660&amp;" "&amp;E660&amp;"."</f>
        <v/>
      </c>
    </row>
    <row r="661">
      <c r="A661" s="1" t="inlineStr">
        <is>
          <t>vKYT5m06</t>
        </is>
      </c>
      <c r="B661" s="1" t="inlineStr">
        <is>
          <t>數值</t>
        </is>
      </c>
      <c r="C661" s="1" t="n">
        <v>2</v>
      </c>
      <c r="D661" s="1" t="n">
        <v>0</v>
      </c>
      <c r="E661" s="1">
        <f>IF(B661="數值","(F"&amp;C661&amp;"."&amp;D661&amp;")","(A"&amp;C661&amp;")")</f>
        <v/>
      </c>
      <c r="F661" s="1">
        <f>"alter type "&amp;A661&amp;" "&amp;E661&amp;"."</f>
        <v/>
      </c>
    </row>
    <row r="662">
      <c r="A662" s="1" t="inlineStr">
        <is>
          <t>vKYT5m07</t>
        </is>
      </c>
      <c r="B662" s="1" t="inlineStr">
        <is>
          <t>數值</t>
        </is>
      </c>
      <c r="C662" s="1" t="n">
        <v>2</v>
      </c>
      <c r="D662" s="1" t="n">
        <v>0</v>
      </c>
      <c r="E662" s="1">
        <f>IF(B662="數值","(F"&amp;C662&amp;"."&amp;D662&amp;")","(A"&amp;C662&amp;")")</f>
        <v/>
      </c>
      <c r="F662" s="1">
        <f>"alter type "&amp;A662&amp;" "&amp;E662&amp;"."</f>
        <v/>
      </c>
    </row>
    <row r="663">
      <c r="A663" s="1" t="inlineStr">
        <is>
          <t>vKYT5m08</t>
        </is>
      </c>
      <c r="B663" s="1" t="inlineStr">
        <is>
          <t>數值</t>
        </is>
      </c>
      <c r="C663" s="1" t="n">
        <v>2</v>
      </c>
      <c r="D663" s="1" t="n">
        <v>0</v>
      </c>
      <c r="E663" s="1">
        <f>IF(B663="數值","(F"&amp;C663&amp;"."&amp;D663&amp;")","(A"&amp;C663&amp;")")</f>
        <v/>
      </c>
      <c r="F663" s="1">
        <f>"alter type "&amp;A663&amp;" "&amp;E663&amp;"."</f>
        <v/>
      </c>
    </row>
    <row r="664">
      <c r="A664" s="1" t="inlineStr">
        <is>
          <t>vKYT5m09</t>
        </is>
      </c>
      <c r="B664" s="1" t="inlineStr">
        <is>
          <t>數值</t>
        </is>
      </c>
      <c r="C664" s="1" t="n">
        <v>2</v>
      </c>
      <c r="D664" s="1" t="n">
        <v>0</v>
      </c>
      <c r="E664" s="1">
        <f>IF(B664="數值","(F"&amp;C664&amp;"."&amp;D664&amp;")","(A"&amp;C664&amp;")")</f>
        <v/>
      </c>
      <c r="F664" s="1">
        <f>"alter type "&amp;A664&amp;" "&amp;E664&amp;"."</f>
        <v/>
      </c>
    </row>
    <row r="665">
      <c r="A665" s="1" t="inlineStr">
        <is>
          <t>vKYT5m10</t>
        </is>
      </c>
      <c r="B665" s="1" t="inlineStr">
        <is>
          <t>數值</t>
        </is>
      </c>
      <c r="C665" s="1" t="n">
        <v>2</v>
      </c>
      <c r="D665" s="1" t="n">
        <v>0</v>
      </c>
      <c r="E665" s="1">
        <f>IF(B665="數值","(F"&amp;C665&amp;"."&amp;D665&amp;")","(A"&amp;C665&amp;")")</f>
        <v/>
      </c>
      <c r="F665" s="1">
        <f>"alter type "&amp;A665&amp;" "&amp;E665&amp;"."</f>
        <v/>
      </c>
    </row>
    <row r="666">
      <c r="A666" s="1" t="inlineStr">
        <is>
          <t>vKYT5m11</t>
        </is>
      </c>
      <c r="B666" s="1" t="inlineStr">
        <is>
          <t>數值</t>
        </is>
      </c>
      <c r="C666" s="1" t="n">
        <v>2</v>
      </c>
      <c r="D666" s="1" t="n">
        <v>0</v>
      </c>
      <c r="E666" s="1">
        <f>IF(B666="數值","(F"&amp;C666&amp;"."&amp;D666&amp;")","(A"&amp;C666&amp;")")</f>
        <v/>
      </c>
      <c r="F666" s="1">
        <f>"alter type "&amp;A666&amp;" "&amp;E666&amp;"."</f>
        <v/>
      </c>
    </row>
    <row r="667">
      <c r="A667" s="1" t="inlineStr">
        <is>
          <t>vKYT5m12</t>
        </is>
      </c>
      <c r="B667" s="1" t="inlineStr">
        <is>
          <t>數值</t>
        </is>
      </c>
      <c r="C667" s="1" t="n">
        <v>2</v>
      </c>
      <c r="D667" s="1" t="n">
        <v>0</v>
      </c>
      <c r="E667" s="1">
        <f>IF(B667="數值","(F"&amp;C667&amp;"."&amp;D667&amp;")","(A"&amp;C667&amp;")")</f>
        <v/>
      </c>
      <c r="F667" s="1">
        <f>"alter type "&amp;A667&amp;" "&amp;E667&amp;"."</f>
        <v/>
      </c>
    </row>
    <row r="668">
      <c r="A668" s="1" t="inlineStr">
        <is>
          <t>vKYT5m13</t>
        </is>
      </c>
      <c r="B668" s="1" t="inlineStr">
        <is>
          <t>數值</t>
        </is>
      </c>
      <c r="C668" s="1" t="n">
        <v>2</v>
      </c>
      <c r="D668" s="1" t="n">
        <v>0</v>
      </c>
      <c r="E668" s="1">
        <f>IF(B668="數值","(F"&amp;C668&amp;"."&amp;D668&amp;")","(A"&amp;C668&amp;")")</f>
        <v/>
      </c>
      <c r="F668" s="1">
        <f>"alter type "&amp;A668&amp;" "&amp;E668&amp;"."</f>
        <v/>
      </c>
    </row>
    <row r="669">
      <c r="A669" s="1" t="inlineStr">
        <is>
          <t>vKYT5m14</t>
        </is>
      </c>
      <c r="B669" s="1" t="inlineStr">
        <is>
          <t>數值</t>
        </is>
      </c>
      <c r="C669" s="1" t="n">
        <v>2</v>
      </c>
      <c r="D669" s="1" t="n">
        <v>0</v>
      </c>
      <c r="E669" s="1">
        <f>IF(B669="數值","(F"&amp;C669&amp;"."&amp;D669&amp;")","(A"&amp;C669&amp;")")</f>
        <v/>
      </c>
      <c r="F669" s="1">
        <f>"alter type "&amp;A669&amp;" "&amp;E669&amp;"."</f>
        <v/>
      </c>
    </row>
    <row r="670">
      <c r="A670" s="1" t="inlineStr">
        <is>
          <t>vKYT5m15</t>
        </is>
      </c>
      <c r="B670" s="1" t="inlineStr">
        <is>
          <t>數值</t>
        </is>
      </c>
      <c r="C670" s="1" t="n">
        <v>2</v>
      </c>
      <c r="D670" s="1" t="n">
        <v>0</v>
      </c>
      <c r="E670" s="1">
        <f>IF(B670="數值","(F"&amp;C670&amp;"."&amp;D670&amp;")","(A"&amp;C670&amp;")")</f>
        <v/>
      </c>
      <c r="F670" s="1">
        <f>"alter type "&amp;A670&amp;" "&amp;E670&amp;"."</f>
        <v/>
      </c>
    </row>
    <row r="671">
      <c r="A671" s="1" t="inlineStr">
        <is>
          <t>vKYT5m16</t>
        </is>
      </c>
      <c r="B671" s="1" t="inlineStr">
        <is>
          <t>數值</t>
        </is>
      </c>
      <c r="C671" s="1" t="n">
        <v>2</v>
      </c>
      <c r="D671" s="1" t="n">
        <v>0</v>
      </c>
      <c r="E671" s="1">
        <f>IF(B671="數值","(F"&amp;C671&amp;"."&amp;D671&amp;")","(A"&amp;C671&amp;")")</f>
        <v/>
      </c>
      <c r="F671" s="1">
        <f>"alter type "&amp;A671&amp;" "&amp;E671&amp;"."</f>
        <v/>
      </c>
    </row>
    <row r="672">
      <c r="A672" s="1" t="inlineStr">
        <is>
          <t>vKYT5m17</t>
        </is>
      </c>
      <c r="B672" s="1" t="inlineStr">
        <is>
          <t>數值</t>
        </is>
      </c>
      <c r="C672" s="1" t="n">
        <v>2</v>
      </c>
      <c r="D672" s="1" t="n">
        <v>0</v>
      </c>
      <c r="E672" s="1">
        <f>IF(B672="數值","(F"&amp;C672&amp;"."&amp;D672&amp;")","(A"&amp;C672&amp;")")</f>
        <v/>
      </c>
      <c r="F672" s="1">
        <f>"alter type "&amp;A672&amp;" "&amp;E672&amp;"."</f>
        <v/>
      </c>
    </row>
    <row r="673">
      <c r="A673" s="1" t="inlineStr">
        <is>
          <t>vKYT5m18</t>
        </is>
      </c>
      <c r="B673" s="1" t="inlineStr">
        <is>
          <t>數值</t>
        </is>
      </c>
      <c r="C673" s="1" t="n">
        <v>2</v>
      </c>
      <c r="D673" s="1" t="n">
        <v>0</v>
      </c>
      <c r="E673" s="1">
        <f>IF(B673="數值","(F"&amp;C673&amp;"."&amp;D673&amp;")","(A"&amp;C673&amp;")")</f>
        <v/>
      </c>
      <c r="F673" s="1">
        <f>"alter type "&amp;A673&amp;" "&amp;E673&amp;"."</f>
        <v/>
      </c>
    </row>
    <row r="674">
      <c r="A674" s="1" t="inlineStr">
        <is>
          <t>vKYT5m19</t>
        </is>
      </c>
      <c r="B674" s="1" t="inlineStr">
        <is>
          <t>數值</t>
        </is>
      </c>
      <c r="C674" s="1" t="n">
        <v>2</v>
      </c>
      <c r="D674" s="1" t="n">
        <v>0</v>
      </c>
      <c r="E674" s="1">
        <f>IF(B674="數值","(F"&amp;C674&amp;"."&amp;D674&amp;")","(A"&amp;C674&amp;")")</f>
        <v/>
      </c>
      <c r="F674" s="1">
        <f>"alter type "&amp;A674&amp;" "&amp;E674&amp;"."</f>
        <v/>
      </c>
    </row>
    <row r="675">
      <c r="A675" s="1" t="inlineStr">
        <is>
          <t>vKYT5m20</t>
        </is>
      </c>
      <c r="B675" s="1" t="inlineStr">
        <is>
          <t>數值</t>
        </is>
      </c>
      <c r="C675" s="1" t="n">
        <v>2</v>
      </c>
      <c r="D675" s="1" t="n">
        <v>0</v>
      </c>
      <c r="E675" s="1">
        <f>IF(B675="數值","(F"&amp;C675&amp;"."&amp;D675&amp;")","(A"&amp;C675&amp;")")</f>
        <v/>
      </c>
      <c r="F675" s="1">
        <f>"alter type "&amp;A675&amp;" "&amp;E675&amp;"."</f>
        <v/>
      </c>
    </row>
    <row r="676">
      <c r="A676" s="1" t="inlineStr">
        <is>
          <t>vKYT5m21</t>
        </is>
      </c>
      <c r="B676" s="1" t="inlineStr">
        <is>
          <t>數值</t>
        </is>
      </c>
      <c r="C676" s="1" t="n">
        <v>2</v>
      </c>
      <c r="D676" s="1" t="n">
        <v>0</v>
      </c>
      <c r="E676" s="1">
        <f>IF(B676="數值","(F"&amp;C676&amp;"."&amp;D676&amp;")","(A"&amp;C676&amp;")")</f>
        <v/>
      </c>
      <c r="F676" s="1">
        <f>"alter type "&amp;A676&amp;" "&amp;E676&amp;"."</f>
        <v/>
      </c>
    </row>
    <row r="677">
      <c r="A677" s="1" t="inlineStr">
        <is>
          <t>vKYT5m22</t>
        </is>
      </c>
      <c r="B677" s="1" t="inlineStr">
        <is>
          <t>數值</t>
        </is>
      </c>
      <c r="C677" s="1" t="n">
        <v>2</v>
      </c>
      <c r="D677" s="1" t="n">
        <v>0</v>
      </c>
      <c r="E677" s="1">
        <f>IF(B677="數值","(F"&amp;C677&amp;"."&amp;D677&amp;")","(A"&amp;C677&amp;")")</f>
        <v/>
      </c>
      <c r="F677" s="1">
        <f>"alter type "&amp;A677&amp;" "&amp;E677&amp;"."</f>
        <v/>
      </c>
    </row>
    <row r="678">
      <c r="A678" s="1" t="inlineStr">
        <is>
          <t>vKYT5m23</t>
        </is>
      </c>
      <c r="B678" s="1" t="inlineStr">
        <is>
          <t>數值</t>
        </is>
      </c>
      <c r="C678" s="1" t="n">
        <v>2</v>
      </c>
      <c r="D678" s="1" t="n">
        <v>0</v>
      </c>
      <c r="E678" s="1">
        <f>IF(B678="數值","(F"&amp;C678&amp;"."&amp;D678&amp;")","(A"&amp;C678&amp;")")</f>
        <v/>
      </c>
      <c r="F678" s="1">
        <f>"alter type "&amp;A678&amp;" "&amp;E678&amp;"."</f>
        <v/>
      </c>
    </row>
    <row r="679">
      <c r="A679" s="1" t="inlineStr">
        <is>
          <t>vKYT5m24</t>
        </is>
      </c>
      <c r="B679" s="1" t="inlineStr">
        <is>
          <t>數值</t>
        </is>
      </c>
      <c r="C679" s="1" t="n">
        <v>2</v>
      </c>
      <c r="D679" s="1" t="n">
        <v>0</v>
      </c>
      <c r="E679" s="1">
        <f>IF(B679="數值","(F"&amp;C679&amp;"."&amp;D679&amp;")","(A"&amp;C679&amp;")")</f>
        <v/>
      </c>
      <c r="F679" s="1">
        <f>"alter type "&amp;A679&amp;" "&amp;E679&amp;"."</f>
        <v/>
      </c>
    </row>
    <row r="680">
      <c r="A680" s="1" t="inlineStr">
        <is>
          <t>vKYT5m25</t>
        </is>
      </c>
      <c r="B680" s="1" t="inlineStr">
        <is>
          <t>數值</t>
        </is>
      </c>
      <c r="C680" s="1" t="n">
        <v>2</v>
      </c>
      <c r="D680" s="1" t="n">
        <v>0</v>
      </c>
      <c r="E680" s="1">
        <f>IF(B680="數值","(F"&amp;C680&amp;"."&amp;D680&amp;")","(A"&amp;C680&amp;")")</f>
        <v/>
      </c>
      <c r="F680" s="1">
        <f>"alter type "&amp;A680&amp;" "&amp;E680&amp;"."</f>
        <v/>
      </c>
    </row>
    <row r="681">
      <c r="A681" s="1" t="inlineStr">
        <is>
          <t>vKYT5m26</t>
        </is>
      </c>
      <c r="B681" s="1" t="inlineStr">
        <is>
          <t>數值</t>
        </is>
      </c>
      <c r="C681" s="1" t="n">
        <v>2</v>
      </c>
      <c r="D681" s="1" t="n">
        <v>0</v>
      </c>
      <c r="E681" s="1">
        <f>IF(B681="數值","(F"&amp;C681&amp;"."&amp;D681&amp;")","(A"&amp;C681&amp;")")</f>
        <v/>
      </c>
      <c r="F681" s="1">
        <f>"alter type "&amp;A681&amp;" "&amp;E681&amp;"."</f>
        <v/>
      </c>
    </row>
    <row r="682">
      <c r="A682" s="1" t="inlineStr">
        <is>
          <t>vKYT5m27</t>
        </is>
      </c>
      <c r="B682" s="1" t="inlineStr">
        <is>
          <t>數值</t>
        </is>
      </c>
      <c r="C682" s="1" t="n">
        <v>2</v>
      </c>
      <c r="D682" s="1" t="n">
        <v>0</v>
      </c>
      <c r="E682" s="1">
        <f>IF(B682="數值","(F"&amp;C682&amp;"."&amp;D682&amp;")","(A"&amp;C682&amp;")")</f>
        <v/>
      </c>
      <c r="F682" s="1">
        <f>"alter type "&amp;A682&amp;" "&amp;E682&amp;"."</f>
        <v/>
      </c>
    </row>
    <row r="683">
      <c r="A683" s="1" t="inlineStr">
        <is>
          <t>vKYT5m28</t>
        </is>
      </c>
      <c r="B683" s="1" t="inlineStr">
        <is>
          <t>數值</t>
        </is>
      </c>
      <c r="C683" s="1" t="n">
        <v>2</v>
      </c>
      <c r="D683" s="1" t="n">
        <v>0</v>
      </c>
      <c r="E683" s="1">
        <f>IF(B683="數值","(F"&amp;C683&amp;"."&amp;D683&amp;")","(A"&amp;C683&amp;")")</f>
        <v/>
      </c>
      <c r="F683" s="1">
        <f>"alter type "&amp;A683&amp;" "&amp;E683&amp;"."</f>
        <v/>
      </c>
    </row>
    <row r="684">
      <c r="A684" s="1" t="inlineStr">
        <is>
          <t>vKYT5m29</t>
        </is>
      </c>
      <c r="B684" s="1" t="inlineStr">
        <is>
          <t>數值</t>
        </is>
      </c>
      <c r="C684" s="1" t="n">
        <v>2</v>
      </c>
      <c r="D684" s="1" t="n">
        <v>0</v>
      </c>
      <c r="E684" s="1">
        <f>IF(B684="數值","(F"&amp;C684&amp;"."&amp;D684&amp;")","(A"&amp;C684&amp;")")</f>
        <v/>
      </c>
      <c r="F684" s="1">
        <f>"alter type "&amp;A684&amp;" "&amp;E684&amp;"."</f>
        <v/>
      </c>
    </row>
    <row r="685">
      <c r="A685" s="1" t="inlineStr">
        <is>
          <t>vKYT5m30</t>
        </is>
      </c>
      <c r="B685" s="1" t="inlineStr">
        <is>
          <t>數值</t>
        </is>
      </c>
      <c r="C685" s="1" t="n">
        <v>2</v>
      </c>
      <c r="D685" s="1" t="n">
        <v>0</v>
      </c>
      <c r="E685" s="1">
        <f>IF(B685="數值","(F"&amp;C685&amp;"."&amp;D685&amp;")","(A"&amp;C685&amp;")")</f>
        <v/>
      </c>
      <c r="F685" s="1">
        <f>"alter type "&amp;A685&amp;" "&amp;E685&amp;"."</f>
        <v/>
      </c>
    </row>
    <row r="686">
      <c r="A686" s="1" t="inlineStr">
        <is>
          <t>vKYT5m31</t>
        </is>
      </c>
      <c r="B686" s="1" t="inlineStr">
        <is>
          <t>數值</t>
        </is>
      </c>
      <c r="C686" s="1" t="n">
        <v>2</v>
      </c>
      <c r="D686" s="1" t="n">
        <v>0</v>
      </c>
      <c r="E686" s="1">
        <f>IF(B686="數值","(F"&amp;C686&amp;"."&amp;D686&amp;")","(A"&amp;C686&amp;")")</f>
        <v/>
      </c>
      <c r="F686" s="1">
        <f>"alter type "&amp;A686&amp;" "&amp;E686&amp;"."</f>
        <v/>
      </c>
    </row>
    <row r="687">
      <c r="A687" s="1" t="inlineStr">
        <is>
          <t>vKYT5m32</t>
        </is>
      </c>
      <c r="B687" s="1" t="inlineStr">
        <is>
          <t>數值</t>
        </is>
      </c>
      <c r="C687" s="1" t="n">
        <v>2</v>
      </c>
      <c r="D687" s="1" t="n">
        <v>0</v>
      </c>
      <c r="E687" s="1">
        <f>IF(B687="數值","(F"&amp;C687&amp;"."&amp;D687&amp;")","(A"&amp;C687&amp;")")</f>
        <v/>
      </c>
      <c r="F687" s="1">
        <f>"alter type "&amp;A687&amp;" "&amp;E687&amp;"."</f>
        <v/>
      </c>
    </row>
    <row r="688">
      <c r="A688" s="1" t="inlineStr">
        <is>
          <t>vKYT5m33</t>
        </is>
      </c>
      <c r="B688" s="1" t="inlineStr">
        <is>
          <t>數值</t>
        </is>
      </c>
      <c r="C688" s="1" t="n">
        <v>2</v>
      </c>
      <c r="D688" s="1" t="n">
        <v>0</v>
      </c>
      <c r="E688" s="1">
        <f>IF(B688="數值","(F"&amp;C688&amp;"."&amp;D688&amp;")","(A"&amp;C688&amp;")")</f>
        <v/>
      </c>
      <c r="F688" s="1">
        <f>"alter type "&amp;A688&amp;" "&amp;E688&amp;"."</f>
        <v/>
      </c>
    </row>
    <row r="689">
      <c r="A689" s="1" t="inlineStr">
        <is>
          <t>vKYT5m34</t>
        </is>
      </c>
      <c r="B689" s="1" t="inlineStr">
        <is>
          <t>數值</t>
        </is>
      </c>
      <c r="C689" s="1" t="n">
        <v>2</v>
      </c>
      <c r="D689" s="1" t="n">
        <v>0</v>
      </c>
      <c r="E689" s="1">
        <f>IF(B689="數值","(F"&amp;C689&amp;"."&amp;D689&amp;")","(A"&amp;C689&amp;")")</f>
        <v/>
      </c>
      <c r="F689" s="1">
        <f>"alter type "&amp;A689&amp;" "&amp;E689&amp;"."</f>
        <v/>
      </c>
    </row>
    <row r="690">
      <c r="A690" s="1" t="inlineStr">
        <is>
          <t>vKYT5m35</t>
        </is>
      </c>
      <c r="B690" s="1" t="inlineStr">
        <is>
          <t>數值</t>
        </is>
      </c>
      <c r="C690" s="1" t="n">
        <v>2</v>
      </c>
      <c r="D690" s="1" t="n">
        <v>0</v>
      </c>
      <c r="E690" s="1">
        <f>IF(B690="數值","(F"&amp;C690&amp;"."&amp;D690&amp;")","(A"&amp;C690&amp;")")</f>
        <v/>
      </c>
      <c r="F690" s="1">
        <f>"alter type "&amp;A690&amp;" "&amp;E690&amp;"."</f>
        <v/>
      </c>
    </row>
    <row r="691">
      <c r="A691" s="1" t="inlineStr">
        <is>
          <t>vKYT5m36</t>
        </is>
      </c>
      <c r="B691" s="1" t="inlineStr">
        <is>
          <t>數值</t>
        </is>
      </c>
      <c r="C691" s="1" t="n">
        <v>2</v>
      </c>
      <c r="D691" s="1" t="n">
        <v>0</v>
      </c>
      <c r="E691" s="1">
        <f>IF(B691="數值","(F"&amp;C691&amp;"."&amp;D691&amp;")","(A"&amp;C691&amp;")")</f>
        <v/>
      </c>
      <c r="F691" s="1">
        <f>"alter type "&amp;A691&amp;" "&amp;E691&amp;"."</f>
        <v/>
      </c>
    </row>
    <row r="692">
      <c r="A692" s="1" t="inlineStr">
        <is>
          <t>vKYT5m37</t>
        </is>
      </c>
      <c r="B692" s="1" t="inlineStr">
        <is>
          <t>數值</t>
        </is>
      </c>
      <c r="C692" s="1" t="n">
        <v>2</v>
      </c>
      <c r="D692" s="1" t="n">
        <v>0</v>
      </c>
      <c r="E692" s="1">
        <f>IF(B692="數值","(F"&amp;C692&amp;"."&amp;D692&amp;")","(A"&amp;C692&amp;")")</f>
        <v/>
      </c>
      <c r="F692" s="1">
        <f>"alter type "&amp;A692&amp;" "&amp;E692&amp;"."</f>
        <v/>
      </c>
    </row>
    <row r="693">
      <c r="A693" s="1" t="inlineStr">
        <is>
          <t>vKYT5m88</t>
        </is>
      </c>
      <c r="B693" s="1" t="inlineStr">
        <is>
          <t>數值</t>
        </is>
      </c>
      <c r="C693" s="1" t="n">
        <v>2</v>
      </c>
      <c r="D693" s="1" t="n">
        <v>0</v>
      </c>
      <c r="E693" s="1">
        <f>IF(B693="數值","(F"&amp;C693&amp;"."&amp;D693&amp;")","(A"&amp;C693&amp;")")</f>
        <v/>
      </c>
      <c r="F693" s="1">
        <f>"alter type "&amp;A693&amp;" "&amp;E693&amp;"."</f>
        <v/>
      </c>
    </row>
    <row r="694">
      <c r="A694" s="1" t="inlineStr">
        <is>
          <t>vKYT5o88</t>
        </is>
      </c>
      <c r="B694" s="1" t="inlineStr">
        <is>
          <t>字串</t>
        </is>
      </c>
      <c r="C694" s="1" t="n">
        <v>150</v>
      </c>
      <c r="D694" s="1" t="n">
        <v>0</v>
      </c>
      <c r="E694" s="1">
        <f>IF(B694="數值","(F"&amp;C694&amp;"."&amp;D694&amp;")","(A"&amp;C694&amp;")")</f>
        <v/>
      </c>
      <c r="F694" s="1">
        <f>"alter type "&amp;A694&amp;" "&amp;E694&amp;"."</f>
        <v/>
      </c>
    </row>
    <row r="695">
      <c r="A695" s="1" t="inlineStr">
        <is>
          <t>vKYT6</t>
        </is>
      </c>
      <c r="B695" s="1" t="inlineStr">
        <is>
          <t>數值</t>
        </is>
      </c>
      <c r="C695" s="1" t="n">
        <v>2</v>
      </c>
      <c r="D695" s="1" t="n">
        <v>0</v>
      </c>
      <c r="E695" s="1">
        <f>IF(B695="數值","(F"&amp;C695&amp;"."&amp;D695&amp;")","(A"&amp;C695&amp;")")</f>
        <v/>
      </c>
      <c r="F695" s="1">
        <f>"alter type "&amp;A695&amp;" "&amp;E695&amp;"."</f>
        <v/>
      </c>
    </row>
    <row r="696">
      <c r="A696" s="1" t="inlineStr">
        <is>
          <t>vKYT7m01</t>
        </is>
      </c>
      <c r="B696" s="1" t="inlineStr">
        <is>
          <t>數值</t>
        </is>
      </c>
      <c r="C696" s="1" t="n">
        <v>2</v>
      </c>
      <c r="D696" s="1" t="n">
        <v>0</v>
      </c>
      <c r="E696" s="1">
        <f>IF(B696="數值","(F"&amp;C696&amp;"."&amp;D696&amp;")","(A"&amp;C696&amp;")")</f>
        <v/>
      </c>
      <c r="F696" s="1">
        <f>"alter type "&amp;A696&amp;" "&amp;E696&amp;"."</f>
        <v/>
      </c>
    </row>
    <row r="697">
      <c r="A697" s="1" t="inlineStr">
        <is>
          <t>vKYT7m02</t>
        </is>
      </c>
      <c r="B697" s="1" t="inlineStr">
        <is>
          <t>數值</t>
        </is>
      </c>
      <c r="C697" s="1" t="n">
        <v>2</v>
      </c>
      <c r="D697" s="1" t="n">
        <v>0</v>
      </c>
      <c r="E697" s="1">
        <f>IF(B697="數值","(F"&amp;C697&amp;"."&amp;D697&amp;")","(A"&amp;C697&amp;")")</f>
        <v/>
      </c>
      <c r="F697" s="1">
        <f>"alter type "&amp;A697&amp;" "&amp;E697&amp;"."</f>
        <v/>
      </c>
    </row>
    <row r="698">
      <c r="A698" s="1" t="inlineStr">
        <is>
          <t>vKYT7m03</t>
        </is>
      </c>
      <c r="B698" s="1" t="inlineStr">
        <is>
          <t>數值</t>
        </is>
      </c>
      <c r="C698" s="1" t="n">
        <v>2</v>
      </c>
      <c r="D698" s="1" t="n">
        <v>0</v>
      </c>
      <c r="E698" s="1">
        <f>IF(B698="數值","(F"&amp;C698&amp;"."&amp;D698&amp;")","(A"&amp;C698&amp;")")</f>
        <v/>
      </c>
      <c r="F698" s="1">
        <f>"alter type "&amp;A698&amp;" "&amp;E698&amp;"."</f>
        <v/>
      </c>
    </row>
    <row r="699">
      <c r="A699" s="1" t="inlineStr">
        <is>
          <t>vKYT7m04</t>
        </is>
      </c>
      <c r="B699" s="1" t="inlineStr">
        <is>
          <t>數值</t>
        </is>
      </c>
      <c r="C699" s="1" t="n">
        <v>2</v>
      </c>
      <c r="D699" s="1" t="n">
        <v>0</v>
      </c>
      <c r="E699" s="1">
        <f>IF(B699="數值","(F"&amp;C699&amp;"."&amp;D699&amp;")","(A"&amp;C699&amp;")")</f>
        <v/>
      </c>
      <c r="F699" s="1">
        <f>"alter type "&amp;A699&amp;" "&amp;E699&amp;"."</f>
        <v/>
      </c>
    </row>
    <row r="700">
      <c r="A700" s="1" t="inlineStr">
        <is>
          <t>vKYT7m05</t>
        </is>
      </c>
      <c r="B700" s="1" t="inlineStr">
        <is>
          <t>數值</t>
        </is>
      </c>
      <c r="C700" s="1" t="n">
        <v>2</v>
      </c>
      <c r="D700" s="1" t="n">
        <v>0</v>
      </c>
      <c r="E700" s="1">
        <f>IF(B700="數值","(F"&amp;C700&amp;"."&amp;D700&amp;")","(A"&amp;C700&amp;")")</f>
        <v/>
      </c>
      <c r="F700" s="1">
        <f>"alter type "&amp;A700&amp;" "&amp;E700&amp;"."</f>
        <v/>
      </c>
    </row>
    <row r="701">
      <c r="A701" s="1" t="inlineStr">
        <is>
          <t>vKYT7m06</t>
        </is>
      </c>
      <c r="B701" s="1" t="inlineStr">
        <is>
          <t>數值</t>
        </is>
      </c>
      <c r="C701" s="1" t="n">
        <v>2</v>
      </c>
      <c r="D701" s="1" t="n">
        <v>0</v>
      </c>
      <c r="E701" s="1">
        <f>IF(B701="數值","(F"&amp;C701&amp;"."&amp;D701&amp;")","(A"&amp;C701&amp;")")</f>
        <v/>
      </c>
      <c r="F701" s="1">
        <f>"alter type "&amp;A701&amp;" "&amp;E701&amp;"."</f>
        <v/>
      </c>
    </row>
    <row r="702">
      <c r="A702" s="1" t="inlineStr">
        <is>
          <t>vKYT7m07</t>
        </is>
      </c>
      <c r="B702" s="1" t="inlineStr">
        <is>
          <t>數值</t>
        </is>
      </c>
      <c r="C702" s="1" t="n">
        <v>2</v>
      </c>
      <c r="D702" s="1" t="n">
        <v>0</v>
      </c>
      <c r="E702" s="1">
        <f>IF(B702="數值","(F"&amp;C702&amp;"."&amp;D702&amp;")","(A"&amp;C702&amp;")")</f>
        <v/>
      </c>
      <c r="F702" s="1">
        <f>"alter type "&amp;A702&amp;" "&amp;E702&amp;"."</f>
        <v/>
      </c>
    </row>
    <row r="703">
      <c r="A703" s="1" t="inlineStr">
        <is>
          <t>vKYT7m08</t>
        </is>
      </c>
      <c r="B703" s="1" t="inlineStr">
        <is>
          <t>數值</t>
        </is>
      </c>
      <c r="C703" s="1" t="n">
        <v>2</v>
      </c>
      <c r="D703" s="1" t="n">
        <v>0</v>
      </c>
      <c r="E703" s="1">
        <f>IF(B703="數值","(F"&amp;C703&amp;"."&amp;D703&amp;")","(A"&amp;C703&amp;")")</f>
        <v/>
      </c>
      <c r="F703" s="1">
        <f>"alter type "&amp;A703&amp;" "&amp;E703&amp;"."</f>
        <v/>
      </c>
    </row>
    <row r="704">
      <c r="A704" s="1" t="inlineStr">
        <is>
          <t>vKYT7m09</t>
        </is>
      </c>
      <c r="B704" s="1" t="inlineStr">
        <is>
          <t>數值</t>
        </is>
      </c>
      <c r="C704" s="1" t="n">
        <v>2</v>
      </c>
      <c r="D704" s="1" t="n">
        <v>0</v>
      </c>
      <c r="E704" s="1">
        <f>IF(B704="數值","(F"&amp;C704&amp;"."&amp;D704&amp;")","(A"&amp;C704&amp;")")</f>
        <v/>
      </c>
      <c r="F704" s="1">
        <f>"alter type "&amp;A704&amp;" "&amp;E704&amp;"."</f>
        <v/>
      </c>
    </row>
    <row r="705">
      <c r="A705" s="1" t="inlineStr">
        <is>
          <t>vKYT7m10</t>
        </is>
      </c>
      <c r="B705" s="1" t="inlineStr">
        <is>
          <t>數值</t>
        </is>
      </c>
      <c r="C705" s="1" t="n">
        <v>2</v>
      </c>
      <c r="D705" s="1" t="n">
        <v>0</v>
      </c>
      <c r="E705" s="1">
        <f>IF(B705="數值","(F"&amp;C705&amp;"."&amp;D705&amp;")","(A"&amp;C705&amp;")")</f>
        <v/>
      </c>
      <c r="F705" s="1">
        <f>"alter type "&amp;A705&amp;" "&amp;E705&amp;"."</f>
        <v/>
      </c>
    </row>
    <row r="706">
      <c r="A706" s="1" t="inlineStr">
        <is>
          <t>vKYT7m11</t>
        </is>
      </c>
      <c r="B706" s="1" t="inlineStr">
        <is>
          <t>數值</t>
        </is>
      </c>
      <c r="C706" s="1" t="n">
        <v>2</v>
      </c>
      <c r="D706" s="1" t="n">
        <v>0</v>
      </c>
      <c r="E706" s="1">
        <f>IF(B706="數值","(F"&amp;C706&amp;"."&amp;D706&amp;")","(A"&amp;C706&amp;")")</f>
        <v/>
      </c>
      <c r="F706" s="1">
        <f>"alter type "&amp;A706&amp;" "&amp;E706&amp;"."</f>
        <v/>
      </c>
    </row>
    <row r="707">
      <c r="A707" s="1" t="inlineStr">
        <is>
          <t>vKYT7m12</t>
        </is>
      </c>
      <c r="B707" s="1" t="inlineStr">
        <is>
          <t>數值</t>
        </is>
      </c>
      <c r="C707" s="1" t="n">
        <v>2</v>
      </c>
      <c r="D707" s="1" t="n">
        <v>0</v>
      </c>
      <c r="E707" s="1">
        <f>IF(B707="數值","(F"&amp;C707&amp;"."&amp;D707&amp;")","(A"&amp;C707&amp;")")</f>
        <v/>
      </c>
      <c r="F707" s="1">
        <f>"alter type "&amp;A707&amp;" "&amp;E707&amp;"."</f>
        <v/>
      </c>
    </row>
    <row r="708">
      <c r="A708" s="1" t="inlineStr">
        <is>
          <t>vKYT7m88</t>
        </is>
      </c>
      <c r="B708" s="1" t="inlineStr">
        <is>
          <t>數值</t>
        </is>
      </c>
      <c r="C708" s="1" t="n">
        <v>2</v>
      </c>
      <c r="D708" s="1" t="n">
        <v>0</v>
      </c>
      <c r="E708" s="1">
        <f>IF(B708="數值","(F"&amp;C708&amp;"."&amp;D708&amp;")","(A"&amp;C708&amp;")")</f>
        <v/>
      </c>
      <c r="F708" s="1">
        <f>"alter type "&amp;A708&amp;" "&amp;E708&amp;"."</f>
        <v/>
      </c>
    </row>
    <row r="709">
      <c r="A709" s="1" t="inlineStr">
        <is>
          <t>vKYT7o88</t>
        </is>
      </c>
      <c r="B709" s="1" t="inlineStr">
        <is>
          <t>字串</t>
        </is>
      </c>
      <c r="C709" s="1" t="n">
        <v>150</v>
      </c>
      <c r="D709" s="1" t="n">
        <v>0</v>
      </c>
      <c r="E709" s="1">
        <f>IF(B709="數值","(F"&amp;C709&amp;"."&amp;D709&amp;")","(A"&amp;C709&amp;")")</f>
        <v/>
      </c>
      <c r="F709" s="1">
        <f>"alter type "&amp;A709&amp;" "&amp;E709&amp;"."</f>
        <v/>
      </c>
    </row>
    <row r="710">
      <c r="A710" s="1" t="inlineStr">
        <is>
          <t>vKYT8</t>
        </is>
      </c>
      <c r="B710" s="1" t="inlineStr">
        <is>
          <t>數值</t>
        </is>
      </c>
      <c r="C710" s="1" t="n">
        <v>2</v>
      </c>
      <c r="D710" s="1" t="n">
        <v>0</v>
      </c>
      <c r="E710" s="1">
        <f>IF(B710="數值","(F"&amp;C710&amp;"."&amp;D710&amp;")","(A"&amp;C710&amp;")")</f>
        <v/>
      </c>
      <c r="F710" s="1">
        <f>"alter type "&amp;A710&amp;" "&amp;E710&amp;"."</f>
        <v/>
      </c>
    </row>
    <row r="711">
      <c r="A711" s="1" t="inlineStr">
        <is>
          <t>vKYT9m01</t>
        </is>
      </c>
      <c r="B711" s="1" t="inlineStr">
        <is>
          <t>數值</t>
        </is>
      </c>
      <c r="C711" s="1" t="n">
        <v>2</v>
      </c>
      <c r="D711" s="1" t="n">
        <v>0</v>
      </c>
      <c r="E711" s="1">
        <f>IF(B711="數值","(F"&amp;C711&amp;"."&amp;D711&amp;")","(A"&amp;C711&amp;")")</f>
        <v/>
      </c>
      <c r="F711" s="1">
        <f>"alter type "&amp;A711&amp;" "&amp;E711&amp;"."</f>
        <v/>
      </c>
    </row>
    <row r="712">
      <c r="A712" s="1" t="inlineStr">
        <is>
          <t>vKYT9m02</t>
        </is>
      </c>
      <c r="B712" s="1" t="inlineStr">
        <is>
          <t>數值</t>
        </is>
      </c>
      <c r="C712" s="1" t="n">
        <v>2</v>
      </c>
      <c r="D712" s="1" t="n">
        <v>0</v>
      </c>
      <c r="E712" s="1">
        <f>IF(B712="數值","(F"&amp;C712&amp;"."&amp;D712&amp;")","(A"&amp;C712&amp;")")</f>
        <v/>
      </c>
      <c r="F712" s="1">
        <f>"alter type "&amp;A712&amp;" "&amp;E712&amp;"."</f>
        <v/>
      </c>
    </row>
    <row r="713">
      <c r="A713" s="1" t="inlineStr">
        <is>
          <t>vKYT9m03</t>
        </is>
      </c>
      <c r="B713" s="1" t="inlineStr">
        <is>
          <t>數值</t>
        </is>
      </c>
      <c r="C713" s="1" t="n">
        <v>2</v>
      </c>
      <c r="D713" s="1" t="n">
        <v>0</v>
      </c>
      <c r="E713" s="1">
        <f>IF(B713="數值","(F"&amp;C713&amp;"."&amp;D713&amp;")","(A"&amp;C713&amp;")")</f>
        <v/>
      </c>
      <c r="F713" s="1">
        <f>"alter type "&amp;A713&amp;" "&amp;E713&amp;"."</f>
        <v/>
      </c>
    </row>
    <row r="714">
      <c r="A714" s="1" t="inlineStr">
        <is>
          <t>vKYT9m04</t>
        </is>
      </c>
      <c r="B714" s="1" t="inlineStr">
        <is>
          <t>數值</t>
        </is>
      </c>
      <c r="C714" s="1" t="n">
        <v>2</v>
      </c>
      <c r="D714" s="1" t="n">
        <v>0</v>
      </c>
      <c r="E714" s="1">
        <f>IF(B714="數值","(F"&amp;C714&amp;"."&amp;D714&amp;")","(A"&amp;C714&amp;")")</f>
        <v/>
      </c>
      <c r="F714" s="1">
        <f>"alter type "&amp;A714&amp;" "&amp;E714&amp;"."</f>
        <v/>
      </c>
    </row>
    <row r="715">
      <c r="A715" s="1" t="inlineStr">
        <is>
          <t>vKYT9m05</t>
        </is>
      </c>
      <c r="B715" s="1" t="inlineStr">
        <is>
          <t>數值</t>
        </is>
      </c>
      <c r="C715" s="1" t="n">
        <v>2</v>
      </c>
      <c r="D715" s="1" t="n">
        <v>0</v>
      </c>
      <c r="E715" s="1">
        <f>IF(B715="數值","(F"&amp;C715&amp;"."&amp;D715&amp;")","(A"&amp;C715&amp;")")</f>
        <v/>
      </c>
      <c r="F715" s="1">
        <f>"alter type "&amp;A715&amp;" "&amp;E715&amp;"."</f>
        <v/>
      </c>
    </row>
    <row r="716">
      <c r="A716" s="1" t="inlineStr">
        <is>
          <t>vKYT9m06</t>
        </is>
      </c>
      <c r="B716" s="1" t="inlineStr">
        <is>
          <t>數值</t>
        </is>
      </c>
      <c r="C716" s="1" t="n">
        <v>2</v>
      </c>
      <c r="D716" s="1" t="n">
        <v>0</v>
      </c>
      <c r="E716" s="1">
        <f>IF(B716="數值","(F"&amp;C716&amp;"."&amp;D716&amp;")","(A"&amp;C716&amp;")")</f>
        <v/>
      </c>
      <c r="F716" s="1">
        <f>"alter type "&amp;A716&amp;" "&amp;E716&amp;"."</f>
        <v/>
      </c>
    </row>
    <row r="717">
      <c r="A717" s="1" t="inlineStr">
        <is>
          <t>vKYT9m07</t>
        </is>
      </c>
      <c r="B717" s="1" t="inlineStr">
        <is>
          <t>數值</t>
        </is>
      </c>
      <c r="C717" s="1" t="n">
        <v>2</v>
      </c>
      <c r="D717" s="1" t="n">
        <v>0</v>
      </c>
      <c r="E717" s="1">
        <f>IF(B717="數值","(F"&amp;C717&amp;"."&amp;D717&amp;")","(A"&amp;C717&amp;")")</f>
        <v/>
      </c>
      <c r="F717" s="1">
        <f>"alter type "&amp;A717&amp;" "&amp;E717&amp;"."</f>
        <v/>
      </c>
    </row>
    <row r="718">
      <c r="A718" s="1" t="inlineStr">
        <is>
          <t>vKYT9m08</t>
        </is>
      </c>
      <c r="B718" s="1" t="inlineStr">
        <is>
          <t>數值</t>
        </is>
      </c>
      <c r="C718" s="1" t="n">
        <v>2</v>
      </c>
      <c r="D718" s="1" t="n">
        <v>0</v>
      </c>
      <c r="E718" s="1">
        <f>IF(B718="數值","(F"&amp;C718&amp;"."&amp;D718&amp;")","(A"&amp;C718&amp;")")</f>
        <v/>
      </c>
      <c r="F718" s="1">
        <f>"alter type "&amp;A718&amp;" "&amp;E718&amp;"."</f>
        <v/>
      </c>
    </row>
    <row r="719">
      <c r="A719" s="1" t="inlineStr">
        <is>
          <t>vKYT9m09</t>
        </is>
      </c>
      <c r="B719" s="1" t="inlineStr">
        <is>
          <t>數值</t>
        </is>
      </c>
      <c r="C719" s="1" t="n">
        <v>2</v>
      </c>
      <c r="D719" s="1" t="n">
        <v>0</v>
      </c>
      <c r="E719" s="1">
        <f>IF(B719="數值","(F"&amp;C719&amp;"."&amp;D719&amp;")","(A"&amp;C719&amp;")")</f>
        <v/>
      </c>
      <c r="F719" s="1">
        <f>"alter type "&amp;A719&amp;" "&amp;E719&amp;"."</f>
        <v/>
      </c>
    </row>
    <row r="720">
      <c r="A720" s="1" t="inlineStr">
        <is>
          <t>vKYT9m10</t>
        </is>
      </c>
      <c r="B720" s="1" t="inlineStr">
        <is>
          <t>數值</t>
        </is>
      </c>
      <c r="C720" s="1" t="n">
        <v>2</v>
      </c>
      <c r="D720" s="1" t="n">
        <v>0</v>
      </c>
      <c r="E720" s="1">
        <f>IF(B720="數值","(F"&amp;C720&amp;"."&amp;D720&amp;")","(A"&amp;C720&amp;")")</f>
        <v/>
      </c>
      <c r="F720" s="1">
        <f>"alter type "&amp;A720&amp;" "&amp;E720&amp;"."</f>
        <v/>
      </c>
    </row>
    <row r="721">
      <c r="A721" s="1" t="inlineStr">
        <is>
          <t>vKYT9m11</t>
        </is>
      </c>
      <c r="B721" s="1" t="inlineStr">
        <is>
          <t>數值</t>
        </is>
      </c>
      <c r="C721" s="1" t="n">
        <v>2</v>
      </c>
      <c r="D721" s="1" t="n">
        <v>0</v>
      </c>
      <c r="E721" s="1">
        <f>IF(B721="數值","(F"&amp;C721&amp;"."&amp;D721&amp;")","(A"&amp;C721&amp;")")</f>
        <v/>
      </c>
      <c r="F721" s="1">
        <f>"alter type "&amp;A721&amp;" "&amp;E721&amp;"."</f>
        <v/>
      </c>
    </row>
    <row r="722">
      <c r="A722" s="1" t="inlineStr">
        <is>
          <t>vKYT9m12</t>
        </is>
      </c>
      <c r="B722" s="1" t="inlineStr">
        <is>
          <t>數值</t>
        </is>
      </c>
      <c r="C722" s="1" t="n">
        <v>2</v>
      </c>
      <c r="D722" s="1" t="n">
        <v>0</v>
      </c>
      <c r="E722" s="1">
        <f>IF(B722="數值","(F"&amp;C722&amp;"."&amp;D722&amp;")","(A"&amp;C722&amp;")")</f>
        <v/>
      </c>
      <c r="F722" s="1">
        <f>"alter type "&amp;A722&amp;" "&amp;E722&amp;"."</f>
        <v/>
      </c>
    </row>
    <row r="723">
      <c r="A723" s="1" t="inlineStr">
        <is>
          <t>vKYT9m13</t>
        </is>
      </c>
      <c r="B723" s="1" t="inlineStr">
        <is>
          <t>數值</t>
        </is>
      </c>
      <c r="C723" s="1" t="n">
        <v>2</v>
      </c>
      <c r="D723" s="1" t="n">
        <v>0</v>
      </c>
      <c r="E723" s="1">
        <f>IF(B723="數值","(F"&amp;C723&amp;"."&amp;D723&amp;")","(A"&amp;C723&amp;")")</f>
        <v/>
      </c>
      <c r="F723" s="1">
        <f>"alter type "&amp;A723&amp;" "&amp;E723&amp;"."</f>
        <v/>
      </c>
    </row>
    <row r="724">
      <c r="A724" s="1" t="inlineStr">
        <is>
          <t>vKYT9m88</t>
        </is>
      </c>
      <c r="B724" s="1" t="inlineStr">
        <is>
          <t>數值</t>
        </is>
      </c>
      <c r="C724" s="1" t="n">
        <v>2</v>
      </c>
      <c r="D724" s="1" t="n">
        <v>0</v>
      </c>
      <c r="E724" s="1">
        <f>IF(B724="數值","(F"&amp;C724&amp;"."&amp;D724&amp;")","(A"&amp;C724&amp;")")</f>
        <v/>
      </c>
      <c r="F724" s="1">
        <f>"alter type "&amp;A724&amp;" "&amp;E724&amp;"."</f>
        <v/>
      </c>
    </row>
    <row r="725">
      <c r="A725" s="1" t="inlineStr">
        <is>
          <t>vKYT9o88</t>
        </is>
      </c>
      <c r="B725" s="1" t="inlineStr">
        <is>
          <t>字串</t>
        </is>
      </c>
      <c r="C725" s="1" t="n">
        <v>150</v>
      </c>
      <c r="D725" s="1" t="n">
        <v>0</v>
      </c>
      <c r="E725" s="1">
        <f>IF(B725="數值","(F"&amp;C725&amp;"."&amp;D725&amp;")","(A"&amp;C725&amp;")")</f>
        <v/>
      </c>
      <c r="F725" s="1">
        <f>"alter type "&amp;A725&amp;" "&amp;E725&amp;"."</f>
        <v/>
      </c>
    </row>
    <row r="726">
      <c r="A726" s="1" t="inlineStr">
        <is>
          <t>vM1g1</t>
        </is>
      </c>
      <c r="B726" s="1" t="inlineStr">
        <is>
          <t>數值</t>
        </is>
      </c>
      <c r="C726" s="1" t="n">
        <v>4</v>
      </c>
      <c r="D726" s="1" t="n">
        <v>0</v>
      </c>
      <c r="E726" s="1">
        <f>IF(B726="數值","(F"&amp;C726&amp;"."&amp;D726&amp;")","(A"&amp;C726&amp;")")</f>
        <v/>
      </c>
      <c r="F726" s="1">
        <f>"alter type "&amp;A726&amp;" "&amp;E726&amp;"."</f>
        <v/>
      </c>
    </row>
    <row r="727">
      <c r="A727" s="1" t="inlineStr">
        <is>
          <t>vM1g2</t>
        </is>
      </c>
      <c r="B727" s="1" t="inlineStr">
        <is>
          <t>數值</t>
        </is>
      </c>
      <c r="C727" s="1" t="n">
        <v>2</v>
      </c>
      <c r="D727" s="1" t="n">
        <v>0</v>
      </c>
      <c r="E727" s="1">
        <f>IF(B727="數值","(F"&amp;C727&amp;"."&amp;D727&amp;")","(A"&amp;C727&amp;")")</f>
        <v/>
      </c>
      <c r="F727" s="1">
        <f>"alter type "&amp;A727&amp;" "&amp;E727&amp;"."</f>
        <v/>
      </c>
    </row>
    <row r="728">
      <c r="A728" s="1" t="inlineStr">
        <is>
          <t>vJ1</t>
        </is>
      </c>
      <c r="B728" s="1" t="inlineStr">
        <is>
          <t>數值</t>
        </is>
      </c>
      <c r="C728" s="1" t="n">
        <v>2</v>
      </c>
      <c r="D728" s="1" t="n">
        <v>0</v>
      </c>
      <c r="E728" s="1">
        <f>IF(B728="數值","(F"&amp;C728&amp;"."&amp;D728&amp;")","(A"&amp;C728&amp;")")</f>
        <v/>
      </c>
      <c r="F728" s="1">
        <f>"alter type "&amp;A728&amp;" "&amp;E728&amp;"."</f>
        <v/>
      </c>
    </row>
    <row r="729">
      <c r="A729" s="1" t="inlineStr">
        <is>
          <t>vJ1o88</t>
        </is>
      </c>
      <c r="B729" s="1" t="inlineStr">
        <is>
          <t>字串</t>
        </is>
      </c>
      <c r="C729" s="1" t="n">
        <v>150</v>
      </c>
      <c r="D729" s="1" t="n">
        <v>0</v>
      </c>
      <c r="E729" s="1">
        <f>IF(B729="數值","(F"&amp;C729&amp;"."&amp;D729&amp;")","(A"&amp;C729&amp;")")</f>
        <v/>
      </c>
      <c r="F729" s="1">
        <f>"alter type "&amp;A729&amp;" "&amp;E729&amp;"."</f>
        <v/>
      </c>
    </row>
    <row r="730">
      <c r="A730" s="1" t="inlineStr">
        <is>
          <t>vJ2</t>
        </is>
      </c>
      <c r="B730" s="1" t="inlineStr">
        <is>
          <t>數值</t>
        </is>
      </c>
      <c r="C730" s="1" t="n">
        <v>2</v>
      </c>
      <c r="D730" s="1" t="n">
        <v>0</v>
      </c>
      <c r="E730" s="1">
        <f>IF(B730="數值","(F"&amp;C730&amp;"."&amp;D730&amp;")","(A"&amp;C730&amp;")")</f>
        <v/>
      </c>
      <c r="F730" s="1">
        <f>"alter type "&amp;A730&amp;" "&amp;E730&amp;"."</f>
        <v/>
      </c>
    </row>
    <row r="731">
      <c r="A731" s="1" t="inlineStr">
        <is>
          <t>vJ2o88</t>
        </is>
      </c>
      <c r="B731" s="1" t="inlineStr">
        <is>
          <t>字串</t>
        </is>
      </c>
      <c r="C731" s="1" t="n">
        <v>150</v>
      </c>
      <c r="D731" s="1" t="n">
        <v>0</v>
      </c>
      <c r="E731" s="1">
        <f>IF(B731="數值","(F"&amp;C731&amp;"."&amp;D731&amp;")","(A"&amp;C731&amp;")")</f>
        <v/>
      </c>
      <c r="F731" s="1">
        <f>"alter type "&amp;A731&amp;" "&amp;E731&amp;"."</f>
        <v/>
      </c>
    </row>
    <row r="732">
      <c r="A732" s="1" t="inlineStr">
        <is>
          <t>vJ3</t>
        </is>
      </c>
      <c r="B732" s="1" t="inlineStr">
        <is>
          <t>數值</t>
        </is>
      </c>
      <c r="C732" s="1" t="n">
        <v>2</v>
      </c>
      <c r="D732" s="1" t="n">
        <v>0</v>
      </c>
      <c r="E732" s="1">
        <f>IF(B732="數值","(F"&amp;C732&amp;"."&amp;D732&amp;")","(A"&amp;C732&amp;")")</f>
        <v/>
      </c>
      <c r="F732" s="1">
        <f>"alter type "&amp;A732&amp;" "&amp;E732&amp;"."</f>
        <v/>
      </c>
    </row>
    <row r="733">
      <c r="A733" s="1" t="inlineStr">
        <is>
          <t>vJ3o88</t>
        </is>
      </c>
      <c r="B733" s="1" t="inlineStr">
        <is>
          <t>字串</t>
        </is>
      </c>
      <c r="C733" s="1" t="n">
        <v>150</v>
      </c>
      <c r="D733" s="1" t="n">
        <v>0</v>
      </c>
      <c r="E733" s="1">
        <f>IF(B733="數值","(F"&amp;C733&amp;"."&amp;D733&amp;")","(A"&amp;C733&amp;")")</f>
        <v/>
      </c>
      <c r="F733" s="1">
        <f>"alter type "&amp;A733&amp;" "&amp;E733&amp;"."</f>
        <v/>
      </c>
    </row>
    <row r="734">
      <c r="A734" s="1" t="inlineStr">
        <is>
          <t>vJA1m01</t>
        </is>
      </c>
      <c r="B734" s="1" t="inlineStr">
        <is>
          <t>數值</t>
        </is>
      </c>
      <c r="C734" s="1" t="n">
        <v>2</v>
      </c>
      <c r="D734" s="1" t="n">
        <v>0</v>
      </c>
      <c r="E734" s="1">
        <f>IF(B734="數值","(F"&amp;C734&amp;"."&amp;D734&amp;")","(A"&amp;C734&amp;")")</f>
        <v/>
      </c>
      <c r="F734" s="1">
        <f>"alter type "&amp;A734&amp;" "&amp;E734&amp;"."</f>
        <v/>
      </c>
    </row>
    <row r="735">
      <c r="A735" s="1" t="inlineStr">
        <is>
          <t>vJA1m02</t>
        </is>
      </c>
      <c r="B735" s="1" t="inlineStr">
        <is>
          <t>數值</t>
        </is>
      </c>
      <c r="C735" s="1" t="n">
        <v>2</v>
      </c>
      <c r="D735" s="1" t="n">
        <v>0</v>
      </c>
      <c r="E735" s="1">
        <f>IF(B735="數值","(F"&amp;C735&amp;"."&amp;D735&amp;")","(A"&amp;C735&amp;")")</f>
        <v/>
      </c>
      <c r="F735" s="1">
        <f>"alter type "&amp;A735&amp;" "&amp;E735&amp;"."</f>
        <v/>
      </c>
    </row>
    <row r="736">
      <c r="A736" s="1" t="inlineStr">
        <is>
          <t>vJA1m03</t>
        </is>
      </c>
      <c r="B736" s="1" t="inlineStr">
        <is>
          <t>數值</t>
        </is>
      </c>
      <c r="C736" s="1" t="n">
        <v>2</v>
      </c>
      <c r="D736" s="1" t="n">
        <v>0</v>
      </c>
      <c r="E736" s="1">
        <f>IF(B736="數值","(F"&amp;C736&amp;"."&amp;D736&amp;")","(A"&amp;C736&amp;")")</f>
        <v/>
      </c>
      <c r="F736" s="1">
        <f>"alter type "&amp;A736&amp;" "&amp;E736&amp;"."</f>
        <v/>
      </c>
    </row>
    <row r="737">
      <c r="A737" s="1" t="inlineStr">
        <is>
          <t>vJA1m04</t>
        </is>
      </c>
      <c r="B737" s="1" t="inlineStr">
        <is>
          <t>數值</t>
        </is>
      </c>
      <c r="C737" s="1" t="n">
        <v>2</v>
      </c>
      <c r="D737" s="1" t="n">
        <v>0</v>
      </c>
      <c r="E737" s="1">
        <f>IF(B737="數值","(F"&amp;C737&amp;"."&amp;D737&amp;")","(A"&amp;C737&amp;")")</f>
        <v/>
      </c>
      <c r="F737" s="1">
        <f>"alter type "&amp;A737&amp;" "&amp;E737&amp;"."</f>
        <v/>
      </c>
    </row>
    <row r="738">
      <c r="A738" s="1" t="inlineStr">
        <is>
          <t>vJA1m05</t>
        </is>
      </c>
      <c r="B738" s="1" t="inlineStr">
        <is>
          <t>數值</t>
        </is>
      </c>
      <c r="C738" s="1" t="n">
        <v>2</v>
      </c>
      <c r="D738" s="1" t="n">
        <v>0</v>
      </c>
      <c r="E738" s="1">
        <f>IF(B738="數值","(F"&amp;C738&amp;"."&amp;D738&amp;")","(A"&amp;C738&amp;")")</f>
        <v/>
      </c>
      <c r="F738" s="1">
        <f>"alter type "&amp;A738&amp;" "&amp;E738&amp;"."</f>
        <v/>
      </c>
    </row>
    <row r="739">
      <c r="A739" s="1" t="inlineStr">
        <is>
          <t>vJA1m06</t>
        </is>
      </c>
      <c r="B739" s="1" t="inlineStr">
        <is>
          <t>數值</t>
        </is>
      </c>
      <c r="C739" s="1" t="n">
        <v>2</v>
      </c>
      <c r="D739" s="1" t="n">
        <v>0</v>
      </c>
      <c r="E739" s="1">
        <f>IF(B739="數值","(F"&amp;C739&amp;"."&amp;D739&amp;")","(A"&amp;C739&amp;")")</f>
        <v/>
      </c>
      <c r="F739" s="1">
        <f>"alter type "&amp;A739&amp;" "&amp;E739&amp;"."</f>
        <v/>
      </c>
    </row>
    <row r="740">
      <c r="A740" s="1" t="inlineStr">
        <is>
          <t>vJA1m88</t>
        </is>
      </c>
      <c r="B740" s="1" t="inlineStr">
        <is>
          <t>數值</t>
        </is>
      </c>
      <c r="C740" s="1" t="n">
        <v>2</v>
      </c>
      <c r="D740" s="1" t="n">
        <v>0</v>
      </c>
      <c r="E740" s="1">
        <f>IF(B740="數值","(F"&amp;C740&amp;"."&amp;D740&amp;")","(A"&amp;C740&amp;")")</f>
        <v/>
      </c>
      <c r="F740" s="1">
        <f>"alter type "&amp;A740&amp;" "&amp;E740&amp;"."</f>
        <v/>
      </c>
    </row>
    <row r="741">
      <c r="A741" s="1" t="inlineStr">
        <is>
          <t>vJA1m90</t>
        </is>
      </c>
      <c r="B741" s="1" t="inlineStr">
        <is>
          <t>數值</t>
        </is>
      </c>
      <c r="C741" s="1" t="n">
        <v>2</v>
      </c>
      <c r="D741" s="1" t="n">
        <v>0</v>
      </c>
      <c r="E741" s="1">
        <f>IF(B741="數值","(F"&amp;C741&amp;"."&amp;D741&amp;")","(A"&amp;C741&amp;")")</f>
        <v/>
      </c>
      <c r="F741" s="1">
        <f>"alter type "&amp;A741&amp;" "&amp;E741&amp;"."</f>
        <v/>
      </c>
    </row>
    <row r="742">
      <c r="A742" s="1" t="inlineStr">
        <is>
          <t>vJA1o88</t>
        </is>
      </c>
      <c r="B742" s="1" t="inlineStr">
        <is>
          <t>字串</t>
        </is>
      </c>
      <c r="C742" s="1" t="n">
        <v>150</v>
      </c>
      <c r="D742" s="1" t="n">
        <v>0</v>
      </c>
      <c r="E742" s="1">
        <f>IF(B742="數值","(F"&amp;C742&amp;"."&amp;D742&amp;")","(A"&amp;C742&amp;")")</f>
        <v/>
      </c>
      <c r="F742" s="1">
        <f>"alter type "&amp;A742&amp;" "&amp;E742&amp;"."</f>
        <v/>
      </c>
    </row>
    <row r="743">
      <c r="A743" s="1" t="inlineStr">
        <is>
          <t>vJA2m01</t>
        </is>
      </c>
      <c r="B743" s="1" t="inlineStr">
        <is>
          <t>數值</t>
        </is>
      </c>
      <c r="C743" s="1" t="n">
        <v>2</v>
      </c>
      <c r="D743" s="1" t="n">
        <v>0</v>
      </c>
      <c r="E743" s="1">
        <f>IF(B743="數值","(F"&amp;C743&amp;"."&amp;D743&amp;")","(A"&amp;C743&amp;")")</f>
        <v/>
      </c>
      <c r="F743" s="1">
        <f>"alter type "&amp;A743&amp;" "&amp;E743&amp;"."</f>
        <v/>
      </c>
    </row>
    <row r="744">
      <c r="A744" s="1" t="inlineStr">
        <is>
          <t>vJA2m02</t>
        </is>
      </c>
      <c r="B744" s="1" t="inlineStr">
        <is>
          <t>數值</t>
        </is>
      </c>
      <c r="C744" s="1" t="n">
        <v>2</v>
      </c>
      <c r="D744" s="1" t="n">
        <v>0</v>
      </c>
      <c r="E744" s="1">
        <f>IF(B744="數值","(F"&amp;C744&amp;"."&amp;D744&amp;")","(A"&amp;C744&amp;")")</f>
        <v/>
      </c>
      <c r="F744" s="1">
        <f>"alter type "&amp;A744&amp;" "&amp;E744&amp;"."</f>
        <v/>
      </c>
    </row>
    <row r="745">
      <c r="A745" s="1" t="inlineStr">
        <is>
          <t>vJA2m03</t>
        </is>
      </c>
      <c r="B745" s="1" t="inlineStr">
        <is>
          <t>數值</t>
        </is>
      </c>
      <c r="C745" s="1" t="n">
        <v>2</v>
      </c>
      <c r="D745" s="1" t="n">
        <v>0</v>
      </c>
      <c r="E745" s="1">
        <f>IF(B745="數值","(F"&amp;C745&amp;"."&amp;D745&amp;")","(A"&amp;C745&amp;")")</f>
        <v/>
      </c>
      <c r="F745" s="1">
        <f>"alter type "&amp;A745&amp;" "&amp;E745&amp;"."</f>
        <v/>
      </c>
    </row>
    <row r="746">
      <c r="A746" s="1" t="inlineStr">
        <is>
          <t>vJA2m04</t>
        </is>
      </c>
      <c r="B746" s="1" t="inlineStr">
        <is>
          <t>數值</t>
        </is>
      </c>
      <c r="C746" s="1" t="n">
        <v>2</v>
      </c>
      <c r="D746" s="1" t="n">
        <v>0</v>
      </c>
      <c r="E746" s="1">
        <f>IF(B746="數值","(F"&amp;C746&amp;"."&amp;D746&amp;")","(A"&amp;C746&amp;")")</f>
        <v/>
      </c>
      <c r="F746" s="1">
        <f>"alter type "&amp;A746&amp;" "&amp;E746&amp;"."</f>
        <v/>
      </c>
    </row>
    <row r="747">
      <c r="A747" s="1" t="inlineStr">
        <is>
          <t>vJA2m05</t>
        </is>
      </c>
      <c r="B747" s="1" t="inlineStr">
        <is>
          <t>數值</t>
        </is>
      </c>
      <c r="C747" s="1" t="n">
        <v>2</v>
      </c>
      <c r="D747" s="1" t="n">
        <v>0</v>
      </c>
      <c r="E747" s="1">
        <f>IF(B747="數值","(F"&amp;C747&amp;"."&amp;D747&amp;")","(A"&amp;C747&amp;")")</f>
        <v/>
      </c>
      <c r="F747" s="1">
        <f>"alter type "&amp;A747&amp;" "&amp;E747&amp;"."</f>
        <v/>
      </c>
    </row>
    <row r="748">
      <c r="A748" s="1" t="inlineStr">
        <is>
          <t>vJA2m06</t>
        </is>
      </c>
      <c r="B748" s="1" t="inlineStr">
        <is>
          <t>數值</t>
        </is>
      </c>
      <c r="C748" s="1" t="n">
        <v>2</v>
      </c>
      <c r="D748" s="1" t="n">
        <v>0</v>
      </c>
      <c r="E748" s="1">
        <f>IF(B748="數值","(F"&amp;C748&amp;"."&amp;D748&amp;")","(A"&amp;C748&amp;")")</f>
        <v/>
      </c>
      <c r="F748" s="1">
        <f>"alter type "&amp;A748&amp;" "&amp;E748&amp;"."</f>
        <v/>
      </c>
    </row>
    <row r="749">
      <c r="A749" s="1" t="inlineStr">
        <is>
          <t>vJA2m07</t>
        </is>
      </c>
      <c r="B749" s="1" t="inlineStr">
        <is>
          <t>數值</t>
        </is>
      </c>
      <c r="C749" s="1" t="n">
        <v>2</v>
      </c>
      <c r="D749" s="1" t="n">
        <v>0</v>
      </c>
      <c r="E749" s="1">
        <f>IF(B749="數值","(F"&amp;C749&amp;"."&amp;D749&amp;")","(A"&amp;C749&amp;")")</f>
        <v/>
      </c>
      <c r="F749" s="1">
        <f>"alter type "&amp;A749&amp;" "&amp;E749&amp;"."</f>
        <v/>
      </c>
    </row>
    <row r="750">
      <c r="A750" s="1" t="inlineStr">
        <is>
          <t>vJA2m08</t>
        </is>
      </c>
      <c r="B750" s="1" t="inlineStr">
        <is>
          <t>數值</t>
        </is>
      </c>
      <c r="C750" s="1" t="n">
        <v>2</v>
      </c>
      <c r="D750" s="1" t="n">
        <v>0</v>
      </c>
      <c r="E750" s="1">
        <f>IF(B750="數值","(F"&amp;C750&amp;"."&amp;D750&amp;")","(A"&amp;C750&amp;")")</f>
        <v/>
      </c>
      <c r="F750" s="1">
        <f>"alter type "&amp;A750&amp;" "&amp;E750&amp;"."</f>
        <v/>
      </c>
    </row>
    <row r="751">
      <c r="A751" s="1" t="inlineStr">
        <is>
          <t>vJA2m09</t>
        </is>
      </c>
      <c r="B751" s="1" t="inlineStr">
        <is>
          <t>數值</t>
        </is>
      </c>
      <c r="C751" s="1" t="n">
        <v>2</v>
      </c>
      <c r="D751" s="1" t="n">
        <v>0</v>
      </c>
      <c r="E751" s="1">
        <f>IF(B751="數值","(F"&amp;C751&amp;"."&amp;D751&amp;")","(A"&amp;C751&amp;")")</f>
        <v/>
      </c>
      <c r="F751" s="1">
        <f>"alter type "&amp;A751&amp;" "&amp;E751&amp;"."</f>
        <v/>
      </c>
    </row>
    <row r="752">
      <c r="A752" s="1" t="inlineStr">
        <is>
          <t>vJA2m10</t>
        </is>
      </c>
      <c r="B752" s="1" t="inlineStr">
        <is>
          <t>數值</t>
        </is>
      </c>
      <c r="C752" s="1" t="n">
        <v>2</v>
      </c>
      <c r="D752" s="1" t="n">
        <v>0</v>
      </c>
      <c r="E752" s="1">
        <f>IF(B752="數值","(F"&amp;C752&amp;"."&amp;D752&amp;")","(A"&amp;C752&amp;")")</f>
        <v/>
      </c>
      <c r="F752" s="1">
        <f>"alter type "&amp;A752&amp;" "&amp;E752&amp;"."</f>
        <v/>
      </c>
    </row>
    <row r="753">
      <c r="A753" s="1" t="inlineStr">
        <is>
          <t>vJA2m11</t>
        </is>
      </c>
      <c r="B753" s="1" t="inlineStr">
        <is>
          <t>數值</t>
        </is>
      </c>
      <c r="C753" s="1" t="n">
        <v>2</v>
      </c>
      <c r="D753" s="1" t="n">
        <v>0</v>
      </c>
      <c r="E753" s="1">
        <f>IF(B753="數值","(F"&amp;C753&amp;"."&amp;D753&amp;")","(A"&amp;C753&amp;")")</f>
        <v/>
      </c>
      <c r="F753" s="1">
        <f>"alter type "&amp;A753&amp;" "&amp;E753&amp;"."</f>
        <v/>
      </c>
    </row>
    <row r="754">
      <c r="A754" s="1" t="inlineStr">
        <is>
          <t>vJA2m12</t>
        </is>
      </c>
      <c r="B754" s="1" t="inlineStr">
        <is>
          <t>數值</t>
        </is>
      </c>
      <c r="C754" s="1" t="n">
        <v>2</v>
      </c>
      <c r="D754" s="1" t="n">
        <v>0</v>
      </c>
      <c r="E754" s="1">
        <f>IF(B754="數值","(F"&amp;C754&amp;"."&amp;D754&amp;")","(A"&amp;C754&amp;")")</f>
        <v/>
      </c>
      <c r="F754" s="1">
        <f>"alter type "&amp;A754&amp;" "&amp;E754&amp;"."</f>
        <v/>
      </c>
    </row>
    <row r="755">
      <c r="A755" s="1" t="inlineStr">
        <is>
          <t>vJA2m88</t>
        </is>
      </c>
      <c r="B755" s="1" t="inlineStr">
        <is>
          <t>數值</t>
        </is>
      </c>
      <c r="C755" s="1" t="n">
        <v>2</v>
      </c>
      <c r="D755" s="1" t="n">
        <v>0</v>
      </c>
      <c r="E755" s="1">
        <f>IF(B755="數值","(F"&amp;C755&amp;"."&amp;D755&amp;")","(A"&amp;C755&amp;")")</f>
        <v/>
      </c>
      <c r="F755" s="1">
        <f>"alter type "&amp;A755&amp;" "&amp;E755&amp;"."</f>
        <v/>
      </c>
    </row>
    <row r="756">
      <c r="A756" s="1" t="inlineStr">
        <is>
          <t>vJA2m90</t>
        </is>
      </c>
      <c r="B756" s="1" t="inlineStr">
        <is>
          <t>數值</t>
        </is>
      </c>
      <c r="C756" s="1" t="n">
        <v>2</v>
      </c>
      <c r="D756" s="1" t="n">
        <v>0</v>
      </c>
      <c r="E756" s="1">
        <f>IF(B756="數值","(F"&amp;C756&amp;"."&amp;D756&amp;")","(A"&amp;C756&amp;")")</f>
        <v/>
      </c>
      <c r="F756" s="1">
        <f>"alter type "&amp;A756&amp;" "&amp;E756&amp;"."</f>
        <v/>
      </c>
    </row>
    <row r="757">
      <c r="A757" s="1" t="inlineStr">
        <is>
          <t>vJA2m91</t>
        </is>
      </c>
      <c r="B757" s="1" t="inlineStr">
        <is>
          <t>數值</t>
        </is>
      </c>
      <c r="C757" s="1" t="n">
        <v>2</v>
      </c>
      <c r="D757" s="1" t="n">
        <v>0</v>
      </c>
      <c r="E757" s="1">
        <f>IF(B757="數值","(F"&amp;C757&amp;"."&amp;D757&amp;")","(A"&amp;C757&amp;")")</f>
        <v/>
      </c>
      <c r="F757" s="1">
        <f>"alter type "&amp;A757&amp;" "&amp;E757&amp;"."</f>
        <v/>
      </c>
    </row>
    <row r="758">
      <c r="A758" s="1" t="inlineStr">
        <is>
          <t>vJA2m92</t>
        </is>
      </c>
      <c r="B758" s="1" t="inlineStr">
        <is>
          <t>數值</t>
        </is>
      </c>
      <c r="C758" s="1" t="n">
        <v>2</v>
      </c>
      <c r="D758" s="1" t="n">
        <v>0</v>
      </c>
      <c r="E758" s="1">
        <f>IF(B758="數值","(F"&amp;C758&amp;"."&amp;D758&amp;")","(A"&amp;C758&amp;")")</f>
        <v/>
      </c>
      <c r="F758" s="1">
        <f>"alter type "&amp;A758&amp;" "&amp;E758&amp;"."</f>
        <v/>
      </c>
    </row>
    <row r="759">
      <c r="A759" s="1" t="inlineStr">
        <is>
          <t>vJA2o88</t>
        </is>
      </c>
      <c r="B759" s="1" t="inlineStr">
        <is>
          <t>字串</t>
        </is>
      </c>
      <c r="C759" s="1" t="n">
        <v>150</v>
      </c>
      <c r="D759" s="1" t="n">
        <v>0</v>
      </c>
      <c r="E759" s="1">
        <f>IF(B759="數值","(F"&amp;C759&amp;"."&amp;D759&amp;")","(A"&amp;C759&amp;")")</f>
        <v/>
      </c>
      <c r="F759" s="1">
        <f>"alter type "&amp;A759&amp;" "&amp;E759&amp;"."</f>
        <v/>
      </c>
    </row>
    <row r="760">
      <c r="A760" s="1" t="inlineStr">
        <is>
          <t>vLA1</t>
        </is>
      </c>
      <c r="B760" s="1" t="inlineStr">
        <is>
          <t>數值</t>
        </is>
      </c>
      <c r="C760" s="1" t="n">
        <v>2</v>
      </c>
      <c r="D760" s="1" t="n">
        <v>0</v>
      </c>
      <c r="E760" s="1">
        <f>IF(B760="數值","(F"&amp;C760&amp;"."&amp;D760&amp;")","(A"&amp;C760&amp;")")</f>
        <v/>
      </c>
      <c r="F760" s="1">
        <f>"alter type "&amp;A760&amp;" "&amp;E760&amp;"."</f>
        <v/>
      </c>
    </row>
    <row r="761">
      <c r="A761" s="1" t="inlineStr">
        <is>
          <t>vLA2</t>
        </is>
      </c>
      <c r="B761" s="1" t="inlineStr">
        <is>
          <t>數值</t>
        </is>
      </c>
      <c r="C761" s="1" t="n">
        <v>2</v>
      </c>
      <c r="D761" s="1" t="n">
        <v>0</v>
      </c>
      <c r="E761" s="1">
        <f>IF(B761="數值","(F"&amp;C761&amp;"."&amp;D761&amp;")","(A"&amp;C761&amp;")")</f>
        <v/>
      </c>
      <c r="F761" s="1">
        <f>"alter type "&amp;A761&amp;" "&amp;E761&amp;"."</f>
        <v/>
      </c>
    </row>
    <row r="762">
      <c r="A762" s="1" t="inlineStr">
        <is>
          <t>vLA3_1m01</t>
        </is>
      </c>
      <c r="B762" s="1" t="inlineStr">
        <is>
          <t>數值</t>
        </is>
      </c>
      <c r="C762" s="1" t="n">
        <v>2</v>
      </c>
      <c r="D762" s="1" t="n">
        <v>0</v>
      </c>
      <c r="E762" s="1">
        <f>IF(B762="數值","(F"&amp;C762&amp;"."&amp;D762&amp;")","(A"&amp;C762&amp;")")</f>
        <v/>
      </c>
      <c r="F762" s="1">
        <f>"alter type "&amp;A762&amp;" "&amp;E762&amp;"."</f>
        <v/>
      </c>
    </row>
    <row r="763">
      <c r="A763" s="1" t="inlineStr">
        <is>
          <t>vLA3_1m02</t>
        </is>
      </c>
      <c r="B763" s="1" t="inlineStr">
        <is>
          <t>數值</t>
        </is>
      </c>
      <c r="C763" s="1" t="n">
        <v>2</v>
      </c>
      <c r="D763" s="1" t="n">
        <v>0</v>
      </c>
      <c r="E763" s="1">
        <f>IF(B763="數值","(F"&amp;C763&amp;"."&amp;D763&amp;")","(A"&amp;C763&amp;")")</f>
        <v/>
      </c>
      <c r="F763" s="1">
        <f>"alter type "&amp;A763&amp;" "&amp;E763&amp;"."</f>
        <v/>
      </c>
    </row>
    <row r="764">
      <c r="A764" s="1" t="inlineStr">
        <is>
          <t>vLA3_1m03</t>
        </is>
      </c>
      <c r="B764" s="1" t="inlineStr">
        <is>
          <t>數值</t>
        </is>
      </c>
      <c r="C764" s="1" t="n">
        <v>2</v>
      </c>
      <c r="D764" s="1" t="n">
        <v>0</v>
      </c>
      <c r="E764" s="1">
        <f>IF(B764="數值","(F"&amp;C764&amp;"."&amp;D764&amp;")","(A"&amp;C764&amp;")")</f>
        <v/>
      </c>
      <c r="F764" s="1">
        <f>"alter type "&amp;A764&amp;" "&amp;E764&amp;"."</f>
        <v/>
      </c>
    </row>
    <row r="765">
      <c r="A765" s="1" t="inlineStr">
        <is>
          <t>vLA3_1m04</t>
        </is>
      </c>
      <c r="B765" s="1" t="inlineStr">
        <is>
          <t>數值</t>
        </is>
      </c>
      <c r="C765" s="1" t="n">
        <v>2</v>
      </c>
      <c r="D765" s="1" t="n">
        <v>0</v>
      </c>
      <c r="E765" s="1">
        <f>IF(B765="數值","(F"&amp;C765&amp;"."&amp;D765&amp;")","(A"&amp;C765&amp;")")</f>
        <v/>
      </c>
      <c r="F765" s="1">
        <f>"alter type "&amp;A765&amp;" "&amp;E765&amp;"."</f>
        <v/>
      </c>
    </row>
    <row r="766">
      <c r="A766" s="1" t="inlineStr">
        <is>
          <t>vLA3_1m05</t>
        </is>
      </c>
      <c r="B766" s="1" t="inlineStr">
        <is>
          <t>數值</t>
        </is>
      </c>
      <c r="C766" s="1" t="n">
        <v>2</v>
      </c>
      <c r="D766" s="1" t="n">
        <v>0</v>
      </c>
      <c r="E766" s="1">
        <f>IF(B766="數值","(F"&amp;C766&amp;"."&amp;D766&amp;")","(A"&amp;C766&amp;")")</f>
        <v/>
      </c>
      <c r="F766" s="1">
        <f>"alter type "&amp;A766&amp;" "&amp;E766&amp;"."</f>
        <v/>
      </c>
    </row>
    <row r="767">
      <c r="A767" s="1" t="inlineStr">
        <is>
          <t>vLA3_1m06</t>
        </is>
      </c>
      <c r="B767" s="1" t="inlineStr">
        <is>
          <t>數值</t>
        </is>
      </c>
      <c r="C767" s="1" t="n">
        <v>2</v>
      </c>
      <c r="D767" s="1" t="n">
        <v>0</v>
      </c>
      <c r="E767" s="1">
        <f>IF(B767="數值","(F"&amp;C767&amp;"."&amp;D767&amp;")","(A"&amp;C767&amp;")")</f>
        <v/>
      </c>
      <c r="F767" s="1">
        <f>"alter type "&amp;A767&amp;" "&amp;E767&amp;"."</f>
        <v/>
      </c>
    </row>
    <row r="768">
      <c r="A768" s="1" t="inlineStr">
        <is>
          <t>vLA3_1m07</t>
        </is>
      </c>
      <c r="B768" s="1" t="inlineStr">
        <is>
          <t>數值</t>
        </is>
      </c>
      <c r="C768" s="1" t="n">
        <v>2</v>
      </c>
      <c r="D768" s="1" t="n">
        <v>0</v>
      </c>
      <c r="E768" s="1">
        <f>IF(B768="數值","(F"&amp;C768&amp;"."&amp;D768&amp;")","(A"&amp;C768&amp;")")</f>
        <v/>
      </c>
      <c r="F768" s="1">
        <f>"alter type "&amp;A768&amp;" "&amp;E768&amp;"."</f>
        <v/>
      </c>
    </row>
    <row r="769">
      <c r="A769" s="1" t="inlineStr">
        <is>
          <t>vLA3_1m90</t>
        </is>
      </c>
      <c r="B769" s="1" t="inlineStr">
        <is>
          <t>數值</t>
        </is>
      </c>
      <c r="C769" s="1" t="n">
        <v>2</v>
      </c>
      <c r="D769" s="1" t="n">
        <v>0</v>
      </c>
      <c r="E769" s="1">
        <f>IF(B769="數值","(F"&amp;C769&amp;"."&amp;D769&amp;")","(A"&amp;C769&amp;")")</f>
        <v/>
      </c>
      <c r="F769" s="1">
        <f>"alter type "&amp;A769&amp;" "&amp;E769&amp;"."</f>
        <v/>
      </c>
    </row>
    <row r="770">
      <c r="A770" s="1" t="inlineStr">
        <is>
          <t>vLA3_2m01</t>
        </is>
      </c>
      <c r="B770" s="1" t="inlineStr">
        <is>
          <t>數值</t>
        </is>
      </c>
      <c r="C770" s="1" t="n">
        <v>2</v>
      </c>
      <c r="D770" s="1" t="n">
        <v>0</v>
      </c>
      <c r="E770" s="1">
        <f>IF(B770="數值","(F"&amp;C770&amp;"."&amp;D770&amp;")","(A"&amp;C770&amp;")")</f>
        <v/>
      </c>
      <c r="F770" s="1">
        <f>"alter type "&amp;A770&amp;" "&amp;E770&amp;"."</f>
        <v/>
      </c>
    </row>
    <row r="771">
      <c r="A771" s="1" t="inlineStr">
        <is>
          <t>vLA3_2m02</t>
        </is>
      </c>
      <c r="B771" s="1" t="inlineStr">
        <is>
          <t>數值</t>
        </is>
      </c>
      <c r="C771" s="1" t="n">
        <v>2</v>
      </c>
      <c r="D771" s="1" t="n">
        <v>0</v>
      </c>
      <c r="E771" s="1">
        <f>IF(B771="數值","(F"&amp;C771&amp;"."&amp;D771&amp;")","(A"&amp;C771&amp;")")</f>
        <v/>
      </c>
      <c r="F771" s="1">
        <f>"alter type "&amp;A771&amp;" "&amp;E771&amp;"."</f>
        <v/>
      </c>
    </row>
    <row r="772">
      <c r="A772" s="1" t="inlineStr">
        <is>
          <t>vLA3_2m03</t>
        </is>
      </c>
      <c r="B772" s="1" t="inlineStr">
        <is>
          <t>數值</t>
        </is>
      </c>
      <c r="C772" s="1" t="n">
        <v>2</v>
      </c>
      <c r="D772" s="1" t="n">
        <v>0</v>
      </c>
      <c r="E772" s="1">
        <f>IF(B772="數值","(F"&amp;C772&amp;"."&amp;D772&amp;")","(A"&amp;C772&amp;")")</f>
        <v/>
      </c>
      <c r="F772" s="1">
        <f>"alter type "&amp;A772&amp;" "&amp;E772&amp;"."</f>
        <v/>
      </c>
    </row>
    <row r="773">
      <c r="A773" s="1" t="inlineStr">
        <is>
          <t>vLA3_2m04</t>
        </is>
      </c>
      <c r="B773" s="1" t="inlineStr">
        <is>
          <t>數值</t>
        </is>
      </c>
      <c r="C773" s="1" t="n">
        <v>2</v>
      </c>
      <c r="D773" s="1" t="n">
        <v>0</v>
      </c>
      <c r="E773" s="1">
        <f>IF(B773="數值","(F"&amp;C773&amp;"."&amp;D773&amp;")","(A"&amp;C773&amp;")")</f>
        <v/>
      </c>
      <c r="F773" s="1">
        <f>"alter type "&amp;A773&amp;" "&amp;E773&amp;"."</f>
        <v/>
      </c>
    </row>
    <row r="774">
      <c r="A774" s="1" t="inlineStr">
        <is>
          <t>vLA3_2m05</t>
        </is>
      </c>
      <c r="B774" s="1" t="inlineStr">
        <is>
          <t>數值</t>
        </is>
      </c>
      <c r="C774" s="1" t="n">
        <v>2</v>
      </c>
      <c r="D774" s="1" t="n">
        <v>0</v>
      </c>
      <c r="E774" s="1">
        <f>IF(B774="數值","(F"&amp;C774&amp;"."&amp;D774&amp;")","(A"&amp;C774&amp;")")</f>
        <v/>
      </c>
      <c r="F774" s="1">
        <f>"alter type "&amp;A774&amp;" "&amp;E774&amp;"."</f>
        <v/>
      </c>
    </row>
    <row r="775">
      <c r="A775" s="1" t="inlineStr">
        <is>
          <t>vLA3_2m06</t>
        </is>
      </c>
      <c r="B775" s="1" t="inlineStr">
        <is>
          <t>數值</t>
        </is>
      </c>
      <c r="C775" s="1" t="n">
        <v>2</v>
      </c>
      <c r="D775" s="1" t="n">
        <v>0</v>
      </c>
      <c r="E775" s="1">
        <f>IF(B775="數值","(F"&amp;C775&amp;"."&amp;D775&amp;")","(A"&amp;C775&amp;")")</f>
        <v/>
      </c>
      <c r="F775" s="1">
        <f>"alter type "&amp;A775&amp;" "&amp;E775&amp;"."</f>
        <v/>
      </c>
    </row>
    <row r="776">
      <c r="A776" s="1" t="inlineStr">
        <is>
          <t>vLA3_2m07</t>
        </is>
      </c>
      <c r="B776" s="1" t="inlineStr">
        <is>
          <t>數值</t>
        </is>
      </c>
      <c r="C776" s="1" t="n">
        <v>2</v>
      </c>
      <c r="D776" s="1" t="n">
        <v>0</v>
      </c>
      <c r="E776" s="1">
        <f>IF(B776="數值","(F"&amp;C776&amp;"."&amp;D776&amp;")","(A"&amp;C776&amp;")")</f>
        <v/>
      </c>
      <c r="F776" s="1">
        <f>"alter type "&amp;A776&amp;" "&amp;E776&amp;"."</f>
        <v/>
      </c>
    </row>
    <row r="777">
      <c r="A777" s="1" t="inlineStr">
        <is>
          <t>vLA3_2m90</t>
        </is>
      </c>
      <c r="B777" s="1" t="inlineStr">
        <is>
          <t>數值</t>
        </is>
      </c>
      <c r="C777" s="1" t="n">
        <v>2</v>
      </c>
      <c r="D777" s="1" t="n">
        <v>0</v>
      </c>
      <c r="E777" s="1">
        <f>IF(B777="數值","(F"&amp;C777&amp;"."&amp;D777&amp;")","(A"&amp;C777&amp;")")</f>
        <v/>
      </c>
      <c r="F777" s="1">
        <f>"alter type "&amp;A777&amp;" "&amp;E777&amp;"."</f>
        <v/>
      </c>
    </row>
    <row r="778">
      <c r="A778" s="1" t="inlineStr">
        <is>
          <t>vLA4</t>
        </is>
      </c>
      <c r="B778" s="1" t="inlineStr">
        <is>
          <t>數值</t>
        </is>
      </c>
      <c r="C778" s="1" t="n">
        <v>2</v>
      </c>
      <c r="D778" s="1" t="n">
        <v>0</v>
      </c>
      <c r="E778" s="1">
        <f>IF(B778="數值","(F"&amp;C778&amp;"."&amp;D778&amp;")","(A"&amp;C778&amp;")")</f>
        <v/>
      </c>
      <c r="F778" s="1">
        <f>"alter type "&amp;A778&amp;" "&amp;E778&amp;"."</f>
        <v/>
      </c>
    </row>
    <row r="779">
      <c r="A779" s="1" t="inlineStr">
        <is>
          <t>vLA5_1m01</t>
        </is>
      </c>
      <c r="B779" s="1" t="inlineStr">
        <is>
          <t>數值</t>
        </is>
      </c>
      <c r="C779" s="1" t="n">
        <v>2</v>
      </c>
      <c r="D779" s="1" t="n">
        <v>0</v>
      </c>
      <c r="E779" s="1">
        <f>IF(B779="數值","(F"&amp;C779&amp;"."&amp;D779&amp;")","(A"&amp;C779&amp;")")</f>
        <v/>
      </c>
      <c r="F779" s="1">
        <f>"alter type "&amp;A779&amp;" "&amp;E779&amp;"."</f>
        <v/>
      </c>
    </row>
    <row r="780">
      <c r="A780" s="1" t="inlineStr">
        <is>
          <t>vLA5_1m02</t>
        </is>
      </c>
      <c r="B780" s="1" t="inlineStr">
        <is>
          <t>數值</t>
        </is>
      </c>
      <c r="C780" s="1" t="n">
        <v>2</v>
      </c>
      <c r="D780" s="1" t="n">
        <v>0</v>
      </c>
      <c r="E780" s="1">
        <f>IF(B780="數值","(F"&amp;C780&amp;"."&amp;D780&amp;")","(A"&amp;C780&amp;")")</f>
        <v/>
      </c>
      <c r="F780" s="1">
        <f>"alter type "&amp;A780&amp;" "&amp;E780&amp;"."</f>
        <v/>
      </c>
    </row>
    <row r="781">
      <c r="A781" s="1" t="inlineStr">
        <is>
          <t>vLA5_1m03</t>
        </is>
      </c>
      <c r="B781" s="1" t="inlineStr">
        <is>
          <t>數值</t>
        </is>
      </c>
      <c r="C781" s="1" t="n">
        <v>2</v>
      </c>
      <c r="D781" s="1" t="n">
        <v>0</v>
      </c>
      <c r="E781" s="1">
        <f>IF(B781="數值","(F"&amp;C781&amp;"."&amp;D781&amp;")","(A"&amp;C781&amp;")")</f>
        <v/>
      </c>
      <c r="F781" s="1">
        <f>"alter type "&amp;A781&amp;" "&amp;E781&amp;"."</f>
        <v/>
      </c>
    </row>
    <row r="782">
      <c r="A782" s="1" t="inlineStr">
        <is>
          <t>vLA5_1m04</t>
        </is>
      </c>
      <c r="B782" s="1" t="inlineStr">
        <is>
          <t>數值</t>
        </is>
      </c>
      <c r="C782" s="1" t="n">
        <v>2</v>
      </c>
      <c r="D782" s="1" t="n">
        <v>0</v>
      </c>
      <c r="E782" s="1">
        <f>IF(B782="數值","(F"&amp;C782&amp;"."&amp;D782&amp;")","(A"&amp;C782&amp;")")</f>
        <v/>
      </c>
      <c r="F782" s="1">
        <f>"alter type "&amp;A782&amp;" "&amp;E782&amp;"."</f>
        <v/>
      </c>
    </row>
    <row r="783">
      <c r="A783" s="1" t="inlineStr">
        <is>
          <t>vLA5_1m05</t>
        </is>
      </c>
      <c r="B783" s="1" t="inlineStr">
        <is>
          <t>數值</t>
        </is>
      </c>
      <c r="C783" s="1" t="n">
        <v>2</v>
      </c>
      <c r="D783" s="1" t="n">
        <v>0</v>
      </c>
      <c r="E783" s="1">
        <f>IF(B783="數值","(F"&amp;C783&amp;"."&amp;D783&amp;")","(A"&amp;C783&amp;")")</f>
        <v/>
      </c>
      <c r="F783" s="1">
        <f>"alter type "&amp;A783&amp;" "&amp;E783&amp;"."</f>
        <v/>
      </c>
    </row>
    <row r="784">
      <c r="A784" s="1" t="inlineStr">
        <is>
          <t>vLA5_1m06</t>
        </is>
      </c>
      <c r="B784" s="1" t="inlineStr">
        <is>
          <t>數值</t>
        </is>
      </c>
      <c r="C784" s="1" t="n">
        <v>2</v>
      </c>
      <c r="D784" s="1" t="n">
        <v>0</v>
      </c>
      <c r="E784" s="1">
        <f>IF(B784="數值","(F"&amp;C784&amp;"."&amp;D784&amp;")","(A"&amp;C784&amp;")")</f>
        <v/>
      </c>
      <c r="F784" s="1">
        <f>"alter type "&amp;A784&amp;" "&amp;E784&amp;"."</f>
        <v/>
      </c>
    </row>
    <row r="785">
      <c r="A785" s="1" t="inlineStr">
        <is>
          <t>vLA5_1m07</t>
        </is>
      </c>
      <c r="B785" s="1" t="inlineStr">
        <is>
          <t>數值</t>
        </is>
      </c>
      <c r="C785" s="1" t="n">
        <v>2</v>
      </c>
      <c r="D785" s="1" t="n">
        <v>0</v>
      </c>
      <c r="E785" s="1">
        <f>IF(B785="數值","(F"&amp;C785&amp;"."&amp;D785&amp;")","(A"&amp;C785&amp;")")</f>
        <v/>
      </c>
      <c r="F785" s="1">
        <f>"alter type "&amp;A785&amp;" "&amp;E785&amp;"."</f>
        <v/>
      </c>
    </row>
    <row r="786">
      <c r="A786" s="1" t="inlineStr">
        <is>
          <t>vLA5_1m90</t>
        </is>
      </c>
      <c r="B786" s="1" t="inlineStr">
        <is>
          <t>數值</t>
        </is>
      </c>
      <c r="C786" s="1" t="n">
        <v>2</v>
      </c>
      <c r="D786" s="1" t="n">
        <v>0</v>
      </c>
      <c r="E786" s="1">
        <f>IF(B786="數值","(F"&amp;C786&amp;"."&amp;D786&amp;")","(A"&amp;C786&amp;")")</f>
        <v/>
      </c>
      <c r="F786" s="1">
        <f>"alter type "&amp;A786&amp;" "&amp;E786&amp;"."</f>
        <v/>
      </c>
    </row>
    <row r="787">
      <c r="A787" s="1" t="inlineStr">
        <is>
          <t>vLA5_2m01</t>
        </is>
      </c>
      <c r="B787" s="1" t="inlineStr">
        <is>
          <t>數值</t>
        </is>
      </c>
      <c r="C787" s="1" t="n">
        <v>2</v>
      </c>
      <c r="D787" s="1" t="n">
        <v>0</v>
      </c>
      <c r="E787" s="1">
        <f>IF(B787="數值","(F"&amp;C787&amp;"."&amp;D787&amp;")","(A"&amp;C787&amp;")")</f>
        <v/>
      </c>
      <c r="F787" s="1">
        <f>"alter type "&amp;A787&amp;" "&amp;E787&amp;"."</f>
        <v/>
      </c>
    </row>
    <row r="788">
      <c r="A788" s="1" t="inlineStr">
        <is>
          <t>vLA5_2m02</t>
        </is>
      </c>
      <c r="B788" s="1" t="inlineStr">
        <is>
          <t>數值</t>
        </is>
      </c>
      <c r="C788" s="1" t="n">
        <v>2</v>
      </c>
      <c r="D788" s="1" t="n">
        <v>0</v>
      </c>
      <c r="E788" s="1">
        <f>IF(B788="數值","(F"&amp;C788&amp;"."&amp;D788&amp;")","(A"&amp;C788&amp;")")</f>
        <v/>
      </c>
      <c r="F788" s="1">
        <f>"alter type "&amp;A788&amp;" "&amp;E788&amp;"."</f>
        <v/>
      </c>
    </row>
    <row r="789">
      <c r="A789" s="1" t="inlineStr">
        <is>
          <t>vLA5_2m03</t>
        </is>
      </c>
      <c r="B789" s="1" t="inlineStr">
        <is>
          <t>數值</t>
        </is>
      </c>
      <c r="C789" s="1" t="n">
        <v>2</v>
      </c>
      <c r="D789" s="1" t="n">
        <v>0</v>
      </c>
      <c r="E789" s="1">
        <f>IF(B789="數值","(F"&amp;C789&amp;"."&amp;D789&amp;")","(A"&amp;C789&amp;")")</f>
        <v/>
      </c>
      <c r="F789" s="1">
        <f>"alter type "&amp;A789&amp;" "&amp;E789&amp;"."</f>
        <v/>
      </c>
    </row>
    <row r="790">
      <c r="A790" s="1" t="inlineStr">
        <is>
          <t>vLA5_2m04</t>
        </is>
      </c>
      <c r="B790" s="1" t="inlineStr">
        <is>
          <t>數值</t>
        </is>
      </c>
      <c r="C790" s="1" t="n">
        <v>2</v>
      </c>
      <c r="D790" s="1" t="n">
        <v>0</v>
      </c>
      <c r="E790" s="1">
        <f>IF(B790="數值","(F"&amp;C790&amp;"."&amp;D790&amp;")","(A"&amp;C790&amp;")")</f>
        <v/>
      </c>
      <c r="F790" s="1">
        <f>"alter type "&amp;A790&amp;" "&amp;E790&amp;"."</f>
        <v/>
      </c>
    </row>
    <row r="791">
      <c r="A791" s="1" t="inlineStr">
        <is>
          <t>vLA5_2m05</t>
        </is>
      </c>
      <c r="B791" s="1" t="inlineStr">
        <is>
          <t>數值</t>
        </is>
      </c>
      <c r="C791" s="1" t="n">
        <v>2</v>
      </c>
      <c r="D791" s="1" t="n">
        <v>0</v>
      </c>
      <c r="E791" s="1">
        <f>IF(B791="數值","(F"&amp;C791&amp;"."&amp;D791&amp;")","(A"&amp;C791&amp;")")</f>
        <v/>
      </c>
      <c r="F791" s="1">
        <f>"alter type "&amp;A791&amp;" "&amp;E791&amp;"."</f>
        <v/>
      </c>
    </row>
    <row r="792">
      <c r="A792" s="1" t="inlineStr">
        <is>
          <t>vLA5_2m06</t>
        </is>
      </c>
      <c r="B792" s="1" t="inlineStr">
        <is>
          <t>數值</t>
        </is>
      </c>
      <c r="C792" s="1" t="n">
        <v>2</v>
      </c>
      <c r="D792" s="1" t="n">
        <v>0</v>
      </c>
      <c r="E792" s="1">
        <f>IF(B792="數值","(F"&amp;C792&amp;"."&amp;D792&amp;")","(A"&amp;C792&amp;")")</f>
        <v/>
      </c>
      <c r="F792" s="1">
        <f>"alter type "&amp;A792&amp;" "&amp;E792&amp;"."</f>
        <v/>
      </c>
    </row>
    <row r="793">
      <c r="A793" s="1" t="inlineStr">
        <is>
          <t>vLA5_2m07</t>
        </is>
      </c>
      <c r="B793" s="1" t="inlineStr">
        <is>
          <t>數值</t>
        </is>
      </c>
      <c r="C793" s="1" t="n">
        <v>2</v>
      </c>
      <c r="D793" s="1" t="n">
        <v>0</v>
      </c>
      <c r="E793" s="1">
        <f>IF(B793="數值","(F"&amp;C793&amp;"."&amp;D793&amp;")","(A"&amp;C793&amp;")")</f>
        <v/>
      </c>
      <c r="F793" s="1">
        <f>"alter type "&amp;A793&amp;" "&amp;E793&amp;"."</f>
        <v/>
      </c>
    </row>
    <row r="794">
      <c r="A794" s="1" t="inlineStr">
        <is>
          <t>vLA5_2m90</t>
        </is>
      </c>
      <c r="B794" s="1" t="inlineStr">
        <is>
          <t>數值</t>
        </is>
      </c>
      <c r="C794" s="1" t="n">
        <v>2</v>
      </c>
      <c r="D794" s="1" t="n">
        <v>0</v>
      </c>
      <c r="E794" s="1">
        <f>IF(B794="數值","(F"&amp;C794&amp;"."&amp;D794&amp;")","(A"&amp;C794&amp;")")</f>
        <v/>
      </c>
      <c r="F794" s="1">
        <f>"alter type "&amp;A794&amp;" "&amp;E794&amp;"."</f>
        <v/>
      </c>
    </row>
    <row r="795">
      <c r="A795" s="1" t="inlineStr">
        <is>
          <t>vLA5_3m01</t>
        </is>
      </c>
      <c r="B795" s="1" t="inlineStr">
        <is>
          <t>數值</t>
        </is>
      </c>
      <c r="C795" s="1" t="n">
        <v>2</v>
      </c>
      <c r="D795" s="1" t="n">
        <v>0</v>
      </c>
      <c r="E795" s="1">
        <f>IF(B795="數值","(F"&amp;C795&amp;"."&amp;D795&amp;")","(A"&amp;C795&amp;")")</f>
        <v/>
      </c>
      <c r="F795" s="1">
        <f>"alter type "&amp;A795&amp;" "&amp;E795&amp;"."</f>
        <v/>
      </c>
    </row>
    <row r="796">
      <c r="A796" s="1" t="inlineStr">
        <is>
          <t>vLA5_3m02</t>
        </is>
      </c>
      <c r="B796" s="1" t="inlineStr">
        <is>
          <t>數值</t>
        </is>
      </c>
      <c r="C796" s="1" t="n">
        <v>2</v>
      </c>
      <c r="D796" s="1" t="n">
        <v>0</v>
      </c>
      <c r="E796" s="1">
        <f>IF(B796="數值","(F"&amp;C796&amp;"."&amp;D796&amp;")","(A"&amp;C796&amp;")")</f>
        <v/>
      </c>
      <c r="F796" s="1">
        <f>"alter type "&amp;A796&amp;" "&amp;E796&amp;"."</f>
        <v/>
      </c>
    </row>
    <row r="797">
      <c r="A797" s="1" t="inlineStr">
        <is>
          <t>vLA5_3m03</t>
        </is>
      </c>
      <c r="B797" s="1" t="inlineStr">
        <is>
          <t>數值</t>
        </is>
      </c>
      <c r="C797" s="1" t="n">
        <v>2</v>
      </c>
      <c r="D797" s="1" t="n">
        <v>0</v>
      </c>
      <c r="E797" s="1">
        <f>IF(B797="數值","(F"&amp;C797&amp;"."&amp;D797&amp;")","(A"&amp;C797&amp;")")</f>
        <v/>
      </c>
      <c r="F797" s="1">
        <f>"alter type "&amp;A797&amp;" "&amp;E797&amp;"."</f>
        <v/>
      </c>
    </row>
    <row r="798">
      <c r="A798" s="1" t="inlineStr">
        <is>
          <t>vLA5_3m04</t>
        </is>
      </c>
      <c r="B798" s="1" t="inlineStr">
        <is>
          <t>數值</t>
        </is>
      </c>
      <c r="C798" s="1" t="n">
        <v>2</v>
      </c>
      <c r="D798" s="1" t="n">
        <v>0</v>
      </c>
      <c r="E798" s="1">
        <f>IF(B798="數值","(F"&amp;C798&amp;"."&amp;D798&amp;")","(A"&amp;C798&amp;")")</f>
        <v/>
      </c>
      <c r="F798" s="1">
        <f>"alter type "&amp;A798&amp;" "&amp;E798&amp;"."</f>
        <v/>
      </c>
    </row>
    <row r="799">
      <c r="A799" s="1" t="inlineStr">
        <is>
          <t>vLA5_3m05</t>
        </is>
      </c>
      <c r="B799" s="1" t="inlineStr">
        <is>
          <t>數值</t>
        </is>
      </c>
      <c r="C799" s="1" t="n">
        <v>2</v>
      </c>
      <c r="D799" s="1" t="n">
        <v>0</v>
      </c>
      <c r="E799" s="1">
        <f>IF(B799="數值","(F"&amp;C799&amp;"."&amp;D799&amp;")","(A"&amp;C799&amp;")")</f>
        <v/>
      </c>
      <c r="F799" s="1">
        <f>"alter type "&amp;A799&amp;" "&amp;E799&amp;"."</f>
        <v/>
      </c>
    </row>
    <row r="800">
      <c r="A800" s="1" t="inlineStr">
        <is>
          <t>vLA5_3m06</t>
        </is>
      </c>
      <c r="B800" s="1" t="inlineStr">
        <is>
          <t>數值</t>
        </is>
      </c>
      <c r="C800" s="1" t="n">
        <v>2</v>
      </c>
      <c r="D800" s="1" t="n">
        <v>0</v>
      </c>
      <c r="E800" s="1">
        <f>IF(B800="數值","(F"&amp;C800&amp;"."&amp;D800&amp;")","(A"&amp;C800&amp;")")</f>
        <v/>
      </c>
      <c r="F800" s="1">
        <f>"alter type "&amp;A800&amp;" "&amp;E800&amp;"."</f>
        <v/>
      </c>
    </row>
    <row r="801">
      <c r="A801" s="1" t="inlineStr">
        <is>
          <t>vLA5_3m07</t>
        </is>
      </c>
      <c r="B801" s="1" t="inlineStr">
        <is>
          <t>數值</t>
        </is>
      </c>
      <c r="C801" s="1" t="n">
        <v>2</v>
      </c>
      <c r="D801" s="1" t="n">
        <v>0</v>
      </c>
      <c r="E801" s="1">
        <f>IF(B801="數值","(F"&amp;C801&amp;"."&amp;D801&amp;")","(A"&amp;C801&amp;")")</f>
        <v/>
      </c>
      <c r="F801" s="1">
        <f>"alter type "&amp;A801&amp;" "&amp;E801&amp;"."</f>
        <v/>
      </c>
    </row>
    <row r="802">
      <c r="A802" s="1" t="inlineStr">
        <is>
          <t>vLA5_3m90</t>
        </is>
      </c>
      <c r="B802" s="1" t="inlineStr">
        <is>
          <t>數值</t>
        </is>
      </c>
      <c r="C802" s="1" t="n">
        <v>2</v>
      </c>
      <c r="D802" s="1" t="n">
        <v>0</v>
      </c>
      <c r="E802" s="1">
        <f>IF(B802="數值","(F"&amp;C802&amp;"."&amp;D802&amp;")","(A"&amp;C802&amp;")")</f>
        <v/>
      </c>
      <c r="F802" s="1">
        <f>"alter type "&amp;A802&amp;" "&amp;E802&amp;"."</f>
        <v/>
      </c>
    </row>
    <row r="803">
      <c r="A803" s="1" t="inlineStr">
        <is>
          <t>vLA6m01</t>
        </is>
      </c>
      <c r="B803" s="1" t="inlineStr">
        <is>
          <t>數值</t>
        </is>
      </c>
      <c r="C803" s="1" t="n">
        <v>2</v>
      </c>
      <c r="D803" s="1" t="n">
        <v>0</v>
      </c>
      <c r="E803" s="1">
        <f>IF(B803="數值","(F"&amp;C803&amp;"."&amp;D803&amp;")","(A"&amp;C803&amp;")")</f>
        <v/>
      </c>
      <c r="F803" s="1">
        <f>"alter type "&amp;A803&amp;" "&amp;E803&amp;"."</f>
        <v/>
      </c>
    </row>
    <row r="804">
      <c r="A804" s="1" t="inlineStr">
        <is>
          <t>vLA6m02</t>
        </is>
      </c>
      <c r="B804" s="1" t="inlineStr">
        <is>
          <t>數值</t>
        </is>
      </c>
      <c r="C804" s="1" t="n">
        <v>2</v>
      </c>
      <c r="D804" s="1" t="n">
        <v>0</v>
      </c>
      <c r="E804" s="1">
        <f>IF(B804="數值","(F"&amp;C804&amp;"."&amp;D804&amp;")","(A"&amp;C804&amp;")")</f>
        <v/>
      </c>
      <c r="F804" s="1">
        <f>"alter type "&amp;A804&amp;" "&amp;E804&amp;"."</f>
        <v/>
      </c>
    </row>
    <row r="805">
      <c r="A805" s="1" t="inlineStr">
        <is>
          <t>vLA6m03</t>
        </is>
      </c>
      <c r="B805" s="1" t="inlineStr">
        <is>
          <t>數值</t>
        </is>
      </c>
      <c r="C805" s="1" t="n">
        <v>2</v>
      </c>
      <c r="D805" s="1" t="n">
        <v>0</v>
      </c>
      <c r="E805" s="1">
        <f>IF(B805="數值","(F"&amp;C805&amp;"."&amp;D805&amp;")","(A"&amp;C805&amp;")")</f>
        <v/>
      </c>
      <c r="F805" s="1">
        <f>"alter type "&amp;A805&amp;" "&amp;E805&amp;"."</f>
        <v/>
      </c>
    </row>
    <row r="806">
      <c r="A806" s="1" t="inlineStr">
        <is>
          <t>vLA6m04</t>
        </is>
      </c>
      <c r="B806" s="1" t="inlineStr">
        <is>
          <t>數值</t>
        </is>
      </c>
      <c r="C806" s="1" t="n">
        <v>2</v>
      </c>
      <c r="D806" s="1" t="n">
        <v>0</v>
      </c>
      <c r="E806" s="1">
        <f>IF(B806="數值","(F"&amp;C806&amp;"."&amp;D806&amp;")","(A"&amp;C806&amp;")")</f>
        <v/>
      </c>
      <c r="F806" s="1">
        <f>"alter type "&amp;A806&amp;" "&amp;E806&amp;"."</f>
        <v/>
      </c>
    </row>
    <row r="807">
      <c r="A807" s="1" t="inlineStr">
        <is>
          <t>vLA6m05</t>
        </is>
      </c>
      <c r="B807" s="1" t="inlineStr">
        <is>
          <t>數值</t>
        </is>
      </c>
      <c r="C807" s="1" t="n">
        <v>2</v>
      </c>
      <c r="D807" s="1" t="n">
        <v>0</v>
      </c>
      <c r="E807" s="1">
        <f>IF(B807="數值","(F"&amp;C807&amp;"."&amp;D807&amp;")","(A"&amp;C807&amp;")")</f>
        <v/>
      </c>
      <c r="F807" s="1">
        <f>"alter type "&amp;A807&amp;" "&amp;E807&amp;"."</f>
        <v/>
      </c>
    </row>
    <row r="808">
      <c r="A808" s="1" t="inlineStr">
        <is>
          <t>vLA6m06</t>
        </is>
      </c>
      <c r="B808" s="1" t="inlineStr">
        <is>
          <t>數值</t>
        </is>
      </c>
      <c r="C808" s="1" t="n">
        <v>2</v>
      </c>
      <c r="D808" s="1" t="n">
        <v>0</v>
      </c>
      <c r="E808" s="1">
        <f>IF(B808="數值","(F"&amp;C808&amp;"."&amp;D808&amp;")","(A"&amp;C808&amp;")")</f>
        <v/>
      </c>
      <c r="F808" s="1">
        <f>"alter type "&amp;A808&amp;" "&amp;E808&amp;"."</f>
        <v/>
      </c>
    </row>
    <row r="809">
      <c r="A809" s="1" t="inlineStr">
        <is>
          <t>vLA6m07</t>
        </is>
      </c>
      <c r="B809" s="1" t="inlineStr">
        <is>
          <t>數值</t>
        </is>
      </c>
      <c r="C809" s="1" t="n">
        <v>2</v>
      </c>
      <c r="D809" s="1" t="n">
        <v>0</v>
      </c>
      <c r="E809" s="1">
        <f>IF(B809="數值","(F"&amp;C809&amp;"."&amp;D809&amp;")","(A"&amp;C809&amp;")")</f>
        <v/>
      </c>
      <c r="F809" s="1">
        <f>"alter type "&amp;A809&amp;" "&amp;E809&amp;"."</f>
        <v/>
      </c>
    </row>
    <row r="810">
      <c r="A810" s="1" t="inlineStr">
        <is>
          <t>vLA6m90</t>
        </is>
      </c>
      <c r="B810" s="1" t="inlineStr">
        <is>
          <t>數值</t>
        </is>
      </c>
      <c r="C810" s="1" t="n">
        <v>2</v>
      </c>
      <c r="D810" s="1" t="n">
        <v>0</v>
      </c>
      <c r="E810" s="1">
        <f>IF(B810="數值","(F"&amp;C810&amp;"."&amp;D810&amp;")","(A"&amp;C810&amp;")")</f>
        <v/>
      </c>
      <c r="F810" s="1">
        <f>"alter type "&amp;A810&amp;" "&amp;E810&amp;"."</f>
        <v/>
      </c>
    </row>
    <row r="811">
      <c r="A811" s="1" t="inlineStr">
        <is>
          <t>vLA7m01</t>
        </is>
      </c>
      <c r="B811" s="1" t="inlineStr">
        <is>
          <t>數值</t>
        </is>
      </c>
      <c r="C811" s="1" t="n">
        <v>2</v>
      </c>
      <c r="D811" s="1" t="n">
        <v>0</v>
      </c>
      <c r="E811" s="1">
        <f>IF(B811="數值","(F"&amp;C811&amp;"."&amp;D811&amp;")","(A"&amp;C811&amp;")")</f>
        <v/>
      </c>
      <c r="F811" s="1">
        <f>"alter type "&amp;A811&amp;" "&amp;E811&amp;"."</f>
        <v/>
      </c>
    </row>
    <row r="812">
      <c r="A812" s="1" t="inlineStr">
        <is>
          <t>vLA7m02</t>
        </is>
      </c>
      <c r="B812" s="1" t="inlineStr">
        <is>
          <t>數值</t>
        </is>
      </c>
      <c r="C812" s="1" t="n">
        <v>2</v>
      </c>
      <c r="D812" s="1" t="n">
        <v>0</v>
      </c>
      <c r="E812" s="1">
        <f>IF(B812="數值","(F"&amp;C812&amp;"."&amp;D812&amp;")","(A"&amp;C812&amp;")")</f>
        <v/>
      </c>
      <c r="F812" s="1">
        <f>"alter type "&amp;A812&amp;" "&amp;E812&amp;"."</f>
        <v/>
      </c>
    </row>
    <row r="813">
      <c r="A813" s="1" t="inlineStr">
        <is>
          <t>vLA7m03</t>
        </is>
      </c>
      <c r="B813" s="1" t="inlineStr">
        <is>
          <t>數值</t>
        </is>
      </c>
      <c r="C813" s="1" t="n">
        <v>2</v>
      </c>
      <c r="D813" s="1" t="n">
        <v>0</v>
      </c>
      <c r="E813" s="1">
        <f>IF(B813="數值","(F"&amp;C813&amp;"."&amp;D813&amp;")","(A"&amp;C813&amp;")")</f>
        <v/>
      </c>
      <c r="F813" s="1">
        <f>"alter type "&amp;A813&amp;" "&amp;E813&amp;"."</f>
        <v/>
      </c>
    </row>
    <row r="814">
      <c r="A814" s="1" t="inlineStr">
        <is>
          <t>vLA7m04</t>
        </is>
      </c>
      <c r="B814" s="1" t="inlineStr">
        <is>
          <t>數值</t>
        </is>
      </c>
      <c r="C814" s="1" t="n">
        <v>2</v>
      </c>
      <c r="D814" s="1" t="n">
        <v>0</v>
      </c>
      <c r="E814" s="1">
        <f>IF(B814="數值","(F"&amp;C814&amp;"."&amp;D814&amp;")","(A"&amp;C814&amp;")")</f>
        <v/>
      </c>
      <c r="F814" s="1">
        <f>"alter type "&amp;A814&amp;" "&amp;E814&amp;"."</f>
        <v/>
      </c>
    </row>
    <row r="815">
      <c r="A815" s="1" t="inlineStr">
        <is>
          <t>vLA7m05</t>
        </is>
      </c>
      <c r="B815" s="1" t="inlineStr">
        <is>
          <t>數值</t>
        </is>
      </c>
      <c r="C815" s="1" t="n">
        <v>2</v>
      </c>
      <c r="D815" s="1" t="n">
        <v>0</v>
      </c>
      <c r="E815" s="1">
        <f>IF(B815="數值","(F"&amp;C815&amp;"."&amp;D815&amp;")","(A"&amp;C815&amp;")")</f>
        <v/>
      </c>
      <c r="F815" s="1">
        <f>"alter type "&amp;A815&amp;" "&amp;E815&amp;"."</f>
        <v/>
      </c>
    </row>
    <row r="816">
      <c r="A816" s="1" t="inlineStr">
        <is>
          <t>vLA7m06</t>
        </is>
      </c>
      <c r="B816" s="1" t="inlineStr">
        <is>
          <t>數值</t>
        </is>
      </c>
      <c r="C816" s="1" t="n">
        <v>2</v>
      </c>
      <c r="D816" s="1" t="n">
        <v>0</v>
      </c>
      <c r="E816" s="1">
        <f>IF(B816="數值","(F"&amp;C816&amp;"."&amp;D816&amp;")","(A"&amp;C816&amp;")")</f>
        <v/>
      </c>
      <c r="F816" s="1">
        <f>"alter type "&amp;A816&amp;" "&amp;E816&amp;"."</f>
        <v/>
      </c>
    </row>
    <row r="817">
      <c r="A817" s="1" t="inlineStr">
        <is>
          <t>vLA7m07</t>
        </is>
      </c>
      <c r="B817" s="1" t="inlineStr">
        <is>
          <t>數值</t>
        </is>
      </c>
      <c r="C817" s="1" t="n">
        <v>2</v>
      </c>
      <c r="D817" s="1" t="n">
        <v>0</v>
      </c>
      <c r="E817" s="1">
        <f>IF(B817="數值","(F"&amp;C817&amp;"."&amp;D817&amp;")","(A"&amp;C817&amp;")")</f>
        <v/>
      </c>
      <c r="F817" s="1">
        <f>"alter type "&amp;A817&amp;" "&amp;E817&amp;"."</f>
        <v/>
      </c>
    </row>
    <row r="818">
      <c r="A818" s="1" t="inlineStr">
        <is>
          <t>vLA7m90</t>
        </is>
      </c>
      <c r="B818" s="1" t="inlineStr">
        <is>
          <t>數值</t>
        </is>
      </c>
      <c r="C818" s="1" t="n">
        <v>2</v>
      </c>
      <c r="D818" s="1" t="n">
        <v>0</v>
      </c>
      <c r="E818" s="1">
        <f>IF(B818="數值","(F"&amp;C818&amp;"."&amp;D818&amp;")","(A"&amp;C818&amp;")")</f>
        <v/>
      </c>
      <c r="F818" s="1">
        <f>"alter type "&amp;A818&amp;" "&amp;E818&amp;"."</f>
        <v/>
      </c>
    </row>
    <row r="819">
      <c r="A819" s="1" t="inlineStr">
        <is>
          <t>vN1sN1</t>
        </is>
      </c>
      <c r="B819" s="1" t="inlineStr">
        <is>
          <t>數值</t>
        </is>
      </c>
      <c r="C819" s="1" t="n">
        <v>2</v>
      </c>
      <c r="D819" s="1" t="n">
        <v>0</v>
      </c>
      <c r="E819" s="1">
        <f>IF(B819="數值","(F"&amp;C819&amp;"."&amp;D819&amp;")","(A"&amp;C819&amp;")")</f>
        <v/>
      </c>
      <c r="F819" s="1">
        <f>"alter type "&amp;A819&amp;" "&amp;E819&amp;"."</f>
        <v/>
      </c>
    </row>
    <row r="820">
      <c r="A820" s="1" t="inlineStr">
        <is>
          <t>vN1sN2</t>
        </is>
      </c>
      <c r="B820" s="1" t="inlineStr">
        <is>
          <t>數值</t>
        </is>
      </c>
      <c r="C820" s="1" t="n">
        <v>2</v>
      </c>
      <c r="D820" s="1" t="n">
        <v>0</v>
      </c>
      <c r="E820" s="1">
        <f>IF(B820="數值","(F"&amp;C820&amp;"."&amp;D820&amp;")","(A"&amp;C820&amp;")")</f>
        <v/>
      </c>
      <c r="F820" s="1">
        <f>"alter type "&amp;A820&amp;" "&amp;E820&amp;"."</f>
        <v/>
      </c>
    </row>
    <row r="821">
      <c r="A821" s="1" t="inlineStr">
        <is>
          <t>vN1sN3</t>
        </is>
      </c>
      <c r="B821" s="1" t="inlineStr">
        <is>
          <t>數值</t>
        </is>
      </c>
      <c r="C821" s="1" t="n">
        <v>2</v>
      </c>
      <c r="D821" s="1" t="n">
        <v>0</v>
      </c>
      <c r="E821" s="1">
        <f>IF(B821="數值","(F"&amp;C821&amp;"."&amp;D821&amp;")","(A"&amp;C821&amp;")")</f>
        <v/>
      </c>
      <c r="F821" s="1">
        <f>"alter type "&amp;A821&amp;" "&amp;E821&amp;"."</f>
        <v/>
      </c>
    </row>
    <row r="822">
      <c r="A822" s="1" t="inlineStr">
        <is>
          <t>vN1sN4</t>
        </is>
      </c>
      <c r="B822" s="1" t="inlineStr">
        <is>
          <t>數值</t>
        </is>
      </c>
      <c r="C822" s="1" t="n">
        <v>2</v>
      </c>
      <c r="D822" s="1" t="n">
        <v>0</v>
      </c>
      <c r="E822" s="1">
        <f>IF(B822="數值","(F"&amp;C822&amp;"."&amp;D822&amp;")","(A"&amp;C822&amp;")")</f>
        <v/>
      </c>
      <c r="F822" s="1">
        <f>"alter type "&amp;A822&amp;" "&amp;E822&amp;"."</f>
        <v/>
      </c>
    </row>
    <row r="823">
      <c r="A823" s="1" t="inlineStr">
        <is>
          <t>vN5sN5</t>
        </is>
      </c>
      <c r="B823" s="1" t="inlineStr">
        <is>
          <t>數值</t>
        </is>
      </c>
      <c r="C823" s="1" t="n">
        <v>2</v>
      </c>
      <c r="D823" s="1" t="n">
        <v>0</v>
      </c>
      <c r="E823" s="1">
        <f>IF(B823="數值","(F"&amp;C823&amp;"."&amp;D823&amp;")","(A"&amp;C823&amp;")")</f>
        <v/>
      </c>
      <c r="F823" s="1">
        <f>"alter type "&amp;A823&amp;" "&amp;E823&amp;"."</f>
        <v/>
      </c>
    </row>
    <row r="824">
      <c r="A824" s="1" t="inlineStr">
        <is>
          <t>vN5sN6</t>
        </is>
      </c>
      <c r="B824" s="1" t="inlineStr">
        <is>
          <t>數值</t>
        </is>
      </c>
      <c r="C824" s="1" t="n">
        <v>2</v>
      </c>
      <c r="D824" s="1" t="n">
        <v>0</v>
      </c>
      <c r="E824" s="1">
        <f>IF(B824="數值","(F"&amp;C824&amp;"."&amp;D824&amp;")","(A"&amp;C824&amp;")")</f>
        <v/>
      </c>
      <c r="F824" s="1">
        <f>"alter type "&amp;A824&amp;" "&amp;E824&amp;"."</f>
        <v/>
      </c>
    </row>
    <row r="825">
      <c r="A825" s="1" t="inlineStr">
        <is>
          <t>vN5sN7</t>
        </is>
      </c>
      <c r="B825" s="1" t="inlineStr">
        <is>
          <t>數值</t>
        </is>
      </c>
      <c r="C825" s="1" t="n">
        <v>2</v>
      </c>
      <c r="D825" s="1" t="n">
        <v>0</v>
      </c>
      <c r="E825" s="1">
        <f>IF(B825="數值","(F"&amp;C825&amp;"."&amp;D825&amp;")","(A"&amp;C825&amp;")")</f>
        <v/>
      </c>
      <c r="F825" s="1">
        <f>"alter type "&amp;A825&amp;" "&amp;E825&amp;"."</f>
        <v/>
      </c>
    </row>
    <row r="826">
      <c r="A826" s="1" t="inlineStr">
        <is>
          <t>vN5sN8</t>
        </is>
      </c>
      <c r="B826" s="1" t="inlineStr">
        <is>
          <t>數值</t>
        </is>
      </c>
      <c r="C826" s="1" t="n">
        <v>2</v>
      </c>
      <c r="D826" s="1" t="n">
        <v>0</v>
      </c>
      <c r="E826" s="1">
        <f>IF(B826="數值","(F"&amp;C826&amp;"."&amp;D826&amp;")","(A"&amp;C826&amp;")")</f>
        <v/>
      </c>
      <c r="F826" s="1">
        <f>"alter type "&amp;A826&amp;" "&amp;E826&amp;"."</f>
        <v/>
      </c>
    </row>
    <row r="827">
      <c r="A827" s="1" t="inlineStr">
        <is>
          <t>vN5sN9</t>
        </is>
      </c>
      <c r="B827" s="1" t="inlineStr">
        <is>
          <t>數值</t>
        </is>
      </c>
      <c r="C827" s="1" t="n">
        <v>2</v>
      </c>
      <c r="D827" s="1" t="n">
        <v>0</v>
      </c>
      <c r="E827" s="1">
        <f>IF(B827="數值","(F"&amp;C827&amp;"."&amp;D827&amp;")","(A"&amp;C827&amp;")")</f>
        <v/>
      </c>
      <c r="F827" s="1">
        <f>"alter type "&amp;A827&amp;" "&amp;E827&amp;"."</f>
        <v/>
      </c>
    </row>
    <row r="828">
      <c r="A828" s="1" t="inlineStr">
        <is>
          <t>vN5sN10</t>
        </is>
      </c>
      <c r="B828" s="1" t="inlineStr">
        <is>
          <t>數值</t>
        </is>
      </c>
      <c r="C828" s="1" t="n">
        <v>2</v>
      </c>
      <c r="D828" s="1" t="n">
        <v>0</v>
      </c>
      <c r="E828" s="1">
        <f>IF(B828="數值","(F"&amp;C828&amp;"."&amp;D828&amp;")","(A"&amp;C828&amp;")")</f>
        <v/>
      </c>
      <c r="F828" s="1">
        <f>"alter type "&amp;A828&amp;" "&amp;E828&amp;"."</f>
        <v/>
      </c>
    </row>
    <row r="829">
      <c r="A829" s="1" t="inlineStr">
        <is>
          <t>vN11sN11</t>
        </is>
      </c>
      <c r="B829" s="1" t="inlineStr">
        <is>
          <t>數值</t>
        </is>
      </c>
      <c r="C829" s="1" t="n">
        <v>2</v>
      </c>
      <c r="D829" s="1" t="n">
        <v>0</v>
      </c>
      <c r="E829" s="1">
        <f>IF(B829="數值","(F"&amp;C829&amp;"."&amp;D829&amp;")","(A"&amp;C829&amp;")")</f>
        <v/>
      </c>
      <c r="F829" s="1">
        <f>"alter type "&amp;A829&amp;" "&amp;E829&amp;"."</f>
        <v/>
      </c>
    </row>
    <row r="830">
      <c r="A830" s="1" t="inlineStr">
        <is>
          <t>vN11sN12</t>
        </is>
      </c>
      <c r="B830" s="1" t="inlineStr">
        <is>
          <t>數值</t>
        </is>
      </c>
      <c r="C830" s="1" t="n">
        <v>2</v>
      </c>
      <c r="D830" s="1" t="n">
        <v>0</v>
      </c>
      <c r="E830" s="1">
        <f>IF(B830="數值","(F"&amp;C830&amp;"."&amp;D830&amp;")","(A"&amp;C830&amp;")")</f>
        <v/>
      </c>
      <c r="F830" s="1">
        <f>"alter type "&amp;A830&amp;" "&amp;E830&amp;"."</f>
        <v/>
      </c>
    </row>
    <row r="831">
      <c r="A831" s="1" t="inlineStr">
        <is>
          <t>vN11sN13</t>
        </is>
      </c>
      <c r="B831" s="1" t="inlineStr">
        <is>
          <t>數值</t>
        </is>
      </c>
      <c r="C831" s="1" t="n">
        <v>2</v>
      </c>
      <c r="D831" s="1" t="n">
        <v>0</v>
      </c>
      <c r="E831" s="1">
        <f>IF(B831="數值","(F"&amp;C831&amp;"."&amp;D831&amp;")","(A"&amp;C831&amp;")")</f>
        <v/>
      </c>
      <c r="F831" s="1">
        <f>"alter type "&amp;A831&amp;" "&amp;E831&amp;"."</f>
        <v/>
      </c>
    </row>
    <row r="832">
      <c r="A832" s="1" t="inlineStr">
        <is>
          <t>vN14sN14</t>
        </is>
      </c>
      <c r="B832" s="1" t="inlineStr">
        <is>
          <t>數值</t>
        </is>
      </c>
      <c r="C832" s="1" t="n">
        <v>2</v>
      </c>
      <c r="D832" s="1" t="n">
        <v>0</v>
      </c>
      <c r="E832" s="1">
        <f>IF(B832="數值","(F"&amp;C832&amp;"."&amp;D832&amp;")","(A"&amp;C832&amp;")")</f>
        <v/>
      </c>
      <c r="F832" s="1">
        <f>"alter type "&amp;A832&amp;" "&amp;E832&amp;"."</f>
        <v/>
      </c>
    </row>
    <row r="833">
      <c r="A833" s="1" t="inlineStr">
        <is>
          <t>vN14sN15</t>
        </is>
      </c>
      <c r="B833" s="1" t="inlineStr">
        <is>
          <t>數值</t>
        </is>
      </c>
      <c r="C833" s="1" t="n">
        <v>2</v>
      </c>
      <c r="D833" s="1" t="n">
        <v>0</v>
      </c>
      <c r="E833" s="1">
        <f>IF(B833="數值","(F"&amp;C833&amp;"."&amp;D833&amp;")","(A"&amp;C833&amp;")")</f>
        <v/>
      </c>
      <c r="F833" s="1">
        <f>"alter type "&amp;A833&amp;" "&amp;E833&amp;"."</f>
        <v/>
      </c>
    </row>
    <row r="834">
      <c r="A834" s="1" t="inlineStr">
        <is>
          <t>vN14sN16</t>
        </is>
      </c>
      <c r="B834" s="1" t="inlineStr">
        <is>
          <t>數值</t>
        </is>
      </c>
      <c r="C834" s="1" t="n">
        <v>2</v>
      </c>
      <c r="D834" s="1" t="n">
        <v>0</v>
      </c>
      <c r="E834" s="1">
        <f>IF(B834="數值","(F"&amp;C834&amp;"."&amp;D834&amp;")","(A"&amp;C834&amp;")")</f>
        <v/>
      </c>
      <c r="F834" s="1">
        <f>"alter type "&amp;A834&amp;" "&amp;E834&amp;"."</f>
        <v/>
      </c>
    </row>
    <row r="835">
      <c r="A835" s="1" t="inlineStr">
        <is>
          <t>vN14sN17</t>
        </is>
      </c>
      <c r="B835" s="1" t="inlineStr">
        <is>
          <t>數值</t>
        </is>
      </c>
      <c r="C835" s="1" t="n">
        <v>2</v>
      </c>
      <c r="D835" s="1" t="n">
        <v>0</v>
      </c>
      <c r="E835" s="1">
        <f>IF(B835="數值","(F"&amp;C835&amp;"."&amp;D835&amp;")","(A"&amp;C835&amp;")")</f>
        <v/>
      </c>
      <c r="F835" s="1">
        <f>"alter type "&amp;A835&amp;" "&amp;E835&amp;"."</f>
        <v/>
      </c>
    </row>
    <row r="836">
      <c r="A836" s="1" t="inlineStr">
        <is>
          <t>vN18sN18</t>
        </is>
      </c>
      <c r="B836" s="1" t="inlineStr">
        <is>
          <t>數值</t>
        </is>
      </c>
      <c r="C836" s="1" t="n">
        <v>2</v>
      </c>
      <c r="D836" s="1" t="n">
        <v>0</v>
      </c>
      <c r="E836" s="1">
        <f>IF(B836="數值","(F"&amp;C836&amp;"."&amp;D836&amp;")","(A"&amp;C836&amp;")")</f>
        <v/>
      </c>
      <c r="F836" s="1">
        <f>"alter type "&amp;A836&amp;" "&amp;E836&amp;"."</f>
        <v/>
      </c>
    </row>
    <row r="837">
      <c r="A837" s="1" t="inlineStr">
        <is>
          <t>vN18sN19</t>
        </is>
      </c>
      <c r="B837" s="1" t="inlineStr">
        <is>
          <t>數值</t>
        </is>
      </c>
      <c r="C837" s="1" t="n">
        <v>2</v>
      </c>
      <c r="D837" s="1" t="n">
        <v>0</v>
      </c>
      <c r="E837" s="1">
        <f>IF(B837="數值","(F"&amp;C837&amp;"."&amp;D837&amp;")","(A"&amp;C837&amp;")")</f>
        <v/>
      </c>
      <c r="F837" s="1">
        <f>"alter type "&amp;A837&amp;" "&amp;E837&amp;"."</f>
        <v/>
      </c>
    </row>
    <row r="838">
      <c r="A838" s="1" t="inlineStr">
        <is>
          <t>vN20</t>
        </is>
      </c>
      <c r="B838" s="1" t="inlineStr">
        <is>
          <t>數值</t>
        </is>
      </c>
      <c r="C838" s="1" t="n">
        <v>2</v>
      </c>
      <c r="D838" s="1" t="n">
        <v>0</v>
      </c>
      <c r="E838" s="1">
        <f>IF(B838="數值","(F"&amp;C838&amp;"."&amp;D838&amp;")","(A"&amp;C838&amp;")")</f>
        <v/>
      </c>
      <c r="F838" s="1">
        <f>"alter type "&amp;A838&amp;" "&amp;E838&amp;"."</f>
        <v/>
      </c>
    </row>
    <row r="839">
      <c r="A839" s="1" t="inlineStr">
        <is>
          <t>vN21sN21</t>
        </is>
      </c>
      <c r="B839" s="1" t="inlineStr">
        <is>
          <t>數值</t>
        </is>
      </c>
      <c r="C839" s="1" t="n">
        <v>2</v>
      </c>
      <c r="D839" s="1" t="n">
        <v>0</v>
      </c>
      <c r="E839" s="1">
        <f>IF(B839="數值","(F"&amp;C839&amp;"."&amp;D839&amp;")","(A"&amp;C839&amp;")")</f>
        <v/>
      </c>
      <c r="F839" s="1">
        <f>"alter type "&amp;A839&amp;" "&amp;E839&amp;"."</f>
        <v/>
      </c>
    </row>
    <row r="840">
      <c r="A840" s="1" t="inlineStr">
        <is>
          <t>vN21sN22</t>
        </is>
      </c>
      <c r="B840" s="1" t="inlineStr">
        <is>
          <t>數值</t>
        </is>
      </c>
      <c r="C840" s="1" t="n">
        <v>2</v>
      </c>
      <c r="D840" s="1" t="n">
        <v>0</v>
      </c>
      <c r="E840" s="1">
        <f>IF(B840="數值","(F"&amp;C840&amp;"."&amp;D840&amp;")","(A"&amp;C840&amp;")")</f>
        <v/>
      </c>
      <c r="F840" s="1">
        <f>"alter type "&amp;A840&amp;" "&amp;E840&amp;"."</f>
        <v/>
      </c>
    </row>
    <row r="841">
      <c r="A841" s="1" t="inlineStr">
        <is>
          <t>vN21sN23</t>
        </is>
      </c>
      <c r="B841" s="1" t="inlineStr">
        <is>
          <t>數值</t>
        </is>
      </c>
      <c r="C841" s="1" t="n">
        <v>2</v>
      </c>
      <c r="D841" s="1" t="n">
        <v>0</v>
      </c>
      <c r="E841" s="1">
        <f>IF(B841="數值","(F"&amp;C841&amp;"."&amp;D841&amp;")","(A"&amp;C841&amp;")")</f>
        <v/>
      </c>
      <c r="F841" s="1">
        <f>"alter type "&amp;A841&amp;" "&amp;E841&amp;"."</f>
        <v/>
      </c>
    </row>
    <row r="842">
      <c r="A842" s="1" t="inlineStr">
        <is>
          <t>vN24sN24</t>
        </is>
      </c>
      <c r="B842" s="1" t="inlineStr">
        <is>
          <t>數值</t>
        </is>
      </c>
      <c r="C842" s="1" t="n">
        <v>2</v>
      </c>
      <c r="D842" s="1" t="n">
        <v>0</v>
      </c>
      <c r="E842" s="1">
        <f>IF(B842="數值","(F"&amp;C842&amp;"."&amp;D842&amp;")","(A"&amp;C842&amp;")")</f>
        <v/>
      </c>
      <c r="F842" s="1">
        <f>"alter type "&amp;A842&amp;" "&amp;E842&amp;"."</f>
        <v/>
      </c>
    </row>
    <row r="843">
      <c r="A843" s="1" t="inlineStr">
        <is>
          <t>vN24sN25</t>
        </is>
      </c>
      <c r="B843" s="1" t="inlineStr">
        <is>
          <t>數值</t>
        </is>
      </c>
      <c r="C843" s="1" t="n">
        <v>2</v>
      </c>
      <c r="D843" s="1" t="n">
        <v>0</v>
      </c>
      <c r="E843" s="1">
        <f>IF(B843="數值","(F"&amp;C843&amp;"."&amp;D843&amp;")","(A"&amp;C843&amp;")")</f>
        <v/>
      </c>
      <c r="F843" s="1">
        <f>"alter type "&amp;A843&amp;" "&amp;E843&amp;"."</f>
        <v/>
      </c>
    </row>
    <row r="844">
      <c r="A844" s="1" t="inlineStr">
        <is>
          <t>vN26</t>
        </is>
      </c>
      <c r="B844" s="1" t="inlineStr">
        <is>
          <t>數值</t>
        </is>
      </c>
      <c r="C844" s="1" t="n">
        <v>2</v>
      </c>
      <c r="D844" s="1" t="n">
        <v>0</v>
      </c>
      <c r="E844" s="1">
        <f>IF(B844="數值","(F"&amp;C844&amp;"."&amp;D844&amp;")","(A"&amp;C844&amp;")")</f>
        <v/>
      </c>
      <c r="F844" s="1">
        <f>"alter type "&amp;A844&amp;" "&amp;E844&amp;"."</f>
        <v/>
      </c>
    </row>
    <row r="845">
      <c r="A845" s="1" t="inlineStr">
        <is>
          <t>vN27</t>
        </is>
      </c>
      <c r="B845" s="1" t="inlineStr">
        <is>
          <t>數值</t>
        </is>
      </c>
      <c r="C845" s="1" t="n">
        <v>2</v>
      </c>
      <c r="D845" s="1" t="n">
        <v>0</v>
      </c>
      <c r="E845" s="1">
        <f>IF(B845="數值","(F"&amp;C845&amp;"."&amp;D845&amp;")","(A"&amp;C845&amp;")")</f>
        <v/>
      </c>
      <c r="F845" s="1">
        <f>"alter type "&amp;A845&amp;" "&amp;E845&amp;"."</f>
        <v/>
      </c>
    </row>
    <row r="846">
      <c r="A846" s="1" t="inlineStr">
        <is>
          <t>vN28</t>
        </is>
      </c>
      <c r="B846" s="1" t="inlineStr">
        <is>
          <t>數值</t>
        </is>
      </c>
      <c r="C846" s="1" t="n">
        <v>2</v>
      </c>
      <c r="D846" s="1" t="n">
        <v>0</v>
      </c>
      <c r="E846" s="1">
        <f>IF(B846="數值","(F"&amp;C846&amp;"."&amp;D846&amp;")","(A"&amp;C846&amp;")")</f>
        <v/>
      </c>
      <c r="F846" s="1">
        <f>"alter type "&amp;A846&amp;" "&amp;E846&amp;"."</f>
        <v/>
      </c>
    </row>
    <row r="847">
      <c r="A847" s="1" t="inlineStr">
        <is>
          <t>vN29</t>
        </is>
      </c>
      <c r="B847" s="1" t="inlineStr">
        <is>
          <t>數值</t>
        </is>
      </c>
      <c r="C847" s="1" t="n">
        <v>2</v>
      </c>
      <c r="D847" s="1" t="n">
        <v>0</v>
      </c>
      <c r="E847" s="1">
        <f>IF(B847="數值","(F"&amp;C847&amp;"."&amp;D847&amp;")","(A"&amp;C847&amp;")")</f>
        <v/>
      </c>
      <c r="F847" s="1">
        <f>"alter type "&amp;A847&amp;" "&amp;E847&amp;"."</f>
        <v/>
      </c>
    </row>
    <row r="848">
      <c r="A848" s="1" t="inlineStr">
        <is>
          <t>vN30</t>
        </is>
      </c>
      <c r="B848" s="1" t="inlineStr">
        <is>
          <t>數值</t>
        </is>
      </c>
      <c r="C848" s="1" t="n">
        <v>2</v>
      </c>
      <c r="D848" s="1" t="n">
        <v>0</v>
      </c>
      <c r="E848" s="1">
        <f>IF(B848="數值","(F"&amp;C848&amp;"."&amp;D848&amp;")","(A"&amp;C848&amp;")")</f>
        <v/>
      </c>
      <c r="F848" s="1">
        <f>"alter type "&amp;A848&amp;" "&amp;E848&amp;"."</f>
        <v/>
      </c>
    </row>
    <row r="849">
      <c r="A849" s="1" t="inlineStr">
        <is>
          <t>vN31</t>
        </is>
      </c>
      <c r="B849" s="1" t="inlineStr">
        <is>
          <t>數值</t>
        </is>
      </c>
      <c r="C849" s="1" t="n">
        <v>2</v>
      </c>
      <c r="D849" s="1" t="n">
        <v>0</v>
      </c>
      <c r="E849" s="1">
        <f>IF(B849="數值","(F"&amp;C849&amp;"."&amp;D849&amp;")","(A"&amp;C849&amp;")")</f>
        <v/>
      </c>
      <c r="F849" s="1">
        <f>"alter type "&amp;A849&amp;" "&amp;E849&amp;"."</f>
        <v/>
      </c>
    </row>
    <row r="850">
      <c r="A850" s="1" t="inlineStr">
        <is>
          <t>vN32</t>
        </is>
      </c>
      <c r="B850" s="1" t="inlineStr">
        <is>
          <t>數值</t>
        </is>
      </c>
      <c r="C850" s="1" t="n">
        <v>2</v>
      </c>
      <c r="D850" s="1" t="n">
        <v>0</v>
      </c>
      <c r="E850" s="1">
        <f>IF(B850="數值","(F"&amp;C850&amp;"."&amp;D850&amp;")","(A"&amp;C850&amp;")")</f>
        <v/>
      </c>
      <c r="F850" s="1">
        <f>"alter type "&amp;A850&amp;" "&amp;E850&amp;"."</f>
        <v/>
      </c>
    </row>
    <row r="851">
      <c r="A851" s="1" t="inlineStr">
        <is>
          <t>vN33</t>
        </is>
      </c>
      <c r="B851" s="1" t="inlineStr">
        <is>
          <t>數值</t>
        </is>
      </c>
      <c r="C851" s="1" t="n">
        <v>3</v>
      </c>
      <c r="D851" s="1" t="n">
        <v>0</v>
      </c>
      <c r="E851" s="1">
        <f>IF(B851="數值","(F"&amp;C851&amp;"."&amp;D851&amp;")","(A"&amp;C851&amp;")")</f>
        <v/>
      </c>
      <c r="F851" s="1">
        <f>"alter type "&amp;A851&amp;" "&amp;E851&amp;"."</f>
        <v/>
      </c>
    </row>
    <row r="852">
      <c r="A852" s="1" t="inlineStr">
        <is>
          <t>vN34</t>
        </is>
      </c>
      <c r="B852" s="1" t="inlineStr">
        <is>
          <t>數值</t>
        </is>
      </c>
      <c r="C852" s="1" t="n">
        <v>3</v>
      </c>
      <c r="D852" s="1" t="n">
        <v>0</v>
      </c>
      <c r="E852" s="1">
        <f>IF(B852="數值","(F"&amp;C852&amp;"."&amp;D852&amp;")","(A"&amp;C852&amp;")")</f>
        <v/>
      </c>
      <c r="F852" s="1">
        <f>"alter type "&amp;A852&amp;" "&amp;E852&amp;"."</f>
        <v/>
      </c>
    </row>
    <row r="853">
      <c r="A853" s="1" t="inlineStr">
        <is>
          <t>vN35</t>
        </is>
      </c>
      <c r="B853" s="1" t="inlineStr">
        <is>
          <t>數值</t>
        </is>
      </c>
      <c r="C853" s="1" t="n">
        <v>3</v>
      </c>
      <c r="D853" s="1" t="n">
        <v>0</v>
      </c>
      <c r="E853" s="1">
        <f>IF(B853="數值","(F"&amp;C853&amp;"."&amp;D853&amp;")","(A"&amp;C853&amp;")")</f>
        <v/>
      </c>
      <c r="F853" s="1">
        <f>"alter type "&amp;A853&amp;" "&amp;E853&amp;"."</f>
        <v/>
      </c>
    </row>
    <row r="854">
      <c r="A854" s="1" t="inlineStr">
        <is>
          <t>vN36sN36</t>
        </is>
      </c>
      <c r="B854" s="1" t="inlineStr">
        <is>
          <t>數值</t>
        </is>
      </c>
      <c r="C854" s="1" t="n">
        <v>2</v>
      </c>
      <c r="D854" s="1" t="n">
        <v>0</v>
      </c>
      <c r="E854" s="1">
        <f>IF(B854="數值","(F"&amp;C854&amp;"."&amp;D854&amp;")","(A"&amp;C854&amp;")")</f>
        <v/>
      </c>
      <c r="F854" s="1">
        <f>"alter type "&amp;A854&amp;" "&amp;E854&amp;"."</f>
        <v/>
      </c>
    </row>
    <row r="855">
      <c r="A855" s="1" t="inlineStr">
        <is>
          <t>vN36sN37</t>
        </is>
      </c>
      <c r="B855" s="1" t="inlineStr">
        <is>
          <t>數值</t>
        </is>
      </c>
      <c r="C855" s="1" t="n">
        <v>2</v>
      </c>
      <c r="D855" s="1" t="n">
        <v>0</v>
      </c>
      <c r="E855" s="1">
        <f>IF(B855="數值","(F"&amp;C855&amp;"."&amp;D855&amp;")","(A"&amp;C855&amp;")")</f>
        <v/>
      </c>
      <c r="F855" s="1">
        <f>"alter type "&amp;A855&amp;" "&amp;E855&amp;"."</f>
        <v/>
      </c>
    </row>
    <row r="856">
      <c r="A856" s="1" t="inlineStr">
        <is>
          <t>vN38sN38</t>
        </is>
      </c>
      <c r="B856" s="1" t="inlineStr">
        <is>
          <t>數值</t>
        </is>
      </c>
      <c r="C856" s="1" t="n">
        <v>2</v>
      </c>
      <c r="D856" s="1" t="n">
        <v>0</v>
      </c>
      <c r="E856" s="1">
        <f>IF(B856="數值","(F"&amp;C856&amp;"."&amp;D856&amp;")","(A"&amp;C856&amp;")")</f>
        <v/>
      </c>
      <c r="F856" s="1">
        <f>"alter type "&amp;A856&amp;" "&amp;E856&amp;"."</f>
        <v/>
      </c>
    </row>
    <row r="857">
      <c r="A857" s="1" t="inlineStr">
        <is>
          <t>vN38sN39</t>
        </is>
      </c>
      <c r="B857" s="1" t="inlineStr">
        <is>
          <t>數值</t>
        </is>
      </c>
      <c r="C857" s="1" t="n">
        <v>2</v>
      </c>
      <c r="D857" s="1" t="n">
        <v>0</v>
      </c>
      <c r="E857" s="1">
        <f>IF(B857="數值","(F"&amp;C857&amp;"."&amp;D857&amp;")","(A"&amp;C857&amp;")")</f>
        <v/>
      </c>
      <c r="F857" s="1">
        <f>"alter type "&amp;A857&amp;" "&amp;E857&amp;"."</f>
        <v/>
      </c>
    </row>
    <row r="858">
      <c r="A858" s="1" t="inlineStr">
        <is>
          <t>vN38sN40</t>
        </is>
      </c>
      <c r="B858" s="1" t="inlineStr">
        <is>
          <t>數值</t>
        </is>
      </c>
      <c r="C858" s="1" t="n">
        <v>2</v>
      </c>
      <c r="D858" s="1" t="n">
        <v>0</v>
      </c>
      <c r="E858" s="1">
        <f>IF(B858="數值","(F"&amp;C858&amp;"."&amp;D858&amp;")","(A"&amp;C858&amp;")")</f>
        <v/>
      </c>
      <c r="F858" s="1">
        <f>"alter type "&amp;A858&amp;" "&amp;E858&amp;"."</f>
        <v/>
      </c>
    </row>
    <row r="859">
      <c r="A859" s="1" t="inlineStr">
        <is>
          <t>vN38sN41</t>
        </is>
      </c>
      <c r="B859" s="1" t="inlineStr">
        <is>
          <t>數值</t>
        </is>
      </c>
      <c r="C859" s="1" t="n">
        <v>2</v>
      </c>
      <c r="D859" s="1" t="n">
        <v>0</v>
      </c>
      <c r="E859" s="1">
        <f>IF(B859="數值","(F"&amp;C859&amp;"."&amp;D859&amp;")","(A"&amp;C859&amp;")")</f>
        <v/>
      </c>
      <c r="F859" s="1">
        <f>"alter type "&amp;A859&amp;" "&amp;E859&amp;"."</f>
        <v/>
      </c>
    </row>
    <row r="860">
      <c r="A860" s="1" t="inlineStr">
        <is>
          <t>vO1</t>
        </is>
      </c>
      <c r="B860" s="1" t="inlineStr">
        <is>
          <t>數值</t>
        </is>
      </c>
      <c r="C860" s="1" t="n">
        <v>2</v>
      </c>
      <c r="D860" s="1" t="n">
        <v>0</v>
      </c>
      <c r="E860" s="1">
        <f>IF(B860="數值","(F"&amp;C860&amp;"."&amp;D860&amp;")","(A"&amp;C860&amp;")")</f>
        <v/>
      </c>
      <c r="F860" s="1">
        <f>"alter type "&amp;A860&amp;" "&amp;E860&amp;"."</f>
        <v/>
      </c>
    </row>
    <row r="861">
      <c r="A861" s="1" t="inlineStr">
        <is>
          <t>vO1o88</t>
        </is>
      </c>
      <c r="B861" s="1" t="inlineStr">
        <is>
          <t>字串</t>
        </is>
      </c>
      <c r="C861" s="1" t="n">
        <v>150</v>
      </c>
      <c r="D861" s="1" t="n">
        <v>0</v>
      </c>
      <c r="E861" s="1">
        <f>IF(B861="數值","(F"&amp;C861&amp;"."&amp;D861&amp;")","(A"&amp;C861&amp;")")</f>
        <v/>
      </c>
      <c r="F861" s="1">
        <f>"alter type "&amp;A861&amp;" "&amp;E861&amp;"."</f>
        <v/>
      </c>
    </row>
    <row r="862">
      <c r="A862" s="1" t="inlineStr">
        <is>
          <t>vO2</t>
        </is>
      </c>
      <c r="B862" s="1" t="inlineStr">
        <is>
          <t>數值</t>
        </is>
      </c>
      <c r="C862" s="1" t="n">
        <v>2</v>
      </c>
      <c r="D862" s="1" t="n">
        <v>0</v>
      </c>
      <c r="E862" s="1">
        <f>IF(B862="數值","(F"&amp;C862&amp;"."&amp;D862&amp;")","(A"&amp;C862&amp;")")</f>
        <v/>
      </c>
      <c r="F862" s="1">
        <f>"alter type "&amp;A862&amp;" "&amp;E862&amp;"."</f>
        <v/>
      </c>
    </row>
    <row r="863">
      <c r="A863" s="1" t="inlineStr">
        <is>
          <t>vO2o88</t>
        </is>
      </c>
      <c r="B863" s="1" t="inlineStr">
        <is>
          <t>字串</t>
        </is>
      </c>
      <c r="C863" s="1" t="n">
        <v>150</v>
      </c>
      <c r="D863" s="1" t="n">
        <v>0</v>
      </c>
      <c r="E863" s="1">
        <f>IF(B863="數值","(F"&amp;C863&amp;"."&amp;D863&amp;")","(A"&amp;C863&amp;")")</f>
        <v/>
      </c>
      <c r="F863" s="1">
        <f>"alter type "&amp;A863&amp;" "&amp;E863&amp;"."</f>
        <v/>
      </c>
    </row>
    <row r="864">
      <c r="A864" s="1" t="inlineStr">
        <is>
          <t>vO3</t>
        </is>
      </c>
      <c r="B864" s="1" t="inlineStr">
        <is>
          <t>數值</t>
        </is>
      </c>
      <c r="C864" s="1" t="n">
        <v>2</v>
      </c>
      <c r="D864" s="1" t="n">
        <v>0</v>
      </c>
      <c r="E864" s="1">
        <f>IF(B864="數值","(F"&amp;C864&amp;"."&amp;D864&amp;")","(A"&amp;C864&amp;")")</f>
        <v/>
      </c>
      <c r="F864" s="1">
        <f>"alter type "&amp;A864&amp;" "&amp;E864&amp;"."</f>
        <v/>
      </c>
    </row>
    <row r="865">
      <c r="A865" s="1" t="inlineStr">
        <is>
          <t>vO3o88</t>
        </is>
      </c>
      <c r="B865" s="1" t="inlineStr">
        <is>
          <t>字串</t>
        </is>
      </c>
      <c r="C865" s="1" t="n">
        <v>150</v>
      </c>
      <c r="D865" s="1" t="n">
        <v>0</v>
      </c>
      <c r="E865" s="1">
        <f>IF(B865="數值","(F"&amp;C865&amp;"."&amp;D865&amp;")","(A"&amp;C865&amp;")")</f>
        <v/>
      </c>
      <c r="F865" s="1">
        <f>"alter type "&amp;A865&amp;" "&amp;E865&amp;"."</f>
        <v/>
      </c>
    </row>
    <row r="866">
      <c r="A866" s="1" t="inlineStr">
        <is>
          <t>vO4A</t>
        </is>
      </c>
      <c r="B866" s="1" t="inlineStr">
        <is>
          <t>數值</t>
        </is>
      </c>
      <c r="C866" s="1" t="n">
        <v>2</v>
      </c>
      <c r="D866" s="1" t="n">
        <v>0</v>
      </c>
      <c r="E866" s="1">
        <f>IF(B866="數值","(F"&amp;C866&amp;"."&amp;D866&amp;")","(A"&amp;C866&amp;")")</f>
        <v/>
      </c>
      <c r="F866" s="1">
        <f>"alter type "&amp;A866&amp;" "&amp;E866&amp;"."</f>
        <v/>
      </c>
    </row>
    <row r="867">
      <c r="A867" s="1" t="inlineStr">
        <is>
          <t>vO4B</t>
        </is>
      </c>
      <c r="B867" s="1" t="inlineStr">
        <is>
          <t>數值</t>
        </is>
      </c>
      <c r="C867" s="1" t="n">
        <v>5</v>
      </c>
      <c r="D867" s="1" t="n">
        <v>0</v>
      </c>
      <c r="E867" s="1">
        <f>IF(B867="數值","(F"&amp;C867&amp;"."&amp;D867&amp;")","(A"&amp;C867&amp;")")</f>
        <v/>
      </c>
      <c r="F867" s="1">
        <f>"alter type "&amp;A867&amp;" "&amp;E867&amp;"."</f>
        <v/>
      </c>
    </row>
    <row r="868">
      <c r="A868" s="1" t="inlineStr">
        <is>
          <t>vO5</t>
        </is>
      </c>
      <c r="B868" s="1" t="inlineStr">
        <is>
          <t>數值</t>
        </is>
      </c>
      <c r="C868" s="1" t="n">
        <v>2</v>
      </c>
      <c r="D868" s="1" t="n">
        <v>0</v>
      </c>
      <c r="E868" s="1">
        <f>IF(B868="數值","(F"&amp;C868&amp;"."&amp;D868&amp;")","(A"&amp;C868&amp;")")</f>
        <v/>
      </c>
      <c r="F868" s="1">
        <f>"alter type "&amp;A868&amp;" "&amp;E868&amp;"."</f>
        <v/>
      </c>
    </row>
    <row r="869">
      <c r="A869" s="1" t="inlineStr">
        <is>
          <t>vZ2_1g1</t>
        </is>
      </c>
      <c r="B869" s="1" t="inlineStr">
        <is>
          <t>字串</t>
        </is>
      </c>
      <c r="C869" s="1" t="n">
        <v>36</v>
      </c>
      <c r="D869" s="1" t="n">
        <v>0</v>
      </c>
      <c r="E869" s="1">
        <f>IF(B869="數值","(F"&amp;C869&amp;"."&amp;D869&amp;")","(A"&amp;C869&amp;")")</f>
        <v/>
      </c>
      <c r="F869" s="1">
        <f>"alter type "&amp;A869&amp;" "&amp;E869&amp;"."</f>
        <v/>
      </c>
    </row>
    <row r="870">
      <c r="A870" s="1" t="inlineStr">
        <is>
          <t>vZ2_1g2</t>
        </is>
      </c>
      <c r="B870" s="1" t="inlineStr">
        <is>
          <t>字串</t>
        </is>
      </c>
      <c r="C870" s="1" t="n">
        <v>24</v>
      </c>
      <c r="D870" s="1" t="n">
        <v>0</v>
      </c>
      <c r="E870" s="1">
        <f>IF(B870="數值","(F"&amp;C870&amp;"."&amp;D870&amp;")","(A"&amp;C870&amp;")")</f>
        <v/>
      </c>
      <c r="F870" s="1">
        <f>"alter type "&amp;A870&amp;" "&amp;E870&amp;"."</f>
        <v/>
      </c>
    </row>
    <row r="871">
      <c r="A871" s="1" t="inlineStr">
        <is>
          <t>vZ2_2</t>
        </is>
      </c>
      <c r="B871" s="1" t="inlineStr">
        <is>
          <t>字串</t>
        </is>
      </c>
      <c r="C871" s="1" t="n">
        <v>30</v>
      </c>
      <c r="D871" s="1" t="n">
        <v>0</v>
      </c>
      <c r="E871" s="1">
        <f>IF(B871="數值","(F"&amp;C871&amp;"."&amp;D871&amp;")","(A"&amp;C871&amp;")")</f>
        <v/>
      </c>
      <c r="F871" s="1">
        <f>"alter type "&amp;A871&amp;" "&amp;E871&amp;"."</f>
        <v/>
      </c>
    </row>
    <row r="872">
      <c r="A872" s="1" t="inlineStr">
        <is>
          <t>vZE1</t>
        </is>
      </c>
      <c r="B872" s="1" t="inlineStr">
        <is>
          <t>數值</t>
        </is>
      </c>
      <c r="C872" s="1" t="n">
        <v>2</v>
      </c>
      <c r="D872" s="1" t="n">
        <v>0</v>
      </c>
      <c r="E872" s="1">
        <f>IF(B872="數值","(F"&amp;C872&amp;"."&amp;D872&amp;")","(A"&amp;C872&amp;")")</f>
        <v/>
      </c>
      <c r="F872" s="1">
        <f>"alter type "&amp;A872&amp;" "&amp;E872&amp;"."</f>
        <v/>
      </c>
    </row>
    <row r="873">
      <c r="A873" s="1" t="inlineStr">
        <is>
          <t>vZE1o03</t>
        </is>
      </c>
      <c r="B873" s="1" t="inlineStr">
        <is>
          <t>字串</t>
        </is>
      </c>
      <c r="C873" s="1" t="n">
        <v>150</v>
      </c>
      <c r="D873" s="1" t="n">
        <v>0</v>
      </c>
      <c r="E873" s="1">
        <f>IF(B873="數值","(F"&amp;C873&amp;"."&amp;D873&amp;")","(A"&amp;C873&amp;")")</f>
        <v/>
      </c>
      <c r="F873" s="1">
        <f>"alter type "&amp;A873&amp;" "&amp;E873&amp;"."</f>
        <v/>
      </c>
    </row>
    <row r="874">
      <c r="A874" s="1" t="inlineStr">
        <is>
          <t>vZE1o04</t>
        </is>
      </c>
      <c r="B874" s="1" t="inlineStr">
        <is>
          <t>字串</t>
        </is>
      </c>
      <c r="C874" s="1" t="n">
        <v>150</v>
      </c>
      <c r="D874" s="1" t="n">
        <v>0</v>
      </c>
      <c r="E874" s="1">
        <f>IF(B874="數值","(F"&amp;C874&amp;"."&amp;D874&amp;")","(A"&amp;C874&amp;")")</f>
        <v/>
      </c>
      <c r="F874" s="1">
        <f>"alter type "&amp;A874&amp;" "&amp;E874&amp;"."</f>
        <v/>
      </c>
    </row>
    <row r="875">
      <c r="A875" s="1" t="inlineStr">
        <is>
          <t>vZE2m01</t>
        </is>
      </c>
      <c r="B875" s="1" t="inlineStr">
        <is>
          <t>數值</t>
        </is>
      </c>
      <c r="C875" s="1" t="n">
        <v>2</v>
      </c>
      <c r="D875" s="1" t="n">
        <v>0</v>
      </c>
      <c r="E875" s="1">
        <f>IF(B875="數值","(F"&amp;C875&amp;"."&amp;D875&amp;")","(A"&amp;C875&amp;")")</f>
        <v/>
      </c>
      <c r="F875" s="1">
        <f>"alter type "&amp;A875&amp;" "&amp;E875&amp;"."</f>
        <v/>
      </c>
    </row>
    <row r="876">
      <c r="A876" s="1" t="inlineStr">
        <is>
          <t>vZE2m02</t>
        </is>
      </c>
      <c r="B876" s="1" t="inlineStr">
        <is>
          <t>數值</t>
        </is>
      </c>
      <c r="C876" s="1" t="n">
        <v>2</v>
      </c>
      <c r="D876" s="1" t="n">
        <v>0</v>
      </c>
      <c r="E876" s="1">
        <f>IF(B876="數值","(F"&amp;C876&amp;"."&amp;D876&amp;")","(A"&amp;C876&amp;")")</f>
        <v/>
      </c>
      <c r="F876" s="1">
        <f>"alter type "&amp;A876&amp;" "&amp;E876&amp;"."</f>
        <v/>
      </c>
    </row>
    <row r="877">
      <c r="A877" s="1" t="inlineStr">
        <is>
          <t>vZE2m03</t>
        </is>
      </c>
      <c r="B877" s="1" t="inlineStr">
        <is>
          <t>數值</t>
        </is>
      </c>
      <c r="C877" s="1" t="n">
        <v>2</v>
      </c>
      <c r="D877" s="1" t="n">
        <v>0</v>
      </c>
      <c r="E877" s="1">
        <f>IF(B877="數值","(F"&amp;C877&amp;"."&amp;D877&amp;")","(A"&amp;C877&amp;")")</f>
        <v/>
      </c>
      <c r="F877" s="1">
        <f>"alter type "&amp;A877&amp;" "&amp;E877&amp;"."</f>
        <v/>
      </c>
    </row>
    <row r="878">
      <c r="A878" s="1" t="inlineStr">
        <is>
          <t>vZE2m04</t>
        </is>
      </c>
      <c r="B878" s="1" t="inlineStr">
        <is>
          <t>數值</t>
        </is>
      </c>
      <c r="C878" s="1" t="n">
        <v>2</v>
      </c>
      <c r="D878" s="1" t="n">
        <v>0</v>
      </c>
      <c r="E878" s="1">
        <f>IF(B878="數值","(F"&amp;C878&amp;"."&amp;D878&amp;")","(A"&amp;C878&amp;")")</f>
        <v/>
      </c>
      <c r="F878" s="1">
        <f>"alter type "&amp;A878&amp;" "&amp;E878&amp;"."</f>
        <v/>
      </c>
    </row>
    <row r="879">
      <c r="A879" s="1" t="inlineStr">
        <is>
          <t>vZE2_1m01</t>
        </is>
      </c>
      <c r="B879" s="1" t="inlineStr">
        <is>
          <t>數值</t>
        </is>
      </c>
      <c r="C879" s="1" t="n">
        <v>2</v>
      </c>
      <c r="D879" s="1" t="n">
        <v>0</v>
      </c>
      <c r="E879" s="1">
        <f>IF(B879="數值","(F"&amp;C879&amp;"."&amp;D879&amp;")","(A"&amp;C879&amp;")")</f>
        <v/>
      </c>
      <c r="F879" s="1">
        <f>"alter type "&amp;A879&amp;" "&amp;E879&amp;"."</f>
        <v/>
      </c>
    </row>
    <row r="880">
      <c r="A880" s="1" t="inlineStr">
        <is>
          <t>vZE2_1m02</t>
        </is>
      </c>
      <c r="B880" s="1" t="inlineStr">
        <is>
          <t>數值</t>
        </is>
      </c>
      <c r="C880" s="1" t="n">
        <v>2</v>
      </c>
      <c r="D880" s="1" t="n">
        <v>0</v>
      </c>
      <c r="E880" s="1">
        <f>IF(B880="數值","(F"&amp;C880&amp;"."&amp;D880&amp;")","(A"&amp;C880&amp;")")</f>
        <v/>
      </c>
      <c r="F880" s="1">
        <f>"alter type "&amp;A880&amp;" "&amp;E880&amp;"."</f>
        <v/>
      </c>
    </row>
    <row r="881">
      <c r="A881" s="1" t="inlineStr">
        <is>
          <t>vZE2_1m03</t>
        </is>
      </c>
      <c r="B881" s="1" t="inlineStr">
        <is>
          <t>數值</t>
        </is>
      </c>
      <c r="C881" s="1" t="n">
        <v>2</v>
      </c>
      <c r="D881" s="1" t="n">
        <v>0</v>
      </c>
      <c r="E881" s="1">
        <f>IF(B881="數值","(F"&amp;C881&amp;"."&amp;D881&amp;")","(A"&amp;C881&amp;")")</f>
        <v/>
      </c>
      <c r="F881" s="1">
        <f>"alter type "&amp;A881&amp;" "&amp;E881&amp;"."</f>
        <v/>
      </c>
    </row>
    <row r="882">
      <c r="A882" s="1" t="inlineStr">
        <is>
          <t>vZE2_1m04</t>
        </is>
      </c>
      <c r="B882" s="1" t="inlineStr">
        <is>
          <t>數值</t>
        </is>
      </c>
      <c r="C882" s="1" t="n">
        <v>2</v>
      </c>
      <c r="D882" s="1" t="n">
        <v>0</v>
      </c>
      <c r="E882" s="1">
        <f>IF(B882="數值","(F"&amp;C882&amp;"."&amp;D882&amp;")","(A"&amp;C882&amp;")")</f>
        <v/>
      </c>
      <c r="F882" s="1">
        <f>"alter type "&amp;A882&amp;" "&amp;E882&amp;"."</f>
        <v/>
      </c>
    </row>
    <row r="883">
      <c r="A883" s="1" t="inlineStr">
        <is>
          <t>vZE2_1m05</t>
        </is>
      </c>
      <c r="B883" s="1" t="inlineStr">
        <is>
          <t>數值</t>
        </is>
      </c>
      <c r="C883" s="1" t="n">
        <v>2</v>
      </c>
      <c r="D883" s="1" t="n">
        <v>0</v>
      </c>
      <c r="E883" s="1">
        <f>IF(B883="數值","(F"&amp;C883&amp;"."&amp;D883&amp;")","(A"&amp;C883&amp;")")</f>
        <v/>
      </c>
      <c r="F883" s="1">
        <f>"alter type "&amp;A883&amp;" "&amp;E883&amp;"."</f>
        <v/>
      </c>
    </row>
    <row r="884">
      <c r="A884" s="1" t="inlineStr">
        <is>
          <t>vZE2_2</t>
        </is>
      </c>
      <c r="B884" s="1" t="inlineStr">
        <is>
          <t>字串</t>
        </is>
      </c>
      <c r="C884" s="1" t="n">
        <v>30</v>
      </c>
      <c r="D884" s="1" t="n">
        <v>0</v>
      </c>
      <c r="E884" s="1">
        <f>IF(B884="數值","(F"&amp;C884&amp;"."&amp;D884&amp;")","(A"&amp;C884&amp;")")</f>
        <v/>
      </c>
      <c r="F884" s="1">
        <f>"alter type "&amp;A884&amp;" "&amp;E884&amp;"."</f>
        <v/>
      </c>
    </row>
    <row r="885">
      <c r="A885" s="1" t="inlineStr">
        <is>
          <t>vZE2_3</t>
        </is>
      </c>
      <c r="B885" s="1" t="inlineStr">
        <is>
          <t>字串</t>
        </is>
      </c>
      <c r="C885" s="1" t="n">
        <v>450</v>
      </c>
      <c r="D885" s="1" t="n">
        <v>0</v>
      </c>
      <c r="E885" s="1">
        <f>IF(B885="數值","(F"&amp;C885&amp;"."&amp;D885&amp;")","(A"&amp;C885&amp;")")</f>
        <v/>
      </c>
      <c r="F885" s="1">
        <f>"alter type "&amp;A885&amp;" "&amp;E885&amp;"."</f>
        <v/>
      </c>
    </row>
    <row r="886">
      <c r="A886" s="1" t="inlineStr">
        <is>
          <t>vZE3</t>
        </is>
      </c>
      <c r="B886" s="1" t="inlineStr">
        <is>
          <t>字串</t>
        </is>
      </c>
      <c r="C886" s="1" t="n">
        <v>150</v>
      </c>
      <c r="D886" s="1" t="n">
        <v>0</v>
      </c>
      <c r="E886" s="1">
        <f>IF(B886="數值","(F"&amp;C886&amp;"."&amp;D886&amp;")","(A"&amp;C886&amp;")")</f>
        <v/>
      </c>
      <c r="F886" s="1">
        <f>"alter type "&amp;A886&amp;" "&amp;E886&amp;"."</f>
        <v/>
      </c>
    </row>
    <row r="887">
      <c r="A887" s="1" t="inlineStr">
        <is>
          <t>vvckend</t>
        </is>
      </c>
      <c r="B887" s="1" t="inlineStr">
        <is>
          <t>數值</t>
        </is>
      </c>
      <c r="C887" s="1" t="n">
        <v>14</v>
      </c>
      <c r="D887" s="1" t="n">
        <v>0</v>
      </c>
      <c r="E887" s="1">
        <f>IF(B887="數值","(F"&amp;C887&amp;"."&amp;D887&amp;")","(A"&amp;C887&amp;")")</f>
        <v/>
      </c>
      <c r="F887" s="1">
        <f>"alter type "&amp;A887&amp;" "&amp;E887&amp;"."</f>
        <v/>
      </c>
    </row>
    <row r="888">
      <c r="A888" s="10" t="inlineStr">
        <is>
          <t>vZX</t>
        </is>
      </c>
      <c r="B888" s="10" t="inlineStr">
        <is>
          <t>字串</t>
        </is>
      </c>
      <c r="C888" s="10" t="n">
        <v>1500</v>
      </c>
      <c r="D888" s="10" t="n">
        <v>0</v>
      </c>
      <c r="E888" s="1">
        <f>IF(B888="數值","(F"&amp;C888&amp;"."&amp;D888&amp;")","(A"&amp;C888&amp;")")</f>
        <v/>
      </c>
      <c r="F888" s="1">
        <f>"alter type "&amp;A888&amp;" "&amp;E888&amp;"."</f>
        <v/>
      </c>
    </row>
    <row r="889">
      <c r="A889" s="10" t="inlineStr">
        <is>
          <t>vZB1m01</t>
        </is>
      </c>
      <c r="B889" s="10" t="inlineStr">
        <is>
          <t>數值</t>
        </is>
      </c>
      <c r="C889" s="10" t="n">
        <v>2</v>
      </c>
      <c r="D889" s="10" t="n">
        <v>0</v>
      </c>
      <c r="E889" s="1">
        <f>IF(B889="數值","(F"&amp;C889&amp;"."&amp;D889&amp;")","(A"&amp;C889&amp;")")</f>
        <v/>
      </c>
      <c r="F889" s="1">
        <f>"alter type "&amp;A889&amp;" "&amp;E889&amp;"."</f>
        <v/>
      </c>
    </row>
    <row r="890">
      <c r="A890" s="10" t="inlineStr">
        <is>
          <t>vZB1m02</t>
        </is>
      </c>
      <c r="B890" s="10" t="inlineStr">
        <is>
          <t>數值</t>
        </is>
      </c>
      <c r="C890" s="10" t="n">
        <v>2</v>
      </c>
      <c r="D890" s="10" t="n">
        <v>0</v>
      </c>
      <c r="E890" s="1">
        <f>IF(B890="數值","(F"&amp;C890&amp;"."&amp;D890&amp;")","(A"&amp;C890&amp;")")</f>
        <v/>
      </c>
      <c r="F890" s="1">
        <f>"alter type "&amp;A890&amp;" "&amp;E890&amp;"."</f>
        <v/>
      </c>
    </row>
    <row r="891">
      <c r="A891" s="10" t="inlineStr">
        <is>
          <t>vZB1m03</t>
        </is>
      </c>
      <c r="B891" s="10" t="inlineStr">
        <is>
          <t>數值</t>
        </is>
      </c>
      <c r="C891" s="10" t="n">
        <v>2</v>
      </c>
      <c r="D891" s="10" t="n">
        <v>0</v>
      </c>
      <c r="E891" s="1">
        <f>IF(B891="數值","(F"&amp;C891&amp;"."&amp;D891&amp;")","(A"&amp;C891&amp;")")</f>
        <v/>
      </c>
      <c r="F891" s="1">
        <f>"alter type "&amp;A891&amp;" "&amp;E891&amp;"."</f>
        <v/>
      </c>
    </row>
    <row r="892">
      <c r="A892" s="10" t="inlineStr">
        <is>
          <t>vZB1o01</t>
        </is>
      </c>
      <c r="B892" s="10" t="inlineStr">
        <is>
          <t>字串</t>
        </is>
      </c>
      <c r="C892" s="10" t="n">
        <v>150</v>
      </c>
      <c r="D892" s="10" t="n">
        <v>0</v>
      </c>
      <c r="E892" s="1">
        <f>IF(B892="數值","(F"&amp;C892&amp;"."&amp;D892&amp;")","(A"&amp;C892&amp;")")</f>
        <v/>
      </c>
      <c r="F892" s="1">
        <f>"alter type "&amp;A892&amp;" "&amp;E892&amp;"."</f>
        <v/>
      </c>
    </row>
    <row r="893">
      <c r="A893" s="10" t="inlineStr">
        <is>
          <t>vZB1o02</t>
        </is>
      </c>
      <c r="B893" s="10" t="inlineStr">
        <is>
          <t>字串</t>
        </is>
      </c>
      <c r="C893" s="10" t="n">
        <v>150</v>
      </c>
      <c r="D893" s="10" t="n">
        <v>0</v>
      </c>
      <c r="E893" s="1">
        <f>IF(B893="數值","(F"&amp;C893&amp;"."&amp;D893&amp;")","(A"&amp;C893&amp;")")</f>
        <v/>
      </c>
      <c r="F893" s="1">
        <f>"alter type "&amp;A893&amp;" "&amp;E893&amp;"."</f>
        <v/>
      </c>
    </row>
    <row r="894">
      <c r="A894" s="10" t="inlineStr">
        <is>
          <t>vZB2</t>
        </is>
      </c>
      <c r="B894" s="10" t="inlineStr">
        <is>
          <t>數值</t>
        </is>
      </c>
      <c r="C894" s="10" t="n">
        <v>2</v>
      </c>
      <c r="D894" s="10" t="n">
        <v>0</v>
      </c>
      <c r="E894" s="1">
        <f>IF(B894="數值","(F"&amp;C894&amp;"."&amp;D894&amp;")","(A"&amp;C894&amp;")")</f>
        <v/>
      </c>
      <c r="F894" s="1">
        <f>"alter type "&amp;A894&amp;" "&amp;E894&amp;"."</f>
        <v/>
      </c>
    </row>
    <row r="895">
      <c r="A895" s="10" t="inlineStr">
        <is>
          <t>vZB3m01</t>
        </is>
      </c>
      <c r="B895" s="10" t="inlineStr">
        <is>
          <t>數值</t>
        </is>
      </c>
      <c r="C895" s="10" t="n">
        <v>2</v>
      </c>
      <c r="D895" s="10" t="n">
        <v>0</v>
      </c>
      <c r="E895" s="1">
        <f>IF(B895="數值","(F"&amp;C895&amp;"."&amp;D895&amp;")","(A"&amp;C895&amp;")")</f>
        <v/>
      </c>
      <c r="F895" s="1">
        <f>"alter type "&amp;A895&amp;" "&amp;E895&amp;"."</f>
        <v/>
      </c>
    </row>
    <row r="896">
      <c r="A896" s="10" t="inlineStr">
        <is>
          <t>vZB3m02</t>
        </is>
      </c>
      <c r="B896" s="10" t="inlineStr">
        <is>
          <t>數值</t>
        </is>
      </c>
      <c r="C896" s="10" t="n">
        <v>2</v>
      </c>
      <c r="D896" s="10" t="n">
        <v>0</v>
      </c>
      <c r="E896" s="1">
        <f>IF(B896="數值","(F"&amp;C896&amp;"."&amp;D896&amp;")","(A"&amp;C896&amp;")")</f>
        <v/>
      </c>
      <c r="F896" s="1">
        <f>"alter type "&amp;A896&amp;" "&amp;E896&amp;"."</f>
        <v/>
      </c>
    </row>
    <row r="897">
      <c r="A897" s="10" t="inlineStr">
        <is>
          <t>vZB3m03</t>
        </is>
      </c>
      <c r="B897" s="10" t="inlineStr">
        <is>
          <t>數值</t>
        </is>
      </c>
      <c r="C897" s="10" t="n">
        <v>2</v>
      </c>
      <c r="D897" s="10" t="n">
        <v>0</v>
      </c>
      <c r="E897" s="1">
        <f>IF(B897="數值","(F"&amp;C897&amp;"."&amp;D897&amp;")","(A"&amp;C897&amp;")")</f>
        <v/>
      </c>
      <c r="F897" s="1">
        <f>"alter type "&amp;A897&amp;" "&amp;E897&amp;"."</f>
        <v/>
      </c>
    </row>
    <row r="898">
      <c r="A898" s="10" t="inlineStr">
        <is>
          <t>vZB3m04</t>
        </is>
      </c>
      <c r="B898" s="10" t="inlineStr">
        <is>
          <t>數值</t>
        </is>
      </c>
      <c r="C898" s="10" t="n">
        <v>2</v>
      </c>
      <c r="D898" s="10" t="n">
        <v>0</v>
      </c>
      <c r="E898" s="1">
        <f>IF(B898="數值","(F"&amp;C898&amp;"."&amp;D898&amp;")","(A"&amp;C898&amp;")")</f>
        <v/>
      </c>
      <c r="F898" s="1">
        <f>"alter type "&amp;A898&amp;" "&amp;E898&amp;"."</f>
        <v/>
      </c>
    </row>
    <row r="899">
      <c r="A899" s="10" t="inlineStr">
        <is>
          <t>vZB3m05</t>
        </is>
      </c>
      <c r="B899" s="10" t="inlineStr">
        <is>
          <t>數值</t>
        </is>
      </c>
      <c r="C899" s="10" t="n">
        <v>2</v>
      </c>
      <c r="D899" s="10" t="n">
        <v>0</v>
      </c>
      <c r="E899" s="1">
        <f>IF(B899="數值","(F"&amp;C899&amp;"."&amp;D899&amp;")","(A"&amp;C899&amp;")")</f>
        <v/>
      </c>
      <c r="F899" s="1">
        <f>"alter type "&amp;A899&amp;" "&amp;E899&amp;"."</f>
        <v/>
      </c>
    </row>
    <row r="900">
      <c r="A900" s="10" t="inlineStr">
        <is>
          <t>vZB3m06</t>
        </is>
      </c>
      <c r="B900" s="10" t="inlineStr">
        <is>
          <t>數值</t>
        </is>
      </c>
      <c r="C900" s="10" t="n">
        <v>2</v>
      </c>
      <c r="D900" s="10" t="n">
        <v>0</v>
      </c>
      <c r="E900" s="1">
        <f>IF(B900="數值","(F"&amp;C900&amp;"."&amp;D900&amp;")","(A"&amp;C900&amp;")")</f>
        <v/>
      </c>
      <c r="F900" s="1">
        <f>"alter type "&amp;A900&amp;" "&amp;E900&amp;"."</f>
        <v/>
      </c>
    </row>
    <row r="901">
      <c r="A901" s="10" t="inlineStr">
        <is>
          <t>vZB3m07</t>
        </is>
      </c>
      <c r="B901" s="10" t="inlineStr">
        <is>
          <t>數值</t>
        </is>
      </c>
      <c r="C901" s="10" t="n">
        <v>2</v>
      </c>
      <c r="D901" s="10" t="n">
        <v>0</v>
      </c>
      <c r="E901" s="1">
        <f>IF(B901="數值","(F"&amp;C901&amp;"."&amp;D901&amp;")","(A"&amp;C901&amp;")")</f>
        <v/>
      </c>
      <c r="F901" s="1">
        <f>"alter type "&amp;A901&amp;" "&amp;E901&amp;"."</f>
        <v/>
      </c>
    </row>
    <row r="902">
      <c r="A902" s="10" t="inlineStr">
        <is>
          <t>vZB3o07</t>
        </is>
      </c>
      <c r="B902" s="10" t="inlineStr">
        <is>
          <t>字串</t>
        </is>
      </c>
      <c r="C902" s="10" t="n">
        <v>150</v>
      </c>
      <c r="D902" s="10" t="n">
        <v>0</v>
      </c>
      <c r="E902" s="1">
        <f>IF(B902="數值","(F"&amp;C902&amp;"."&amp;D902&amp;")","(A"&amp;C902&amp;")")</f>
        <v/>
      </c>
      <c r="F902" s="1">
        <f>"alter type "&amp;A902&amp;" "&amp;E902&amp;"."</f>
        <v/>
      </c>
    </row>
    <row r="903">
      <c r="A903" s="10" t="inlineStr">
        <is>
          <t>vZB4</t>
        </is>
      </c>
      <c r="B903" s="10" t="inlineStr">
        <is>
          <t>數值</t>
        </is>
      </c>
      <c r="C903" s="10" t="n">
        <v>2</v>
      </c>
      <c r="D903" s="10" t="n">
        <v>0</v>
      </c>
      <c r="E903" s="1">
        <f>IF(B903="數值","(F"&amp;C903&amp;"."&amp;D903&amp;")","(A"&amp;C903&amp;")")</f>
        <v/>
      </c>
      <c r="F903" s="1">
        <f>"alter type "&amp;A903&amp;" "&amp;E903&amp;"."</f>
        <v/>
      </c>
    </row>
    <row r="904">
      <c r="A904" s="10" t="inlineStr">
        <is>
          <t>vZB4o07</t>
        </is>
      </c>
      <c r="B904" s="10" t="inlineStr">
        <is>
          <t>字串</t>
        </is>
      </c>
      <c r="C904" s="10" t="n">
        <v>150</v>
      </c>
      <c r="D904" s="10" t="n">
        <v>0</v>
      </c>
      <c r="E904" s="1">
        <f>IF(B904="數值","(F"&amp;C904&amp;"."&amp;D904&amp;")","(A"&amp;C904&amp;")")</f>
        <v/>
      </c>
      <c r="F904" s="1">
        <f>"alter type "&amp;A904&amp;" "&amp;E904&amp;"."</f>
        <v/>
      </c>
    </row>
    <row r="905">
      <c r="A905" s="10" t="inlineStr">
        <is>
          <t>vZB5_1</t>
        </is>
      </c>
      <c r="B905" s="10" t="inlineStr">
        <is>
          <t>數值</t>
        </is>
      </c>
      <c r="C905" s="10" t="n">
        <v>2</v>
      </c>
      <c r="D905" s="10" t="n">
        <v>0</v>
      </c>
      <c r="E905" s="1">
        <f>IF(B905="數值","(F"&amp;C905&amp;"."&amp;D905&amp;")","(A"&amp;C905&amp;")")</f>
        <v/>
      </c>
      <c r="F905" s="1">
        <f>"alter type "&amp;A905&amp;" "&amp;E905&amp;"."</f>
        <v/>
      </c>
    </row>
    <row r="906">
      <c r="A906" s="10" t="inlineStr">
        <is>
          <t>vZB5_1o03</t>
        </is>
      </c>
      <c r="B906" s="10" t="inlineStr">
        <is>
          <t>字串</t>
        </is>
      </c>
      <c r="C906" s="10" t="n">
        <v>150</v>
      </c>
      <c r="D906" s="10" t="n">
        <v>0</v>
      </c>
      <c r="E906" s="1">
        <f>IF(B906="數值","(F"&amp;C906&amp;"."&amp;D906&amp;")","(A"&amp;C906&amp;")")</f>
        <v/>
      </c>
      <c r="F906" s="1">
        <f>"alter type "&amp;A906&amp;" "&amp;E906&amp;"."</f>
        <v/>
      </c>
    </row>
    <row r="907">
      <c r="A907" s="10" t="inlineStr">
        <is>
          <t>vZB5_1o04</t>
        </is>
      </c>
      <c r="B907" s="10" t="inlineStr">
        <is>
          <t>字串</t>
        </is>
      </c>
      <c r="C907" s="10" t="n">
        <v>150</v>
      </c>
      <c r="D907" s="10" t="n">
        <v>0</v>
      </c>
      <c r="E907" s="1">
        <f>IF(B907="數值","(F"&amp;C907&amp;"."&amp;D907&amp;")","(A"&amp;C907&amp;")")</f>
        <v/>
      </c>
      <c r="F907" s="1">
        <f>"alter type "&amp;A907&amp;" "&amp;E907&amp;"."</f>
        <v/>
      </c>
    </row>
    <row r="908">
      <c r="A908" s="10" t="inlineStr">
        <is>
          <t>vZB5_2</t>
        </is>
      </c>
      <c r="B908" s="10" t="inlineStr">
        <is>
          <t>數值</t>
        </is>
      </c>
      <c r="C908" s="10" t="n">
        <v>2</v>
      </c>
      <c r="D908" s="10" t="n">
        <v>0</v>
      </c>
      <c r="E908" s="1">
        <f>IF(B908="數值","(F"&amp;C908&amp;"."&amp;D908&amp;")","(A"&amp;C908&amp;")")</f>
        <v/>
      </c>
      <c r="F908" s="1">
        <f>"alter type "&amp;A908&amp;" "&amp;E908&amp;"."</f>
        <v/>
      </c>
    </row>
    <row r="909">
      <c r="A909" s="10" t="inlineStr">
        <is>
          <t>vZB6</t>
        </is>
      </c>
      <c r="B909" s="10" t="inlineStr">
        <is>
          <t>數值</t>
        </is>
      </c>
      <c r="C909" s="10" t="n">
        <v>2</v>
      </c>
      <c r="D909" s="10" t="n">
        <v>0</v>
      </c>
      <c r="E909" s="1">
        <f>IF(B909="數值","(F"&amp;C909&amp;"."&amp;D909&amp;")","(A"&amp;C909&amp;")")</f>
        <v/>
      </c>
      <c r="F909" s="1">
        <f>"alter type "&amp;A909&amp;" "&amp;E909&amp;"."</f>
        <v/>
      </c>
    </row>
    <row r="910">
      <c r="A910" s="10" t="inlineStr">
        <is>
          <t>vZB7m01</t>
        </is>
      </c>
      <c r="B910" s="10" t="inlineStr">
        <is>
          <t>數值</t>
        </is>
      </c>
      <c r="C910" s="10" t="n">
        <v>2</v>
      </c>
      <c r="D910" s="10" t="n">
        <v>0</v>
      </c>
      <c r="E910" s="1">
        <f>IF(B910="數值","(F"&amp;C910&amp;"."&amp;D910&amp;")","(A"&amp;C910&amp;")")</f>
        <v/>
      </c>
      <c r="F910" s="1">
        <f>"alter type "&amp;A910&amp;" "&amp;E910&amp;"."</f>
        <v/>
      </c>
    </row>
    <row r="911">
      <c r="A911" s="10" t="inlineStr">
        <is>
          <t>vZB7m02</t>
        </is>
      </c>
      <c r="B911" s="10" t="inlineStr">
        <is>
          <t>數值</t>
        </is>
      </c>
      <c r="C911" s="10" t="n">
        <v>2</v>
      </c>
      <c r="D911" s="10" t="n">
        <v>0</v>
      </c>
      <c r="E911" s="1">
        <f>IF(B911="數值","(F"&amp;C911&amp;"."&amp;D911&amp;")","(A"&amp;C911&amp;")")</f>
        <v/>
      </c>
      <c r="F911" s="1">
        <f>"alter type "&amp;A911&amp;" "&amp;E911&amp;"."</f>
        <v/>
      </c>
    </row>
    <row r="912">
      <c r="A912" s="10" t="inlineStr">
        <is>
          <t>vZB7m03</t>
        </is>
      </c>
      <c r="B912" s="10" t="inlineStr">
        <is>
          <t>數值</t>
        </is>
      </c>
      <c r="C912" s="10" t="n">
        <v>2</v>
      </c>
      <c r="D912" s="10" t="n">
        <v>0</v>
      </c>
      <c r="E912" s="1">
        <f>IF(B912="數值","(F"&amp;C912&amp;"."&amp;D912&amp;")","(A"&amp;C912&amp;")")</f>
        <v/>
      </c>
      <c r="F912" s="1">
        <f>"alter type "&amp;A912&amp;" "&amp;E912&amp;"."</f>
        <v/>
      </c>
    </row>
    <row r="913">
      <c r="A913" s="10" t="inlineStr">
        <is>
          <t>vZB7m04</t>
        </is>
      </c>
      <c r="B913" s="10" t="inlineStr">
        <is>
          <t>數值</t>
        </is>
      </c>
      <c r="C913" s="10" t="n">
        <v>2</v>
      </c>
      <c r="D913" s="10" t="n">
        <v>0</v>
      </c>
      <c r="E913" s="1">
        <f>IF(B913="數值","(F"&amp;C913&amp;"."&amp;D913&amp;")","(A"&amp;C913&amp;")")</f>
        <v/>
      </c>
      <c r="F913" s="1">
        <f>"alter type "&amp;A913&amp;" "&amp;E913&amp;"."</f>
        <v/>
      </c>
    </row>
    <row r="914">
      <c r="A914" s="10" t="inlineStr">
        <is>
          <t>vZB7m05</t>
        </is>
      </c>
      <c r="B914" s="10" t="inlineStr">
        <is>
          <t>數值</t>
        </is>
      </c>
      <c r="C914" s="10" t="n">
        <v>2</v>
      </c>
      <c r="D914" s="10" t="n">
        <v>0</v>
      </c>
      <c r="E914" s="1">
        <f>IF(B914="數值","(F"&amp;C914&amp;"."&amp;D914&amp;")","(A"&amp;C914&amp;")")</f>
        <v/>
      </c>
      <c r="F914" s="1">
        <f>"alter type "&amp;A914&amp;" "&amp;E914&amp;"."</f>
        <v/>
      </c>
    </row>
    <row r="915">
      <c r="A915" s="10" t="inlineStr">
        <is>
          <t>vZB7m06</t>
        </is>
      </c>
      <c r="B915" s="10" t="inlineStr">
        <is>
          <t>數值</t>
        </is>
      </c>
      <c r="C915" s="10" t="n">
        <v>2</v>
      </c>
      <c r="D915" s="10" t="n">
        <v>0</v>
      </c>
      <c r="E915" s="1">
        <f>IF(B915="數值","(F"&amp;C915&amp;"."&amp;D915&amp;")","(A"&amp;C915&amp;")")</f>
        <v/>
      </c>
      <c r="F915" s="1">
        <f>"alter type "&amp;A915&amp;" "&amp;E915&amp;"."</f>
        <v/>
      </c>
    </row>
    <row r="916">
      <c r="A916" s="10" t="inlineStr">
        <is>
          <t>vZB7m07</t>
        </is>
      </c>
      <c r="B916" s="10" t="inlineStr">
        <is>
          <t>數值</t>
        </is>
      </c>
      <c r="C916" s="10" t="n">
        <v>2</v>
      </c>
      <c r="D916" s="10" t="n">
        <v>0</v>
      </c>
      <c r="E916" s="1">
        <f>IF(B916="數值","(F"&amp;C916&amp;"."&amp;D916&amp;")","(A"&amp;C916&amp;")")</f>
        <v/>
      </c>
      <c r="F916" s="1">
        <f>"alter type "&amp;A916&amp;" "&amp;E916&amp;"."</f>
        <v/>
      </c>
    </row>
    <row r="917">
      <c r="A917" s="10" t="inlineStr">
        <is>
          <t>vZB7m08</t>
        </is>
      </c>
      <c r="B917" s="10" t="inlineStr">
        <is>
          <t>數值</t>
        </is>
      </c>
      <c r="C917" s="10" t="n">
        <v>2</v>
      </c>
      <c r="D917" s="10" t="n">
        <v>0</v>
      </c>
      <c r="E917" s="1">
        <f>IF(B917="數值","(F"&amp;C917&amp;"."&amp;D917&amp;")","(A"&amp;C917&amp;")")</f>
        <v/>
      </c>
      <c r="F917" s="1">
        <f>"alter type "&amp;A917&amp;" "&amp;E917&amp;"."</f>
        <v/>
      </c>
    </row>
    <row r="918">
      <c r="A918" s="10" t="inlineStr">
        <is>
          <t>vZB7m09</t>
        </is>
      </c>
      <c r="B918" s="10" t="inlineStr">
        <is>
          <t>數值</t>
        </is>
      </c>
      <c r="C918" s="10" t="n">
        <v>2</v>
      </c>
      <c r="D918" s="10" t="n">
        <v>0</v>
      </c>
      <c r="E918" s="1">
        <f>IF(B918="數值","(F"&amp;C918&amp;"."&amp;D918&amp;")","(A"&amp;C918&amp;")")</f>
        <v/>
      </c>
      <c r="F918" s="1">
        <f>"alter type "&amp;A918&amp;" "&amp;E918&amp;"."</f>
        <v/>
      </c>
    </row>
    <row r="919">
      <c r="A919" s="10" t="inlineStr">
        <is>
          <t>vZB7m10</t>
        </is>
      </c>
      <c r="B919" s="10" t="inlineStr">
        <is>
          <t>數值</t>
        </is>
      </c>
      <c r="C919" s="10" t="n">
        <v>2</v>
      </c>
      <c r="D919" s="10" t="n">
        <v>0</v>
      </c>
      <c r="E919" s="1">
        <f>IF(B919="數值","(F"&amp;C919&amp;"."&amp;D919&amp;")","(A"&amp;C919&amp;")")</f>
        <v/>
      </c>
      <c r="F919" s="1">
        <f>"alter type "&amp;A919&amp;" "&amp;E919&amp;"."</f>
        <v/>
      </c>
    </row>
    <row r="920">
      <c r="A920" s="10" t="inlineStr">
        <is>
          <t>vZB7m11</t>
        </is>
      </c>
      <c r="B920" s="10" t="inlineStr">
        <is>
          <t>數值</t>
        </is>
      </c>
      <c r="C920" s="10" t="n">
        <v>2</v>
      </c>
      <c r="D920" s="10" t="n">
        <v>0</v>
      </c>
      <c r="E920" s="1">
        <f>IF(B920="數值","(F"&amp;C920&amp;"."&amp;D920&amp;")","(A"&amp;C920&amp;")")</f>
        <v/>
      </c>
      <c r="F920" s="1">
        <f>"alter type "&amp;A920&amp;" "&amp;E920&amp;"."</f>
        <v/>
      </c>
    </row>
    <row r="921">
      <c r="A921" s="10" t="inlineStr">
        <is>
          <t>vZB7o11</t>
        </is>
      </c>
      <c r="B921" s="10" t="inlineStr">
        <is>
          <t>字串</t>
        </is>
      </c>
      <c r="C921" s="10" t="n">
        <v>150</v>
      </c>
      <c r="D921" s="10" t="n">
        <v>0</v>
      </c>
      <c r="E921" s="1">
        <f>IF(B921="數值","(F"&amp;C921&amp;"."&amp;D921&amp;")","(A"&amp;C921&amp;")")</f>
        <v/>
      </c>
      <c r="F921" s="1">
        <f>"alter type "&amp;A921&amp;" "&amp;E921&amp;"."</f>
        <v/>
      </c>
    </row>
    <row r="922">
      <c r="A922" s="10" t="inlineStr">
        <is>
          <t>vZB8</t>
        </is>
      </c>
      <c r="B922" s="10" t="inlineStr">
        <is>
          <t>數值</t>
        </is>
      </c>
      <c r="C922" s="10" t="n">
        <v>2</v>
      </c>
      <c r="D922" s="10" t="n">
        <v>0</v>
      </c>
      <c r="E922" s="1">
        <f>IF(B922="數值","(F"&amp;C922&amp;"."&amp;D922&amp;")","(A"&amp;C922&amp;")")</f>
        <v/>
      </c>
      <c r="F922" s="1">
        <f>"alter type "&amp;A922&amp;" "&amp;E922&amp;"."</f>
        <v/>
      </c>
    </row>
    <row r="923">
      <c r="A923" s="10" t="inlineStr">
        <is>
          <t>vZB8o01</t>
        </is>
      </c>
      <c r="B923" s="10" t="inlineStr">
        <is>
          <t>字串</t>
        </is>
      </c>
      <c r="C923" s="10" t="n">
        <v>150</v>
      </c>
      <c r="D923" s="10" t="n">
        <v>0</v>
      </c>
      <c r="E923" s="1">
        <f>IF(B923="數值","(F"&amp;C923&amp;"."&amp;D923&amp;")","(A"&amp;C923&amp;")")</f>
        <v/>
      </c>
      <c r="F923" s="1">
        <f>"alter type "&amp;A923&amp;" "&amp;E923&amp;"."</f>
        <v/>
      </c>
    </row>
    <row r="924">
      <c r="A924" s="10" t="inlineStr">
        <is>
          <t>vZB9m01</t>
        </is>
      </c>
      <c r="B924" s="10" t="inlineStr">
        <is>
          <t>數值</t>
        </is>
      </c>
      <c r="C924" s="10" t="n">
        <v>2</v>
      </c>
      <c r="D924" s="10" t="n">
        <v>0</v>
      </c>
      <c r="E924" s="1">
        <f>IF(B924="數值","(F"&amp;C924&amp;"."&amp;D924&amp;")","(A"&amp;C924&amp;")")</f>
        <v/>
      </c>
      <c r="F924" s="1">
        <f>"alter type "&amp;A924&amp;" "&amp;E924&amp;"."</f>
        <v/>
      </c>
    </row>
    <row r="925">
      <c r="A925" s="10" t="inlineStr">
        <is>
          <t>vZB9m02</t>
        </is>
      </c>
      <c r="B925" s="10" t="inlineStr">
        <is>
          <t>數值</t>
        </is>
      </c>
      <c r="C925" s="10" t="n">
        <v>2</v>
      </c>
      <c r="D925" s="10" t="n">
        <v>0</v>
      </c>
      <c r="E925" s="1">
        <f>IF(B925="數值","(F"&amp;C925&amp;"."&amp;D925&amp;")","(A"&amp;C925&amp;")")</f>
        <v/>
      </c>
      <c r="F925" s="1">
        <f>"alter type "&amp;A925&amp;" "&amp;E925&amp;"."</f>
        <v/>
      </c>
    </row>
    <row r="926">
      <c r="A926" s="10" t="inlineStr">
        <is>
          <t>vZB9m03</t>
        </is>
      </c>
      <c r="B926" s="10" t="inlineStr">
        <is>
          <t>數值</t>
        </is>
      </c>
      <c r="C926" s="10" t="n">
        <v>2</v>
      </c>
      <c r="D926" s="10" t="n">
        <v>0</v>
      </c>
      <c r="E926" s="1">
        <f>IF(B926="數值","(F"&amp;C926&amp;"."&amp;D926&amp;")","(A"&amp;C926&amp;")")</f>
        <v/>
      </c>
      <c r="F926" s="1">
        <f>"alter type "&amp;A926&amp;" "&amp;E926&amp;"."</f>
        <v/>
      </c>
    </row>
    <row r="927">
      <c r="A927" s="10" t="inlineStr">
        <is>
          <t>vZB9m04</t>
        </is>
      </c>
      <c r="B927" s="10" t="inlineStr">
        <is>
          <t>數值</t>
        </is>
      </c>
      <c r="C927" s="10" t="n">
        <v>2</v>
      </c>
      <c r="D927" s="10" t="n">
        <v>0</v>
      </c>
      <c r="E927" s="1">
        <f>IF(B927="數值","(F"&amp;C927&amp;"."&amp;D927&amp;")","(A"&amp;C927&amp;")")</f>
        <v/>
      </c>
      <c r="F927" s="1">
        <f>"alter type "&amp;A927&amp;" "&amp;E927&amp;"."</f>
        <v/>
      </c>
    </row>
    <row r="928">
      <c r="A928" s="10" t="inlineStr">
        <is>
          <t>vZB9m05</t>
        </is>
      </c>
      <c r="B928" s="10" t="inlineStr">
        <is>
          <t>數值</t>
        </is>
      </c>
      <c r="C928" s="10" t="n">
        <v>2</v>
      </c>
      <c r="D928" s="10" t="n">
        <v>0</v>
      </c>
      <c r="E928" s="1">
        <f>IF(B928="數值","(F"&amp;C928&amp;"."&amp;D928&amp;")","(A"&amp;C928&amp;")")</f>
        <v/>
      </c>
      <c r="F928" s="1">
        <f>"alter type "&amp;A928&amp;" "&amp;E928&amp;"."</f>
        <v/>
      </c>
    </row>
    <row r="929">
      <c r="A929" s="10" t="inlineStr">
        <is>
          <t>vZB9m06</t>
        </is>
      </c>
      <c r="B929" s="10" t="inlineStr">
        <is>
          <t>數值</t>
        </is>
      </c>
      <c r="C929" s="10" t="n">
        <v>2</v>
      </c>
      <c r="D929" s="10" t="n">
        <v>0</v>
      </c>
      <c r="E929" s="1">
        <f>IF(B929="數值","(F"&amp;C929&amp;"."&amp;D929&amp;")","(A"&amp;C929&amp;")")</f>
        <v/>
      </c>
      <c r="F929" s="1">
        <f>"alter type "&amp;A929&amp;" "&amp;E929&amp;"."</f>
        <v/>
      </c>
    </row>
    <row r="930">
      <c r="A930" s="10" t="inlineStr">
        <is>
          <t>vZB9o03</t>
        </is>
      </c>
      <c r="B930" s="10" t="inlineStr">
        <is>
          <t>字串</t>
        </is>
      </c>
      <c r="C930" s="10" t="n">
        <v>150</v>
      </c>
      <c r="D930" s="10" t="n">
        <v>0</v>
      </c>
      <c r="E930" s="1">
        <f>IF(B930="數值","(F"&amp;C930&amp;"."&amp;D930&amp;")","(A"&amp;C930&amp;")")</f>
        <v/>
      </c>
      <c r="F930" s="1">
        <f>"alter type "&amp;A930&amp;" "&amp;E930&amp;"."</f>
        <v/>
      </c>
    </row>
    <row r="931">
      <c r="A931" s="10" t="inlineStr">
        <is>
          <t>vZB9o04</t>
        </is>
      </c>
      <c r="B931" s="10" t="inlineStr">
        <is>
          <t>字串</t>
        </is>
      </c>
      <c r="C931" s="10" t="n">
        <v>150</v>
      </c>
      <c r="D931" s="10" t="n">
        <v>0</v>
      </c>
      <c r="E931" s="1">
        <f>IF(B931="數值","(F"&amp;C931&amp;"."&amp;D931&amp;")","(A"&amp;C931&amp;")")</f>
        <v/>
      </c>
      <c r="F931" s="1">
        <f>"alter type "&amp;A931&amp;" "&amp;E931&amp;"."</f>
        <v/>
      </c>
    </row>
    <row r="932">
      <c r="A932" s="10" t="inlineStr">
        <is>
          <t>vZB9o05</t>
        </is>
      </c>
      <c r="B932" s="10" t="inlineStr">
        <is>
          <t>字串</t>
        </is>
      </c>
      <c r="C932" s="10" t="n">
        <v>150</v>
      </c>
      <c r="D932" s="10" t="n">
        <v>0</v>
      </c>
      <c r="E932" s="1">
        <f>IF(B932="數值","(F"&amp;C932&amp;"."&amp;D932&amp;")","(A"&amp;C932&amp;")")</f>
        <v/>
      </c>
      <c r="F932" s="1">
        <f>"alter type "&amp;A932&amp;" "&amp;E932&amp;"."</f>
        <v/>
      </c>
    </row>
    <row r="933">
      <c r="A933" s="10" t="inlineStr">
        <is>
          <t>vZC1m01</t>
        </is>
      </c>
      <c r="B933" s="10" t="inlineStr">
        <is>
          <t>數值</t>
        </is>
      </c>
      <c r="C933" s="10" t="n">
        <v>2</v>
      </c>
      <c r="D933" s="10" t="n">
        <v>0</v>
      </c>
      <c r="E933" s="1">
        <f>IF(B933="數值","(F"&amp;C933&amp;"."&amp;D933&amp;")","(A"&amp;C933&amp;")")</f>
        <v/>
      </c>
      <c r="F933" s="1">
        <f>"alter type "&amp;A933&amp;" "&amp;E933&amp;"."</f>
        <v/>
      </c>
    </row>
    <row r="934">
      <c r="A934" s="10" t="inlineStr">
        <is>
          <t>vZC1m02</t>
        </is>
      </c>
      <c r="B934" s="10" t="inlineStr">
        <is>
          <t>數值</t>
        </is>
      </c>
      <c r="C934" s="10" t="n">
        <v>2</v>
      </c>
      <c r="D934" s="10" t="n">
        <v>0</v>
      </c>
      <c r="E934" s="1">
        <f>IF(B934="數值","(F"&amp;C934&amp;"."&amp;D934&amp;")","(A"&amp;C934&amp;")")</f>
        <v/>
      </c>
      <c r="F934" s="1">
        <f>"alter type "&amp;A934&amp;" "&amp;E934&amp;"."</f>
        <v/>
      </c>
    </row>
    <row r="935">
      <c r="A935" s="10" t="inlineStr">
        <is>
          <t>vZC1m03</t>
        </is>
      </c>
      <c r="B935" s="10" t="inlineStr">
        <is>
          <t>數值</t>
        </is>
      </c>
      <c r="C935" s="10" t="n">
        <v>2</v>
      </c>
      <c r="D935" s="10" t="n">
        <v>0</v>
      </c>
      <c r="E935" s="1">
        <f>IF(B935="數值","(F"&amp;C935&amp;"."&amp;D935&amp;")","(A"&amp;C935&amp;")")</f>
        <v/>
      </c>
      <c r="F935" s="1">
        <f>"alter type "&amp;A935&amp;" "&amp;E935&amp;"."</f>
        <v/>
      </c>
    </row>
    <row r="936">
      <c r="A936" s="10" t="inlineStr">
        <is>
          <t>vZC1m04</t>
        </is>
      </c>
      <c r="B936" s="10" t="inlineStr">
        <is>
          <t>數值</t>
        </is>
      </c>
      <c r="C936" s="10" t="n">
        <v>2</v>
      </c>
      <c r="D936" s="10" t="n">
        <v>0</v>
      </c>
      <c r="E936" s="1">
        <f>IF(B936="數值","(F"&amp;C936&amp;"."&amp;D936&amp;")","(A"&amp;C936&amp;")")</f>
        <v/>
      </c>
      <c r="F936" s="1">
        <f>"alter type "&amp;A936&amp;" "&amp;E936&amp;"."</f>
        <v/>
      </c>
    </row>
    <row r="937">
      <c r="A937" s="10" t="inlineStr">
        <is>
          <t>vZC2</t>
        </is>
      </c>
      <c r="B937" s="10" t="inlineStr">
        <is>
          <t>數值</t>
        </is>
      </c>
      <c r="C937" s="10" t="n">
        <v>2</v>
      </c>
      <c r="D937" s="10" t="n">
        <v>0</v>
      </c>
      <c r="E937" s="1">
        <f>IF(B937="數值","(F"&amp;C937&amp;"."&amp;D937&amp;")","(A"&amp;C937&amp;")")</f>
        <v/>
      </c>
      <c r="F937" s="1">
        <f>"alter type "&amp;A937&amp;" "&amp;E937&amp;"."</f>
        <v/>
      </c>
    </row>
    <row r="938">
      <c r="A938" s="10" t="inlineStr">
        <is>
          <t>vZC3</t>
        </is>
      </c>
      <c r="B938" s="10" t="inlineStr">
        <is>
          <t>數值</t>
        </is>
      </c>
      <c r="C938" s="10" t="n">
        <v>2</v>
      </c>
      <c r="D938" s="10" t="n">
        <v>0</v>
      </c>
      <c r="E938" s="1">
        <f>IF(B938="數值","(F"&amp;C938&amp;"."&amp;D938&amp;")","(A"&amp;C938&amp;")")</f>
        <v/>
      </c>
      <c r="F938" s="1">
        <f>"alter type "&amp;A938&amp;" "&amp;E938&amp;"."</f>
        <v/>
      </c>
    </row>
    <row r="939">
      <c r="A939" s="10" t="inlineStr">
        <is>
          <t>vZC3o01</t>
        </is>
      </c>
      <c r="B939" s="10" t="inlineStr">
        <is>
          <t>字串</t>
        </is>
      </c>
      <c r="C939" s="10" t="n">
        <v>150</v>
      </c>
      <c r="D939" s="10" t="n">
        <v>0</v>
      </c>
      <c r="E939" s="1">
        <f>IF(B939="數值","(F"&amp;C939&amp;"."&amp;D939&amp;")","(A"&amp;C939&amp;")")</f>
        <v/>
      </c>
      <c r="F939" s="1">
        <f>"alter type "&amp;A939&amp;" "&amp;E939&amp;"."</f>
        <v/>
      </c>
    </row>
    <row r="940">
      <c r="A940" s="10" t="inlineStr">
        <is>
          <t>vZC3o02</t>
        </is>
      </c>
      <c r="B940" s="10" t="inlineStr">
        <is>
          <t>字串</t>
        </is>
      </c>
      <c r="C940" s="10" t="n">
        <v>150</v>
      </c>
      <c r="D940" s="10" t="n">
        <v>0</v>
      </c>
      <c r="E940" s="1">
        <f>IF(B940="數值","(F"&amp;C940&amp;"."&amp;D940&amp;")","(A"&amp;C940&amp;")")</f>
        <v/>
      </c>
      <c r="F940" s="1">
        <f>"alter type "&amp;A940&amp;" "&amp;E940&amp;"."</f>
        <v/>
      </c>
    </row>
    <row r="941">
      <c r="A941" s="10" t="inlineStr">
        <is>
          <t>vZC4</t>
        </is>
      </c>
      <c r="B941" s="10" t="inlineStr">
        <is>
          <t>數值</t>
        </is>
      </c>
      <c r="C941" s="10" t="n">
        <v>2</v>
      </c>
      <c r="D941" s="10" t="n">
        <v>0</v>
      </c>
      <c r="E941" s="1">
        <f>IF(B941="數值","(F"&amp;C941&amp;"."&amp;D941&amp;")","(A"&amp;C941&amp;")")</f>
        <v/>
      </c>
      <c r="F941" s="1">
        <f>"alter type "&amp;A941&amp;" "&amp;E941&amp;"."</f>
        <v/>
      </c>
    </row>
    <row r="942">
      <c r="A942" s="10" t="inlineStr">
        <is>
          <t>vZC5</t>
        </is>
      </c>
      <c r="B942" s="10" t="inlineStr">
        <is>
          <t>數值</t>
        </is>
      </c>
      <c r="C942" s="10" t="n">
        <v>2</v>
      </c>
      <c r="D942" s="10" t="n">
        <v>0</v>
      </c>
      <c r="E942" s="1">
        <f>IF(B942="數值","(F"&amp;C942&amp;"."&amp;D942&amp;")","(A"&amp;C942&amp;")")</f>
        <v/>
      </c>
      <c r="F942" s="1">
        <f>"alter type "&amp;A942&amp;" "&amp;E942&amp;"."</f>
        <v/>
      </c>
    </row>
    <row r="943">
      <c r="A943" s="10" t="inlineStr">
        <is>
          <t>vEND</t>
        </is>
      </c>
      <c r="B943" s="10" t="inlineStr">
        <is>
          <t>數值</t>
        </is>
      </c>
      <c r="C943" s="10" t="n">
        <v>14</v>
      </c>
      <c r="D943" s="10" t="n">
        <v>0</v>
      </c>
      <c r="E943" s="1">
        <f>IF(B943="數值","(F"&amp;C943&amp;"."&amp;D943&amp;")","(A"&amp;C943&amp;")")</f>
        <v/>
      </c>
      <c r="F943" s="1">
        <f>"alter type "&amp;A943&amp;" "&amp;E943&amp;"."</f>
        <v/>
      </c>
    </row>
    <row r="945">
      <c r="A945" s="1" t="inlineStr">
        <is>
          <t>bir</t>
        </is>
      </c>
      <c r="B945" s="1" t="inlineStr">
        <is>
          <t>字串</t>
        </is>
      </c>
      <c r="C945" s="1" t="n">
        <v>3</v>
      </c>
      <c r="D945" s="1" t="n">
        <v>0</v>
      </c>
      <c r="E945" s="1">
        <f>IF(B945="數值","(F"&amp;C945&amp;"."&amp;D945&amp;")","(A"&amp;C945&amp;")")</f>
        <v/>
      </c>
      <c r="F945" s="1">
        <f>"alter type "&amp;A945&amp;" "&amp;E945&amp;"."</f>
        <v/>
      </c>
    </row>
    <row r="946">
      <c r="A946" s="1" t="inlineStr">
        <is>
          <t>gen</t>
        </is>
      </c>
      <c r="B946" s="1" t="inlineStr">
        <is>
          <t>字串</t>
        </is>
      </c>
      <c r="C946" s="1" t="n">
        <v>3</v>
      </c>
      <c r="D946" s="1" t="n">
        <v>0</v>
      </c>
      <c r="E946" s="1">
        <f>IF(B946="數值","(F"&amp;C946&amp;"."&amp;D946&amp;")","(A"&amp;C946&amp;")")</f>
        <v/>
      </c>
      <c r="F946" s="1">
        <f>"alter type "&amp;A946&amp;" "&amp;E946&amp;"."</f>
        <v/>
      </c>
    </row>
    <row r="947">
      <c r="A947" s="1" t="inlineStr">
        <is>
          <t>fno</t>
        </is>
      </c>
      <c r="B947" s="1" t="inlineStr">
        <is>
          <t>字串</t>
        </is>
      </c>
      <c r="C947" s="1" t="n">
        <v>3</v>
      </c>
      <c r="D947" s="1" t="n">
        <v>0</v>
      </c>
      <c r="E947" s="1">
        <f>IF(B947="數值","(F"&amp;C947&amp;"."&amp;D947&amp;")","(A"&amp;C947&amp;")")</f>
        <v/>
      </c>
      <c r="F947" s="1">
        <f>"alter type "&amp;A947&amp;" "&amp;E947&amp;"."</f>
        <v/>
      </c>
    </row>
    <row r="948">
      <c r="A948" s="1" t="inlineStr">
        <is>
          <t>lno</t>
        </is>
      </c>
      <c r="B948" s="1" t="inlineStr">
        <is>
          <t>字串</t>
        </is>
      </c>
      <c r="C948" s="1" t="n">
        <v>3</v>
      </c>
      <c r="D948" s="1" t="n">
        <v>0</v>
      </c>
      <c r="E948" s="1">
        <f>IF(B948="數值","(F"&amp;C948&amp;"."&amp;D948&amp;")","(A"&amp;C948&amp;")")</f>
        <v/>
      </c>
      <c r="F948" s="1">
        <f>"alter type "&amp;A948&amp;" "&amp;E948&amp;"."</f>
        <v/>
      </c>
    </row>
    <row r="949">
      <c r="A949" s="1" t="inlineStr">
        <is>
          <t>st</t>
        </is>
      </c>
      <c r="B949" s="1" t="inlineStr">
        <is>
          <t>數值</t>
        </is>
      </c>
      <c r="C949" s="1" t="n">
        <v>2</v>
      </c>
      <c r="D949" s="1" t="n">
        <v>0</v>
      </c>
      <c r="E949" s="1">
        <f>IF(B949="數值","(F"&amp;C949&amp;"."&amp;D949&amp;")","(A"&amp;C949&amp;")")</f>
        <v/>
      </c>
      <c r="F949" s="1">
        <f>"alter type "&amp;A949&amp;" "&amp;E949&amp;"."</f>
        <v/>
      </c>
    </row>
    <row r="950">
      <c r="A950" s="1" t="inlineStr">
        <is>
          <t>tt</t>
        </is>
      </c>
      <c r="B950" s="1" t="inlineStr">
        <is>
          <t>數值</t>
        </is>
      </c>
      <c r="C950" s="1" t="n">
        <v>2</v>
      </c>
      <c r="D950" s="1" t="n">
        <v>0</v>
      </c>
      <c r="E950" s="1">
        <f>IF(B950="數值","(F"&amp;C950&amp;"."&amp;D950&amp;")","(A"&amp;C950&amp;")")</f>
        <v/>
      </c>
      <c r="F950" s="1">
        <f>"alter type "&amp;A950&amp;" "&amp;E950&amp;"."</f>
        <v/>
      </c>
    </row>
    <row r="951">
      <c r="A951" s="1" t="inlineStr">
        <is>
          <t>vdate_1</t>
        </is>
      </c>
      <c r="B951" s="1" t="inlineStr">
        <is>
          <t>數值</t>
        </is>
      </c>
      <c r="C951" s="1" t="n">
        <v>8</v>
      </c>
      <c r="D951" s="1" t="n">
        <v>0</v>
      </c>
      <c r="E951" s="1">
        <f>IF(B951="數值","(F"&amp;C951&amp;"."&amp;D951&amp;")","(A"&amp;C951&amp;")")</f>
        <v/>
      </c>
      <c r="F951" s="1">
        <f>"alter type "&amp;A951&amp;" "&amp;E951&amp;"."</f>
        <v/>
      </c>
    </row>
    <row r="952">
      <c r="A952" s="1" t="inlineStr">
        <is>
          <t>vt_1</t>
        </is>
      </c>
      <c r="B952" s="1" t="inlineStr">
        <is>
          <t>數值</t>
        </is>
      </c>
      <c r="C952" s="1" t="n">
        <v>1</v>
      </c>
      <c r="D952" s="1" t="n">
        <v>0</v>
      </c>
      <c r="E952" s="1">
        <f>IF(B952="數值","(F"&amp;C952&amp;"."&amp;D952&amp;")","(A"&amp;C952&amp;")")</f>
        <v/>
      </c>
      <c r="F952" s="1">
        <f>"alter type "&amp;A952&amp;" "&amp;E952&amp;"."</f>
        <v/>
      </c>
    </row>
    <row r="953">
      <c r="A953" s="1" t="inlineStr">
        <is>
          <t>vr_1</t>
        </is>
      </c>
      <c r="B953" s="1" t="inlineStr">
        <is>
          <t>數值</t>
        </is>
      </c>
      <c r="C953" s="1" t="n">
        <v>4</v>
      </c>
      <c r="D953" s="1" t="n">
        <v>0</v>
      </c>
      <c r="E953" s="1">
        <f>IF(B953="數值","(F"&amp;C953&amp;"."&amp;D953&amp;")","(A"&amp;C953&amp;")")</f>
        <v/>
      </c>
      <c r="F953" s="1">
        <f>"alter type "&amp;A953&amp;" "&amp;E953&amp;"."</f>
        <v/>
      </c>
    </row>
    <row r="954">
      <c r="A954" s="1" t="inlineStr">
        <is>
          <t>result303_o_1</t>
        </is>
      </c>
      <c r="B954" s="1" t="inlineStr">
        <is>
          <t>字串</t>
        </is>
      </c>
      <c r="C954" s="1" t="n">
        <v>300</v>
      </c>
      <c r="D954" s="1" t="n">
        <v>0</v>
      </c>
      <c r="E954" s="1">
        <f>IF(B954="數值","(F"&amp;C954&amp;"."&amp;D954&amp;")","(A"&amp;C954&amp;")")</f>
        <v/>
      </c>
      <c r="F954" s="1">
        <f>"alter type "&amp;A954&amp;" "&amp;E954&amp;"."</f>
        <v/>
      </c>
    </row>
    <row r="955">
      <c r="A955" s="1" t="inlineStr">
        <is>
          <t>result3061_o_1</t>
        </is>
      </c>
      <c r="B955" s="1" t="inlineStr">
        <is>
          <t>字串</t>
        </is>
      </c>
      <c r="C955" s="1" t="n">
        <v>300</v>
      </c>
      <c r="D955" s="1" t="n">
        <v>0</v>
      </c>
      <c r="E955" s="1">
        <f>IF(B955="數值","(F"&amp;C955&amp;"."&amp;D955&amp;")","(A"&amp;C955&amp;")")</f>
        <v/>
      </c>
      <c r="F955" s="1">
        <f>"alter type "&amp;A955&amp;" "&amp;E955&amp;"."</f>
        <v/>
      </c>
    </row>
    <row r="956">
      <c r="A956" s="1" t="inlineStr">
        <is>
          <t>result3062_o_1</t>
        </is>
      </c>
      <c r="B956" s="1" t="inlineStr">
        <is>
          <t>字串</t>
        </is>
      </c>
      <c r="C956" s="1" t="n">
        <v>300</v>
      </c>
      <c r="D956" s="1" t="n">
        <v>0</v>
      </c>
      <c r="E956" s="1">
        <f>IF(B956="數值","(F"&amp;C956&amp;"."&amp;D956&amp;")","(A"&amp;C956&amp;")")</f>
        <v/>
      </c>
      <c r="F956" s="1">
        <f>"alter type "&amp;A956&amp;" "&amp;E956&amp;"."</f>
        <v/>
      </c>
    </row>
    <row r="957">
      <c r="A957" s="1" t="inlineStr">
        <is>
          <t>result404_o_1</t>
        </is>
      </c>
      <c r="B957" s="1" t="inlineStr">
        <is>
          <t>字串</t>
        </is>
      </c>
      <c r="C957" s="1" t="n">
        <v>300</v>
      </c>
      <c r="D957" s="1" t="n">
        <v>0</v>
      </c>
      <c r="E957" s="1">
        <f>IF(B957="數值","(F"&amp;C957&amp;"."&amp;D957&amp;")","(A"&amp;C957&amp;")")</f>
        <v/>
      </c>
      <c r="F957" s="1">
        <f>"alter type "&amp;A957&amp;" "&amp;E957&amp;"."</f>
        <v/>
      </c>
    </row>
    <row r="958">
      <c r="A958" s="1" t="inlineStr">
        <is>
          <t>result504_o_1</t>
        </is>
      </c>
      <c r="B958" s="1" t="inlineStr">
        <is>
          <t>字串</t>
        </is>
      </c>
      <c r="C958" s="1" t="n">
        <v>300</v>
      </c>
      <c r="D958" s="1" t="n">
        <v>0</v>
      </c>
      <c r="E958" s="1">
        <f>IF(B958="數值","(F"&amp;C958&amp;"."&amp;D958&amp;")","(A"&amp;C958&amp;")")</f>
        <v/>
      </c>
      <c r="F958" s="1">
        <f>"alter type "&amp;A958&amp;" "&amp;E958&amp;"."</f>
        <v/>
      </c>
    </row>
    <row r="959">
      <c r="A959" s="1" t="inlineStr">
        <is>
          <t>result608_o_1</t>
        </is>
      </c>
      <c r="B959" s="1" t="inlineStr">
        <is>
          <t>字串</t>
        </is>
      </c>
      <c r="C959" s="1" t="n">
        <v>300</v>
      </c>
      <c r="D959" s="1" t="n">
        <v>0</v>
      </c>
      <c r="E959" s="1">
        <f>IF(B959="數值","(F"&amp;C959&amp;"."&amp;D959&amp;")","(A"&amp;C959&amp;")")</f>
        <v/>
      </c>
      <c r="F959" s="1">
        <f>"alter type "&amp;A959&amp;" "&amp;E959&amp;"."</f>
        <v/>
      </c>
    </row>
    <row r="960">
      <c r="A960" s="1" t="inlineStr">
        <is>
          <t>result311_o_1</t>
        </is>
      </c>
      <c r="B960" s="1" t="inlineStr">
        <is>
          <t>字串</t>
        </is>
      </c>
      <c r="C960" s="1" t="n">
        <v>300</v>
      </c>
      <c r="D960" s="1" t="n">
        <v>0</v>
      </c>
      <c r="E960" s="1">
        <f>IF(B960="數值","(F"&amp;C960&amp;"."&amp;D960&amp;")","(A"&amp;C960&amp;")")</f>
        <v/>
      </c>
      <c r="F960" s="1">
        <f>"alter type "&amp;A960&amp;" "&amp;E960&amp;"."</f>
        <v/>
      </c>
    </row>
    <row r="961">
      <c r="A961" s="1" t="inlineStr">
        <is>
          <t>result607_o_1</t>
        </is>
      </c>
      <c r="B961" s="1" t="inlineStr">
        <is>
          <t>字串</t>
        </is>
      </c>
      <c r="C961" s="1" t="n">
        <v>300</v>
      </c>
      <c r="D961" s="1" t="n">
        <v>0</v>
      </c>
      <c r="E961" s="1">
        <f>IF(B961="數值","(F"&amp;C961&amp;"."&amp;D961&amp;")","(A"&amp;C961&amp;")")</f>
        <v/>
      </c>
      <c r="F961" s="1">
        <f>"alter type "&amp;A961&amp;" "&amp;E961&amp;"."</f>
        <v/>
      </c>
    </row>
    <row r="962">
      <c r="A962" s="1" t="inlineStr">
        <is>
          <t>result999_o_1</t>
        </is>
      </c>
      <c r="B962" s="1" t="inlineStr">
        <is>
          <t>字串</t>
        </is>
      </c>
      <c r="C962" s="1" t="n">
        <v>300</v>
      </c>
      <c r="D962" s="1" t="n">
        <v>0</v>
      </c>
      <c r="E962" s="1">
        <f>IF(B962="數值","(F"&amp;C962&amp;"."&amp;D962&amp;")","(A"&amp;C962&amp;")")</f>
        <v/>
      </c>
      <c r="F962" s="1">
        <f>"alter type "&amp;A962&amp;" "&amp;E962&amp;"."</f>
        <v/>
      </c>
    </row>
    <row r="963">
      <c r="A963" s="1" t="inlineStr">
        <is>
          <t>at1_1</t>
        </is>
      </c>
      <c r="B963" s="1" t="inlineStr">
        <is>
          <t>數值</t>
        </is>
      </c>
      <c r="C963" s="1" t="n">
        <v>2</v>
      </c>
      <c r="D963" s="1" t="n">
        <v>0</v>
      </c>
      <c r="E963" s="1">
        <f>IF(B963="數值","(F"&amp;C963&amp;"."&amp;D963&amp;")","(A"&amp;C963&amp;")")</f>
        <v/>
      </c>
      <c r="F963" s="1">
        <f>"alter type "&amp;A963&amp;" "&amp;E963&amp;"."</f>
        <v/>
      </c>
    </row>
    <row r="964">
      <c r="A964" s="1" t="inlineStr">
        <is>
          <t>at1_o04_1</t>
        </is>
      </c>
      <c r="B964" s="1" t="inlineStr">
        <is>
          <t>字串</t>
        </is>
      </c>
      <c r="C964" s="1" t="n">
        <v>300</v>
      </c>
      <c r="D964" s="1" t="n">
        <v>0</v>
      </c>
      <c r="E964" s="1">
        <f>IF(B964="數值","(F"&amp;C964&amp;"."&amp;D964&amp;")","(A"&amp;C964&amp;")")</f>
        <v/>
      </c>
      <c r="F964" s="1">
        <f>"alter type "&amp;A964&amp;" "&amp;E964&amp;"."</f>
        <v/>
      </c>
    </row>
    <row r="965">
      <c r="A965" s="1" t="inlineStr">
        <is>
          <t>vdate_2</t>
        </is>
      </c>
      <c r="B965" s="1" t="inlineStr">
        <is>
          <t>數值</t>
        </is>
      </c>
      <c r="C965" s="1" t="n">
        <v>8</v>
      </c>
      <c r="D965" s="1" t="n">
        <v>0</v>
      </c>
      <c r="E965" s="1">
        <f>IF(B965="數值","(F"&amp;C965&amp;"."&amp;D965&amp;")","(A"&amp;C965&amp;")")</f>
        <v/>
      </c>
      <c r="F965" s="1">
        <f>"alter type "&amp;A965&amp;" "&amp;E965&amp;"."</f>
        <v/>
      </c>
    </row>
    <row r="966">
      <c r="A966" s="1" t="inlineStr">
        <is>
          <t>vt_2</t>
        </is>
      </c>
      <c r="B966" s="1" t="inlineStr">
        <is>
          <t>數值</t>
        </is>
      </c>
      <c r="C966" s="1" t="n">
        <v>1</v>
      </c>
      <c r="D966" s="1" t="n">
        <v>0</v>
      </c>
      <c r="E966" s="1">
        <f>IF(B966="數值","(F"&amp;C966&amp;"."&amp;D966&amp;")","(A"&amp;C966&amp;")")</f>
        <v/>
      </c>
      <c r="F966" s="1">
        <f>"alter type "&amp;A966&amp;" "&amp;E966&amp;"."</f>
        <v/>
      </c>
    </row>
    <row r="967">
      <c r="A967" s="1" t="inlineStr">
        <is>
          <t>vr_2</t>
        </is>
      </c>
      <c r="B967" s="1" t="inlineStr">
        <is>
          <t>數值</t>
        </is>
      </c>
      <c r="C967" s="1" t="n">
        <v>4</v>
      </c>
      <c r="D967" s="1" t="n">
        <v>0</v>
      </c>
      <c r="E967" s="1">
        <f>IF(B967="數值","(F"&amp;C967&amp;"."&amp;D967&amp;")","(A"&amp;C967&amp;")")</f>
        <v/>
      </c>
      <c r="F967" s="1">
        <f>"alter type "&amp;A967&amp;" "&amp;E967&amp;"."</f>
        <v/>
      </c>
    </row>
    <row r="968">
      <c r="A968" s="1" t="inlineStr">
        <is>
          <t>result303_o_2</t>
        </is>
      </c>
      <c r="B968" s="1" t="inlineStr">
        <is>
          <t>字串</t>
        </is>
      </c>
      <c r="C968" s="1" t="n">
        <v>300</v>
      </c>
      <c r="D968" s="1" t="n">
        <v>0</v>
      </c>
      <c r="E968" s="1">
        <f>IF(B968="數值","(F"&amp;C968&amp;"."&amp;D968&amp;")","(A"&amp;C968&amp;")")</f>
        <v/>
      </c>
      <c r="F968" s="1">
        <f>"alter type "&amp;A968&amp;" "&amp;E968&amp;"."</f>
        <v/>
      </c>
    </row>
    <row r="969">
      <c r="A969" s="1" t="inlineStr">
        <is>
          <t>result3061_o_2</t>
        </is>
      </c>
      <c r="B969" s="1" t="inlineStr">
        <is>
          <t>字串</t>
        </is>
      </c>
      <c r="C969" s="1" t="n">
        <v>300</v>
      </c>
      <c r="D969" s="1" t="n">
        <v>0</v>
      </c>
      <c r="E969" s="1">
        <f>IF(B969="數值","(F"&amp;C969&amp;"."&amp;D969&amp;")","(A"&amp;C969&amp;")")</f>
        <v/>
      </c>
      <c r="F969" s="1">
        <f>"alter type "&amp;A969&amp;" "&amp;E969&amp;"."</f>
        <v/>
      </c>
    </row>
    <row r="970">
      <c r="A970" s="1" t="inlineStr">
        <is>
          <t>result3062_o_2</t>
        </is>
      </c>
      <c r="B970" s="1" t="inlineStr">
        <is>
          <t>字串</t>
        </is>
      </c>
      <c r="C970" s="1" t="n">
        <v>300</v>
      </c>
      <c r="D970" s="1" t="n">
        <v>0</v>
      </c>
      <c r="E970" s="1">
        <f>IF(B970="數值","(F"&amp;C970&amp;"."&amp;D970&amp;")","(A"&amp;C970&amp;")")</f>
        <v/>
      </c>
      <c r="F970" s="1">
        <f>"alter type "&amp;A970&amp;" "&amp;E970&amp;"."</f>
        <v/>
      </c>
    </row>
    <row r="971">
      <c r="A971" s="1" t="inlineStr">
        <is>
          <t>result404_o_2</t>
        </is>
      </c>
      <c r="B971" s="1" t="inlineStr">
        <is>
          <t>字串</t>
        </is>
      </c>
      <c r="C971" s="1" t="n">
        <v>300</v>
      </c>
      <c r="D971" s="1" t="n">
        <v>0</v>
      </c>
      <c r="E971" s="1">
        <f>IF(B971="數值","(F"&amp;C971&amp;"."&amp;D971&amp;")","(A"&amp;C971&amp;")")</f>
        <v/>
      </c>
      <c r="F971" s="1">
        <f>"alter type "&amp;A971&amp;" "&amp;E971&amp;"."</f>
        <v/>
      </c>
    </row>
    <row r="972">
      <c r="A972" s="1" t="inlineStr">
        <is>
          <t>result504_o_2</t>
        </is>
      </c>
      <c r="B972" s="1" t="inlineStr">
        <is>
          <t>字串</t>
        </is>
      </c>
      <c r="C972" s="1" t="n">
        <v>300</v>
      </c>
      <c r="D972" s="1" t="n">
        <v>0</v>
      </c>
      <c r="E972" s="1">
        <f>IF(B972="數值","(F"&amp;C972&amp;"."&amp;D972&amp;")","(A"&amp;C972&amp;")")</f>
        <v/>
      </c>
      <c r="F972" s="1">
        <f>"alter type "&amp;A972&amp;" "&amp;E972&amp;"."</f>
        <v/>
      </c>
    </row>
    <row r="973">
      <c r="A973" s="1" t="inlineStr">
        <is>
          <t>result608_o_2</t>
        </is>
      </c>
      <c r="B973" s="1" t="inlineStr">
        <is>
          <t>字串</t>
        </is>
      </c>
      <c r="C973" s="1" t="n">
        <v>300</v>
      </c>
      <c r="D973" s="1" t="n">
        <v>0</v>
      </c>
      <c r="E973" s="1">
        <f>IF(B973="數值","(F"&amp;C973&amp;"."&amp;D973&amp;")","(A"&amp;C973&amp;")")</f>
        <v/>
      </c>
      <c r="F973" s="1">
        <f>"alter type "&amp;A973&amp;" "&amp;E973&amp;"."</f>
        <v/>
      </c>
    </row>
    <row r="974">
      <c r="A974" s="1" t="inlineStr">
        <is>
          <t>result311_o_2</t>
        </is>
      </c>
      <c r="B974" s="1" t="inlineStr">
        <is>
          <t>字串</t>
        </is>
      </c>
      <c r="C974" s="1" t="n">
        <v>300</v>
      </c>
      <c r="D974" s="1" t="n">
        <v>0</v>
      </c>
      <c r="E974" s="1">
        <f>IF(B974="數值","(F"&amp;C974&amp;"."&amp;D974&amp;")","(A"&amp;C974&amp;")")</f>
        <v/>
      </c>
      <c r="F974" s="1">
        <f>"alter type "&amp;A974&amp;" "&amp;E974&amp;"."</f>
        <v/>
      </c>
    </row>
    <row r="975">
      <c r="A975" s="1" t="inlineStr">
        <is>
          <t>result607_o_2</t>
        </is>
      </c>
      <c r="B975" s="1" t="inlineStr">
        <is>
          <t>字串</t>
        </is>
      </c>
      <c r="C975" s="1" t="n">
        <v>300</v>
      </c>
      <c r="D975" s="1" t="n">
        <v>0</v>
      </c>
      <c r="E975" s="1">
        <f>IF(B975="數值","(F"&amp;C975&amp;"."&amp;D975&amp;")","(A"&amp;C975&amp;")")</f>
        <v/>
      </c>
      <c r="F975" s="1">
        <f>"alter type "&amp;A975&amp;" "&amp;E975&amp;"."</f>
        <v/>
      </c>
    </row>
    <row r="976">
      <c r="A976" s="1" t="inlineStr">
        <is>
          <t>result999_o_2</t>
        </is>
      </c>
      <c r="B976" s="1" t="inlineStr">
        <is>
          <t>字串</t>
        </is>
      </c>
      <c r="C976" s="1" t="n">
        <v>300</v>
      </c>
      <c r="D976" s="1" t="n">
        <v>0</v>
      </c>
      <c r="E976" s="1">
        <f>IF(B976="數值","(F"&amp;C976&amp;"."&amp;D976&amp;")","(A"&amp;C976&amp;")")</f>
        <v/>
      </c>
      <c r="F976" s="1">
        <f>"alter type "&amp;A976&amp;" "&amp;E976&amp;"."</f>
        <v/>
      </c>
    </row>
    <row r="977">
      <c r="A977" s="1" t="inlineStr">
        <is>
          <t>at1_2</t>
        </is>
      </c>
      <c r="B977" s="1" t="inlineStr">
        <is>
          <t>數值</t>
        </is>
      </c>
      <c r="C977" s="1" t="n">
        <v>2</v>
      </c>
      <c r="D977" s="1" t="n">
        <v>0</v>
      </c>
      <c r="E977" s="1">
        <f>IF(B977="數值","(F"&amp;C977&amp;"."&amp;D977&amp;")","(A"&amp;C977&amp;")")</f>
        <v/>
      </c>
      <c r="F977" s="1">
        <f>"alter type "&amp;A977&amp;" "&amp;E977&amp;"."</f>
        <v/>
      </c>
    </row>
    <row r="978">
      <c r="A978" s="1" t="inlineStr">
        <is>
          <t>at1_o04_2</t>
        </is>
      </c>
      <c r="B978" s="1" t="inlineStr">
        <is>
          <t>字串</t>
        </is>
      </c>
      <c r="C978" s="1" t="n">
        <v>300</v>
      </c>
      <c r="D978" s="1" t="n">
        <v>0</v>
      </c>
      <c r="E978" s="1">
        <f>IF(B978="數值","(F"&amp;C978&amp;"."&amp;D978&amp;")","(A"&amp;C978&amp;")")</f>
        <v/>
      </c>
      <c r="F978" s="1">
        <f>"alter type "&amp;A978&amp;" "&amp;E978&amp;"."</f>
        <v/>
      </c>
    </row>
    <row r="979">
      <c r="A979" s="1" t="inlineStr">
        <is>
          <t>vdate_3</t>
        </is>
      </c>
      <c r="B979" s="1" t="inlineStr">
        <is>
          <t>數值</t>
        </is>
      </c>
      <c r="C979" s="1" t="n">
        <v>8</v>
      </c>
      <c r="D979" s="1" t="n">
        <v>0</v>
      </c>
      <c r="E979" s="1">
        <f>IF(B979="數值","(F"&amp;C979&amp;"."&amp;D979&amp;")","(A"&amp;C979&amp;")")</f>
        <v/>
      </c>
      <c r="F979" s="1">
        <f>"alter type "&amp;A979&amp;" "&amp;E979&amp;"."</f>
        <v/>
      </c>
    </row>
    <row r="980">
      <c r="A980" s="1" t="inlineStr">
        <is>
          <t>vt_3</t>
        </is>
      </c>
      <c r="B980" s="1" t="inlineStr">
        <is>
          <t>數值</t>
        </is>
      </c>
      <c r="C980" s="1" t="n">
        <v>1</v>
      </c>
      <c r="D980" s="1" t="n">
        <v>0</v>
      </c>
      <c r="E980" s="1">
        <f>IF(B980="數值","(F"&amp;C980&amp;"."&amp;D980&amp;")","(A"&amp;C980&amp;")")</f>
        <v/>
      </c>
      <c r="F980" s="1">
        <f>"alter type "&amp;A980&amp;" "&amp;E980&amp;"."</f>
        <v/>
      </c>
    </row>
    <row r="981">
      <c r="A981" s="1" t="inlineStr">
        <is>
          <t>vr_3</t>
        </is>
      </c>
      <c r="B981" s="1" t="inlineStr">
        <is>
          <t>數值</t>
        </is>
      </c>
      <c r="C981" s="1" t="n">
        <v>4</v>
      </c>
      <c r="D981" s="1" t="n">
        <v>0</v>
      </c>
      <c r="E981" s="1">
        <f>IF(B981="數值","(F"&amp;C981&amp;"."&amp;D981&amp;")","(A"&amp;C981&amp;")")</f>
        <v/>
      </c>
      <c r="F981" s="1">
        <f>"alter type "&amp;A981&amp;" "&amp;E981&amp;"."</f>
        <v/>
      </c>
    </row>
    <row r="982">
      <c r="A982" s="1" t="inlineStr">
        <is>
          <t>result303_o_3</t>
        </is>
      </c>
      <c r="B982" s="1" t="inlineStr">
        <is>
          <t>字串</t>
        </is>
      </c>
      <c r="C982" s="1" t="n">
        <v>300</v>
      </c>
      <c r="D982" s="1" t="n">
        <v>0</v>
      </c>
      <c r="E982" s="1">
        <f>IF(B982="數值","(F"&amp;C982&amp;"."&amp;D982&amp;")","(A"&amp;C982&amp;")")</f>
        <v/>
      </c>
      <c r="F982" s="1">
        <f>"alter type "&amp;A982&amp;" "&amp;E982&amp;"."</f>
        <v/>
      </c>
    </row>
    <row r="983">
      <c r="A983" s="1" t="inlineStr">
        <is>
          <t>result3061_o_3</t>
        </is>
      </c>
      <c r="B983" s="1" t="inlineStr">
        <is>
          <t>字串</t>
        </is>
      </c>
      <c r="C983" s="1" t="n">
        <v>300</v>
      </c>
      <c r="D983" s="1" t="n">
        <v>0</v>
      </c>
      <c r="E983" s="1">
        <f>IF(B983="數值","(F"&amp;C983&amp;"."&amp;D983&amp;")","(A"&amp;C983&amp;")")</f>
        <v/>
      </c>
      <c r="F983" s="1">
        <f>"alter type "&amp;A983&amp;" "&amp;E983&amp;"."</f>
        <v/>
      </c>
    </row>
    <row r="984">
      <c r="A984" s="1" t="inlineStr">
        <is>
          <t>result3062_o_3</t>
        </is>
      </c>
      <c r="B984" s="1" t="inlineStr">
        <is>
          <t>字串</t>
        </is>
      </c>
      <c r="C984" s="1" t="n">
        <v>300</v>
      </c>
      <c r="D984" s="1" t="n">
        <v>0</v>
      </c>
      <c r="E984" s="1">
        <f>IF(B984="數值","(F"&amp;C984&amp;"."&amp;D984&amp;")","(A"&amp;C984&amp;")")</f>
        <v/>
      </c>
      <c r="F984" s="1">
        <f>"alter type "&amp;A984&amp;" "&amp;E984&amp;"."</f>
        <v/>
      </c>
    </row>
    <row r="985">
      <c r="A985" s="1" t="inlineStr">
        <is>
          <t>result404_o_3</t>
        </is>
      </c>
      <c r="B985" s="1" t="inlineStr">
        <is>
          <t>字串</t>
        </is>
      </c>
      <c r="C985" s="1" t="n">
        <v>300</v>
      </c>
      <c r="D985" s="1" t="n">
        <v>0</v>
      </c>
      <c r="E985" s="1">
        <f>IF(B985="數值","(F"&amp;C985&amp;"."&amp;D985&amp;")","(A"&amp;C985&amp;")")</f>
        <v/>
      </c>
      <c r="F985" s="1">
        <f>"alter type "&amp;A985&amp;" "&amp;E985&amp;"."</f>
        <v/>
      </c>
    </row>
    <row r="986">
      <c r="A986" s="1" t="inlineStr">
        <is>
          <t>result504_o_3</t>
        </is>
      </c>
      <c r="B986" s="1" t="inlineStr">
        <is>
          <t>字串</t>
        </is>
      </c>
      <c r="C986" s="1" t="n">
        <v>300</v>
      </c>
      <c r="D986" s="1" t="n">
        <v>0</v>
      </c>
      <c r="E986" s="1">
        <f>IF(B986="數值","(F"&amp;C986&amp;"."&amp;D986&amp;")","(A"&amp;C986&amp;")")</f>
        <v/>
      </c>
      <c r="F986" s="1">
        <f>"alter type "&amp;A986&amp;" "&amp;E986&amp;"."</f>
        <v/>
      </c>
    </row>
    <row r="987">
      <c r="A987" s="1" t="inlineStr">
        <is>
          <t>result608_o_3</t>
        </is>
      </c>
      <c r="B987" s="1" t="inlineStr">
        <is>
          <t>字串</t>
        </is>
      </c>
      <c r="C987" s="1" t="n">
        <v>300</v>
      </c>
      <c r="D987" s="1" t="n">
        <v>0</v>
      </c>
      <c r="E987" s="1">
        <f>IF(B987="數值","(F"&amp;C987&amp;"."&amp;D987&amp;")","(A"&amp;C987&amp;")")</f>
        <v/>
      </c>
      <c r="F987" s="1">
        <f>"alter type "&amp;A987&amp;" "&amp;E987&amp;"."</f>
        <v/>
      </c>
    </row>
    <row r="988">
      <c r="A988" s="1" t="inlineStr">
        <is>
          <t>result311_o_3</t>
        </is>
      </c>
      <c r="B988" s="1" t="inlineStr">
        <is>
          <t>字串</t>
        </is>
      </c>
      <c r="C988" s="1" t="n">
        <v>300</v>
      </c>
      <c r="D988" s="1" t="n">
        <v>0</v>
      </c>
      <c r="E988" s="1">
        <f>IF(B988="數值","(F"&amp;C988&amp;"."&amp;D988&amp;")","(A"&amp;C988&amp;")")</f>
        <v/>
      </c>
      <c r="F988" s="1">
        <f>"alter type "&amp;A988&amp;" "&amp;E988&amp;"."</f>
        <v/>
      </c>
    </row>
    <row r="989">
      <c r="A989" s="1" t="inlineStr">
        <is>
          <t>result607_o_3</t>
        </is>
      </c>
      <c r="B989" s="1" t="inlineStr">
        <is>
          <t>字串</t>
        </is>
      </c>
      <c r="C989" s="1" t="n">
        <v>300</v>
      </c>
      <c r="D989" s="1" t="n">
        <v>0</v>
      </c>
      <c r="E989" s="1">
        <f>IF(B989="數值","(F"&amp;C989&amp;"."&amp;D989&amp;")","(A"&amp;C989&amp;")")</f>
        <v/>
      </c>
      <c r="F989" s="1">
        <f>"alter type "&amp;A989&amp;" "&amp;E989&amp;"."</f>
        <v/>
      </c>
    </row>
    <row r="990">
      <c r="A990" s="1" t="inlineStr">
        <is>
          <t>result999_o_3</t>
        </is>
      </c>
      <c r="B990" s="1" t="inlineStr">
        <is>
          <t>字串</t>
        </is>
      </c>
      <c r="C990" s="1" t="n">
        <v>300</v>
      </c>
      <c r="D990" s="1" t="n">
        <v>0</v>
      </c>
      <c r="E990" s="1">
        <f>IF(B990="數值","(F"&amp;C990&amp;"."&amp;D990&amp;")","(A"&amp;C990&amp;")")</f>
        <v/>
      </c>
      <c r="F990" s="1">
        <f>"alter type "&amp;A990&amp;" "&amp;E990&amp;"."</f>
        <v/>
      </c>
    </row>
    <row r="991">
      <c r="A991" s="1" t="inlineStr">
        <is>
          <t>at1_3</t>
        </is>
      </c>
      <c r="B991" s="1" t="inlineStr">
        <is>
          <t>數值</t>
        </is>
      </c>
      <c r="C991" s="1" t="n">
        <v>2</v>
      </c>
      <c r="D991" s="1" t="n">
        <v>0</v>
      </c>
      <c r="E991" s="1">
        <f>IF(B991="數值","(F"&amp;C991&amp;"."&amp;D991&amp;")","(A"&amp;C991&amp;")")</f>
        <v/>
      </c>
      <c r="F991" s="1">
        <f>"alter type "&amp;A991&amp;" "&amp;E991&amp;"."</f>
        <v/>
      </c>
    </row>
    <row r="992">
      <c r="A992" s="1" t="inlineStr">
        <is>
          <t>at1_o04_3</t>
        </is>
      </c>
      <c r="B992" s="1" t="inlineStr">
        <is>
          <t>字串</t>
        </is>
      </c>
      <c r="C992" s="1" t="n">
        <v>300</v>
      </c>
      <c r="D992" s="1" t="n">
        <v>0</v>
      </c>
      <c r="E992" s="1">
        <f>IF(B992="數值","(F"&amp;C992&amp;"."&amp;D992&amp;")","(A"&amp;C992&amp;")")</f>
        <v/>
      </c>
      <c r="F992" s="1">
        <f>"alter type "&amp;A992&amp;" "&amp;E992&amp;"."</f>
        <v/>
      </c>
    </row>
    <row r="993">
      <c r="A993" s="1" t="inlineStr">
        <is>
          <t>vdate_4</t>
        </is>
      </c>
      <c r="B993" s="1" t="inlineStr">
        <is>
          <t>數值</t>
        </is>
      </c>
      <c r="C993" s="1" t="n">
        <v>8</v>
      </c>
      <c r="D993" s="1" t="n">
        <v>0</v>
      </c>
      <c r="E993" s="1">
        <f>IF(B993="數值","(F"&amp;C993&amp;"."&amp;D993&amp;")","(A"&amp;C993&amp;")")</f>
        <v/>
      </c>
      <c r="F993" s="1">
        <f>"alter type "&amp;A993&amp;" "&amp;E993&amp;"."</f>
        <v/>
      </c>
    </row>
    <row r="994">
      <c r="A994" s="1" t="inlineStr">
        <is>
          <t>vt_4</t>
        </is>
      </c>
      <c r="B994" s="1" t="inlineStr">
        <is>
          <t>數值</t>
        </is>
      </c>
      <c r="C994" s="1" t="n">
        <v>1</v>
      </c>
      <c r="D994" s="1" t="n">
        <v>0</v>
      </c>
      <c r="E994" s="1">
        <f>IF(B994="數值","(F"&amp;C994&amp;"."&amp;D994&amp;")","(A"&amp;C994&amp;")")</f>
        <v/>
      </c>
      <c r="F994" s="1">
        <f>"alter type "&amp;A994&amp;" "&amp;E994&amp;"."</f>
        <v/>
      </c>
    </row>
    <row r="995">
      <c r="A995" s="1" t="inlineStr">
        <is>
          <t>vr_4</t>
        </is>
      </c>
      <c r="B995" s="1" t="inlineStr">
        <is>
          <t>數值</t>
        </is>
      </c>
      <c r="C995" s="1" t="n">
        <v>4</v>
      </c>
      <c r="D995" s="1" t="n">
        <v>0</v>
      </c>
      <c r="E995" s="1">
        <f>IF(B995="數值","(F"&amp;C995&amp;"."&amp;D995&amp;")","(A"&amp;C995&amp;")")</f>
        <v/>
      </c>
      <c r="F995" s="1">
        <f>"alter type "&amp;A995&amp;" "&amp;E995&amp;"."</f>
        <v/>
      </c>
    </row>
    <row r="996">
      <c r="A996" s="1" t="inlineStr">
        <is>
          <t>result303_o_4</t>
        </is>
      </c>
      <c r="B996" s="1" t="inlineStr">
        <is>
          <t>字串</t>
        </is>
      </c>
      <c r="C996" s="1" t="n">
        <v>300</v>
      </c>
      <c r="D996" s="1" t="n">
        <v>0</v>
      </c>
      <c r="E996" s="1">
        <f>IF(B996="數值","(F"&amp;C996&amp;"."&amp;D996&amp;")","(A"&amp;C996&amp;")")</f>
        <v/>
      </c>
      <c r="F996" s="1">
        <f>"alter type "&amp;A996&amp;" "&amp;E996&amp;"."</f>
        <v/>
      </c>
    </row>
    <row r="997">
      <c r="A997" s="1" t="inlineStr">
        <is>
          <t>result3061_o_4</t>
        </is>
      </c>
      <c r="B997" s="1" t="inlineStr">
        <is>
          <t>字串</t>
        </is>
      </c>
      <c r="C997" s="1" t="n">
        <v>300</v>
      </c>
      <c r="D997" s="1" t="n">
        <v>0</v>
      </c>
      <c r="E997" s="1">
        <f>IF(B997="數值","(F"&amp;C997&amp;"."&amp;D997&amp;")","(A"&amp;C997&amp;")")</f>
        <v/>
      </c>
      <c r="F997" s="1">
        <f>"alter type "&amp;A997&amp;" "&amp;E997&amp;"."</f>
        <v/>
      </c>
    </row>
    <row r="998">
      <c r="A998" s="1" t="inlineStr">
        <is>
          <t>result3062_o_4</t>
        </is>
      </c>
      <c r="B998" s="1" t="inlineStr">
        <is>
          <t>字串</t>
        </is>
      </c>
      <c r="C998" s="1" t="n">
        <v>300</v>
      </c>
      <c r="D998" s="1" t="n">
        <v>0</v>
      </c>
      <c r="E998" s="1">
        <f>IF(B998="數值","(F"&amp;C998&amp;"."&amp;D998&amp;")","(A"&amp;C998&amp;")")</f>
        <v/>
      </c>
      <c r="F998" s="1">
        <f>"alter type "&amp;A998&amp;" "&amp;E998&amp;"."</f>
        <v/>
      </c>
    </row>
    <row r="999">
      <c r="A999" s="1" t="inlineStr">
        <is>
          <t>result404_o_4</t>
        </is>
      </c>
      <c r="B999" s="1" t="inlineStr">
        <is>
          <t>字串</t>
        </is>
      </c>
      <c r="C999" s="1" t="n">
        <v>300</v>
      </c>
      <c r="D999" s="1" t="n">
        <v>0</v>
      </c>
      <c r="E999" s="1">
        <f>IF(B999="數值","(F"&amp;C999&amp;"."&amp;D999&amp;")","(A"&amp;C999&amp;")")</f>
        <v/>
      </c>
      <c r="F999" s="1">
        <f>"alter type "&amp;A999&amp;" "&amp;E999&amp;"."</f>
        <v/>
      </c>
    </row>
    <row r="1000">
      <c r="A1000" s="1" t="inlineStr">
        <is>
          <t>result504_o_4</t>
        </is>
      </c>
      <c r="B1000" s="1" t="inlineStr">
        <is>
          <t>字串</t>
        </is>
      </c>
      <c r="C1000" s="1" t="n">
        <v>300</v>
      </c>
      <c r="D1000" s="1" t="n">
        <v>0</v>
      </c>
      <c r="E1000" s="1">
        <f>IF(B1000="數值","(F"&amp;C1000&amp;"."&amp;D1000&amp;")","(A"&amp;C1000&amp;")")</f>
        <v/>
      </c>
      <c r="F1000" s="1">
        <f>"alter type "&amp;A1000&amp;" "&amp;E1000&amp;"."</f>
        <v/>
      </c>
    </row>
    <row r="1001">
      <c r="A1001" s="1" t="inlineStr">
        <is>
          <t>result608_o_4</t>
        </is>
      </c>
      <c r="B1001" s="1" t="inlineStr">
        <is>
          <t>字串</t>
        </is>
      </c>
      <c r="C1001" s="1" t="n">
        <v>300</v>
      </c>
      <c r="D1001" s="1" t="n">
        <v>0</v>
      </c>
      <c r="E1001" s="1">
        <f>IF(B1001="數值","(F"&amp;C1001&amp;"."&amp;D1001&amp;")","(A"&amp;C1001&amp;")")</f>
        <v/>
      </c>
      <c r="F1001" s="1">
        <f>"alter type "&amp;A1001&amp;" "&amp;E1001&amp;"."</f>
        <v/>
      </c>
    </row>
    <row r="1002">
      <c r="A1002" s="1" t="inlineStr">
        <is>
          <t>result311_o_4</t>
        </is>
      </c>
      <c r="B1002" s="1" t="inlineStr">
        <is>
          <t>字串</t>
        </is>
      </c>
      <c r="C1002" s="1" t="n">
        <v>300</v>
      </c>
      <c r="D1002" s="1" t="n">
        <v>0</v>
      </c>
      <c r="E1002" s="1">
        <f>IF(B1002="數值","(F"&amp;C1002&amp;"."&amp;D1002&amp;")","(A"&amp;C1002&amp;")")</f>
        <v/>
      </c>
      <c r="F1002" s="1">
        <f>"alter type "&amp;A1002&amp;" "&amp;E1002&amp;"."</f>
        <v/>
      </c>
    </row>
    <row r="1003">
      <c r="A1003" s="1" t="inlineStr">
        <is>
          <t>result607_o_4</t>
        </is>
      </c>
      <c r="B1003" s="1" t="inlineStr">
        <is>
          <t>字串</t>
        </is>
      </c>
      <c r="C1003" s="1" t="n">
        <v>300</v>
      </c>
      <c r="D1003" s="1" t="n">
        <v>0</v>
      </c>
      <c r="E1003" s="1">
        <f>IF(B1003="數值","(F"&amp;C1003&amp;"."&amp;D1003&amp;")","(A"&amp;C1003&amp;")")</f>
        <v/>
      </c>
      <c r="F1003" s="1">
        <f>"alter type "&amp;A1003&amp;" "&amp;E1003&amp;"."</f>
        <v/>
      </c>
    </row>
    <row r="1004">
      <c r="A1004" s="1" t="inlineStr">
        <is>
          <t>result999_o_4</t>
        </is>
      </c>
      <c r="B1004" s="1" t="inlineStr">
        <is>
          <t>字串</t>
        </is>
      </c>
      <c r="C1004" s="1" t="n">
        <v>300</v>
      </c>
      <c r="D1004" s="1" t="n">
        <v>0</v>
      </c>
      <c r="E1004" s="1">
        <f>IF(B1004="數值","(F"&amp;C1004&amp;"."&amp;D1004&amp;")","(A"&amp;C1004&amp;")")</f>
        <v/>
      </c>
      <c r="F1004" s="1">
        <f>"alter type "&amp;A1004&amp;" "&amp;E1004&amp;"."</f>
        <v/>
      </c>
    </row>
    <row r="1005">
      <c r="A1005" s="1" t="inlineStr">
        <is>
          <t>at1_4</t>
        </is>
      </c>
      <c r="B1005" s="1" t="inlineStr">
        <is>
          <t>數值</t>
        </is>
      </c>
      <c r="C1005" s="1" t="n">
        <v>2</v>
      </c>
      <c r="D1005" s="1" t="n">
        <v>0</v>
      </c>
      <c r="E1005" s="1">
        <f>IF(B1005="數值","(F"&amp;C1005&amp;"."&amp;D1005&amp;")","(A"&amp;C1005&amp;")")</f>
        <v/>
      </c>
      <c r="F1005" s="1">
        <f>"alter type "&amp;A1005&amp;" "&amp;E1005&amp;"."</f>
        <v/>
      </c>
    </row>
    <row r="1006">
      <c r="A1006" s="1" t="inlineStr">
        <is>
          <t>at1_o04_4</t>
        </is>
      </c>
      <c r="B1006" s="1" t="inlineStr">
        <is>
          <t>字串</t>
        </is>
      </c>
      <c r="C1006" s="1" t="n">
        <v>300</v>
      </c>
      <c r="D1006" s="1" t="n">
        <v>0</v>
      </c>
      <c r="E1006" s="1">
        <f>IF(B1006="數值","(F"&amp;C1006&amp;"."&amp;D1006&amp;")","(A"&amp;C1006&amp;")")</f>
        <v/>
      </c>
      <c r="F1006" s="1">
        <f>"alter type "&amp;A1006&amp;" "&amp;E1006&amp;"."</f>
        <v/>
      </c>
    </row>
    <row r="1007">
      <c r="A1007" s="1" t="inlineStr">
        <is>
          <t>vdate_5</t>
        </is>
      </c>
      <c r="B1007" s="1" t="inlineStr">
        <is>
          <t>數值</t>
        </is>
      </c>
      <c r="C1007" s="1" t="n">
        <v>8</v>
      </c>
      <c r="D1007" s="1" t="n">
        <v>0</v>
      </c>
      <c r="E1007" s="1">
        <f>IF(B1007="數值","(F"&amp;C1007&amp;"."&amp;D1007&amp;")","(A"&amp;C1007&amp;")")</f>
        <v/>
      </c>
      <c r="F1007" s="1">
        <f>"alter type "&amp;A1007&amp;" "&amp;E1007&amp;"."</f>
        <v/>
      </c>
    </row>
    <row r="1008">
      <c r="A1008" s="1" t="inlineStr">
        <is>
          <t>vt_5</t>
        </is>
      </c>
      <c r="B1008" s="1" t="inlineStr">
        <is>
          <t>數值</t>
        </is>
      </c>
      <c r="C1008" s="1" t="n">
        <v>1</v>
      </c>
      <c r="D1008" s="1" t="n">
        <v>0</v>
      </c>
      <c r="E1008" s="1">
        <f>IF(B1008="數值","(F"&amp;C1008&amp;"."&amp;D1008&amp;")","(A"&amp;C1008&amp;")")</f>
        <v/>
      </c>
      <c r="F1008" s="1">
        <f>"alter type "&amp;A1008&amp;" "&amp;E1008&amp;"."</f>
        <v/>
      </c>
    </row>
    <row r="1009">
      <c r="A1009" s="1" t="inlineStr">
        <is>
          <t>vr_5</t>
        </is>
      </c>
      <c r="B1009" s="1" t="inlineStr">
        <is>
          <t>數值</t>
        </is>
      </c>
      <c r="C1009" s="1" t="n">
        <v>4</v>
      </c>
      <c r="D1009" s="1" t="n">
        <v>0</v>
      </c>
      <c r="E1009" s="1">
        <f>IF(B1009="數值","(F"&amp;C1009&amp;"."&amp;D1009&amp;")","(A"&amp;C1009&amp;")")</f>
        <v/>
      </c>
      <c r="F1009" s="1">
        <f>"alter type "&amp;A1009&amp;" "&amp;E1009&amp;"."</f>
        <v/>
      </c>
    </row>
    <row r="1010">
      <c r="A1010" s="1" t="inlineStr">
        <is>
          <t>result303_o_5</t>
        </is>
      </c>
      <c r="B1010" s="1" t="inlineStr">
        <is>
          <t>字串</t>
        </is>
      </c>
      <c r="C1010" s="1" t="n">
        <v>300</v>
      </c>
      <c r="D1010" s="1" t="n">
        <v>0</v>
      </c>
      <c r="E1010" s="1">
        <f>IF(B1010="數值","(F"&amp;C1010&amp;"."&amp;D1010&amp;")","(A"&amp;C1010&amp;")")</f>
        <v/>
      </c>
      <c r="F1010" s="1">
        <f>"alter type "&amp;A1010&amp;" "&amp;E1010&amp;"."</f>
        <v/>
      </c>
    </row>
    <row r="1011">
      <c r="A1011" s="1" t="inlineStr">
        <is>
          <t>result3061_o_5</t>
        </is>
      </c>
      <c r="B1011" s="1" t="inlineStr">
        <is>
          <t>字串</t>
        </is>
      </c>
      <c r="C1011" s="1" t="n">
        <v>300</v>
      </c>
      <c r="D1011" s="1" t="n">
        <v>0</v>
      </c>
      <c r="E1011" s="1">
        <f>IF(B1011="數值","(F"&amp;C1011&amp;"."&amp;D1011&amp;")","(A"&amp;C1011&amp;")")</f>
        <v/>
      </c>
      <c r="F1011" s="1">
        <f>"alter type "&amp;A1011&amp;" "&amp;E1011&amp;"."</f>
        <v/>
      </c>
    </row>
    <row r="1012">
      <c r="A1012" s="1" t="inlineStr">
        <is>
          <t>result3062_o_5</t>
        </is>
      </c>
      <c r="B1012" s="1" t="inlineStr">
        <is>
          <t>字串</t>
        </is>
      </c>
      <c r="C1012" s="1" t="n">
        <v>300</v>
      </c>
      <c r="D1012" s="1" t="n">
        <v>0</v>
      </c>
      <c r="E1012" s="1">
        <f>IF(B1012="數值","(F"&amp;C1012&amp;"."&amp;D1012&amp;")","(A"&amp;C1012&amp;")")</f>
        <v/>
      </c>
      <c r="F1012" s="1">
        <f>"alter type "&amp;A1012&amp;" "&amp;E1012&amp;"."</f>
        <v/>
      </c>
    </row>
    <row r="1013">
      <c r="A1013" s="1" t="inlineStr">
        <is>
          <t>result404_o_5</t>
        </is>
      </c>
      <c r="B1013" s="1" t="inlineStr">
        <is>
          <t>字串</t>
        </is>
      </c>
      <c r="C1013" s="1" t="n">
        <v>300</v>
      </c>
      <c r="D1013" s="1" t="n">
        <v>0</v>
      </c>
      <c r="E1013" s="1">
        <f>IF(B1013="數值","(F"&amp;C1013&amp;"."&amp;D1013&amp;")","(A"&amp;C1013&amp;")")</f>
        <v/>
      </c>
      <c r="F1013" s="1">
        <f>"alter type "&amp;A1013&amp;" "&amp;E1013&amp;"."</f>
        <v/>
      </c>
    </row>
    <row r="1014">
      <c r="A1014" s="1" t="inlineStr">
        <is>
          <t>result504_o_5</t>
        </is>
      </c>
      <c r="B1014" s="1" t="inlineStr">
        <is>
          <t>字串</t>
        </is>
      </c>
      <c r="C1014" s="1" t="n">
        <v>300</v>
      </c>
      <c r="D1014" s="1" t="n">
        <v>0</v>
      </c>
      <c r="E1014" s="1">
        <f>IF(B1014="數值","(F"&amp;C1014&amp;"."&amp;D1014&amp;")","(A"&amp;C1014&amp;")")</f>
        <v/>
      </c>
      <c r="F1014" s="1">
        <f>"alter type "&amp;A1014&amp;" "&amp;E1014&amp;"."</f>
        <v/>
      </c>
    </row>
    <row r="1015">
      <c r="A1015" s="1" t="inlineStr">
        <is>
          <t>result608_o_5</t>
        </is>
      </c>
      <c r="B1015" s="1" t="inlineStr">
        <is>
          <t>字串</t>
        </is>
      </c>
      <c r="C1015" s="1" t="n">
        <v>300</v>
      </c>
      <c r="D1015" s="1" t="n">
        <v>0</v>
      </c>
      <c r="E1015" s="1">
        <f>IF(B1015="數值","(F"&amp;C1015&amp;"."&amp;D1015&amp;")","(A"&amp;C1015&amp;")")</f>
        <v/>
      </c>
      <c r="F1015" s="1">
        <f>"alter type "&amp;A1015&amp;" "&amp;E1015&amp;"."</f>
        <v/>
      </c>
    </row>
    <row r="1016">
      <c r="A1016" s="1" t="inlineStr">
        <is>
          <t>result311_o_5</t>
        </is>
      </c>
      <c r="B1016" s="1" t="inlineStr">
        <is>
          <t>字串</t>
        </is>
      </c>
      <c r="C1016" s="1" t="n">
        <v>300</v>
      </c>
      <c r="D1016" s="1" t="n">
        <v>0</v>
      </c>
      <c r="E1016" s="1">
        <f>IF(B1016="數值","(F"&amp;C1016&amp;"."&amp;D1016&amp;")","(A"&amp;C1016&amp;")")</f>
        <v/>
      </c>
      <c r="F1016" s="1">
        <f>"alter type "&amp;A1016&amp;" "&amp;E1016&amp;"."</f>
        <v/>
      </c>
    </row>
    <row r="1017">
      <c r="A1017" s="1" t="inlineStr">
        <is>
          <t>result607_o_5</t>
        </is>
      </c>
      <c r="B1017" s="1" t="inlineStr">
        <is>
          <t>字串</t>
        </is>
      </c>
      <c r="C1017" s="1" t="n">
        <v>300</v>
      </c>
      <c r="D1017" s="1" t="n">
        <v>0</v>
      </c>
      <c r="E1017" s="1">
        <f>IF(B1017="數值","(F"&amp;C1017&amp;"."&amp;D1017&amp;")","(A"&amp;C1017&amp;")")</f>
        <v/>
      </c>
      <c r="F1017" s="1">
        <f>"alter type "&amp;A1017&amp;" "&amp;E1017&amp;"."</f>
        <v/>
      </c>
    </row>
    <row r="1018">
      <c r="A1018" s="1" t="inlineStr">
        <is>
          <t>result999_o_5</t>
        </is>
      </c>
      <c r="B1018" s="1" t="inlineStr">
        <is>
          <t>字串</t>
        </is>
      </c>
      <c r="C1018" s="1" t="n">
        <v>300</v>
      </c>
      <c r="D1018" s="1" t="n">
        <v>0</v>
      </c>
      <c r="E1018" s="1">
        <f>IF(B1018="數值","(F"&amp;C1018&amp;"."&amp;D1018&amp;")","(A"&amp;C1018&amp;")")</f>
        <v/>
      </c>
      <c r="F1018" s="1">
        <f>"alter type "&amp;A1018&amp;" "&amp;E1018&amp;"."</f>
        <v/>
      </c>
    </row>
    <row r="1019">
      <c r="A1019" s="1" t="inlineStr">
        <is>
          <t>at1_5</t>
        </is>
      </c>
      <c r="B1019" s="1" t="inlineStr">
        <is>
          <t>數值</t>
        </is>
      </c>
      <c r="C1019" s="1" t="n">
        <v>2</v>
      </c>
      <c r="D1019" s="1" t="n">
        <v>0</v>
      </c>
      <c r="E1019" s="1">
        <f>IF(B1019="數值","(F"&amp;C1019&amp;"."&amp;D1019&amp;")","(A"&amp;C1019&amp;")")</f>
        <v/>
      </c>
      <c r="F1019" s="1">
        <f>"alter type "&amp;A1019&amp;" "&amp;E1019&amp;"."</f>
        <v/>
      </c>
    </row>
    <row r="1020">
      <c r="A1020" s="1" t="inlineStr">
        <is>
          <t>at1_o04_5</t>
        </is>
      </c>
      <c r="B1020" s="1" t="inlineStr">
        <is>
          <t>字串</t>
        </is>
      </c>
      <c r="C1020" s="1" t="n">
        <v>300</v>
      </c>
      <c r="D1020" s="1" t="n">
        <v>0</v>
      </c>
      <c r="E1020" s="1">
        <f>IF(B1020="數值","(F"&amp;C1020&amp;"."&amp;D1020&amp;")","(A"&amp;C1020&amp;")")</f>
        <v/>
      </c>
      <c r="F1020" s="1">
        <f>"alter type "&amp;A1020&amp;" "&amp;E1020&amp;"."</f>
        <v/>
      </c>
    </row>
    <row r="1021">
      <c r="A1021" s="1" t="inlineStr">
        <is>
          <t>vdate_6</t>
        </is>
      </c>
      <c r="B1021" s="1" t="inlineStr">
        <is>
          <t>數值</t>
        </is>
      </c>
      <c r="C1021" s="1" t="n">
        <v>8</v>
      </c>
      <c r="D1021" s="1" t="n">
        <v>0</v>
      </c>
      <c r="E1021" s="1">
        <f>IF(B1021="數值","(F"&amp;C1021&amp;"."&amp;D1021&amp;")","(A"&amp;C1021&amp;")")</f>
        <v/>
      </c>
      <c r="F1021" s="1">
        <f>"alter type "&amp;A1021&amp;" "&amp;E1021&amp;"."</f>
        <v/>
      </c>
    </row>
    <row r="1022">
      <c r="A1022" s="1" t="inlineStr">
        <is>
          <t>vt_6</t>
        </is>
      </c>
      <c r="B1022" s="1" t="inlineStr">
        <is>
          <t>數值</t>
        </is>
      </c>
      <c r="C1022" s="1" t="n">
        <v>1</v>
      </c>
      <c r="D1022" s="1" t="n">
        <v>0</v>
      </c>
      <c r="E1022" s="1">
        <f>IF(B1022="數值","(F"&amp;C1022&amp;"."&amp;D1022&amp;")","(A"&amp;C1022&amp;")")</f>
        <v/>
      </c>
      <c r="F1022" s="1">
        <f>"alter type "&amp;A1022&amp;" "&amp;E1022&amp;"."</f>
        <v/>
      </c>
    </row>
    <row r="1023">
      <c r="A1023" s="1" t="inlineStr">
        <is>
          <t>vr_6</t>
        </is>
      </c>
      <c r="B1023" s="1" t="inlineStr">
        <is>
          <t>數值</t>
        </is>
      </c>
      <c r="C1023" s="1" t="n">
        <v>4</v>
      </c>
      <c r="D1023" s="1" t="n">
        <v>0</v>
      </c>
      <c r="E1023" s="1">
        <f>IF(B1023="數值","(F"&amp;C1023&amp;"."&amp;D1023&amp;")","(A"&amp;C1023&amp;")")</f>
        <v/>
      </c>
      <c r="F1023" s="1">
        <f>"alter type "&amp;A1023&amp;" "&amp;E1023&amp;"."</f>
        <v/>
      </c>
    </row>
    <row r="1024">
      <c r="A1024" s="1" t="inlineStr">
        <is>
          <t>result303_o_6</t>
        </is>
      </c>
      <c r="B1024" s="1" t="inlineStr">
        <is>
          <t>字串</t>
        </is>
      </c>
      <c r="C1024" s="1" t="n">
        <v>300</v>
      </c>
      <c r="D1024" s="1" t="n">
        <v>0</v>
      </c>
      <c r="E1024" s="1">
        <f>IF(B1024="數值","(F"&amp;C1024&amp;"."&amp;D1024&amp;")","(A"&amp;C1024&amp;")")</f>
        <v/>
      </c>
      <c r="F1024" s="1">
        <f>"alter type "&amp;A1024&amp;" "&amp;E1024&amp;"."</f>
        <v/>
      </c>
    </row>
    <row r="1025">
      <c r="A1025" s="1" t="inlineStr">
        <is>
          <t>result3061_o_6</t>
        </is>
      </c>
      <c r="B1025" s="1" t="inlineStr">
        <is>
          <t>字串</t>
        </is>
      </c>
      <c r="C1025" s="1" t="n">
        <v>300</v>
      </c>
      <c r="D1025" s="1" t="n">
        <v>0</v>
      </c>
      <c r="E1025" s="1">
        <f>IF(B1025="數值","(F"&amp;C1025&amp;"."&amp;D1025&amp;")","(A"&amp;C1025&amp;")")</f>
        <v/>
      </c>
      <c r="F1025" s="1">
        <f>"alter type "&amp;A1025&amp;" "&amp;E1025&amp;"."</f>
        <v/>
      </c>
    </row>
    <row r="1026">
      <c r="A1026" s="1" t="inlineStr">
        <is>
          <t>result3062_o_6</t>
        </is>
      </c>
      <c r="B1026" s="1" t="inlineStr">
        <is>
          <t>字串</t>
        </is>
      </c>
      <c r="C1026" s="1" t="n">
        <v>300</v>
      </c>
      <c r="D1026" s="1" t="n">
        <v>0</v>
      </c>
      <c r="E1026" s="1">
        <f>IF(B1026="數值","(F"&amp;C1026&amp;"."&amp;D1026&amp;")","(A"&amp;C1026&amp;")")</f>
        <v/>
      </c>
      <c r="F1026" s="1">
        <f>"alter type "&amp;A1026&amp;" "&amp;E1026&amp;"."</f>
        <v/>
      </c>
    </row>
    <row r="1027">
      <c r="A1027" s="1" t="inlineStr">
        <is>
          <t>result404_o_6</t>
        </is>
      </c>
      <c r="B1027" s="1" t="inlineStr">
        <is>
          <t>字串</t>
        </is>
      </c>
      <c r="C1027" s="1" t="n">
        <v>300</v>
      </c>
      <c r="D1027" s="1" t="n">
        <v>0</v>
      </c>
      <c r="E1027" s="1">
        <f>IF(B1027="數值","(F"&amp;C1027&amp;"."&amp;D1027&amp;")","(A"&amp;C1027&amp;")")</f>
        <v/>
      </c>
      <c r="F1027" s="1">
        <f>"alter type "&amp;A1027&amp;" "&amp;E1027&amp;"."</f>
        <v/>
      </c>
    </row>
    <row r="1028">
      <c r="A1028" s="1" t="inlineStr">
        <is>
          <t>result504_o_6</t>
        </is>
      </c>
      <c r="B1028" s="1" t="inlineStr">
        <is>
          <t>字串</t>
        </is>
      </c>
      <c r="C1028" s="1" t="n">
        <v>300</v>
      </c>
      <c r="D1028" s="1" t="n">
        <v>0</v>
      </c>
      <c r="E1028" s="1">
        <f>IF(B1028="數值","(F"&amp;C1028&amp;"."&amp;D1028&amp;")","(A"&amp;C1028&amp;")")</f>
        <v/>
      </c>
      <c r="F1028" s="1">
        <f>"alter type "&amp;A1028&amp;" "&amp;E1028&amp;"."</f>
        <v/>
      </c>
    </row>
    <row r="1029">
      <c r="A1029" s="1" t="inlineStr">
        <is>
          <t>result608_o_6</t>
        </is>
      </c>
      <c r="B1029" s="1" t="inlineStr">
        <is>
          <t>字串</t>
        </is>
      </c>
      <c r="C1029" s="1" t="n">
        <v>300</v>
      </c>
      <c r="D1029" s="1" t="n">
        <v>0</v>
      </c>
      <c r="E1029" s="1">
        <f>IF(B1029="數值","(F"&amp;C1029&amp;"."&amp;D1029&amp;")","(A"&amp;C1029&amp;")")</f>
        <v/>
      </c>
      <c r="F1029" s="1">
        <f>"alter type "&amp;A1029&amp;" "&amp;E1029&amp;"."</f>
        <v/>
      </c>
    </row>
    <row r="1030">
      <c r="A1030" s="1" t="inlineStr">
        <is>
          <t>result311_o_6</t>
        </is>
      </c>
      <c r="B1030" s="1" t="inlineStr">
        <is>
          <t>字串</t>
        </is>
      </c>
      <c r="C1030" s="1" t="n">
        <v>300</v>
      </c>
      <c r="D1030" s="1" t="n">
        <v>0</v>
      </c>
      <c r="E1030" s="1">
        <f>IF(B1030="數值","(F"&amp;C1030&amp;"."&amp;D1030&amp;")","(A"&amp;C1030&amp;")")</f>
        <v/>
      </c>
      <c r="F1030" s="1">
        <f>"alter type "&amp;A1030&amp;" "&amp;E1030&amp;"."</f>
        <v/>
      </c>
    </row>
    <row r="1031">
      <c r="A1031" s="1" t="inlineStr">
        <is>
          <t>result607_o_6</t>
        </is>
      </c>
      <c r="B1031" s="1" t="inlineStr">
        <is>
          <t>字串</t>
        </is>
      </c>
      <c r="C1031" s="1" t="n">
        <v>300</v>
      </c>
      <c r="D1031" s="1" t="n">
        <v>0</v>
      </c>
      <c r="E1031" s="1">
        <f>IF(B1031="數值","(F"&amp;C1031&amp;"."&amp;D1031&amp;")","(A"&amp;C1031&amp;")")</f>
        <v/>
      </c>
      <c r="F1031" s="1">
        <f>"alter type "&amp;A1031&amp;" "&amp;E1031&amp;"."</f>
        <v/>
      </c>
    </row>
    <row r="1032">
      <c r="A1032" s="1" t="inlineStr">
        <is>
          <t>result999_o_6</t>
        </is>
      </c>
      <c r="B1032" s="1" t="inlineStr">
        <is>
          <t>字串</t>
        </is>
      </c>
      <c r="C1032" s="1" t="n">
        <v>300</v>
      </c>
      <c r="D1032" s="1" t="n">
        <v>0</v>
      </c>
      <c r="E1032" s="1">
        <f>IF(B1032="數值","(F"&amp;C1032&amp;"."&amp;D1032&amp;")","(A"&amp;C1032&amp;")")</f>
        <v/>
      </c>
      <c r="F1032" s="1">
        <f>"alter type "&amp;A1032&amp;" "&amp;E1032&amp;"."</f>
        <v/>
      </c>
    </row>
    <row r="1033">
      <c r="A1033" s="1" t="inlineStr">
        <is>
          <t>at1_6</t>
        </is>
      </c>
      <c r="B1033" s="1" t="inlineStr">
        <is>
          <t>數值</t>
        </is>
      </c>
      <c r="C1033" s="1" t="n">
        <v>2</v>
      </c>
      <c r="D1033" s="1" t="n">
        <v>0</v>
      </c>
      <c r="E1033" s="1">
        <f>IF(B1033="數值","(F"&amp;C1033&amp;"."&amp;D1033&amp;")","(A"&amp;C1033&amp;")")</f>
        <v/>
      </c>
      <c r="F1033" s="1">
        <f>"alter type "&amp;A1033&amp;" "&amp;E1033&amp;"."</f>
        <v/>
      </c>
    </row>
    <row r="1034">
      <c r="A1034" s="1" t="inlineStr">
        <is>
          <t>at1_o04_6</t>
        </is>
      </c>
      <c r="B1034" s="1" t="inlineStr">
        <is>
          <t>字串</t>
        </is>
      </c>
      <c r="C1034" s="1" t="n">
        <v>300</v>
      </c>
      <c r="D1034" s="1" t="n">
        <v>0</v>
      </c>
      <c r="E1034" s="1">
        <f>IF(B1034="數值","(F"&amp;C1034&amp;"."&amp;D1034&amp;")","(A"&amp;C1034&amp;")")</f>
        <v/>
      </c>
      <c r="F1034" s="1">
        <f>"alter type "&amp;A1034&amp;" "&amp;E1034&amp;"."</f>
        <v/>
      </c>
    </row>
    <row r="1035">
      <c r="A1035" s="1" t="inlineStr">
        <is>
          <t>vdate_7</t>
        </is>
      </c>
      <c r="B1035" s="1" t="inlineStr">
        <is>
          <t>數值</t>
        </is>
      </c>
      <c r="C1035" s="1" t="n">
        <v>8</v>
      </c>
      <c r="D1035" s="1" t="n">
        <v>0</v>
      </c>
      <c r="E1035" s="1">
        <f>IF(B1035="數值","(F"&amp;C1035&amp;"."&amp;D1035&amp;")","(A"&amp;C1035&amp;")")</f>
        <v/>
      </c>
      <c r="F1035" s="1">
        <f>"alter type "&amp;A1035&amp;" "&amp;E1035&amp;"."</f>
        <v/>
      </c>
    </row>
    <row r="1036">
      <c r="A1036" s="1" t="inlineStr">
        <is>
          <t>vt_7</t>
        </is>
      </c>
      <c r="B1036" s="1" t="inlineStr">
        <is>
          <t>數值</t>
        </is>
      </c>
      <c r="C1036" s="1" t="n">
        <v>1</v>
      </c>
      <c r="D1036" s="1" t="n">
        <v>0</v>
      </c>
      <c r="E1036" s="1">
        <f>IF(B1036="數值","(F"&amp;C1036&amp;"."&amp;D1036&amp;")","(A"&amp;C1036&amp;")")</f>
        <v/>
      </c>
      <c r="F1036" s="1">
        <f>"alter type "&amp;A1036&amp;" "&amp;E1036&amp;"."</f>
        <v/>
      </c>
    </row>
    <row r="1037">
      <c r="A1037" s="1" t="inlineStr">
        <is>
          <t>vr_7</t>
        </is>
      </c>
      <c r="B1037" s="1" t="inlineStr">
        <is>
          <t>數值</t>
        </is>
      </c>
      <c r="C1037" s="1" t="n">
        <v>4</v>
      </c>
      <c r="D1037" s="1" t="n">
        <v>0</v>
      </c>
      <c r="E1037" s="1">
        <f>IF(B1037="數值","(F"&amp;C1037&amp;"."&amp;D1037&amp;")","(A"&amp;C1037&amp;")")</f>
        <v/>
      </c>
      <c r="F1037" s="1">
        <f>"alter type "&amp;A1037&amp;" "&amp;E1037&amp;"."</f>
        <v/>
      </c>
    </row>
    <row r="1038">
      <c r="A1038" s="1" t="inlineStr">
        <is>
          <t>result303_o_7</t>
        </is>
      </c>
      <c r="B1038" s="1" t="inlineStr">
        <is>
          <t>字串</t>
        </is>
      </c>
      <c r="C1038" s="1" t="n">
        <v>300</v>
      </c>
      <c r="D1038" s="1" t="n">
        <v>0</v>
      </c>
      <c r="E1038" s="1">
        <f>IF(B1038="數值","(F"&amp;C1038&amp;"."&amp;D1038&amp;")","(A"&amp;C1038&amp;")")</f>
        <v/>
      </c>
      <c r="F1038" s="1">
        <f>"alter type "&amp;A1038&amp;" "&amp;E1038&amp;"."</f>
        <v/>
      </c>
    </row>
    <row r="1039">
      <c r="A1039" s="1" t="inlineStr">
        <is>
          <t>result3061_o_7</t>
        </is>
      </c>
      <c r="B1039" s="1" t="inlineStr">
        <is>
          <t>字串</t>
        </is>
      </c>
      <c r="C1039" s="1" t="n">
        <v>300</v>
      </c>
      <c r="D1039" s="1" t="n">
        <v>0</v>
      </c>
      <c r="E1039" s="1">
        <f>IF(B1039="數值","(F"&amp;C1039&amp;"."&amp;D1039&amp;")","(A"&amp;C1039&amp;")")</f>
        <v/>
      </c>
      <c r="F1039" s="1">
        <f>"alter type "&amp;A1039&amp;" "&amp;E1039&amp;"."</f>
        <v/>
      </c>
    </row>
    <row r="1040">
      <c r="A1040" s="1" t="inlineStr">
        <is>
          <t>result3062_o_7</t>
        </is>
      </c>
      <c r="B1040" s="1" t="inlineStr">
        <is>
          <t>字串</t>
        </is>
      </c>
      <c r="C1040" s="1" t="n">
        <v>300</v>
      </c>
      <c r="D1040" s="1" t="n">
        <v>0</v>
      </c>
      <c r="E1040" s="1">
        <f>IF(B1040="數值","(F"&amp;C1040&amp;"."&amp;D1040&amp;")","(A"&amp;C1040&amp;")")</f>
        <v/>
      </c>
      <c r="F1040" s="1">
        <f>"alter type "&amp;A1040&amp;" "&amp;E1040&amp;"."</f>
        <v/>
      </c>
    </row>
    <row r="1041">
      <c r="A1041" s="1" t="inlineStr">
        <is>
          <t>result404_o_7</t>
        </is>
      </c>
      <c r="B1041" s="1" t="inlineStr">
        <is>
          <t>字串</t>
        </is>
      </c>
      <c r="C1041" s="1" t="n">
        <v>300</v>
      </c>
      <c r="D1041" s="1" t="n">
        <v>0</v>
      </c>
      <c r="E1041" s="1">
        <f>IF(B1041="數值","(F"&amp;C1041&amp;"."&amp;D1041&amp;")","(A"&amp;C1041&amp;")")</f>
        <v/>
      </c>
      <c r="F1041" s="1">
        <f>"alter type "&amp;A1041&amp;" "&amp;E1041&amp;"."</f>
        <v/>
      </c>
    </row>
    <row r="1042">
      <c r="A1042" s="1" t="inlineStr">
        <is>
          <t>result504_o_7</t>
        </is>
      </c>
      <c r="B1042" s="1" t="inlineStr">
        <is>
          <t>字串</t>
        </is>
      </c>
      <c r="C1042" s="1" t="n">
        <v>300</v>
      </c>
      <c r="D1042" s="1" t="n">
        <v>0</v>
      </c>
      <c r="E1042" s="1">
        <f>IF(B1042="數值","(F"&amp;C1042&amp;"."&amp;D1042&amp;")","(A"&amp;C1042&amp;")")</f>
        <v/>
      </c>
      <c r="F1042" s="1">
        <f>"alter type "&amp;A1042&amp;" "&amp;E1042&amp;"."</f>
        <v/>
      </c>
    </row>
    <row r="1043">
      <c r="A1043" s="1" t="inlineStr">
        <is>
          <t>result608_o_7</t>
        </is>
      </c>
      <c r="B1043" s="1" t="inlineStr">
        <is>
          <t>字串</t>
        </is>
      </c>
      <c r="C1043" s="1" t="n">
        <v>300</v>
      </c>
      <c r="D1043" s="1" t="n">
        <v>0</v>
      </c>
      <c r="E1043" s="1">
        <f>IF(B1043="數值","(F"&amp;C1043&amp;"."&amp;D1043&amp;")","(A"&amp;C1043&amp;")")</f>
        <v/>
      </c>
      <c r="F1043" s="1">
        <f>"alter type "&amp;A1043&amp;" "&amp;E1043&amp;"."</f>
        <v/>
      </c>
    </row>
    <row r="1044">
      <c r="A1044" s="1" t="inlineStr">
        <is>
          <t>result311_o_7</t>
        </is>
      </c>
      <c r="B1044" s="1" t="inlineStr">
        <is>
          <t>字串</t>
        </is>
      </c>
      <c r="C1044" s="1" t="n">
        <v>300</v>
      </c>
      <c r="D1044" s="1" t="n">
        <v>0</v>
      </c>
      <c r="E1044" s="1">
        <f>IF(B1044="數值","(F"&amp;C1044&amp;"."&amp;D1044&amp;")","(A"&amp;C1044&amp;")")</f>
        <v/>
      </c>
      <c r="F1044" s="1">
        <f>"alter type "&amp;A1044&amp;" "&amp;E1044&amp;"."</f>
        <v/>
      </c>
    </row>
    <row r="1045">
      <c r="A1045" s="1" t="inlineStr">
        <is>
          <t>result607_o_7</t>
        </is>
      </c>
      <c r="B1045" s="1" t="inlineStr">
        <is>
          <t>字串</t>
        </is>
      </c>
      <c r="C1045" s="1" t="n">
        <v>300</v>
      </c>
      <c r="D1045" s="1" t="n">
        <v>0</v>
      </c>
      <c r="E1045" s="1">
        <f>IF(B1045="數值","(F"&amp;C1045&amp;"."&amp;D1045&amp;")","(A"&amp;C1045&amp;")")</f>
        <v/>
      </c>
      <c r="F1045" s="1">
        <f>"alter type "&amp;A1045&amp;" "&amp;E1045&amp;"."</f>
        <v/>
      </c>
    </row>
    <row r="1046">
      <c r="A1046" s="1" t="inlineStr">
        <is>
          <t>result999_o_7</t>
        </is>
      </c>
      <c r="B1046" s="1" t="inlineStr">
        <is>
          <t>字串</t>
        </is>
      </c>
      <c r="C1046" s="1" t="n">
        <v>300</v>
      </c>
      <c r="D1046" s="1" t="n">
        <v>0</v>
      </c>
      <c r="E1046" s="1">
        <f>IF(B1046="數值","(F"&amp;C1046&amp;"."&amp;D1046&amp;")","(A"&amp;C1046&amp;")")</f>
        <v/>
      </c>
      <c r="F1046" s="1">
        <f>"alter type "&amp;A1046&amp;" "&amp;E1046&amp;"."</f>
        <v/>
      </c>
    </row>
    <row r="1047">
      <c r="A1047" s="1" t="inlineStr">
        <is>
          <t>at1_7</t>
        </is>
      </c>
      <c r="B1047" s="1" t="inlineStr">
        <is>
          <t>數值</t>
        </is>
      </c>
      <c r="C1047" s="1" t="n">
        <v>2</v>
      </c>
      <c r="D1047" s="1" t="n">
        <v>0</v>
      </c>
      <c r="E1047" s="1">
        <f>IF(B1047="數值","(F"&amp;C1047&amp;"."&amp;D1047&amp;")","(A"&amp;C1047&amp;")")</f>
        <v/>
      </c>
      <c r="F1047" s="1">
        <f>"alter type "&amp;A1047&amp;" "&amp;E1047&amp;"."</f>
        <v/>
      </c>
    </row>
    <row r="1048">
      <c r="A1048" s="1" t="inlineStr">
        <is>
          <t>at1_o04_7</t>
        </is>
      </c>
      <c r="B1048" s="1" t="inlineStr">
        <is>
          <t>字串</t>
        </is>
      </c>
      <c r="C1048" s="1" t="n">
        <v>300</v>
      </c>
      <c r="D1048" s="1" t="n">
        <v>0</v>
      </c>
      <c r="E1048" s="1">
        <f>IF(B1048="數值","(F"&amp;C1048&amp;"."&amp;D1048&amp;")","(A"&amp;C1048&amp;")")</f>
        <v/>
      </c>
      <c r="F1048" s="1">
        <f>"alter type "&amp;A1048&amp;" "&amp;E1048&amp;"."</f>
        <v/>
      </c>
    </row>
    <row r="1049">
      <c r="A1049" s="1" t="inlineStr">
        <is>
          <t>vdate_8</t>
        </is>
      </c>
      <c r="B1049" s="1" t="inlineStr">
        <is>
          <t>數值</t>
        </is>
      </c>
      <c r="C1049" s="1" t="n">
        <v>8</v>
      </c>
      <c r="D1049" s="1" t="n">
        <v>0</v>
      </c>
      <c r="E1049" s="1">
        <f>IF(B1049="數值","(F"&amp;C1049&amp;"."&amp;D1049&amp;")","(A"&amp;C1049&amp;")")</f>
        <v/>
      </c>
      <c r="F1049" s="1">
        <f>"alter type "&amp;A1049&amp;" "&amp;E1049&amp;"."</f>
        <v/>
      </c>
    </row>
    <row r="1050">
      <c r="A1050" s="1" t="inlineStr">
        <is>
          <t>vt_8</t>
        </is>
      </c>
      <c r="B1050" s="1" t="inlineStr">
        <is>
          <t>數值</t>
        </is>
      </c>
      <c r="C1050" s="1" t="n">
        <v>1</v>
      </c>
      <c r="D1050" s="1" t="n">
        <v>0</v>
      </c>
      <c r="E1050" s="1">
        <f>IF(B1050="數值","(F"&amp;C1050&amp;"."&amp;D1050&amp;")","(A"&amp;C1050&amp;")")</f>
        <v/>
      </c>
      <c r="F1050" s="1">
        <f>"alter type "&amp;A1050&amp;" "&amp;E1050&amp;"."</f>
        <v/>
      </c>
    </row>
    <row r="1051">
      <c r="A1051" s="1" t="inlineStr">
        <is>
          <t>vr_8</t>
        </is>
      </c>
      <c r="B1051" s="1" t="inlineStr">
        <is>
          <t>數值</t>
        </is>
      </c>
      <c r="C1051" s="1" t="n">
        <v>4</v>
      </c>
      <c r="D1051" s="1" t="n">
        <v>0</v>
      </c>
      <c r="E1051" s="1">
        <f>IF(B1051="數值","(F"&amp;C1051&amp;"."&amp;D1051&amp;")","(A"&amp;C1051&amp;")")</f>
        <v/>
      </c>
      <c r="F1051" s="1">
        <f>"alter type "&amp;A1051&amp;" "&amp;E1051&amp;"."</f>
        <v/>
      </c>
    </row>
    <row r="1052">
      <c r="A1052" s="1" t="inlineStr">
        <is>
          <t>result303_o_8</t>
        </is>
      </c>
      <c r="B1052" s="1" t="inlineStr">
        <is>
          <t>字串</t>
        </is>
      </c>
      <c r="C1052" s="1" t="n">
        <v>300</v>
      </c>
      <c r="D1052" s="1" t="n">
        <v>0</v>
      </c>
      <c r="E1052" s="1">
        <f>IF(B1052="數值","(F"&amp;C1052&amp;"."&amp;D1052&amp;")","(A"&amp;C1052&amp;")")</f>
        <v/>
      </c>
      <c r="F1052" s="1">
        <f>"alter type "&amp;A1052&amp;" "&amp;E1052&amp;"."</f>
        <v/>
      </c>
    </row>
    <row r="1053">
      <c r="A1053" s="1" t="inlineStr">
        <is>
          <t>result3061_o_8</t>
        </is>
      </c>
      <c r="B1053" s="1" t="inlineStr">
        <is>
          <t>字串</t>
        </is>
      </c>
      <c r="C1053" s="1" t="n">
        <v>300</v>
      </c>
      <c r="D1053" s="1" t="n">
        <v>0</v>
      </c>
      <c r="E1053" s="1">
        <f>IF(B1053="數值","(F"&amp;C1053&amp;"."&amp;D1053&amp;")","(A"&amp;C1053&amp;")")</f>
        <v/>
      </c>
      <c r="F1053" s="1">
        <f>"alter type "&amp;A1053&amp;" "&amp;E1053&amp;"."</f>
        <v/>
      </c>
    </row>
    <row r="1054">
      <c r="A1054" s="1" t="inlineStr">
        <is>
          <t>result3062_o_8</t>
        </is>
      </c>
      <c r="B1054" s="1" t="inlineStr">
        <is>
          <t>字串</t>
        </is>
      </c>
      <c r="C1054" s="1" t="n">
        <v>300</v>
      </c>
      <c r="D1054" s="1" t="n">
        <v>0</v>
      </c>
      <c r="E1054" s="1">
        <f>IF(B1054="數值","(F"&amp;C1054&amp;"."&amp;D1054&amp;")","(A"&amp;C1054&amp;")")</f>
        <v/>
      </c>
      <c r="F1054" s="1">
        <f>"alter type "&amp;A1054&amp;" "&amp;E1054&amp;"."</f>
        <v/>
      </c>
    </row>
    <row r="1055">
      <c r="A1055" s="1" t="inlineStr">
        <is>
          <t>result404_o_8</t>
        </is>
      </c>
      <c r="B1055" s="1" t="inlineStr">
        <is>
          <t>字串</t>
        </is>
      </c>
      <c r="C1055" s="1" t="n">
        <v>300</v>
      </c>
      <c r="D1055" s="1" t="n">
        <v>0</v>
      </c>
      <c r="E1055" s="1">
        <f>IF(B1055="數值","(F"&amp;C1055&amp;"."&amp;D1055&amp;")","(A"&amp;C1055&amp;")")</f>
        <v/>
      </c>
      <c r="F1055" s="1">
        <f>"alter type "&amp;A1055&amp;" "&amp;E1055&amp;"."</f>
        <v/>
      </c>
    </row>
    <row r="1056">
      <c r="A1056" s="1" t="inlineStr">
        <is>
          <t>result504_o_8</t>
        </is>
      </c>
      <c r="B1056" s="1" t="inlineStr">
        <is>
          <t>字串</t>
        </is>
      </c>
      <c r="C1056" s="1" t="n">
        <v>300</v>
      </c>
      <c r="D1056" s="1" t="n">
        <v>0</v>
      </c>
      <c r="E1056" s="1">
        <f>IF(B1056="數值","(F"&amp;C1056&amp;"."&amp;D1056&amp;")","(A"&amp;C1056&amp;")")</f>
        <v/>
      </c>
      <c r="F1056" s="1">
        <f>"alter type "&amp;A1056&amp;" "&amp;E1056&amp;"."</f>
        <v/>
      </c>
    </row>
    <row r="1057">
      <c r="A1057" s="1" t="inlineStr">
        <is>
          <t>result608_o_8</t>
        </is>
      </c>
      <c r="B1057" s="1" t="inlineStr">
        <is>
          <t>字串</t>
        </is>
      </c>
      <c r="C1057" s="1" t="n">
        <v>300</v>
      </c>
      <c r="D1057" s="1" t="n">
        <v>0</v>
      </c>
      <c r="E1057" s="1">
        <f>IF(B1057="數值","(F"&amp;C1057&amp;"."&amp;D1057&amp;")","(A"&amp;C1057&amp;")")</f>
        <v/>
      </c>
      <c r="F1057" s="1">
        <f>"alter type "&amp;A1057&amp;" "&amp;E1057&amp;"."</f>
        <v/>
      </c>
    </row>
    <row r="1058">
      <c r="A1058" s="1" t="inlineStr">
        <is>
          <t>result311_o_8</t>
        </is>
      </c>
      <c r="B1058" s="1" t="inlineStr">
        <is>
          <t>字串</t>
        </is>
      </c>
      <c r="C1058" s="1" t="n">
        <v>300</v>
      </c>
      <c r="D1058" s="1" t="n">
        <v>0</v>
      </c>
      <c r="E1058" s="1">
        <f>IF(B1058="數值","(F"&amp;C1058&amp;"."&amp;D1058&amp;")","(A"&amp;C1058&amp;")")</f>
        <v/>
      </c>
      <c r="F1058" s="1">
        <f>"alter type "&amp;A1058&amp;" "&amp;E1058&amp;"."</f>
        <v/>
      </c>
    </row>
    <row r="1059">
      <c r="A1059" s="1" t="inlineStr">
        <is>
          <t>result607_o_8</t>
        </is>
      </c>
      <c r="B1059" s="1" t="inlineStr">
        <is>
          <t>字串</t>
        </is>
      </c>
      <c r="C1059" s="1" t="n">
        <v>300</v>
      </c>
      <c r="D1059" s="1" t="n">
        <v>0</v>
      </c>
      <c r="E1059" s="1">
        <f>IF(B1059="數值","(F"&amp;C1059&amp;"."&amp;D1059&amp;")","(A"&amp;C1059&amp;")")</f>
        <v/>
      </c>
      <c r="F1059" s="1">
        <f>"alter type "&amp;A1059&amp;" "&amp;E1059&amp;"."</f>
        <v/>
      </c>
    </row>
    <row r="1060">
      <c r="A1060" s="1" t="inlineStr">
        <is>
          <t>result999_o_8</t>
        </is>
      </c>
      <c r="B1060" s="1" t="inlineStr">
        <is>
          <t>字串</t>
        </is>
      </c>
      <c r="C1060" s="1" t="n">
        <v>300</v>
      </c>
      <c r="D1060" s="1" t="n">
        <v>0</v>
      </c>
      <c r="E1060" s="1">
        <f>IF(B1060="數值","(F"&amp;C1060&amp;"."&amp;D1060&amp;")","(A"&amp;C1060&amp;")")</f>
        <v/>
      </c>
      <c r="F1060" s="1">
        <f>"alter type "&amp;A1060&amp;" "&amp;E1060&amp;"."</f>
        <v/>
      </c>
    </row>
    <row r="1061">
      <c r="A1061" s="1" t="inlineStr">
        <is>
          <t>at1_8</t>
        </is>
      </c>
      <c r="B1061" s="1" t="inlineStr">
        <is>
          <t>數值</t>
        </is>
      </c>
      <c r="C1061" s="1" t="n">
        <v>2</v>
      </c>
      <c r="D1061" s="1" t="n">
        <v>0</v>
      </c>
      <c r="E1061" s="1">
        <f>IF(B1061="數值","(F"&amp;C1061&amp;"."&amp;D1061&amp;")","(A"&amp;C1061&amp;")")</f>
        <v/>
      </c>
      <c r="F1061" s="1">
        <f>"alter type "&amp;A1061&amp;" "&amp;E1061&amp;"."</f>
        <v/>
      </c>
    </row>
    <row r="1062">
      <c r="A1062" s="1" t="inlineStr">
        <is>
          <t>at1_o04_8</t>
        </is>
      </c>
      <c r="B1062" s="1" t="inlineStr">
        <is>
          <t>字串</t>
        </is>
      </c>
      <c r="C1062" s="1" t="n">
        <v>300</v>
      </c>
      <c r="D1062" s="1" t="n">
        <v>0</v>
      </c>
      <c r="E1062" s="1">
        <f>IF(B1062="數值","(F"&amp;C1062&amp;"."&amp;D1062&amp;")","(A"&amp;C1062&amp;")")</f>
        <v/>
      </c>
      <c r="F1062" s="1">
        <f>"alter type "&amp;A1062&amp;" "&amp;E1062&amp;"."</f>
        <v/>
      </c>
    </row>
    <row r="1063">
      <c r="A1063" s="1" t="inlineStr">
        <is>
          <t>vdate_9</t>
        </is>
      </c>
      <c r="B1063" s="1" t="inlineStr">
        <is>
          <t>數值</t>
        </is>
      </c>
      <c r="C1063" s="1" t="n">
        <v>8</v>
      </c>
      <c r="D1063" s="1" t="n">
        <v>0</v>
      </c>
      <c r="E1063" s="1">
        <f>IF(B1063="數值","(F"&amp;C1063&amp;"."&amp;D1063&amp;")","(A"&amp;C1063&amp;")")</f>
        <v/>
      </c>
      <c r="F1063" s="1">
        <f>"alter type "&amp;A1063&amp;" "&amp;E1063&amp;"."</f>
        <v/>
      </c>
    </row>
    <row r="1064">
      <c r="A1064" s="1" t="inlineStr">
        <is>
          <t>vt_9</t>
        </is>
      </c>
      <c r="B1064" s="1" t="inlineStr">
        <is>
          <t>數值</t>
        </is>
      </c>
      <c r="C1064" s="1" t="n">
        <v>1</v>
      </c>
      <c r="D1064" s="1" t="n">
        <v>0</v>
      </c>
      <c r="E1064" s="1">
        <f>IF(B1064="數值","(F"&amp;C1064&amp;"."&amp;D1064&amp;")","(A"&amp;C1064&amp;")")</f>
        <v/>
      </c>
      <c r="F1064" s="1">
        <f>"alter type "&amp;A1064&amp;" "&amp;E1064&amp;"."</f>
        <v/>
      </c>
    </row>
    <row r="1065">
      <c r="A1065" s="1" t="inlineStr">
        <is>
          <t>vr_9</t>
        </is>
      </c>
      <c r="B1065" s="1" t="inlineStr">
        <is>
          <t>數值</t>
        </is>
      </c>
      <c r="C1065" s="1" t="n">
        <v>4</v>
      </c>
      <c r="D1065" s="1" t="n">
        <v>0</v>
      </c>
      <c r="E1065" s="1">
        <f>IF(B1065="數值","(F"&amp;C1065&amp;"."&amp;D1065&amp;")","(A"&amp;C1065&amp;")")</f>
        <v/>
      </c>
      <c r="F1065" s="1">
        <f>"alter type "&amp;A1065&amp;" "&amp;E1065&amp;"."</f>
        <v/>
      </c>
    </row>
    <row r="1066">
      <c r="A1066" s="1" t="inlineStr">
        <is>
          <t>result303_o_9</t>
        </is>
      </c>
      <c r="B1066" s="1" t="inlineStr">
        <is>
          <t>字串</t>
        </is>
      </c>
      <c r="C1066" s="1" t="n">
        <v>300</v>
      </c>
      <c r="D1066" s="1" t="n">
        <v>0</v>
      </c>
      <c r="E1066" s="1">
        <f>IF(B1066="數值","(F"&amp;C1066&amp;"."&amp;D1066&amp;")","(A"&amp;C1066&amp;")")</f>
        <v/>
      </c>
      <c r="F1066" s="1">
        <f>"alter type "&amp;A1066&amp;" "&amp;E1066&amp;"."</f>
        <v/>
      </c>
    </row>
    <row r="1067">
      <c r="A1067" s="1" t="inlineStr">
        <is>
          <t>result3061_o_9</t>
        </is>
      </c>
      <c r="B1067" s="1" t="inlineStr">
        <is>
          <t>字串</t>
        </is>
      </c>
      <c r="C1067" s="1" t="n">
        <v>300</v>
      </c>
      <c r="D1067" s="1" t="n">
        <v>0</v>
      </c>
      <c r="E1067" s="1">
        <f>IF(B1067="數值","(F"&amp;C1067&amp;"."&amp;D1067&amp;")","(A"&amp;C1067&amp;")")</f>
        <v/>
      </c>
      <c r="F1067" s="1">
        <f>"alter type "&amp;A1067&amp;" "&amp;E1067&amp;"."</f>
        <v/>
      </c>
    </row>
    <row r="1068">
      <c r="A1068" s="1" t="inlineStr">
        <is>
          <t>result3062_o_9</t>
        </is>
      </c>
      <c r="B1068" s="1" t="inlineStr">
        <is>
          <t>字串</t>
        </is>
      </c>
      <c r="C1068" s="1" t="n">
        <v>300</v>
      </c>
      <c r="D1068" s="1" t="n">
        <v>0</v>
      </c>
      <c r="E1068" s="1">
        <f>IF(B1068="數值","(F"&amp;C1068&amp;"."&amp;D1068&amp;")","(A"&amp;C1068&amp;")")</f>
        <v/>
      </c>
      <c r="F1068" s="1">
        <f>"alter type "&amp;A1068&amp;" "&amp;E1068&amp;"."</f>
        <v/>
      </c>
    </row>
    <row r="1069">
      <c r="A1069" s="1" t="inlineStr">
        <is>
          <t>result404_o_9</t>
        </is>
      </c>
      <c r="B1069" s="1" t="inlineStr">
        <is>
          <t>字串</t>
        </is>
      </c>
      <c r="C1069" s="1" t="n">
        <v>300</v>
      </c>
      <c r="D1069" s="1" t="n">
        <v>0</v>
      </c>
      <c r="E1069" s="1">
        <f>IF(B1069="數值","(F"&amp;C1069&amp;"."&amp;D1069&amp;")","(A"&amp;C1069&amp;")")</f>
        <v/>
      </c>
      <c r="F1069" s="1">
        <f>"alter type "&amp;A1069&amp;" "&amp;E1069&amp;"."</f>
        <v/>
      </c>
    </row>
    <row r="1070">
      <c r="A1070" s="1" t="inlineStr">
        <is>
          <t>result504_o_9</t>
        </is>
      </c>
      <c r="B1070" s="1" t="inlineStr">
        <is>
          <t>字串</t>
        </is>
      </c>
      <c r="C1070" s="1" t="n">
        <v>300</v>
      </c>
      <c r="D1070" s="1" t="n">
        <v>0</v>
      </c>
      <c r="E1070" s="1">
        <f>IF(B1070="數值","(F"&amp;C1070&amp;"."&amp;D1070&amp;")","(A"&amp;C1070&amp;")")</f>
        <v/>
      </c>
      <c r="F1070" s="1">
        <f>"alter type "&amp;A1070&amp;" "&amp;E1070&amp;"."</f>
        <v/>
      </c>
    </row>
    <row r="1071">
      <c r="A1071" s="1" t="inlineStr">
        <is>
          <t>result608_o_9</t>
        </is>
      </c>
      <c r="B1071" s="1" t="inlineStr">
        <is>
          <t>字串</t>
        </is>
      </c>
      <c r="C1071" s="1" t="n">
        <v>300</v>
      </c>
      <c r="D1071" s="1" t="n">
        <v>0</v>
      </c>
      <c r="E1071" s="1">
        <f>IF(B1071="數值","(F"&amp;C1071&amp;"."&amp;D1071&amp;")","(A"&amp;C1071&amp;")")</f>
        <v/>
      </c>
      <c r="F1071" s="1">
        <f>"alter type "&amp;A1071&amp;" "&amp;E1071&amp;"."</f>
        <v/>
      </c>
    </row>
    <row r="1072">
      <c r="A1072" s="1" t="inlineStr">
        <is>
          <t>result311_o_9</t>
        </is>
      </c>
      <c r="B1072" s="1" t="inlineStr">
        <is>
          <t>字串</t>
        </is>
      </c>
      <c r="C1072" s="1" t="n">
        <v>300</v>
      </c>
      <c r="D1072" s="1" t="n">
        <v>0</v>
      </c>
      <c r="E1072" s="1">
        <f>IF(B1072="數值","(F"&amp;C1072&amp;"."&amp;D1072&amp;")","(A"&amp;C1072&amp;")")</f>
        <v/>
      </c>
      <c r="F1072" s="1">
        <f>"alter type "&amp;A1072&amp;" "&amp;E1072&amp;"."</f>
        <v/>
      </c>
    </row>
    <row r="1073">
      <c r="A1073" s="1" t="inlineStr">
        <is>
          <t>result607_o_9</t>
        </is>
      </c>
      <c r="B1073" s="1" t="inlineStr">
        <is>
          <t>字串</t>
        </is>
      </c>
      <c r="C1073" s="1" t="n">
        <v>300</v>
      </c>
      <c r="D1073" s="1" t="n">
        <v>0</v>
      </c>
      <c r="E1073" s="1">
        <f>IF(B1073="數值","(F"&amp;C1073&amp;"."&amp;D1073&amp;")","(A"&amp;C1073&amp;")")</f>
        <v/>
      </c>
      <c r="F1073" s="1">
        <f>"alter type "&amp;A1073&amp;" "&amp;E1073&amp;"."</f>
        <v/>
      </c>
    </row>
    <row r="1074">
      <c r="A1074" s="1" t="inlineStr">
        <is>
          <t>result999_o_9</t>
        </is>
      </c>
      <c r="B1074" s="1" t="inlineStr">
        <is>
          <t>字串</t>
        </is>
      </c>
      <c r="C1074" s="1" t="n">
        <v>300</v>
      </c>
      <c r="D1074" s="1" t="n">
        <v>0</v>
      </c>
      <c r="E1074" s="1">
        <f>IF(B1074="數值","(F"&amp;C1074&amp;"."&amp;D1074&amp;")","(A"&amp;C1074&amp;")")</f>
        <v/>
      </c>
      <c r="F1074" s="1">
        <f>"alter type "&amp;A1074&amp;" "&amp;E1074&amp;"."</f>
        <v/>
      </c>
    </row>
    <row r="1075">
      <c r="A1075" s="1" t="inlineStr">
        <is>
          <t>at1_9</t>
        </is>
      </c>
      <c r="B1075" s="1" t="inlineStr">
        <is>
          <t>數值</t>
        </is>
      </c>
      <c r="C1075" s="1" t="n">
        <v>2</v>
      </c>
      <c r="D1075" s="1" t="n">
        <v>0</v>
      </c>
      <c r="E1075" s="1">
        <f>IF(B1075="數值","(F"&amp;C1075&amp;"."&amp;D1075&amp;")","(A"&amp;C1075&amp;")")</f>
        <v/>
      </c>
      <c r="F1075" s="1">
        <f>"alter type "&amp;A1075&amp;" "&amp;E1075&amp;"."</f>
        <v/>
      </c>
    </row>
    <row r="1076">
      <c r="A1076" s="1" t="inlineStr">
        <is>
          <t>at1_o04_9</t>
        </is>
      </c>
      <c r="B1076" s="1" t="inlineStr">
        <is>
          <t>字串</t>
        </is>
      </c>
      <c r="C1076" s="1" t="n">
        <v>300</v>
      </c>
      <c r="D1076" s="1" t="n">
        <v>0</v>
      </c>
      <c r="E1076" s="1">
        <f>IF(B1076="數值","(F"&amp;C1076&amp;"."&amp;D1076&amp;")","(A"&amp;C1076&amp;")")</f>
        <v/>
      </c>
      <c r="F1076" s="1">
        <f>"alter type "&amp;A1076&amp;" "&amp;E1076&amp;"."</f>
        <v/>
      </c>
    </row>
    <row r="1077">
      <c r="A1077" s="1" t="inlineStr">
        <is>
          <t>vdate_10</t>
        </is>
      </c>
      <c r="B1077" s="1" t="inlineStr">
        <is>
          <t>數值</t>
        </is>
      </c>
      <c r="C1077" s="1" t="n">
        <v>8</v>
      </c>
      <c r="D1077" s="1" t="n">
        <v>0</v>
      </c>
      <c r="E1077" s="1">
        <f>IF(B1077="數值","(F"&amp;C1077&amp;"."&amp;D1077&amp;")","(A"&amp;C1077&amp;")")</f>
        <v/>
      </c>
      <c r="F1077" s="1">
        <f>"alter type "&amp;A1077&amp;" "&amp;E1077&amp;"."</f>
        <v/>
      </c>
    </row>
    <row r="1078">
      <c r="A1078" s="1" t="inlineStr">
        <is>
          <t>vt_10</t>
        </is>
      </c>
      <c r="B1078" s="1" t="inlineStr">
        <is>
          <t>數值</t>
        </is>
      </c>
      <c r="C1078" s="1" t="n">
        <v>1</v>
      </c>
      <c r="D1078" s="1" t="n">
        <v>0</v>
      </c>
      <c r="E1078" s="1">
        <f>IF(B1078="數值","(F"&amp;C1078&amp;"."&amp;D1078&amp;")","(A"&amp;C1078&amp;")")</f>
        <v/>
      </c>
      <c r="F1078" s="1">
        <f>"alter type "&amp;A1078&amp;" "&amp;E1078&amp;"."</f>
        <v/>
      </c>
    </row>
    <row r="1079">
      <c r="A1079" s="1" t="inlineStr">
        <is>
          <t>vr_10</t>
        </is>
      </c>
      <c r="B1079" s="1" t="inlineStr">
        <is>
          <t>數值</t>
        </is>
      </c>
      <c r="C1079" s="1" t="n">
        <v>4</v>
      </c>
      <c r="D1079" s="1" t="n">
        <v>0</v>
      </c>
      <c r="E1079" s="1">
        <f>IF(B1079="數值","(F"&amp;C1079&amp;"."&amp;D1079&amp;")","(A"&amp;C1079&amp;")")</f>
        <v/>
      </c>
      <c r="F1079" s="1">
        <f>"alter type "&amp;A1079&amp;" "&amp;E1079&amp;"."</f>
        <v/>
      </c>
    </row>
    <row r="1080">
      <c r="A1080" s="1" t="inlineStr">
        <is>
          <t>result303_o_10</t>
        </is>
      </c>
      <c r="B1080" s="1" t="inlineStr">
        <is>
          <t>字串</t>
        </is>
      </c>
      <c r="C1080" s="1" t="n">
        <v>300</v>
      </c>
      <c r="D1080" s="1" t="n">
        <v>0</v>
      </c>
      <c r="E1080" s="1">
        <f>IF(B1080="數值","(F"&amp;C1080&amp;"."&amp;D1080&amp;")","(A"&amp;C1080&amp;")")</f>
        <v/>
      </c>
      <c r="F1080" s="1">
        <f>"alter type "&amp;A1080&amp;" "&amp;E1080&amp;"."</f>
        <v/>
      </c>
    </row>
    <row r="1081">
      <c r="A1081" s="1" t="inlineStr">
        <is>
          <t>result3061_o_10</t>
        </is>
      </c>
      <c r="B1081" s="1" t="inlineStr">
        <is>
          <t>字串</t>
        </is>
      </c>
      <c r="C1081" s="1" t="n">
        <v>300</v>
      </c>
      <c r="D1081" s="1" t="n">
        <v>0</v>
      </c>
      <c r="E1081" s="1">
        <f>IF(B1081="數值","(F"&amp;C1081&amp;"."&amp;D1081&amp;")","(A"&amp;C1081&amp;")")</f>
        <v/>
      </c>
      <c r="F1081" s="1">
        <f>"alter type "&amp;A1081&amp;" "&amp;E1081&amp;"."</f>
        <v/>
      </c>
    </row>
    <row r="1082">
      <c r="A1082" s="1" t="inlineStr">
        <is>
          <t>result3062_o_10</t>
        </is>
      </c>
      <c r="B1082" s="1" t="inlineStr">
        <is>
          <t>字串</t>
        </is>
      </c>
      <c r="C1082" s="1" t="n">
        <v>300</v>
      </c>
      <c r="D1082" s="1" t="n">
        <v>0</v>
      </c>
      <c r="E1082" s="1">
        <f>IF(B1082="數值","(F"&amp;C1082&amp;"."&amp;D1082&amp;")","(A"&amp;C1082&amp;")")</f>
        <v/>
      </c>
      <c r="F1082" s="1">
        <f>"alter type "&amp;A1082&amp;" "&amp;E1082&amp;"."</f>
        <v/>
      </c>
    </row>
    <row r="1083">
      <c r="A1083" s="1" t="inlineStr">
        <is>
          <t>result404_o_10</t>
        </is>
      </c>
      <c r="B1083" s="1" t="inlineStr">
        <is>
          <t>字串</t>
        </is>
      </c>
      <c r="C1083" s="1" t="n">
        <v>300</v>
      </c>
      <c r="D1083" s="1" t="n">
        <v>0</v>
      </c>
      <c r="E1083" s="1">
        <f>IF(B1083="數值","(F"&amp;C1083&amp;"."&amp;D1083&amp;")","(A"&amp;C1083&amp;")")</f>
        <v/>
      </c>
      <c r="F1083" s="1">
        <f>"alter type "&amp;A1083&amp;" "&amp;E1083&amp;"."</f>
        <v/>
      </c>
    </row>
    <row r="1084">
      <c r="A1084" s="1" t="inlineStr">
        <is>
          <t>result504_o_10</t>
        </is>
      </c>
      <c r="B1084" s="1" t="inlineStr">
        <is>
          <t>字串</t>
        </is>
      </c>
      <c r="C1084" s="1" t="n">
        <v>300</v>
      </c>
      <c r="D1084" s="1" t="n">
        <v>0</v>
      </c>
      <c r="E1084" s="1">
        <f>IF(B1084="數值","(F"&amp;C1084&amp;"."&amp;D1084&amp;")","(A"&amp;C1084&amp;")")</f>
        <v/>
      </c>
      <c r="F1084" s="1">
        <f>"alter type "&amp;A1084&amp;" "&amp;E1084&amp;"."</f>
        <v/>
      </c>
    </row>
    <row r="1085">
      <c r="A1085" s="1" t="inlineStr">
        <is>
          <t>result608_o_10</t>
        </is>
      </c>
      <c r="B1085" s="1" t="inlineStr">
        <is>
          <t>字串</t>
        </is>
      </c>
      <c r="C1085" s="1" t="n">
        <v>300</v>
      </c>
      <c r="D1085" s="1" t="n">
        <v>0</v>
      </c>
      <c r="E1085" s="1">
        <f>IF(B1085="數值","(F"&amp;C1085&amp;"."&amp;D1085&amp;")","(A"&amp;C1085&amp;")")</f>
        <v/>
      </c>
      <c r="F1085" s="1">
        <f>"alter type "&amp;A1085&amp;" "&amp;E1085&amp;"."</f>
        <v/>
      </c>
    </row>
    <row r="1086">
      <c r="A1086" s="1" t="inlineStr">
        <is>
          <t>result311_o_10</t>
        </is>
      </c>
      <c r="B1086" s="1" t="inlineStr">
        <is>
          <t>字串</t>
        </is>
      </c>
      <c r="C1086" s="1" t="n">
        <v>300</v>
      </c>
      <c r="D1086" s="1" t="n">
        <v>0</v>
      </c>
      <c r="E1086" s="1">
        <f>IF(B1086="數值","(F"&amp;C1086&amp;"."&amp;D1086&amp;")","(A"&amp;C1086&amp;")")</f>
        <v/>
      </c>
      <c r="F1086" s="1">
        <f>"alter type "&amp;A1086&amp;" "&amp;E1086&amp;"."</f>
        <v/>
      </c>
    </row>
    <row r="1087">
      <c r="A1087" s="1" t="inlineStr">
        <is>
          <t>result607_o_10</t>
        </is>
      </c>
      <c r="B1087" s="1" t="inlineStr">
        <is>
          <t>字串</t>
        </is>
      </c>
      <c r="C1087" s="1" t="n">
        <v>300</v>
      </c>
      <c r="D1087" s="1" t="n">
        <v>0</v>
      </c>
      <c r="E1087" s="1">
        <f>IF(B1087="數值","(F"&amp;C1087&amp;"."&amp;D1087&amp;")","(A"&amp;C1087&amp;")")</f>
        <v/>
      </c>
      <c r="F1087" s="1">
        <f>"alter type "&amp;A1087&amp;" "&amp;E1087&amp;"."</f>
        <v/>
      </c>
    </row>
    <row r="1088">
      <c r="A1088" s="1" t="inlineStr">
        <is>
          <t>result999_o_10</t>
        </is>
      </c>
      <c r="B1088" s="1" t="inlineStr">
        <is>
          <t>字串</t>
        </is>
      </c>
      <c r="C1088" s="1" t="n">
        <v>300</v>
      </c>
      <c r="D1088" s="1" t="n">
        <v>0</v>
      </c>
      <c r="E1088" s="1">
        <f>IF(B1088="數值","(F"&amp;C1088&amp;"."&amp;D1088&amp;")","(A"&amp;C1088&amp;")")</f>
        <v/>
      </c>
      <c r="F1088" s="1">
        <f>"alter type "&amp;A1088&amp;" "&amp;E1088&amp;"."</f>
        <v/>
      </c>
    </row>
    <row r="1089">
      <c r="A1089" s="1" t="inlineStr">
        <is>
          <t>at1_10</t>
        </is>
      </c>
      <c r="B1089" s="1" t="inlineStr">
        <is>
          <t>數值</t>
        </is>
      </c>
      <c r="C1089" s="1" t="n">
        <v>2</v>
      </c>
      <c r="D1089" s="1" t="n">
        <v>0</v>
      </c>
      <c r="E1089" s="1">
        <f>IF(B1089="數值","(F"&amp;C1089&amp;"."&amp;D1089&amp;")","(A"&amp;C1089&amp;")")</f>
        <v/>
      </c>
      <c r="F1089" s="1">
        <f>"alter type "&amp;A1089&amp;" "&amp;E1089&amp;"."</f>
        <v/>
      </c>
    </row>
    <row r="1090">
      <c r="A1090" s="1" t="inlineStr">
        <is>
          <t>at1_o04_10</t>
        </is>
      </c>
      <c r="B1090" s="1" t="inlineStr">
        <is>
          <t>字串</t>
        </is>
      </c>
      <c r="C1090" s="1" t="n">
        <v>300</v>
      </c>
      <c r="D1090" s="1" t="n">
        <v>0</v>
      </c>
      <c r="E1090" s="1">
        <f>IF(B1090="數值","(F"&amp;C1090&amp;"."&amp;D1090&amp;")","(A"&amp;C1090&amp;")")</f>
        <v/>
      </c>
      <c r="F1090" s="1">
        <f>"alter type "&amp;A1090&amp;" "&amp;E1090&amp;"."</f>
        <v/>
      </c>
    </row>
    <row r="1091">
      <c r="A1091" s="1" t="inlineStr">
        <is>
          <t>vdate_11</t>
        </is>
      </c>
      <c r="B1091" s="1" t="inlineStr">
        <is>
          <t>數值</t>
        </is>
      </c>
      <c r="C1091" s="1" t="n">
        <v>8</v>
      </c>
      <c r="D1091" s="1" t="n">
        <v>0</v>
      </c>
      <c r="E1091" s="1">
        <f>IF(B1091="數值","(F"&amp;C1091&amp;"."&amp;D1091&amp;")","(A"&amp;C1091&amp;")")</f>
        <v/>
      </c>
      <c r="F1091" s="1">
        <f>"alter type "&amp;A1091&amp;" "&amp;E1091&amp;"."</f>
        <v/>
      </c>
    </row>
    <row r="1092">
      <c r="A1092" s="1" t="inlineStr">
        <is>
          <t>vt_11</t>
        </is>
      </c>
      <c r="B1092" s="1" t="inlineStr">
        <is>
          <t>數值</t>
        </is>
      </c>
      <c r="C1092" s="1" t="n">
        <v>1</v>
      </c>
      <c r="D1092" s="1" t="n">
        <v>0</v>
      </c>
      <c r="E1092" s="1">
        <f>IF(B1092="數值","(F"&amp;C1092&amp;"."&amp;D1092&amp;")","(A"&amp;C1092&amp;")")</f>
        <v/>
      </c>
      <c r="F1092" s="1">
        <f>"alter type "&amp;A1092&amp;" "&amp;E1092&amp;"."</f>
        <v/>
      </c>
    </row>
    <row r="1093">
      <c r="A1093" s="1" t="inlineStr">
        <is>
          <t>vr_11</t>
        </is>
      </c>
      <c r="B1093" s="1" t="inlineStr">
        <is>
          <t>數值</t>
        </is>
      </c>
      <c r="C1093" s="1" t="n">
        <v>4</v>
      </c>
      <c r="D1093" s="1" t="n">
        <v>0</v>
      </c>
      <c r="E1093" s="1">
        <f>IF(B1093="數值","(F"&amp;C1093&amp;"."&amp;D1093&amp;")","(A"&amp;C1093&amp;")")</f>
        <v/>
      </c>
      <c r="F1093" s="1">
        <f>"alter type "&amp;A1093&amp;" "&amp;E1093&amp;"."</f>
        <v/>
      </c>
    </row>
    <row r="1094">
      <c r="A1094" s="1" t="inlineStr">
        <is>
          <t>result303_o_11</t>
        </is>
      </c>
      <c r="B1094" s="1" t="inlineStr">
        <is>
          <t>字串</t>
        </is>
      </c>
      <c r="C1094" s="1" t="n">
        <v>300</v>
      </c>
      <c r="D1094" s="1" t="n">
        <v>0</v>
      </c>
      <c r="E1094" s="1">
        <f>IF(B1094="數值","(F"&amp;C1094&amp;"."&amp;D1094&amp;")","(A"&amp;C1094&amp;")")</f>
        <v/>
      </c>
      <c r="F1094" s="1">
        <f>"alter type "&amp;A1094&amp;" "&amp;E1094&amp;"."</f>
        <v/>
      </c>
    </row>
    <row r="1095">
      <c r="A1095" s="1" t="inlineStr">
        <is>
          <t>result3061_o_11</t>
        </is>
      </c>
      <c r="B1095" s="1" t="inlineStr">
        <is>
          <t>字串</t>
        </is>
      </c>
      <c r="C1095" s="1" t="n">
        <v>300</v>
      </c>
      <c r="D1095" s="1" t="n">
        <v>0</v>
      </c>
      <c r="E1095" s="1">
        <f>IF(B1095="數值","(F"&amp;C1095&amp;"."&amp;D1095&amp;")","(A"&amp;C1095&amp;")")</f>
        <v/>
      </c>
      <c r="F1095" s="1">
        <f>"alter type "&amp;A1095&amp;" "&amp;E1095&amp;"."</f>
        <v/>
      </c>
    </row>
    <row r="1096">
      <c r="A1096" s="1" t="inlineStr">
        <is>
          <t>result3062_o_11</t>
        </is>
      </c>
      <c r="B1096" s="1" t="inlineStr">
        <is>
          <t>字串</t>
        </is>
      </c>
      <c r="C1096" s="1" t="n">
        <v>300</v>
      </c>
      <c r="D1096" s="1" t="n">
        <v>0</v>
      </c>
      <c r="E1096" s="1">
        <f>IF(B1096="數值","(F"&amp;C1096&amp;"."&amp;D1096&amp;")","(A"&amp;C1096&amp;")")</f>
        <v/>
      </c>
      <c r="F1096" s="1">
        <f>"alter type "&amp;A1096&amp;" "&amp;E1096&amp;"."</f>
        <v/>
      </c>
    </row>
    <row r="1097">
      <c r="A1097" s="1" t="inlineStr">
        <is>
          <t>result404_o_11</t>
        </is>
      </c>
      <c r="B1097" s="1" t="inlineStr">
        <is>
          <t>字串</t>
        </is>
      </c>
      <c r="C1097" s="1" t="n">
        <v>300</v>
      </c>
      <c r="D1097" s="1" t="n">
        <v>0</v>
      </c>
      <c r="E1097" s="1">
        <f>IF(B1097="數值","(F"&amp;C1097&amp;"."&amp;D1097&amp;")","(A"&amp;C1097&amp;")")</f>
        <v/>
      </c>
      <c r="F1097" s="1">
        <f>"alter type "&amp;A1097&amp;" "&amp;E1097&amp;"."</f>
        <v/>
      </c>
    </row>
    <row r="1098">
      <c r="A1098" s="1" t="inlineStr">
        <is>
          <t>result504_o_11</t>
        </is>
      </c>
      <c r="B1098" s="1" t="inlineStr">
        <is>
          <t>字串</t>
        </is>
      </c>
      <c r="C1098" s="1" t="n">
        <v>300</v>
      </c>
      <c r="D1098" s="1" t="n">
        <v>0</v>
      </c>
      <c r="E1098" s="1">
        <f>IF(B1098="數值","(F"&amp;C1098&amp;"."&amp;D1098&amp;")","(A"&amp;C1098&amp;")")</f>
        <v/>
      </c>
      <c r="F1098" s="1">
        <f>"alter type "&amp;A1098&amp;" "&amp;E1098&amp;"."</f>
        <v/>
      </c>
    </row>
    <row r="1099">
      <c r="A1099" s="1" t="inlineStr">
        <is>
          <t>result608_o_11</t>
        </is>
      </c>
      <c r="B1099" s="1" t="inlineStr">
        <is>
          <t>字串</t>
        </is>
      </c>
      <c r="C1099" s="1" t="n">
        <v>300</v>
      </c>
      <c r="D1099" s="1" t="n">
        <v>0</v>
      </c>
      <c r="E1099" s="1">
        <f>IF(B1099="數值","(F"&amp;C1099&amp;"."&amp;D1099&amp;")","(A"&amp;C1099&amp;")")</f>
        <v/>
      </c>
      <c r="F1099" s="1">
        <f>"alter type "&amp;A1099&amp;" "&amp;E1099&amp;"."</f>
        <v/>
      </c>
    </row>
    <row r="1100">
      <c r="A1100" s="1" t="inlineStr">
        <is>
          <t>result311_o_11</t>
        </is>
      </c>
      <c r="B1100" s="1" t="inlineStr">
        <is>
          <t>字串</t>
        </is>
      </c>
      <c r="C1100" s="1" t="n">
        <v>300</v>
      </c>
      <c r="D1100" s="1" t="n">
        <v>0</v>
      </c>
      <c r="E1100" s="1">
        <f>IF(B1100="數值","(F"&amp;C1100&amp;"."&amp;D1100&amp;")","(A"&amp;C1100&amp;")")</f>
        <v/>
      </c>
      <c r="F1100" s="1">
        <f>"alter type "&amp;A1100&amp;" "&amp;E1100&amp;"."</f>
        <v/>
      </c>
    </row>
    <row r="1101">
      <c r="A1101" s="1" t="inlineStr">
        <is>
          <t>result607_o_11</t>
        </is>
      </c>
      <c r="B1101" s="1" t="inlineStr">
        <is>
          <t>字串</t>
        </is>
      </c>
      <c r="C1101" s="1" t="n">
        <v>300</v>
      </c>
      <c r="D1101" s="1" t="n">
        <v>0</v>
      </c>
      <c r="E1101" s="1">
        <f>IF(B1101="數值","(F"&amp;C1101&amp;"."&amp;D1101&amp;")","(A"&amp;C1101&amp;")")</f>
        <v/>
      </c>
      <c r="F1101" s="1">
        <f>"alter type "&amp;A1101&amp;" "&amp;E1101&amp;"."</f>
        <v/>
      </c>
    </row>
    <row r="1102">
      <c r="A1102" s="1" t="inlineStr">
        <is>
          <t>result999_o_11</t>
        </is>
      </c>
      <c r="B1102" s="1" t="inlineStr">
        <is>
          <t>字串</t>
        </is>
      </c>
      <c r="C1102" s="1" t="n">
        <v>300</v>
      </c>
      <c r="D1102" s="1" t="n">
        <v>0</v>
      </c>
      <c r="E1102" s="1">
        <f>IF(B1102="數值","(F"&amp;C1102&amp;"."&amp;D1102&amp;")","(A"&amp;C1102&amp;")")</f>
        <v/>
      </c>
      <c r="F1102" s="1">
        <f>"alter type "&amp;A1102&amp;" "&amp;E1102&amp;"."</f>
        <v/>
      </c>
    </row>
    <row r="1103">
      <c r="A1103" s="1" t="inlineStr">
        <is>
          <t>at1_11</t>
        </is>
      </c>
      <c r="B1103" s="1" t="inlineStr">
        <is>
          <t>數值</t>
        </is>
      </c>
      <c r="C1103" s="1" t="n">
        <v>2</v>
      </c>
      <c r="D1103" s="1" t="n">
        <v>0</v>
      </c>
      <c r="E1103" s="1">
        <f>IF(B1103="數值","(F"&amp;C1103&amp;"."&amp;D1103&amp;")","(A"&amp;C1103&amp;")")</f>
        <v/>
      </c>
      <c r="F1103" s="1">
        <f>"alter type "&amp;A1103&amp;" "&amp;E1103&amp;"."</f>
        <v/>
      </c>
    </row>
    <row r="1104">
      <c r="A1104" s="1" t="inlineStr">
        <is>
          <t>at1_o04_11</t>
        </is>
      </c>
      <c r="B1104" s="1" t="inlineStr">
        <is>
          <t>字串</t>
        </is>
      </c>
      <c r="C1104" s="1" t="n">
        <v>300</v>
      </c>
      <c r="D1104" s="1" t="n">
        <v>0</v>
      </c>
      <c r="E1104" s="1">
        <f>IF(B1104="數值","(F"&amp;C1104&amp;"."&amp;D1104&amp;")","(A"&amp;C1104&amp;")")</f>
        <v/>
      </c>
      <c r="F1104" s="1">
        <f>"alter type "&amp;A1104&amp;" "&amp;E1104&amp;"."</f>
        <v/>
      </c>
    </row>
    <row r="1105">
      <c r="A1105" s="1" t="inlineStr">
        <is>
          <t>vdate_12</t>
        </is>
      </c>
      <c r="B1105" s="1" t="inlineStr">
        <is>
          <t>數值</t>
        </is>
      </c>
      <c r="C1105" s="1" t="n">
        <v>8</v>
      </c>
      <c r="D1105" s="1" t="n">
        <v>0</v>
      </c>
      <c r="E1105" s="1">
        <f>IF(B1105="數值","(F"&amp;C1105&amp;"."&amp;D1105&amp;")","(A"&amp;C1105&amp;")")</f>
        <v/>
      </c>
      <c r="F1105" s="1">
        <f>"alter type "&amp;A1105&amp;" "&amp;E1105&amp;"."</f>
        <v/>
      </c>
    </row>
    <row r="1106">
      <c r="A1106" s="1" t="inlineStr">
        <is>
          <t>vt_12</t>
        </is>
      </c>
      <c r="B1106" s="1" t="inlineStr">
        <is>
          <t>數值</t>
        </is>
      </c>
      <c r="C1106" s="1" t="n">
        <v>1</v>
      </c>
      <c r="D1106" s="1" t="n">
        <v>0</v>
      </c>
      <c r="E1106" s="1">
        <f>IF(B1106="數值","(F"&amp;C1106&amp;"."&amp;D1106&amp;")","(A"&amp;C1106&amp;")")</f>
        <v/>
      </c>
      <c r="F1106" s="1">
        <f>"alter type "&amp;A1106&amp;" "&amp;E1106&amp;"."</f>
        <v/>
      </c>
    </row>
    <row r="1107">
      <c r="A1107" s="1" t="inlineStr">
        <is>
          <t>vr_12</t>
        </is>
      </c>
      <c r="B1107" s="1" t="inlineStr">
        <is>
          <t>數值</t>
        </is>
      </c>
      <c r="C1107" s="1" t="n">
        <v>4</v>
      </c>
      <c r="D1107" s="1" t="n">
        <v>0</v>
      </c>
      <c r="E1107" s="1">
        <f>IF(B1107="數值","(F"&amp;C1107&amp;"."&amp;D1107&amp;")","(A"&amp;C1107&amp;")")</f>
        <v/>
      </c>
      <c r="F1107" s="1">
        <f>"alter type "&amp;A1107&amp;" "&amp;E1107&amp;"."</f>
        <v/>
      </c>
    </row>
    <row r="1108">
      <c r="A1108" s="1" t="inlineStr">
        <is>
          <t>result303_o_12</t>
        </is>
      </c>
      <c r="B1108" s="1" t="inlineStr">
        <is>
          <t>字串</t>
        </is>
      </c>
      <c r="C1108" s="1" t="n">
        <v>300</v>
      </c>
      <c r="D1108" s="1" t="n">
        <v>0</v>
      </c>
      <c r="E1108" s="1">
        <f>IF(B1108="數值","(F"&amp;C1108&amp;"."&amp;D1108&amp;")","(A"&amp;C1108&amp;")")</f>
        <v/>
      </c>
      <c r="F1108" s="1">
        <f>"alter type "&amp;A1108&amp;" "&amp;E1108&amp;"."</f>
        <v/>
      </c>
    </row>
    <row r="1109">
      <c r="A1109" s="1" t="inlineStr">
        <is>
          <t>result3061_o_12</t>
        </is>
      </c>
      <c r="B1109" s="1" t="inlineStr">
        <is>
          <t>字串</t>
        </is>
      </c>
      <c r="C1109" s="1" t="n">
        <v>300</v>
      </c>
      <c r="D1109" s="1" t="n">
        <v>0</v>
      </c>
      <c r="E1109" s="1">
        <f>IF(B1109="數值","(F"&amp;C1109&amp;"."&amp;D1109&amp;")","(A"&amp;C1109&amp;")")</f>
        <v/>
      </c>
      <c r="F1109" s="1">
        <f>"alter type "&amp;A1109&amp;" "&amp;E1109&amp;"."</f>
        <v/>
      </c>
    </row>
    <row r="1110">
      <c r="A1110" s="1" t="inlineStr">
        <is>
          <t>result3062_o_12</t>
        </is>
      </c>
      <c r="B1110" s="1" t="inlineStr">
        <is>
          <t>字串</t>
        </is>
      </c>
      <c r="C1110" s="1" t="n">
        <v>300</v>
      </c>
      <c r="D1110" s="1" t="n">
        <v>0</v>
      </c>
      <c r="E1110" s="1">
        <f>IF(B1110="數值","(F"&amp;C1110&amp;"."&amp;D1110&amp;")","(A"&amp;C1110&amp;")")</f>
        <v/>
      </c>
      <c r="F1110" s="1">
        <f>"alter type "&amp;A1110&amp;" "&amp;E1110&amp;"."</f>
        <v/>
      </c>
    </row>
    <row r="1111">
      <c r="A1111" s="1" t="inlineStr">
        <is>
          <t>result404_o_12</t>
        </is>
      </c>
      <c r="B1111" s="1" t="inlineStr">
        <is>
          <t>字串</t>
        </is>
      </c>
      <c r="C1111" s="1" t="n">
        <v>300</v>
      </c>
      <c r="D1111" s="1" t="n">
        <v>0</v>
      </c>
      <c r="E1111" s="1">
        <f>IF(B1111="數值","(F"&amp;C1111&amp;"."&amp;D1111&amp;")","(A"&amp;C1111&amp;")")</f>
        <v/>
      </c>
      <c r="F1111" s="1">
        <f>"alter type "&amp;A1111&amp;" "&amp;E1111&amp;"."</f>
        <v/>
      </c>
    </row>
    <row r="1112">
      <c r="A1112" s="1" t="inlineStr">
        <is>
          <t>result504_o_12</t>
        </is>
      </c>
      <c r="B1112" s="1" t="inlineStr">
        <is>
          <t>字串</t>
        </is>
      </c>
      <c r="C1112" s="1" t="n">
        <v>300</v>
      </c>
      <c r="D1112" s="1" t="n">
        <v>0</v>
      </c>
      <c r="E1112" s="1">
        <f>IF(B1112="數值","(F"&amp;C1112&amp;"."&amp;D1112&amp;")","(A"&amp;C1112&amp;")")</f>
        <v/>
      </c>
      <c r="F1112" s="1">
        <f>"alter type "&amp;A1112&amp;" "&amp;E1112&amp;"."</f>
        <v/>
      </c>
    </row>
    <row r="1113">
      <c r="A1113" s="1" t="inlineStr">
        <is>
          <t>result608_o_12</t>
        </is>
      </c>
      <c r="B1113" s="1" t="inlineStr">
        <is>
          <t>字串</t>
        </is>
      </c>
      <c r="C1113" s="1" t="n">
        <v>300</v>
      </c>
      <c r="D1113" s="1" t="n">
        <v>0</v>
      </c>
      <c r="E1113" s="1">
        <f>IF(B1113="數值","(F"&amp;C1113&amp;"."&amp;D1113&amp;")","(A"&amp;C1113&amp;")")</f>
        <v/>
      </c>
      <c r="F1113" s="1">
        <f>"alter type "&amp;A1113&amp;" "&amp;E1113&amp;"."</f>
        <v/>
      </c>
    </row>
    <row r="1114">
      <c r="A1114" s="1" t="inlineStr">
        <is>
          <t>result311_o_12</t>
        </is>
      </c>
      <c r="B1114" s="1" t="inlineStr">
        <is>
          <t>字串</t>
        </is>
      </c>
      <c r="C1114" s="1" t="n">
        <v>300</v>
      </c>
      <c r="D1114" s="1" t="n">
        <v>0</v>
      </c>
      <c r="E1114" s="1">
        <f>IF(B1114="數值","(F"&amp;C1114&amp;"."&amp;D1114&amp;")","(A"&amp;C1114&amp;")")</f>
        <v/>
      </c>
      <c r="F1114" s="1">
        <f>"alter type "&amp;A1114&amp;" "&amp;E1114&amp;"."</f>
        <v/>
      </c>
    </row>
    <row r="1115">
      <c r="A1115" s="1" t="inlineStr">
        <is>
          <t>result607_o_12</t>
        </is>
      </c>
      <c r="B1115" s="1" t="inlineStr">
        <is>
          <t>字串</t>
        </is>
      </c>
      <c r="C1115" s="1" t="n">
        <v>300</v>
      </c>
      <c r="D1115" s="1" t="n">
        <v>0</v>
      </c>
      <c r="E1115" s="1">
        <f>IF(B1115="數值","(F"&amp;C1115&amp;"."&amp;D1115&amp;")","(A"&amp;C1115&amp;")")</f>
        <v/>
      </c>
      <c r="F1115" s="1">
        <f>"alter type "&amp;A1115&amp;" "&amp;E1115&amp;"."</f>
        <v/>
      </c>
    </row>
    <row r="1116">
      <c r="A1116" s="1" t="inlineStr">
        <is>
          <t>result999_o_12</t>
        </is>
      </c>
      <c r="B1116" s="1" t="inlineStr">
        <is>
          <t>字串</t>
        </is>
      </c>
      <c r="C1116" s="1" t="n">
        <v>300</v>
      </c>
      <c r="D1116" s="1" t="n">
        <v>0</v>
      </c>
      <c r="E1116" s="1">
        <f>IF(B1116="數值","(F"&amp;C1116&amp;"."&amp;D1116&amp;")","(A"&amp;C1116&amp;")")</f>
        <v/>
      </c>
      <c r="F1116" s="1">
        <f>"alter type "&amp;A1116&amp;" "&amp;E1116&amp;"."</f>
        <v/>
      </c>
    </row>
    <row r="1117">
      <c r="A1117" s="1" t="inlineStr">
        <is>
          <t>at1_12</t>
        </is>
      </c>
      <c r="B1117" s="1" t="inlineStr">
        <is>
          <t>數值</t>
        </is>
      </c>
      <c r="C1117" s="1" t="n">
        <v>2</v>
      </c>
      <c r="D1117" s="1" t="n">
        <v>0</v>
      </c>
      <c r="E1117" s="1">
        <f>IF(B1117="數值","(F"&amp;C1117&amp;"."&amp;D1117&amp;")","(A"&amp;C1117&amp;")")</f>
        <v/>
      </c>
      <c r="F1117" s="1">
        <f>"alter type "&amp;A1117&amp;" "&amp;E1117&amp;"."</f>
        <v/>
      </c>
    </row>
    <row r="1118">
      <c r="A1118" s="1" t="inlineStr">
        <is>
          <t>at1_o04_12</t>
        </is>
      </c>
      <c r="B1118" s="1" t="inlineStr">
        <is>
          <t>字串</t>
        </is>
      </c>
      <c r="C1118" s="1" t="n">
        <v>300</v>
      </c>
      <c r="D1118" s="1" t="n">
        <v>0</v>
      </c>
      <c r="E1118" s="1">
        <f>IF(B1118="數值","(F"&amp;C1118&amp;"."&amp;D1118&amp;")","(A"&amp;C1118&amp;")")</f>
        <v/>
      </c>
      <c r="F1118" s="1">
        <f>"alter type "&amp;A1118&amp;" "&amp;E1118&amp;"."</f>
        <v/>
      </c>
    </row>
    <row r="1119">
      <c r="A1119" s="1" t="inlineStr">
        <is>
          <t>vdate_13</t>
        </is>
      </c>
      <c r="B1119" s="1" t="inlineStr">
        <is>
          <t>數值</t>
        </is>
      </c>
      <c r="C1119" s="1" t="n">
        <v>8</v>
      </c>
      <c r="D1119" s="1" t="n">
        <v>0</v>
      </c>
      <c r="E1119" s="1">
        <f>IF(B1119="數值","(F"&amp;C1119&amp;"."&amp;D1119&amp;")","(A"&amp;C1119&amp;")")</f>
        <v/>
      </c>
      <c r="F1119" s="1">
        <f>"alter type "&amp;A1119&amp;" "&amp;E1119&amp;"."</f>
        <v/>
      </c>
    </row>
    <row r="1120">
      <c r="A1120" s="1" t="inlineStr">
        <is>
          <t>vt_13</t>
        </is>
      </c>
      <c r="B1120" s="1" t="inlineStr">
        <is>
          <t>數值</t>
        </is>
      </c>
      <c r="C1120" s="1" t="n">
        <v>1</v>
      </c>
      <c r="D1120" s="1" t="n">
        <v>0</v>
      </c>
      <c r="E1120" s="1">
        <f>IF(B1120="數值","(F"&amp;C1120&amp;"."&amp;D1120&amp;")","(A"&amp;C1120&amp;")")</f>
        <v/>
      </c>
      <c r="F1120" s="1">
        <f>"alter type "&amp;A1120&amp;" "&amp;E1120&amp;"."</f>
        <v/>
      </c>
    </row>
    <row r="1121">
      <c r="A1121" s="1" t="inlineStr">
        <is>
          <t>vr_13</t>
        </is>
      </c>
      <c r="B1121" s="1" t="inlineStr">
        <is>
          <t>數值</t>
        </is>
      </c>
      <c r="C1121" s="1" t="n">
        <v>4</v>
      </c>
      <c r="D1121" s="1" t="n">
        <v>0</v>
      </c>
      <c r="E1121" s="1">
        <f>IF(B1121="數值","(F"&amp;C1121&amp;"."&amp;D1121&amp;")","(A"&amp;C1121&amp;")")</f>
        <v/>
      </c>
      <c r="F1121" s="1">
        <f>"alter type "&amp;A1121&amp;" "&amp;E1121&amp;"."</f>
        <v/>
      </c>
    </row>
    <row r="1122">
      <c r="A1122" s="1" t="inlineStr">
        <is>
          <t>result303_o_13</t>
        </is>
      </c>
      <c r="B1122" s="1" t="inlineStr">
        <is>
          <t>字串</t>
        </is>
      </c>
      <c r="C1122" s="1" t="n">
        <v>300</v>
      </c>
      <c r="D1122" s="1" t="n">
        <v>0</v>
      </c>
      <c r="E1122" s="1">
        <f>IF(B1122="數值","(F"&amp;C1122&amp;"."&amp;D1122&amp;")","(A"&amp;C1122&amp;")")</f>
        <v/>
      </c>
      <c r="F1122" s="1">
        <f>"alter type "&amp;A1122&amp;" "&amp;E1122&amp;"."</f>
        <v/>
      </c>
    </row>
    <row r="1123">
      <c r="A1123" s="1" t="inlineStr">
        <is>
          <t>result3061_o_13</t>
        </is>
      </c>
      <c r="B1123" s="1" t="inlineStr">
        <is>
          <t>字串</t>
        </is>
      </c>
      <c r="C1123" s="1" t="n">
        <v>300</v>
      </c>
      <c r="D1123" s="1" t="n">
        <v>0</v>
      </c>
      <c r="E1123" s="1">
        <f>IF(B1123="數值","(F"&amp;C1123&amp;"."&amp;D1123&amp;")","(A"&amp;C1123&amp;")")</f>
        <v/>
      </c>
      <c r="F1123" s="1">
        <f>"alter type "&amp;A1123&amp;" "&amp;E1123&amp;"."</f>
        <v/>
      </c>
    </row>
    <row r="1124">
      <c r="A1124" s="1" t="inlineStr">
        <is>
          <t>result3062_o_13</t>
        </is>
      </c>
      <c r="B1124" s="1" t="inlineStr">
        <is>
          <t>字串</t>
        </is>
      </c>
      <c r="C1124" s="1" t="n">
        <v>300</v>
      </c>
      <c r="D1124" s="1" t="n">
        <v>0</v>
      </c>
      <c r="E1124" s="1">
        <f>IF(B1124="數值","(F"&amp;C1124&amp;"."&amp;D1124&amp;")","(A"&amp;C1124&amp;")")</f>
        <v/>
      </c>
      <c r="F1124" s="1">
        <f>"alter type "&amp;A1124&amp;" "&amp;E1124&amp;"."</f>
        <v/>
      </c>
    </row>
    <row r="1125">
      <c r="A1125" s="1" t="inlineStr">
        <is>
          <t>result404_o_13</t>
        </is>
      </c>
      <c r="B1125" s="1" t="inlineStr">
        <is>
          <t>字串</t>
        </is>
      </c>
      <c r="C1125" s="1" t="n">
        <v>300</v>
      </c>
      <c r="D1125" s="1" t="n">
        <v>0</v>
      </c>
      <c r="E1125" s="1">
        <f>IF(B1125="數值","(F"&amp;C1125&amp;"."&amp;D1125&amp;")","(A"&amp;C1125&amp;")")</f>
        <v/>
      </c>
      <c r="F1125" s="1">
        <f>"alter type "&amp;A1125&amp;" "&amp;E1125&amp;"."</f>
        <v/>
      </c>
    </row>
    <row r="1126">
      <c r="A1126" s="1" t="inlineStr">
        <is>
          <t>result504_o_13</t>
        </is>
      </c>
      <c r="B1126" s="1" t="inlineStr">
        <is>
          <t>字串</t>
        </is>
      </c>
      <c r="C1126" s="1" t="n">
        <v>300</v>
      </c>
      <c r="D1126" s="1" t="n">
        <v>0</v>
      </c>
      <c r="E1126" s="1">
        <f>IF(B1126="數值","(F"&amp;C1126&amp;"."&amp;D1126&amp;")","(A"&amp;C1126&amp;")")</f>
        <v/>
      </c>
      <c r="F1126" s="1">
        <f>"alter type "&amp;A1126&amp;" "&amp;E1126&amp;"."</f>
        <v/>
      </c>
    </row>
    <row r="1127">
      <c r="A1127" s="1" t="inlineStr">
        <is>
          <t>result608_o_13</t>
        </is>
      </c>
      <c r="B1127" s="1" t="inlineStr">
        <is>
          <t>字串</t>
        </is>
      </c>
      <c r="C1127" s="1" t="n">
        <v>300</v>
      </c>
      <c r="D1127" s="1" t="n">
        <v>0</v>
      </c>
      <c r="E1127" s="1">
        <f>IF(B1127="數值","(F"&amp;C1127&amp;"."&amp;D1127&amp;")","(A"&amp;C1127&amp;")")</f>
        <v/>
      </c>
      <c r="F1127" s="1">
        <f>"alter type "&amp;A1127&amp;" "&amp;E1127&amp;"."</f>
        <v/>
      </c>
    </row>
    <row r="1128">
      <c r="A1128" s="1" t="inlineStr">
        <is>
          <t>result311_o_13</t>
        </is>
      </c>
      <c r="B1128" s="1" t="inlineStr">
        <is>
          <t>字串</t>
        </is>
      </c>
      <c r="C1128" s="1" t="n">
        <v>300</v>
      </c>
      <c r="D1128" s="1" t="n">
        <v>0</v>
      </c>
      <c r="E1128" s="1">
        <f>IF(B1128="數值","(F"&amp;C1128&amp;"."&amp;D1128&amp;")","(A"&amp;C1128&amp;")")</f>
        <v/>
      </c>
      <c r="F1128" s="1">
        <f>"alter type "&amp;A1128&amp;" "&amp;E1128&amp;"."</f>
        <v/>
      </c>
    </row>
    <row r="1129">
      <c r="A1129" s="1" t="inlineStr">
        <is>
          <t>result607_o_13</t>
        </is>
      </c>
      <c r="B1129" s="1" t="inlineStr">
        <is>
          <t>字串</t>
        </is>
      </c>
      <c r="C1129" s="1" t="n">
        <v>300</v>
      </c>
      <c r="D1129" s="1" t="n">
        <v>0</v>
      </c>
      <c r="E1129" s="1">
        <f>IF(B1129="數值","(F"&amp;C1129&amp;"."&amp;D1129&amp;")","(A"&amp;C1129&amp;")")</f>
        <v/>
      </c>
      <c r="F1129" s="1">
        <f>"alter type "&amp;A1129&amp;" "&amp;E1129&amp;"."</f>
        <v/>
      </c>
    </row>
    <row r="1130">
      <c r="A1130" s="1" t="inlineStr">
        <is>
          <t>result999_o_13</t>
        </is>
      </c>
      <c r="B1130" s="1" t="inlineStr">
        <is>
          <t>字串</t>
        </is>
      </c>
      <c r="C1130" s="1" t="n">
        <v>300</v>
      </c>
      <c r="D1130" s="1" t="n">
        <v>0</v>
      </c>
      <c r="E1130" s="1">
        <f>IF(B1130="數值","(F"&amp;C1130&amp;"."&amp;D1130&amp;")","(A"&amp;C1130&amp;")")</f>
        <v/>
      </c>
      <c r="F1130" s="1">
        <f>"alter type "&amp;A1130&amp;" "&amp;E1130&amp;"."</f>
        <v/>
      </c>
    </row>
    <row r="1131">
      <c r="A1131" s="1" t="inlineStr">
        <is>
          <t>at1_13</t>
        </is>
      </c>
      <c r="B1131" s="1" t="inlineStr">
        <is>
          <t>數值</t>
        </is>
      </c>
      <c r="C1131" s="1" t="n">
        <v>2</v>
      </c>
      <c r="D1131" s="1" t="n">
        <v>0</v>
      </c>
      <c r="E1131" s="1">
        <f>IF(B1131="數值","(F"&amp;C1131&amp;"."&amp;D1131&amp;")","(A"&amp;C1131&amp;")")</f>
        <v/>
      </c>
      <c r="F1131" s="1">
        <f>"alter type "&amp;A1131&amp;" "&amp;E1131&amp;"."</f>
        <v/>
      </c>
    </row>
    <row r="1132">
      <c r="A1132" s="1" t="inlineStr">
        <is>
          <t>at1_o04_13</t>
        </is>
      </c>
      <c r="B1132" s="1" t="inlineStr">
        <is>
          <t>字串</t>
        </is>
      </c>
      <c r="C1132" s="1" t="n">
        <v>300</v>
      </c>
      <c r="D1132" s="1" t="n">
        <v>0</v>
      </c>
      <c r="E1132" s="1">
        <f>IF(B1132="數值","(F"&amp;C1132&amp;"."&amp;D1132&amp;")","(A"&amp;C1132&amp;")")</f>
        <v/>
      </c>
      <c r="F1132" s="1">
        <f>"alter type "&amp;A1132&amp;" "&amp;E1132&amp;"."</f>
        <v/>
      </c>
    </row>
    <row r="1133">
      <c r="A1133" s="1" t="inlineStr">
        <is>
          <t>vdate_14</t>
        </is>
      </c>
      <c r="B1133" s="1" t="inlineStr">
        <is>
          <t>數值</t>
        </is>
      </c>
      <c r="C1133" s="1" t="n">
        <v>8</v>
      </c>
      <c r="D1133" s="1" t="n">
        <v>0</v>
      </c>
      <c r="E1133" s="1">
        <f>IF(B1133="數值","(F"&amp;C1133&amp;"."&amp;D1133&amp;")","(A"&amp;C1133&amp;")")</f>
        <v/>
      </c>
      <c r="F1133" s="1">
        <f>"alter type "&amp;A1133&amp;" "&amp;E1133&amp;"."</f>
        <v/>
      </c>
    </row>
    <row r="1134">
      <c r="A1134" s="1" t="inlineStr">
        <is>
          <t>vt_14</t>
        </is>
      </c>
      <c r="B1134" s="1" t="inlineStr">
        <is>
          <t>數值</t>
        </is>
      </c>
      <c r="C1134" s="1" t="n">
        <v>1</v>
      </c>
      <c r="D1134" s="1" t="n">
        <v>0</v>
      </c>
      <c r="E1134" s="1">
        <f>IF(B1134="數值","(F"&amp;C1134&amp;"."&amp;D1134&amp;")","(A"&amp;C1134&amp;")")</f>
        <v/>
      </c>
      <c r="F1134" s="1">
        <f>"alter type "&amp;A1134&amp;" "&amp;E1134&amp;"."</f>
        <v/>
      </c>
    </row>
    <row r="1135">
      <c r="A1135" s="1" t="inlineStr">
        <is>
          <t>vr_14</t>
        </is>
      </c>
      <c r="B1135" s="1" t="inlineStr">
        <is>
          <t>數值</t>
        </is>
      </c>
      <c r="C1135" s="1" t="n">
        <v>4</v>
      </c>
      <c r="D1135" s="1" t="n">
        <v>0</v>
      </c>
      <c r="E1135" s="1">
        <f>IF(B1135="數值","(F"&amp;C1135&amp;"."&amp;D1135&amp;")","(A"&amp;C1135&amp;")")</f>
        <v/>
      </c>
      <c r="F1135" s="1">
        <f>"alter type "&amp;A1135&amp;" "&amp;E1135&amp;"."</f>
        <v/>
      </c>
    </row>
    <row r="1136">
      <c r="A1136" s="1" t="inlineStr">
        <is>
          <t>result303_o_14</t>
        </is>
      </c>
      <c r="B1136" s="1" t="inlineStr">
        <is>
          <t>字串</t>
        </is>
      </c>
      <c r="C1136" s="1" t="n">
        <v>300</v>
      </c>
      <c r="D1136" s="1" t="n">
        <v>0</v>
      </c>
      <c r="E1136" s="1">
        <f>IF(B1136="數值","(F"&amp;C1136&amp;"."&amp;D1136&amp;")","(A"&amp;C1136&amp;")")</f>
        <v/>
      </c>
      <c r="F1136" s="1">
        <f>"alter type "&amp;A1136&amp;" "&amp;E1136&amp;"."</f>
        <v/>
      </c>
    </row>
    <row r="1137">
      <c r="A1137" s="1" t="inlineStr">
        <is>
          <t>result3061_o_14</t>
        </is>
      </c>
      <c r="B1137" s="1" t="inlineStr">
        <is>
          <t>字串</t>
        </is>
      </c>
      <c r="C1137" s="1" t="n">
        <v>300</v>
      </c>
      <c r="D1137" s="1" t="n">
        <v>0</v>
      </c>
      <c r="E1137" s="1">
        <f>IF(B1137="數值","(F"&amp;C1137&amp;"."&amp;D1137&amp;")","(A"&amp;C1137&amp;")")</f>
        <v/>
      </c>
      <c r="F1137" s="1">
        <f>"alter type "&amp;A1137&amp;" "&amp;E1137&amp;"."</f>
        <v/>
      </c>
    </row>
    <row r="1138">
      <c r="A1138" s="1" t="inlineStr">
        <is>
          <t>result3062_o_14</t>
        </is>
      </c>
      <c r="B1138" s="1" t="inlineStr">
        <is>
          <t>字串</t>
        </is>
      </c>
      <c r="C1138" s="1" t="n">
        <v>300</v>
      </c>
      <c r="D1138" s="1" t="n">
        <v>0</v>
      </c>
      <c r="E1138" s="1">
        <f>IF(B1138="數值","(F"&amp;C1138&amp;"."&amp;D1138&amp;")","(A"&amp;C1138&amp;")")</f>
        <v/>
      </c>
      <c r="F1138" s="1">
        <f>"alter type "&amp;A1138&amp;" "&amp;E1138&amp;"."</f>
        <v/>
      </c>
    </row>
    <row r="1139">
      <c r="A1139" s="1" t="inlineStr">
        <is>
          <t>result404_o_14</t>
        </is>
      </c>
      <c r="B1139" s="1" t="inlineStr">
        <is>
          <t>字串</t>
        </is>
      </c>
      <c r="C1139" s="1" t="n">
        <v>300</v>
      </c>
      <c r="D1139" s="1" t="n">
        <v>0</v>
      </c>
      <c r="E1139" s="1">
        <f>IF(B1139="數值","(F"&amp;C1139&amp;"."&amp;D1139&amp;")","(A"&amp;C1139&amp;")")</f>
        <v/>
      </c>
      <c r="F1139" s="1">
        <f>"alter type "&amp;A1139&amp;" "&amp;E1139&amp;"."</f>
        <v/>
      </c>
    </row>
    <row r="1140">
      <c r="A1140" s="1" t="inlineStr">
        <is>
          <t>result504_o_14</t>
        </is>
      </c>
      <c r="B1140" s="1" t="inlineStr">
        <is>
          <t>字串</t>
        </is>
      </c>
      <c r="C1140" s="1" t="n">
        <v>300</v>
      </c>
      <c r="D1140" s="1" t="n">
        <v>0</v>
      </c>
      <c r="E1140" s="1">
        <f>IF(B1140="數值","(F"&amp;C1140&amp;"."&amp;D1140&amp;")","(A"&amp;C1140&amp;")")</f>
        <v/>
      </c>
      <c r="F1140" s="1">
        <f>"alter type "&amp;A1140&amp;" "&amp;E1140&amp;"."</f>
        <v/>
      </c>
    </row>
    <row r="1141">
      <c r="A1141" s="1" t="inlineStr">
        <is>
          <t>result608_o_14</t>
        </is>
      </c>
      <c r="B1141" s="1" t="inlineStr">
        <is>
          <t>字串</t>
        </is>
      </c>
      <c r="C1141" s="1" t="n">
        <v>300</v>
      </c>
      <c r="D1141" s="1" t="n">
        <v>0</v>
      </c>
      <c r="E1141" s="1">
        <f>IF(B1141="數值","(F"&amp;C1141&amp;"."&amp;D1141&amp;")","(A"&amp;C1141&amp;")")</f>
        <v/>
      </c>
      <c r="F1141" s="1">
        <f>"alter type "&amp;A1141&amp;" "&amp;E1141&amp;"."</f>
        <v/>
      </c>
    </row>
    <row r="1142">
      <c r="A1142" s="1" t="inlineStr">
        <is>
          <t>result311_o_14</t>
        </is>
      </c>
      <c r="B1142" s="1" t="inlineStr">
        <is>
          <t>字串</t>
        </is>
      </c>
      <c r="C1142" s="1" t="n">
        <v>300</v>
      </c>
      <c r="D1142" s="1" t="n">
        <v>0</v>
      </c>
      <c r="E1142" s="1">
        <f>IF(B1142="數值","(F"&amp;C1142&amp;"."&amp;D1142&amp;")","(A"&amp;C1142&amp;")")</f>
        <v/>
      </c>
      <c r="F1142" s="1">
        <f>"alter type "&amp;A1142&amp;" "&amp;E1142&amp;"."</f>
        <v/>
      </c>
    </row>
    <row r="1143">
      <c r="A1143" s="1" t="inlineStr">
        <is>
          <t>result607_o_14</t>
        </is>
      </c>
      <c r="B1143" s="1" t="inlineStr">
        <is>
          <t>字串</t>
        </is>
      </c>
      <c r="C1143" s="1" t="n">
        <v>300</v>
      </c>
      <c r="D1143" s="1" t="n">
        <v>0</v>
      </c>
      <c r="E1143" s="1">
        <f>IF(B1143="數值","(F"&amp;C1143&amp;"."&amp;D1143&amp;")","(A"&amp;C1143&amp;")")</f>
        <v/>
      </c>
      <c r="F1143" s="1">
        <f>"alter type "&amp;A1143&amp;" "&amp;E1143&amp;"."</f>
        <v/>
      </c>
    </row>
    <row r="1144">
      <c r="A1144" s="1" t="inlineStr">
        <is>
          <t>result999_o_14</t>
        </is>
      </c>
      <c r="B1144" s="1" t="inlineStr">
        <is>
          <t>字串</t>
        </is>
      </c>
      <c r="C1144" s="1" t="n">
        <v>300</v>
      </c>
      <c r="D1144" s="1" t="n">
        <v>0</v>
      </c>
      <c r="E1144" s="1">
        <f>IF(B1144="數值","(F"&amp;C1144&amp;"."&amp;D1144&amp;")","(A"&amp;C1144&amp;")")</f>
        <v/>
      </c>
      <c r="F1144" s="1">
        <f>"alter type "&amp;A1144&amp;" "&amp;E1144&amp;"."</f>
        <v/>
      </c>
    </row>
    <row r="1145">
      <c r="A1145" s="1" t="inlineStr">
        <is>
          <t>at1_14</t>
        </is>
      </c>
      <c r="B1145" s="1" t="inlineStr">
        <is>
          <t>數值</t>
        </is>
      </c>
      <c r="C1145" s="1" t="n">
        <v>2</v>
      </c>
      <c r="D1145" s="1" t="n">
        <v>0</v>
      </c>
      <c r="E1145" s="1">
        <f>IF(B1145="數值","(F"&amp;C1145&amp;"."&amp;D1145&amp;")","(A"&amp;C1145&amp;")")</f>
        <v/>
      </c>
      <c r="F1145" s="1">
        <f>"alter type "&amp;A1145&amp;" "&amp;E1145&amp;"."</f>
        <v/>
      </c>
    </row>
    <row r="1146">
      <c r="A1146" s="1" t="inlineStr">
        <is>
          <t>at1_o04_14</t>
        </is>
      </c>
      <c r="B1146" s="1" t="inlineStr">
        <is>
          <t>字串</t>
        </is>
      </c>
      <c r="C1146" s="1" t="n">
        <v>300</v>
      </c>
      <c r="D1146" s="1" t="n">
        <v>0</v>
      </c>
      <c r="E1146" s="1">
        <f>IF(B1146="數值","(F"&amp;C1146&amp;"."&amp;D1146&amp;")","(A"&amp;C1146&amp;")")</f>
        <v/>
      </c>
      <c r="F1146" s="1">
        <f>"alter type "&amp;A1146&amp;" "&amp;E1146&amp;"."</f>
        <v/>
      </c>
    </row>
    <row r="1147">
      <c r="A1147" s="1" t="inlineStr">
        <is>
          <t>vdate_15</t>
        </is>
      </c>
      <c r="B1147" s="1" t="inlineStr">
        <is>
          <t>數值</t>
        </is>
      </c>
      <c r="C1147" s="1" t="n">
        <v>8</v>
      </c>
      <c r="D1147" s="1" t="n">
        <v>0</v>
      </c>
      <c r="E1147" s="1">
        <f>IF(B1147="數值","(F"&amp;C1147&amp;"."&amp;D1147&amp;")","(A"&amp;C1147&amp;")")</f>
        <v/>
      </c>
      <c r="F1147" s="1">
        <f>"alter type "&amp;A1147&amp;" "&amp;E1147&amp;"."</f>
        <v/>
      </c>
    </row>
    <row r="1148">
      <c r="A1148" s="1" t="inlineStr">
        <is>
          <t>vt_15</t>
        </is>
      </c>
      <c r="B1148" s="1" t="inlineStr">
        <is>
          <t>數值</t>
        </is>
      </c>
      <c r="C1148" s="1" t="n">
        <v>1</v>
      </c>
      <c r="D1148" s="1" t="n">
        <v>0</v>
      </c>
      <c r="E1148" s="1">
        <f>IF(B1148="數值","(F"&amp;C1148&amp;"."&amp;D1148&amp;")","(A"&amp;C1148&amp;")")</f>
        <v/>
      </c>
      <c r="F1148" s="1">
        <f>"alter type "&amp;A1148&amp;" "&amp;E1148&amp;"."</f>
        <v/>
      </c>
    </row>
    <row r="1149">
      <c r="A1149" s="1" t="inlineStr">
        <is>
          <t>vr_15</t>
        </is>
      </c>
      <c r="B1149" s="1" t="inlineStr">
        <is>
          <t>數值</t>
        </is>
      </c>
      <c r="C1149" s="1" t="n">
        <v>4</v>
      </c>
      <c r="D1149" s="1" t="n">
        <v>0</v>
      </c>
      <c r="E1149" s="1">
        <f>IF(B1149="數值","(F"&amp;C1149&amp;"."&amp;D1149&amp;")","(A"&amp;C1149&amp;")")</f>
        <v/>
      </c>
      <c r="F1149" s="1">
        <f>"alter type "&amp;A1149&amp;" "&amp;E1149&amp;"."</f>
        <v/>
      </c>
    </row>
    <row r="1150">
      <c r="A1150" s="1" t="inlineStr">
        <is>
          <t>result303_o_15</t>
        </is>
      </c>
      <c r="B1150" s="1" t="inlineStr">
        <is>
          <t>字串</t>
        </is>
      </c>
      <c r="C1150" s="1" t="n">
        <v>300</v>
      </c>
      <c r="D1150" s="1" t="n">
        <v>0</v>
      </c>
      <c r="E1150" s="1">
        <f>IF(B1150="數值","(F"&amp;C1150&amp;"."&amp;D1150&amp;")","(A"&amp;C1150&amp;")")</f>
        <v/>
      </c>
      <c r="F1150" s="1">
        <f>"alter type "&amp;A1150&amp;" "&amp;E1150&amp;"."</f>
        <v/>
      </c>
    </row>
    <row r="1151">
      <c r="A1151" s="1" t="inlineStr">
        <is>
          <t>result3061_o_15</t>
        </is>
      </c>
      <c r="B1151" s="1" t="inlineStr">
        <is>
          <t>字串</t>
        </is>
      </c>
      <c r="C1151" s="1" t="n">
        <v>300</v>
      </c>
      <c r="D1151" s="1" t="n">
        <v>0</v>
      </c>
      <c r="E1151" s="1">
        <f>IF(B1151="數值","(F"&amp;C1151&amp;"."&amp;D1151&amp;")","(A"&amp;C1151&amp;")")</f>
        <v/>
      </c>
      <c r="F1151" s="1">
        <f>"alter type "&amp;A1151&amp;" "&amp;E1151&amp;"."</f>
        <v/>
      </c>
    </row>
    <row r="1152">
      <c r="A1152" s="1" t="inlineStr">
        <is>
          <t>result3062_o_15</t>
        </is>
      </c>
      <c r="B1152" s="1" t="inlineStr">
        <is>
          <t>字串</t>
        </is>
      </c>
      <c r="C1152" s="1" t="n">
        <v>300</v>
      </c>
      <c r="D1152" s="1" t="n">
        <v>0</v>
      </c>
      <c r="E1152" s="1">
        <f>IF(B1152="數值","(F"&amp;C1152&amp;"."&amp;D1152&amp;")","(A"&amp;C1152&amp;")")</f>
        <v/>
      </c>
      <c r="F1152" s="1">
        <f>"alter type "&amp;A1152&amp;" "&amp;E1152&amp;"."</f>
        <v/>
      </c>
    </row>
    <row r="1153">
      <c r="A1153" s="1" t="inlineStr">
        <is>
          <t>result404_o_15</t>
        </is>
      </c>
      <c r="B1153" s="1" t="inlineStr">
        <is>
          <t>字串</t>
        </is>
      </c>
      <c r="C1153" s="1" t="n">
        <v>300</v>
      </c>
      <c r="D1153" s="1" t="n">
        <v>0</v>
      </c>
      <c r="E1153" s="1">
        <f>IF(B1153="數值","(F"&amp;C1153&amp;"."&amp;D1153&amp;")","(A"&amp;C1153&amp;")")</f>
        <v/>
      </c>
      <c r="F1153" s="1">
        <f>"alter type "&amp;A1153&amp;" "&amp;E1153&amp;"."</f>
        <v/>
      </c>
    </row>
    <row r="1154">
      <c r="A1154" s="1" t="inlineStr">
        <is>
          <t>result504_o_15</t>
        </is>
      </c>
      <c r="B1154" s="1" t="inlineStr">
        <is>
          <t>字串</t>
        </is>
      </c>
      <c r="C1154" s="1" t="n">
        <v>300</v>
      </c>
      <c r="D1154" s="1" t="n">
        <v>0</v>
      </c>
      <c r="E1154" s="1">
        <f>IF(B1154="數值","(F"&amp;C1154&amp;"."&amp;D1154&amp;")","(A"&amp;C1154&amp;")")</f>
        <v/>
      </c>
      <c r="F1154" s="1">
        <f>"alter type "&amp;A1154&amp;" "&amp;E1154&amp;"."</f>
        <v/>
      </c>
    </row>
    <row r="1155">
      <c r="A1155" s="1" t="inlineStr">
        <is>
          <t>result608_o_15</t>
        </is>
      </c>
      <c r="B1155" s="1" t="inlineStr">
        <is>
          <t>字串</t>
        </is>
      </c>
      <c r="C1155" s="1" t="n">
        <v>300</v>
      </c>
      <c r="D1155" s="1" t="n">
        <v>0</v>
      </c>
      <c r="E1155" s="1">
        <f>IF(B1155="數值","(F"&amp;C1155&amp;"."&amp;D1155&amp;")","(A"&amp;C1155&amp;")")</f>
        <v/>
      </c>
      <c r="F1155" s="1">
        <f>"alter type "&amp;A1155&amp;" "&amp;E1155&amp;"."</f>
        <v/>
      </c>
    </row>
    <row r="1156">
      <c r="A1156" s="1" t="inlineStr">
        <is>
          <t>result311_o_15</t>
        </is>
      </c>
      <c r="B1156" s="1" t="inlineStr">
        <is>
          <t>字串</t>
        </is>
      </c>
      <c r="C1156" s="1" t="n">
        <v>300</v>
      </c>
      <c r="D1156" s="1" t="n">
        <v>0</v>
      </c>
      <c r="E1156" s="1">
        <f>IF(B1156="數值","(F"&amp;C1156&amp;"."&amp;D1156&amp;")","(A"&amp;C1156&amp;")")</f>
        <v/>
      </c>
      <c r="F1156" s="1">
        <f>"alter type "&amp;A1156&amp;" "&amp;E1156&amp;"."</f>
        <v/>
      </c>
    </row>
    <row r="1157">
      <c r="A1157" s="1" t="inlineStr">
        <is>
          <t>result607_o_15</t>
        </is>
      </c>
      <c r="B1157" s="1" t="inlineStr">
        <is>
          <t>字串</t>
        </is>
      </c>
      <c r="C1157" s="1" t="n">
        <v>300</v>
      </c>
      <c r="D1157" s="1" t="n">
        <v>0</v>
      </c>
      <c r="E1157" s="1">
        <f>IF(B1157="數值","(F"&amp;C1157&amp;"."&amp;D1157&amp;")","(A"&amp;C1157&amp;")")</f>
        <v/>
      </c>
      <c r="F1157" s="1">
        <f>"alter type "&amp;A1157&amp;" "&amp;E1157&amp;"."</f>
        <v/>
      </c>
    </row>
    <row r="1158">
      <c r="A1158" s="1" t="inlineStr">
        <is>
          <t>result999_o_15</t>
        </is>
      </c>
      <c r="B1158" s="1" t="inlineStr">
        <is>
          <t>字串</t>
        </is>
      </c>
      <c r="C1158" s="1" t="n">
        <v>300</v>
      </c>
      <c r="D1158" s="1" t="n">
        <v>0</v>
      </c>
      <c r="E1158" s="1">
        <f>IF(B1158="數值","(F"&amp;C1158&amp;"."&amp;D1158&amp;")","(A"&amp;C1158&amp;")")</f>
        <v/>
      </c>
      <c r="F1158" s="1">
        <f>"alter type "&amp;A1158&amp;" "&amp;E1158&amp;"."</f>
        <v/>
      </c>
    </row>
    <row r="1159">
      <c r="A1159" s="1" t="inlineStr">
        <is>
          <t>at1_15</t>
        </is>
      </c>
      <c r="B1159" s="1" t="inlineStr">
        <is>
          <t>數值</t>
        </is>
      </c>
      <c r="C1159" s="1" t="n">
        <v>2</v>
      </c>
      <c r="D1159" s="1" t="n">
        <v>0</v>
      </c>
      <c r="E1159" s="1">
        <f>IF(B1159="數值","(F"&amp;C1159&amp;"."&amp;D1159&amp;")","(A"&amp;C1159&amp;")")</f>
        <v/>
      </c>
      <c r="F1159" s="1">
        <f>"alter type "&amp;A1159&amp;" "&amp;E1159&amp;"."</f>
        <v/>
      </c>
    </row>
    <row r="1160">
      <c r="A1160" s="1" t="inlineStr">
        <is>
          <t>at1_o04_15</t>
        </is>
      </c>
      <c r="B1160" s="1" t="inlineStr">
        <is>
          <t>字串</t>
        </is>
      </c>
      <c r="C1160" s="1" t="n">
        <v>300</v>
      </c>
      <c r="D1160" s="1" t="n">
        <v>0</v>
      </c>
      <c r="E1160" s="1">
        <f>IF(B1160="數值","(F"&amp;C1160&amp;"."&amp;D1160&amp;")","(A"&amp;C1160&amp;")")</f>
        <v/>
      </c>
      <c r="F1160" s="1">
        <f>"alter type "&amp;A1160&amp;" "&amp;E1160&amp;"."</f>
        <v/>
      </c>
    </row>
    <row r="1161">
      <c r="A1161" s="1" t="inlineStr">
        <is>
          <t>vdate_16</t>
        </is>
      </c>
      <c r="B1161" s="1" t="inlineStr">
        <is>
          <t>數值</t>
        </is>
      </c>
      <c r="C1161" s="1" t="n">
        <v>8</v>
      </c>
      <c r="D1161" s="1" t="n">
        <v>0</v>
      </c>
      <c r="E1161" s="1">
        <f>IF(B1161="數值","(F"&amp;C1161&amp;"."&amp;D1161&amp;")","(A"&amp;C1161&amp;")")</f>
        <v/>
      </c>
      <c r="F1161" s="1">
        <f>"alter type "&amp;A1161&amp;" "&amp;E1161&amp;"."</f>
        <v/>
      </c>
    </row>
    <row r="1162">
      <c r="A1162" s="1" t="inlineStr">
        <is>
          <t>vt_16</t>
        </is>
      </c>
      <c r="B1162" s="1" t="inlineStr">
        <is>
          <t>數值</t>
        </is>
      </c>
      <c r="C1162" s="1" t="n">
        <v>1</v>
      </c>
      <c r="D1162" s="1" t="n">
        <v>0</v>
      </c>
      <c r="E1162" s="1">
        <f>IF(B1162="數值","(F"&amp;C1162&amp;"."&amp;D1162&amp;")","(A"&amp;C1162&amp;")")</f>
        <v/>
      </c>
      <c r="F1162" s="1">
        <f>"alter type "&amp;A1162&amp;" "&amp;E1162&amp;"."</f>
        <v/>
      </c>
    </row>
    <row r="1163">
      <c r="A1163" s="1" t="inlineStr">
        <is>
          <t>vr_16</t>
        </is>
      </c>
      <c r="B1163" s="1" t="inlineStr">
        <is>
          <t>數值</t>
        </is>
      </c>
      <c r="C1163" s="1" t="n">
        <v>4</v>
      </c>
      <c r="D1163" s="1" t="n">
        <v>0</v>
      </c>
      <c r="E1163" s="1">
        <f>IF(B1163="數值","(F"&amp;C1163&amp;"."&amp;D1163&amp;")","(A"&amp;C1163&amp;")")</f>
        <v/>
      </c>
      <c r="F1163" s="1">
        <f>"alter type "&amp;A1163&amp;" "&amp;E1163&amp;"."</f>
        <v/>
      </c>
    </row>
    <row r="1164">
      <c r="A1164" s="1" t="inlineStr">
        <is>
          <t>result303_o_16</t>
        </is>
      </c>
      <c r="B1164" s="1" t="inlineStr">
        <is>
          <t>字串</t>
        </is>
      </c>
      <c r="C1164" s="1" t="n">
        <v>300</v>
      </c>
      <c r="D1164" s="1" t="n">
        <v>0</v>
      </c>
      <c r="E1164" s="1">
        <f>IF(B1164="數值","(F"&amp;C1164&amp;"."&amp;D1164&amp;")","(A"&amp;C1164&amp;")")</f>
        <v/>
      </c>
      <c r="F1164" s="1">
        <f>"alter type "&amp;A1164&amp;" "&amp;E1164&amp;"."</f>
        <v/>
      </c>
    </row>
    <row r="1165">
      <c r="A1165" s="1" t="inlineStr">
        <is>
          <t>result3061_o_16</t>
        </is>
      </c>
      <c r="B1165" s="1" t="inlineStr">
        <is>
          <t>字串</t>
        </is>
      </c>
      <c r="C1165" s="1" t="n">
        <v>300</v>
      </c>
      <c r="D1165" s="1" t="n">
        <v>0</v>
      </c>
      <c r="E1165" s="1">
        <f>IF(B1165="數值","(F"&amp;C1165&amp;"."&amp;D1165&amp;")","(A"&amp;C1165&amp;")")</f>
        <v/>
      </c>
      <c r="F1165" s="1">
        <f>"alter type "&amp;A1165&amp;" "&amp;E1165&amp;"."</f>
        <v/>
      </c>
    </row>
    <row r="1166">
      <c r="A1166" s="1" t="inlineStr">
        <is>
          <t>result3062_o_16</t>
        </is>
      </c>
      <c r="B1166" s="1" t="inlineStr">
        <is>
          <t>字串</t>
        </is>
      </c>
      <c r="C1166" s="1" t="n">
        <v>300</v>
      </c>
      <c r="D1166" s="1" t="n">
        <v>0</v>
      </c>
      <c r="E1166" s="1">
        <f>IF(B1166="數值","(F"&amp;C1166&amp;"."&amp;D1166&amp;")","(A"&amp;C1166&amp;")")</f>
        <v/>
      </c>
      <c r="F1166" s="1">
        <f>"alter type "&amp;A1166&amp;" "&amp;E1166&amp;"."</f>
        <v/>
      </c>
    </row>
    <row r="1167">
      <c r="A1167" s="1" t="inlineStr">
        <is>
          <t>result404_o_16</t>
        </is>
      </c>
      <c r="B1167" s="1" t="inlineStr">
        <is>
          <t>字串</t>
        </is>
      </c>
      <c r="C1167" s="1" t="n">
        <v>300</v>
      </c>
      <c r="D1167" s="1" t="n">
        <v>0</v>
      </c>
      <c r="E1167" s="1">
        <f>IF(B1167="數值","(F"&amp;C1167&amp;"."&amp;D1167&amp;")","(A"&amp;C1167&amp;")")</f>
        <v/>
      </c>
      <c r="F1167" s="1">
        <f>"alter type "&amp;A1167&amp;" "&amp;E1167&amp;"."</f>
        <v/>
      </c>
    </row>
    <row r="1168">
      <c r="A1168" s="1" t="inlineStr">
        <is>
          <t>result504_o_16</t>
        </is>
      </c>
      <c r="B1168" s="1" t="inlineStr">
        <is>
          <t>字串</t>
        </is>
      </c>
      <c r="C1168" s="1" t="n">
        <v>300</v>
      </c>
      <c r="D1168" s="1" t="n">
        <v>0</v>
      </c>
      <c r="E1168" s="1">
        <f>IF(B1168="數值","(F"&amp;C1168&amp;"."&amp;D1168&amp;")","(A"&amp;C1168&amp;")")</f>
        <v/>
      </c>
      <c r="F1168" s="1">
        <f>"alter type "&amp;A1168&amp;" "&amp;E1168&amp;"."</f>
        <v/>
      </c>
    </row>
    <row r="1169">
      <c r="A1169" s="1" t="inlineStr">
        <is>
          <t>result608_o_16</t>
        </is>
      </c>
      <c r="B1169" s="1" t="inlineStr">
        <is>
          <t>字串</t>
        </is>
      </c>
      <c r="C1169" s="1" t="n">
        <v>300</v>
      </c>
      <c r="D1169" s="1" t="n">
        <v>0</v>
      </c>
      <c r="E1169" s="1">
        <f>IF(B1169="數值","(F"&amp;C1169&amp;"."&amp;D1169&amp;")","(A"&amp;C1169&amp;")")</f>
        <v/>
      </c>
      <c r="F1169" s="1">
        <f>"alter type "&amp;A1169&amp;" "&amp;E1169&amp;"."</f>
        <v/>
      </c>
    </row>
    <row r="1170">
      <c r="A1170" s="1" t="inlineStr">
        <is>
          <t>result311_o_16</t>
        </is>
      </c>
      <c r="B1170" s="1" t="inlineStr">
        <is>
          <t>字串</t>
        </is>
      </c>
      <c r="C1170" s="1" t="n">
        <v>300</v>
      </c>
      <c r="D1170" s="1" t="n">
        <v>0</v>
      </c>
      <c r="E1170" s="1">
        <f>IF(B1170="數值","(F"&amp;C1170&amp;"."&amp;D1170&amp;")","(A"&amp;C1170&amp;")")</f>
        <v/>
      </c>
      <c r="F1170" s="1">
        <f>"alter type "&amp;A1170&amp;" "&amp;E1170&amp;"."</f>
        <v/>
      </c>
    </row>
    <row r="1171">
      <c r="A1171" s="1" t="inlineStr">
        <is>
          <t>result607_o_16</t>
        </is>
      </c>
      <c r="B1171" s="1" t="inlineStr">
        <is>
          <t>字串</t>
        </is>
      </c>
      <c r="C1171" s="1" t="n">
        <v>300</v>
      </c>
      <c r="D1171" s="1" t="n">
        <v>0</v>
      </c>
      <c r="E1171" s="1">
        <f>IF(B1171="數值","(F"&amp;C1171&amp;"."&amp;D1171&amp;")","(A"&amp;C1171&amp;")")</f>
        <v/>
      </c>
      <c r="F1171" s="1">
        <f>"alter type "&amp;A1171&amp;" "&amp;E1171&amp;"."</f>
        <v/>
      </c>
    </row>
    <row r="1172">
      <c r="A1172" s="1" t="inlineStr">
        <is>
          <t>result999_o_16</t>
        </is>
      </c>
      <c r="B1172" s="1" t="inlineStr">
        <is>
          <t>字串</t>
        </is>
      </c>
      <c r="C1172" s="1" t="n">
        <v>300</v>
      </c>
      <c r="D1172" s="1" t="n">
        <v>0</v>
      </c>
      <c r="E1172" s="1">
        <f>IF(B1172="數值","(F"&amp;C1172&amp;"."&amp;D1172&amp;")","(A"&amp;C1172&amp;")")</f>
        <v/>
      </c>
      <c r="F1172" s="1">
        <f>"alter type "&amp;A1172&amp;" "&amp;E1172&amp;"."</f>
        <v/>
      </c>
    </row>
    <row r="1173">
      <c r="A1173" s="1" t="inlineStr">
        <is>
          <t>at1_16</t>
        </is>
      </c>
      <c r="B1173" s="1" t="inlineStr">
        <is>
          <t>數值</t>
        </is>
      </c>
      <c r="C1173" s="1" t="n">
        <v>2</v>
      </c>
      <c r="D1173" s="1" t="n">
        <v>0</v>
      </c>
      <c r="E1173" s="1">
        <f>IF(B1173="數值","(F"&amp;C1173&amp;"."&amp;D1173&amp;")","(A"&amp;C1173&amp;")")</f>
        <v/>
      </c>
      <c r="F1173" s="1">
        <f>"alter type "&amp;A1173&amp;" "&amp;E1173&amp;"."</f>
        <v/>
      </c>
    </row>
    <row r="1174">
      <c r="A1174" s="1" t="inlineStr">
        <is>
          <t>at1_o04_16</t>
        </is>
      </c>
      <c r="B1174" s="1" t="inlineStr">
        <is>
          <t>字串</t>
        </is>
      </c>
      <c r="C1174" s="1" t="n">
        <v>300</v>
      </c>
      <c r="D1174" s="1" t="n">
        <v>0</v>
      </c>
      <c r="E1174" s="1">
        <f>IF(B1174="數值","(F"&amp;C1174&amp;"."&amp;D1174&amp;")","(A"&amp;C1174&amp;")")</f>
        <v/>
      </c>
      <c r="F1174" s="1">
        <f>"alter type "&amp;A1174&amp;" "&amp;E1174&amp;"."</f>
        <v/>
      </c>
    </row>
    <row r="1175">
      <c r="A1175" s="1" t="inlineStr">
        <is>
          <t>vdate_17</t>
        </is>
      </c>
      <c r="B1175" s="1" t="inlineStr">
        <is>
          <t>數值</t>
        </is>
      </c>
      <c r="C1175" s="1" t="n">
        <v>8</v>
      </c>
      <c r="D1175" s="1" t="n">
        <v>0</v>
      </c>
      <c r="E1175" s="1">
        <f>IF(B1175="數值","(F"&amp;C1175&amp;"."&amp;D1175&amp;")","(A"&amp;C1175&amp;")")</f>
        <v/>
      </c>
      <c r="F1175" s="1">
        <f>"alter type "&amp;A1175&amp;" "&amp;E1175&amp;"."</f>
        <v/>
      </c>
    </row>
    <row r="1176">
      <c r="A1176" s="1" t="inlineStr">
        <is>
          <t>vt_17</t>
        </is>
      </c>
      <c r="B1176" s="1" t="inlineStr">
        <is>
          <t>數值</t>
        </is>
      </c>
      <c r="C1176" s="1" t="n">
        <v>1</v>
      </c>
      <c r="D1176" s="1" t="n">
        <v>0</v>
      </c>
      <c r="E1176" s="1">
        <f>IF(B1176="數值","(F"&amp;C1176&amp;"."&amp;D1176&amp;")","(A"&amp;C1176&amp;")")</f>
        <v/>
      </c>
      <c r="F1176" s="1">
        <f>"alter type "&amp;A1176&amp;" "&amp;E1176&amp;"."</f>
        <v/>
      </c>
    </row>
    <row r="1177">
      <c r="A1177" s="1" t="inlineStr">
        <is>
          <t>vr_17</t>
        </is>
      </c>
      <c r="B1177" s="1" t="inlineStr">
        <is>
          <t>數值</t>
        </is>
      </c>
      <c r="C1177" s="1" t="n">
        <v>4</v>
      </c>
      <c r="D1177" s="1" t="n">
        <v>0</v>
      </c>
      <c r="E1177" s="1">
        <f>IF(B1177="數值","(F"&amp;C1177&amp;"."&amp;D1177&amp;")","(A"&amp;C1177&amp;")")</f>
        <v/>
      </c>
      <c r="F1177" s="1">
        <f>"alter type "&amp;A1177&amp;" "&amp;E1177&amp;"."</f>
        <v/>
      </c>
    </row>
    <row r="1178">
      <c r="A1178" s="1" t="inlineStr">
        <is>
          <t>result303_o_17</t>
        </is>
      </c>
      <c r="B1178" s="1" t="inlineStr">
        <is>
          <t>字串</t>
        </is>
      </c>
      <c r="C1178" s="1" t="n">
        <v>300</v>
      </c>
      <c r="D1178" s="1" t="n">
        <v>0</v>
      </c>
      <c r="E1178" s="1">
        <f>IF(B1178="數值","(F"&amp;C1178&amp;"."&amp;D1178&amp;")","(A"&amp;C1178&amp;")")</f>
        <v/>
      </c>
      <c r="F1178" s="1">
        <f>"alter type "&amp;A1178&amp;" "&amp;E1178&amp;"."</f>
        <v/>
      </c>
    </row>
    <row r="1179">
      <c r="A1179" s="1" t="inlineStr">
        <is>
          <t>result3061_o_17</t>
        </is>
      </c>
      <c r="B1179" s="1" t="inlineStr">
        <is>
          <t>字串</t>
        </is>
      </c>
      <c r="C1179" s="1" t="n">
        <v>300</v>
      </c>
      <c r="D1179" s="1" t="n">
        <v>0</v>
      </c>
      <c r="E1179" s="1">
        <f>IF(B1179="數值","(F"&amp;C1179&amp;"."&amp;D1179&amp;")","(A"&amp;C1179&amp;")")</f>
        <v/>
      </c>
      <c r="F1179" s="1">
        <f>"alter type "&amp;A1179&amp;" "&amp;E1179&amp;"."</f>
        <v/>
      </c>
    </row>
    <row r="1180">
      <c r="A1180" s="1" t="inlineStr">
        <is>
          <t>result3062_o_17</t>
        </is>
      </c>
      <c r="B1180" s="1" t="inlineStr">
        <is>
          <t>字串</t>
        </is>
      </c>
      <c r="C1180" s="1" t="n">
        <v>300</v>
      </c>
      <c r="D1180" s="1" t="n">
        <v>0</v>
      </c>
      <c r="E1180" s="1">
        <f>IF(B1180="數值","(F"&amp;C1180&amp;"."&amp;D1180&amp;")","(A"&amp;C1180&amp;")")</f>
        <v/>
      </c>
      <c r="F1180" s="1">
        <f>"alter type "&amp;A1180&amp;" "&amp;E1180&amp;"."</f>
        <v/>
      </c>
    </row>
    <row r="1181">
      <c r="A1181" s="1" t="inlineStr">
        <is>
          <t>result404_o_17</t>
        </is>
      </c>
      <c r="B1181" s="1" t="inlineStr">
        <is>
          <t>字串</t>
        </is>
      </c>
      <c r="C1181" s="1" t="n">
        <v>300</v>
      </c>
      <c r="D1181" s="1" t="n">
        <v>0</v>
      </c>
      <c r="E1181" s="1">
        <f>IF(B1181="數值","(F"&amp;C1181&amp;"."&amp;D1181&amp;")","(A"&amp;C1181&amp;")")</f>
        <v/>
      </c>
      <c r="F1181" s="1">
        <f>"alter type "&amp;A1181&amp;" "&amp;E1181&amp;"."</f>
        <v/>
      </c>
    </row>
    <row r="1182">
      <c r="A1182" s="1" t="inlineStr">
        <is>
          <t>result504_o_17</t>
        </is>
      </c>
      <c r="B1182" s="1" t="inlineStr">
        <is>
          <t>字串</t>
        </is>
      </c>
      <c r="C1182" s="1" t="n">
        <v>300</v>
      </c>
      <c r="D1182" s="1" t="n">
        <v>0</v>
      </c>
      <c r="E1182" s="1">
        <f>IF(B1182="數值","(F"&amp;C1182&amp;"."&amp;D1182&amp;")","(A"&amp;C1182&amp;")")</f>
        <v/>
      </c>
      <c r="F1182" s="1">
        <f>"alter type "&amp;A1182&amp;" "&amp;E1182&amp;"."</f>
        <v/>
      </c>
    </row>
    <row r="1183">
      <c r="A1183" s="1" t="inlineStr">
        <is>
          <t>result608_o_17</t>
        </is>
      </c>
      <c r="B1183" s="1" t="inlineStr">
        <is>
          <t>字串</t>
        </is>
      </c>
      <c r="C1183" s="1" t="n">
        <v>300</v>
      </c>
      <c r="D1183" s="1" t="n">
        <v>0</v>
      </c>
      <c r="E1183" s="1">
        <f>IF(B1183="數值","(F"&amp;C1183&amp;"."&amp;D1183&amp;")","(A"&amp;C1183&amp;")")</f>
        <v/>
      </c>
      <c r="F1183" s="1">
        <f>"alter type "&amp;A1183&amp;" "&amp;E1183&amp;"."</f>
        <v/>
      </c>
    </row>
    <row r="1184">
      <c r="A1184" s="1" t="inlineStr">
        <is>
          <t>result311_o_17</t>
        </is>
      </c>
      <c r="B1184" s="1" t="inlineStr">
        <is>
          <t>字串</t>
        </is>
      </c>
      <c r="C1184" s="1" t="n">
        <v>300</v>
      </c>
      <c r="D1184" s="1" t="n">
        <v>0</v>
      </c>
      <c r="E1184" s="1">
        <f>IF(B1184="數值","(F"&amp;C1184&amp;"."&amp;D1184&amp;")","(A"&amp;C1184&amp;")")</f>
        <v/>
      </c>
      <c r="F1184" s="1">
        <f>"alter type "&amp;A1184&amp;" "&amp;E1184&amp;"."</f>
        <v/>
      </c>
    </row>
    <row r="1185">
      <c r="A1185" s="1" t="inlineStr">
        <is>
          <t>result607_o_17</t>
        </is>
      </c>
      <c r="B1185" s="1" t="inlineStr">
        <is>
          <t>字串</t>
        </is>
      </c>
      <c r="C1185" s="1" t="n">
        <v>300</v>
      </c>
      <c r="D1185" s="1" t="n">
        <v>0</v>
      </c>
      <c r="E1185" s="1">
        <f>IF(B1185="數值","(F"&amp;C1185&amp;"."&amp;D1185&amp;")","(A"&amp;C1185&amp;")")</f>
        <v/>
      </c>
      <c r="F1185" s="1">
        <f>"alter type "&amp;A1185&amp;" "&amp;E1185&amp;"."</f>
        <v/>
      </c>
    </row>
    <row r="1186">
      <c r="A1186" s="1" t="inlineStr">
        <is>
          <t>result999_o_17</t>
        </is>
      </c>
      <c r="B1186" s="1" t="inlineStr">
        <is>
          <t>字串</t>
        </is>
      </c>
      <c r="C1186" s="1" t="n">
        <v>300</v>
      </c>
      <c r="D1186" s="1" t="n">
        <v>0</v>
      </c>
      <c r="E1186" s="1">
        <f>IF(B1186="數值","(F"&amp;C1186&amp;"."&amp;D1186&amp;")","(A"&amp;C1186&amp;")")</f>
        <v/>
      </c>
      <c r="F1186" s="1">
        <f>"alter type "&amp;A1186&amp;" "&amp;E1186&amp;"."</f>
        <v/>
      </c>
    </row>
    <row r="1187">
      <c r="A1187" s="1" t="inlineStr">
        <is>
          <t>at1_17</t>
        </is>
      </c>
      <c r="B1187" s="1" t="inlineStr">
        <is>
          <t>數值</t>
        </is>
      </c>
      <c r="C1187" s="1" t="n">
        <v>2</v>
      </c>
      <c r="D1187" s="1" t="n">
        <v>0</v>
      </c>
      <c r="E1187" s="1">
        <f>IF(B1187="數值","(F"&amp;C1187&amp;"."&amp;D1187&amp;")","(A"&amp;C1187&amp;")")</f>
        <v/>
      </c>
      <c r="F1187" s="1">
        <f>"alter type "&amp;A1187&amp;" "&amp;E1187&amp;"."</f>
        <v/>
      </c>
    </row>
    <row r="1188">
      <c r="A1188" s="1" t="inlineStr">
        <is>
          <t>at1_o04_17</t>
        </is>
      </c>
      <c r="B1188" s="1" t="inlineStr">
        <is>
          <t>字串</t>
        </is>
      </c>
      <c r="C1188" s="1" t="n">
        <v>300</v>
      </c>
      <c r="D1188" s="1" t="n">
        <v>0</v>
      </c>
      <c r="E1188" s="1">
        <f>IF(B1188="數值","(F"&amp;C1188&amp;"."&amp;D1188&amp;")","(A"&amp;C1188&amp;")")</f>
        <v/>
      </c>
      <c r="F1188" s="1">
        <f>"alter type "&amp;A1188&amp;" "&amp;E1188&amp;"."</f>
        <v/>
      </c>
    </row>
    <row r="1189">
      <c r="A1189" s="1" t="inlineStr">
        <is>
          <t>vdate_18</t>
        </is>
      </c>
      <c r="B1189" s="1" t="inlineStr">
        <is>
          <t>數值</t>
        </is>
      </c>
      <c r="C1189" s="1" t="n">
        <v>8</v>
      </c>
      <c r="D1189" s="1" t="n">
        <v>0</v>
      </c>
      <c r="E1189" s="1">
        <f>IF(B1189="數值","(F"&amp;C1189&amp;"."&amp;D1189&amp;")","(A"&amp;C1189&amp;")")</f>
        <v/>
      </c>
      <c r="F1189" s="1">
        <f>"alter type "&amp;A1189&amp;" "&amp;E1189&amp;"."</f>
        <v/>
      </c>
    </row>
    <row r="1190">
      <c r="A1190" s="1" t="inlineStr">
        <is>
          <t>vt_18</t>
        </is>
      </c>
      <c r="B1190" s="1" t="inlineStr">
        <is>
          <t>數值</t>
        </is>
      </c>
      <c r="C1190" s="1" t="n">
        <v>1</v>
      </c>
      <c r="D1190" s="1" t="n">
        <v>0</v>
      </c>
      <c r="E1190" s="1">
        <f>IF(B1190="數值","(F"&amp;C1190&amp;"."&amp;D1190&amp;")","(A"&amp;C1190&amp;")")</f>
        <v/>
      </c>
      <c r="F1190" s="1">
        <f>"alter type "&amp;A1190&amp;" "&amp;E1190&amp;"."</f>
        <v/>
      </c>
    </row>
    <row r="1191">
      <c r="A1191" s="1" t="inlineStr">
        <is>
          <t>vr_18</t>
        </is>
      </c>
      <c r="B1191" s="1" t="inlineStr">
        <is>
          <t>數值</t>
        </is>
      </c>
      <c r="C1191" s="1" t="n">
        <v>4</v>
      </c>
      <c r="D1191" s="1" t="n">
        <v>0</v>
      </c>
      <c r="E1191" s="1">
        <f>IF(B1191="數值","(F"&amp;C1191&amp;"."&amp;D1191&amp;")","(A"&amp;C1191&amp;")")</f>
        <v/>
      </c>
      <c r="F1191" s="1">
        <f>"alter type "&amp;A1191&amp;" "&amp;E1191&amp;"."</f>
        <v/>
      </c>
    </row>
    <row r="1192">
      <c r="A1192" s="1" t="inlineStr">
        <is>
          <t>result303_o_18</t>
        </is>
      </c>
      <c r="B1192" s="1" t="inlineStr">
        <is>
          <t>字串</t>
        </is>
      </c>
      <c r="C1192" s="1" t="n">
        <v>300</v>
      </c>
      <c r="D1192" s="1" t="n">
        <v>0</v>
      </c>
      <c r="E1192" s="1">
        <f>IF(B1192="數值","(F"&amp;C1192&amp;"."&amp;D1192&amp;")","(A"&amp;C1192&amp;")")</f>
        <v/>
      </c>
      <c r="F1192" s="1">
        <f>"alter type "&amp;A1192&amp;" "&amp;E1192&amp;"."</f>
        <v/>
      </c>
    </row>
    <row r="1193">
      <c r="A1193" s="1" t="inlineStr">
        <is>
          <t>result3061_o_18</t>
        </is>
      </c>
      <c r="B1193" s="1" t="inlineStr">
        <is>
          <t>字串</t>
        </is>
      </c>
      <c r="C1193" s="1" t="n">
        <v>300</v>
      </c>
      <c r="D1193" s="1" t="n">
        <v>0</v>
      </c>
      <c r="E1193" s="1">
        <f>IF(B1193="數值","(F"&amp;C1193&amp;"."&amp;D1193&amp;")","(A"&amp;C1193&amp;")")</f>
        <v/>
      </c>
      <c r="F1193" s="1">
        <f>"alter type "&amp;A1193&amp;" "&amp;E1193&amp;"."</f>
        <v/>
      </c>
    </row>
    <row r="1194">
      <c r="A1194" s="1" t="inlineStr">
        <is>
          <t>result3062_o_18</t>
        </is>
      </c>
      <c r="B1194" s="1" t="inlineStr">
        <is>
          <t>字串</t>
        </is>
      </c>
      <c r="C1194" s="1" t="n">
        <v>300</v>
      </c>
      <c r="D1194" s="1" t="n">
        <v>0</v>
      </c>
      <c r="E1194" s="1">
        <f>IF(B1194="數值","(F"&amp;C1194&amp;"."&amp;D1194&amp;")","(A"&amp;C1194&amp;")")</f>
        <v/>
      </c>
      <c r="F1194" s="1">
        <f>"alter type "&amp;A1194&amp;" "&amp;E1194&amp;"."</f>
        <v/>
      </c>
    </row>
    <row r="1195">
      <c r="A1195" s="1" t="inlineStr">
        <is>
          <t>result404_o_18</t>
        </is>
      </c>
      <c r="B1195" s="1" t="inlineStr">
        <is>
          <t>字串</t>
        </is>
      </c>
      <c r="C1195" s="1" t="n">
        <v>300</v>
      </c>
      <c r="D1195" s="1" t="n">
        <v>0</v>
      </c>
      <c r="E1195" s="1">
        <f>IF(B1195="數值","(F"&amp;C1195&amp;"."&amp;D1195&amp;")","(A"&amp;C1195&amp;")")</f>
        <v/>
      </c>
      <c r="F1195" s="1">
        <f>"alter type "&amp;A1195&amp;" "&amp;E1195&amp;"."</f>
        <v/>
      </c>
    </row>
    <row r="1196">
      <c r="A1196" s="1" t="inlineStr">
        <is>
          <t>result504_o_18</t>
        </is>
      </c>
      <c r="B1196" s="1" t="inlineStr">
        <is>
          <t>字串</t>
        </is>
      </c>
      <c r="C1196" s="1" t="n">
        <v>300</v>
      </c>
      <c r="D1196" s="1" t="n">
        <v>0</v>
      </c>
      <c r="E1196" s="1">
        <f>IF(B1196="數值","(F"&amp;C1196&amp;"."&amp;D1196&amp;")","(A"&amp;C1196&amp;")")</f>
        <v/>
      </c>
      <c r="F1196" s="1">
        <f>"alter type "&amp;A1196&amp;" "&amp;E1196&amp;"."</f>
        <v/>
      </c>
    </row>
    <row r="1197">
      <c r="A1197" s="1" t="inlineStr">
        <is>
          <t>result608_o_18</t>
        </is>
      </c>
      <c r="B1197" s="1" t="inlineStr">
        <is>
          <t>字串</t>
        </is>
      </c>
      <c r="C1197" s="1" t="n">
        <v>300</v>
      </c>
      <c r="D1197" s="1" t="n">
        <v>0</v>
      </c>
      <c r="E1197" s="1">
        <f>IF(B1197="數值","(F"&amp;C1197&amp;"."&amp;D1197&amp;")","(A"&amp;C1197&amp;")")</f>
        <v/>
      </c>
      <c r="F1197" s="1">
        <f>"alter type "&amp;A1197&amp;" "&amp;E1197&amp;"."</f>
        <v/>
      </c>
    </row>
    <row r="1198">
      <c r="A1198" s="1" t="inlineStr">
        <is>
          <t>result311_o_18</t>
        </is>
      </c>
      <c r="B1198" s="1" t="inlineStr">
        <is>
          <t>字串</t>
        </is>
      </c>
      <c r="C1198" s="1" t="n">
        <v>300</v>
      </c>
      <c r="D1198" s="1" t="n">
        <v>0</v>
      </c>
      <c r="E1198" s="1">
        <f>IF(B1198="數值","(F"&amp;C1198&amp;"."&amp;D1198&amp;")","(A"&amp;C1198&amp;")")</f>
        <v/>
      </c>
      <c r="F1198" s="1">
        <f>"alter type "&amp;A1198&amp;" "&amp;E1198&amp;"."</f>
        <v/>
      </c>
    </row>
    <row r="1199">
      <c r="A1199" s="1" t="inlineStr">
        <is>
          <t>result607_o_18</t>
        </is>
      </c>
      <c r="B1199" s="1" t="inlineStr">
        <is>
          <t>字串</t>
        </is>
      </c>
      <c r="C1199" s="1" t="n">
        <v>300</v>
      </c>
      <c r="D1199" s="1" t="n">
        <v>0</v>
      </c>
      <c r="E1199" s="1">
        <f>IF(B1199="數值","(F"&amp;C1199&amp;"."&amp;D1199&amp;")","(A"&amp;C1199&amp;")")</f>
        <v/>
      </c>
      <c r="F1199" s="1">
        <f>"alter type "&amp;A1199&amp;" "&amp;E1199&amp;"."</f>
        <v/>
      </c>
    </row>
    <row r="1200">
      <c r="A1200" s="1" t="inlineStr">
        <is>
          <t>result999_o_18</t>
        </is>
      </c>
      <c r="B1200" s="1" t="inlineStr">
        <is>
          <t>字串</t>
        </is>
      </c>
      <c r="C1200" s="1" t="n">
        <v>300</v>
      </c>
      <c r="D1200" s="1" t="n">
        <v>0</v>
      </c>
      <c r="E1200" s="1">
        <f>IF(B1200="數值","(F"&amp;C1200&amp;"."&amp;D1200&amp;")","(A"&amp;C1200&amp;")")</f>
        <v/>
      </c>
      <c r="F1200" s="1">
        <f>"alter type "&amp;A1200&amp;" "&amp;E1200&amp;"."</f>
        <v/>
      </c>
    </row>
    <row r="1201">
      <c r="A1201" s="1" t="inlineStr">
        <is>
          <t>at1_18</t>
        </is>
      </c>
      <c r="B1201" s="1" t="inlineStr">
        <is>
          <t>數值</t>
        </is>
      </c>
      <c r="C1201" s="1" t="n">
        <v>2</v>
      </c>
      <c r="D1201" s="1" t="n">
        <v>0</v>
      </c>
      <c r="E1201" s="1">
        <f>IF(B1201="數值","(F"&amp;C1201&amp;"."&amp;D1201&amp;")","(A"&amp;C1201&amp;")")</f>
        <v/>
      </c>
      <c r="F1201" s="1">
        <f>"alter type "&amp;A1201&amp;" "&amp;E1201&amp;"."</f>
        <v/>
      </c>
    </row>
    <row r="1202">
      <c r="A1202" s="1" t="inlineStr">
        <is>
          <t>at1_o04_18</t>
        </is>
      </c>
      <c r="B1202" s="1" t="inlineStr">
        <is>
          <t>字串</t>
        </is>
      </c>
      <c r="C1202" s="1" t="n">
        <v>300</v>
      </c>
      <c r="D1202" s="1" t="n">
        <v>0</v>
      </c>
      <c r="E1202" s="1">
        <f>IF(B1202="數值","(F"&amp;C1202&amp;"."&amp;D1202&amp;")","(A"&amp;C1202&amp;")")</f>
        <v/>
      </c>
      <c r="F1202" s="1">
        <f>"alter type "&amp;A1202&amp;" "&amp;E1202&amp;"."</f>
        <v/>
      </c>
    </row>
    <row r="1203">
      <c r="A1203" s="1" t="inlineStr">
        <is>
          <t>vdate_19</t>
        </is>
      </c>
      <c r="B1203" s="1" t="inlineStr">
        <is>
          <t>數值</t>
        </is>
      </c>
      <c r="C1203" s="1" t="n">
        <v>8</v>
      </c>
      <c r="D1203" s="1" t="n">
        <v>0</v>
      </c>
      <c r="E1203" s="1">
        <f>IF(B1203="數值","(F"&amp;C1203&amp;"."&amp;D1203&amp;")","(A"&amp;C1203&amp;")")</f>
        <v/>
      </c>
      <c r="F1203" s="1">
        <f>"alter type "&amp;A1203&amp;" "&amp;E1203&amp;"."</f>
        <v/>
      </c>
    </row>
    <row r="1204">
      <c r="A1204" s="1" t="inlineStr">
        <is>
          <t>vt_19</t>
        </is>
      </c>
      <c r="B1204" s="1" t="inlineStr">
        <is>
          <t>數值</t>
        </is>
      </c>
      <c r="C1204" s="1" t="n">
        <v>1</v>
      </c>
      <c r="D1204" s="1" t="n">
        <v>0</v>
      </c>
      <c r="E1204" s="1">
        <f>IF(B1204="數值","(F"&amp;C1204&amp;"."&amp;D1204&amp;")","(A"&amp;C1204&amp;")")</f>
        <v/>
      </c>
      <c r="F1204" s="1">
        <f>"alter type "&amp;A1204&amp;" "&amp;E1204&amp;"."</f>
        <v/>
      </c>
    </row>
    <row r="1205">
      <c r="A1205" s="1" t="inlineStr">
        <is>
          <t>vr_19</t>
        </is>
      </c>
      <c r="B1205" s="1" t="inlineStr">
        <is>
          <t>數值</t>
        </is>
      </c>
      <c r="C1205" s="1" t="n">
        <v>4</v>
      </c>
      <c r="D1205" s="1" t="n">
        <v>0</v>
      </c>
      <c r="E1205" s="1">
        <f>IF(B1205="數值","(F"&amp;C1205&amp;"."&amp;D1205&amp;")","(A"&amp;C1205&amp;")")</f>
        <v/>
      </c>
      <c r="F1205" s="1">
        <f>"alter type "&amp;A1205&amp;" "&amp;E1205&amp;"."</f>
        <v/>
      </c>
    </row>
    <row r="1206">
      <c r="A1206" s="1" t="inlineStr">
        <is>
          <t>result303_o_19</t>
        </is>
      </c>
      <c r="B1206" s="1" t="inlineStr">
        <is>
          <t>字串</t>
        </is>
      </c>
      <c r="C1206" s="1" t="n">
        <v>300</v>
      </c>
      <c r="D1206" s="1" t="n">
        <v>0</v>
      </c>
      <c r="E1206" s="1">
        <f>IF(B1206="數值","(F"&amp;C1206&amp;"."&amp;D1206&amp;")","(A"&amp;C1206&amp;")")</f>
        <v/>
      </c>
      <c r="F1206" s="1">
        <f>"alter type "&amp;A1206&amp;" "&amp;E1206&amp;"."</f>
        <v/>
      </c>
    </row>
    <row r="1207">
      <c r="A1207" s="1" t="inlineStr">
        <is>
          <t>result3061_o_19</t>
        </is>
      </c>
      <c r="B1207" s="1" t="inlineStr">
        <is>
          <t>字串</t>
        </is>
      </c>
      <c r="C1207" s="1" t="n">
        <v>300</v>
      </c>
      <c r="D1207" s="1" t="n">
        <v>0</v>
      </c>
      <c r="E1207" s="1">
        <f>IF(B1207="數值","(F"&amp;C1207&amp;"."&amp;D1207&amp;")","(A"&amp;C1207&amp;")")</f>
        <v/>
      </c>
      <c r="F1207" s="1">
        <f>"alter type "&amp;A1207&amp;" "&amp;E1207&amp;"."</f>
        <v/>
      </c>
    </row>
    <row r="1208">
      <c r="A1208" s="1" t="inlineStr">
        <is>
          <t>result3062_o_19</t>
        </is>
      </c>
      <c r="B1208" s="1" t="inlineStr">
        <is>
          <t>字串</t>
        </is>
      </c>
      <c r="C1208" s="1" t="n">
        <v>300</v>
      </c>
      <c r="D1208" s="1" t="n">
        <v>0</v>
      </c>
      <c r="E1208" s="1">
        <f>IF(B1208="數值","(F"&amp;C1208&amp;"."&amp;D1208&amp;")","(A"&amp;C1208&amp;")")</f>
        <v/>
      </c>
      <c r="F1208" s="1">
        <f>"alter type "&amp;A1208&amp;" "&amp;E1208&amp;"."</f>
        <v/>
      </c>
    </row>
    <row r="1209">
      <c r="A1209" s="1" t="inlineStr">
        <is>
          <t>result404_o_19</t>
        </is>
      </c>
      <c r="B1209" s="1" t="inlineStr">
        <is>
          <t>字串</t>
        </is>
      </c>
      <c r="C1209" s="1" t="n">
        <v>300</v>
      </c>
      <c r="D1209" s="1" t="n">
        <v>0</v>
      </c>
      <c r="E1209" s="1">
        <f>IF(B1209="數值","(F"&amp;C1209&amp;"."&amp;D1209&amp;")","(A"&amp;C1209&amp;")")</f>
        <v/>
      </c>
      <c r="F1209" s="1">
        <f>"alter type "&amp;A1209&amp;" "&amp;E1209&amp;"."</f>
        <v/>
      </c>
    </row>
    <row r="1210">
      <c r="A1210" s="1" t="inlineStr">
        <is>
          <t>result504_o_19</t>
        </is>
      </c>
      <c r="B1210" s="1" t="inlineStr">
        <is>
          <t>字串</t>
        </is>
      </c>
      <c r="C1210" s="1" t="n">
        <v>300</v>
      </c>
      <c r="D1210" s="1" t="n">
        <v>0</v>
      </c>
      <c r="E1210" s="1">
        <f>IF(B1210="數值","(F"&amp;C1210&amp;"."&amp;D1210&amp;")","(A"&amp;C1210&amp;")")</f>
        <v/>
      </c>
      <c r="F1210" s="1">
        <f>"alter type "&amp;A1210&amp;" "&amp;E1210&amp;"."</f>
        <v/>
      </c>
    </row>
    <row r="1211">
      <c r="A1211" s="1" t="inlineStr">
        <is>
          <t>result608_o_19</t>
        </is>
      </c>
      <c r="B1211" s="1" t="inlineStr">
        <is>
          <t>字串</t>
        </is>
      </c>
      <c r="C1211" s="1" t="n">
        <v>300</v>
      </c>
      <c r="D1211" s="1" t="n">
        <v>0</v>
      </c>
      <c r="E1211" s="1">
        <f>IF(B1211="數值","(F"&amp;C1211&amp;"."&amp;D1211&amp;")","(A"&amp;C1211&amp;")")</f>
        <v/>
      </c>
      <c r="F1211" s="1">
        <f>"alter type "&amp;A1211&amp;" "&amp;E1211&amp;"."</f>
        <v/>
      </c>
    </row>
    <row r="1212">
      <c r="A1212" s="1" t="inlineStr">
        <is>
          <t>result311_o_19</t>
        </is>
      </c>
      <c r="B1212" s="1" t="inlineStr">
        <is>
          <t>字串</t>
        </is>
      </c>
      <c r="C1212" s="1" t="n">
        <v>300</v>
      </c>
      <c r="D1212" s="1" t="n">
        <v>0</v>
      </c>
      <c r="E1212" s="1">
        <f>IF(B1212="數值","(F"&amp;C1212&amp;"."&amp;D1212&amp;")","(A"&amp;C1212&amp;")")</f>
        <v/>
      </c>
      <c r="F1212" s="1">
        <f>"alter type "&amp;A1212&amp;" "&amp;E1212&amp;"."</f>
        <v/>
      </c>
    </row>
    <row r="1213">
      <c r="A1213" s="1" t="inlineStr">
        <is>
          <t>result607_o_19</t>
        </is>
      </c>
      <c r="B1213" s="1" t="inlineStr">
        <is>
          <t>字串</t>
        </is>
      </c>
      <c r="C1213" s="1" t="n">
        <v>300</v>
      </c>
      <c r="D1213" s="1" t="n">
        <v>0</v>
      </c>
      <c r="E1213" s="1">
        <f>IF(B1213="數值","(F"&amp;C1213&amp;"."&amp;D1213&amp;")","(A"&amp;C1213&amp;")")</f>
        <v/>
      </c>
      <c r="F1213" s="1">
        <f>"alter type "&amp;A1213&amp;" "&amp;E1213&amp;"."</f>
        <v/>
      </c>
    </row>
    <row r="1214">
      <c r="A1214" s="1" t="inlineStr">
        <is>
          <t>result999_o_19</t>
        </is>
      </c>
      <c r="B1214" s="1" t="inlineStr">
        <is>
          <t>字串</t>
        </is>
      </c>
      <c r="C1214" s="1" t="n">
        <v>300</v>
      </c>
      <c r="D1214" s="1" t="n">
        <v>0</v>
      </c>
      <c r="E1214" s="1">
        <f>IF(B1214="數值","(F"&amp;C1214&amp;"."&amp;D1214&amp;")","(A"&amp;C1214&amp;")")</f>
        <v/>
      </c>
      <c r="F1214" s="1">
        <f>"alter type "&amp;A1214&amp;" "&amp;E1214&amp;"."</f>
        <v/>
      </c>
    </row>
    <row r="1215">
      <c r="A1215" s="1" t="inlineStr">
        <is>
          <t>at1_19</t>
        </is>
      </c>
      <c r="B1215" s="1" t="inlineStr">
        <is>
          <t>數值</t>
        </is>
      </c>
      <c r="C1215" s="1" t="n">
        <v>2</v>
      </c>
      <c r="D1215" s="1" t="n">
        <v>0</v>
      </c>
      <c r="E1215" s="1">
        <f>IF(B1215="數值","(F"&amp;C1215&amp;"."&amp;D1215&amp;")","(A"&amp;C1215&amp;")")</f>
        <v/>
      </c>
      <c r="F1215" s="1">
        <f>"alter type "&amp;A1215&amp;" "&amp;E1215&amp;"."</f>
        <v/>
      </c>
    </row>
    <row r="1216">
      <c r="A1216" s="1" t="inlineStr">
        <is>
          <t>at1_o04_19</t>
        </is>
      </c>
      <c r="B1216" s="1" t="inlineStr">
        <is>
          <t>字串</t>
        </is>
      </c>
      <c r="C1216" s="1" t="n">
        <v>300</v>
      </c>
      <c r="D1216" s="1" t="n">
        <v>0</v>
      </c>
      <c r="E1216" s="1">
        <f>IF(B1216="數值","(F"&amp;C1216&amp;"."&amp;D1216&amp;")","(A"&amp;C1216&amp;")")</f>
        <v/>
      </c>
      <c r="F1216" s="1">
        <f>"alter type "&amp;A1216&amp;" "&amp;E1216&amp;"."</f>
        <v/>
      </c>
    </row>
    <row r="1217">
      <c r="A1217" s="1" t="inlineStr">
        <is>
          <t>vdate_20</t>
        </is>
      </c>
      <c r="B1217" s="1" t="inlineStr">
        <is>
          <t>數值</t>
        </is>
      </c>
      <c r="C1217" s="1" t="n">
        <v>8</v>
      </c>
      <c r="D1217" s="1" t="n">
        <v>0</v>
      </c>
      <c r="E1217" s="1">
        <f>IF(B1217="數值","(F"&amp;C1217&amp;"."&amp;D1217&amp;")","(A"&amp;C1217&amp;")")</f>
        <v/>
      </c>
      <c r="F1217" s="1">
        <f>"alter type "&amp;A1217&amp;" "&amp;E1217&amp;"."</f>
        <v/>
      </c>
    </row>
    <row r="1218">
      <c r="A1218" s="1" t="inlineStr">
        <is>
          <t>vt_20</t>
        </is>
      </c>
      <c r="B1218" s="1" t="inlineStr">
        <is>
          <t>數值</t>
        </is>
      </c>
      <c r="C1218" s="1" t="n">
        <v>1</v>
      </c>
      <c r="D1218" s="1" t="n">
        <v>0</v>
      </c>
      <c r="E1218" s="1">
        <f>IF(B1218="數值","(F"&amp;C1218&amp;"."&amp;D1218&amp;")","(A"&amp;C1218&amp;")")</f>
        <v/>
      </c>
      <c r="F1218" s="1">
        <f>"alter type "&amp;A1218&amp;" "&amp;E1218&amp;"."</f>
        <v/>
      </c>
    </row>
    <row r="1219">
      <c r="A1219" s="1" t="inlineStr">
        <is>
          <t>vr_20</t>
        </is>
      </c>
      <c r="B1219" s="1" t="inlineStr">
        <is>
          <t>數值</t>
        </is>
      </c>
      <c r="C1219" s="1" t="n">
        <v>4</v>
      </c>
      <c r="D1219" s="1" t="n">
        <v>0</v>
      </c>
      <c r="E1219" s="1">
        <f>IF(B1219="數值","(F"&amp;C1219&amp;"."&amp;D1219&amp;")","(A"&amp;C1219&amp;")")</f>
        <v/>
      </c>
      <c r="F1219" s="1">
        <f>"alter type "&amp;A1219&amp;" "&amp;E1219&amp;"."</f>
        <v/>
      </c>
    </row>
    <row r="1220">
      <c r="A1220" s="1" t="inlineStr">
        <is>
          <t>result303_o_20</t>
        </is>
      </c>
      <c r="B1220" s="1" t="inlineStr">
        <is>
          <t>字串</t>
        </is>
      </c>
      <c r="C1220" s="1" t="n">
        <v>300</v>
      </c>
      <c r="D1220" s="1" t="n">
        <v>0</v>
      </c>
      <c r="E1220" s="1">
        <f>IF(B1220="數值","(F"&amp;C1220&amp;"."&amp;D1220&amp;")","(A"&amp;C1220&amp;")")</f>
        <v/>
      </c>
      <c r="F1220" s="1">
        <f>"alter type "&amp;A1220&amp;" "&amp;E1220&amp;"."</f>
        <v/>
      </c>
    </row>
    <row r="1221">
      <c r="A1221" s="1" t="inlineStr">
        <is>
          <t>result3061_o_20</t>
        </is>
      </c>
      <c r="B1221" s="1" t="inlineStr">
        <is>
          <t>字串</t>
        </is>
      </c>
      <c r="C1221" s="1" t="n">
        <v>300</v>
      </c>
      <c r="D1221" s="1" t="n">
        <v>0</v>
      </c>
      <c r="E1221" s="1">
        <f>IF(B1221="數值","(F"&amp;C1221&amp;"."&amp;D1221&amp;")","(A"&amp;C1221&amp;")")</f>
        <v/>
      </c>
      <c r="F1221" s="1">
        <f>"alter type "&amp;A1221&amp;" "&amp;E1221&amp;"."</f>
        <v/>
      </c>
    </row>
    <row r="1222">
      <c r="A1222" s="1" t="inlineStr">
        <is>
          <t>result3062_o_20</t>
        </is>
      </c>
      <c r="B1222" s="1" t="inlineStr">
        <is>
          <t>字串</t>
        </is>
      </c>
      <c r="C1222" s="1" t="n">
        <v>300</v>
      </c>
      <c r="D1222" s="1" t="n">
        <v>0</v>
      </c>
      <c r="E1222" s="1">
        <f>IF(B1222="數值","(F"&amp;C1222&amp;"."&amp;D1222&amp;")","(A"&amp;C1222&amp;")")</f>
        <v/>
      </c>
      <c r="F1222" s="1">
        <f>"alter type "&amp;A1222&amp;" "&amp;E1222&amp;"."</f>
        <v/>
      </c>
    </row>
    <row r="1223">
      <c r="A1223" s="1" t="inlineStr">
        <is>
          <t>result404_o_20</t>
        </is>
      </c>
      <c r="B1223" s="1" t="inlineStr">
        <is>
          <t>字串</t>
        </is>
      </c>
      <c r="C1223" s="1" t="n">
        <v>300</v>
      </c>
      <c r="D1223" s="1" t="n">
        <v>0</v>
      </c>
      <c r="E1223" s="1">
        <f>IF(B1223="數值","(F"&amp;C1223&amp;"."&amp;D1223&amp;")","(A"&amp;C1223&amp;")")</f>
        <v/>
      </c>
      <c r="F1223" s="1">
        <f>"alter type "&amp;A1223&amp;" "&amp;E1223&amp;"."</f>
        <v/>
      </c>
    </row>
    <row r="1224">
      <c r="A1224" s="1" t="inlineStr">
        <is>
          <t>result504_o_20</t>
        </is>
      </c>
      <c r="B1224" s="1" t="inlineStr">
        <is>
          <t>字串</t>
        </is>
      </c>
      <c r="C1224" s="1" t="n">
        <v>300</v>
      </c>
      <c r="D1224" s="1" t="n">
        <v>0</v>
      </c>
      <c r="E1224" s="1">
        <f>IF(B1224="數值","(F"&amp;C1224&amp;"."&amp;D1224&amp;")","(A"&amp;C1224&amp;")")</f>
        <v/>
      </c>
      <c r="F1224" s="1">
        <f>"alter type "&amp;A1224&amp;" "&amp;E1224&amp;"."</f>
        <v/>
      </c>
    </row>
    <row r="1225">
      <c r="A1225" s="1" t="inlineStr">
        <is>
          <t>result608_o_20</t>
        </is>
      </c>
      <c r="B1225" s="1" t="inlineStr">
        <is>
          <t>字串</t>
        </is>
      </c>
      <c r="C1225" s="1" t="n">
        <v>300</v>
      </c>
      <c r="D1225" s="1" t="n">
        <v>0</v>
      </c>
      <c r="E1225" s="1">
        <f>IF(B1225="數值","(F"&amp;C1225&amp;"."&amp;D1225&amp;")","(A"&amp;C1225&amp;")")</f>
        <v/>
      </c>
      <c r="F1225" s="1">
        <f>"alter type "&amp;A1225&amp;" "&amp;E1225&amp;"."</f>
        <v/>
      </c>
    </row>
    <row r="1226">
      <c r="A1226" s="1" t="inlineStr">
        <is>
          <t>result311_o_20</t>
        </is>
      </c>
      <c r="B1226" s="1" t="inlineStr">
        <is>
          <t>字串</t>
        </is>
      </c>
      <c r="C1226" s="1" t="n">
        <v>300</v>
      </c>
      <c r="D1226" s="1" t="n">
        <v>0</v>
      </c>
      <c r="E1226" s="1">
        <f>IF(B1226="數值","(F"&amp;C1226&amp;"."&amp;D1226&amp;")","(A"&amp;C1226&amp;")")</f>
        <v/>
      </c>
      <c r="F1226" s="1">
        <f>"alter type "&amp;A1226&amp;" "&amp;E1226&amp;"."</f>
        <v/>
      </c>
    </row>
    <row r="1227">
      <c r="A1227" s="1" t="inlineStr">
        <is>
          <t>result607_o_20</t>
        </is>
      </c>
      <c r="B1227" s="1" t="inlineStr">
        <is>
          <t>字串</t>
        </is>
      </c>
      <c r="C1227" s="1" t="n">
        <v>300</v>
      </c>
      <c r="D1227" s="1" t="n">
        <v>0</v>
      </c>
      <c r="E1227" s="1">
        <f>IF(B1227="數值","(F"&amp;C1227&amp;"."&amp;D1227&amp;")","(A"&amp;C1227&amp;")")</f>
        <v/>
      </c>
      <c r="F1227" s="1">
        <f>"alter type "&amp;A1227&amp;" "&amp;E1227&amp;"."</f>
        <v/>
      </c>
    </row>
    <row r="1228">
      <c r="A1228" s="1" t="inlineStr">
        <is>
          <t>result999_o_20</t>
        </is>
      </c>
      <c r="B1228" s="1" t="inlineStr">
        <is>
          <t>字串</t>
        </is>
      </c>
      <c r="C1228" s="1" t="n">
        <v>300</v>
      </c>
      <c r="D1228" s="1" t="n">
        <v>0</v>
      </c>
      <c r="E1228" s="1">
        <f>IF(B1228="數值","(F"&amp;C1228&amp;"."&amp;D1228&amp;")","(A"&amp;C1228&amp;")")</f>
        <v/>
      </c>
      <c r="F1228" s="1">
        <f>"alter type "&amp;A1228&amp;" "&amp;E1228&amp;"."</f>
        <v/>
      </c>
    </row>
    <row r="1229">
      <c r="A1229" s="1" t="inlineStr">
        <is>
          <t>at1_20</t>
        </is>
      </c>
      <c r="B1229" s="1" t="inlineStr">
        <is>
          <t>數值</t>
        </is>
      </c>
      <c r="C1229" s="1" t="n">
        <v>2</v>
      </c>
      <c r="D1229" s="1" t="n">
        <v>0</v>
      </c>
      <c r="E1229" s="1">
        <f>IF(B1229="數值","(F"&amp;C1229&amp;"."&amp;D1229&amp;")","(A"&amp;C1229&amp;")")</f>
        <v/>
      </c>
      <c r="F1229" s="1">
        <f>"alter type "&amp;A1229&amp;" "&amp;E1229&amp;"."</f>
        <v/>
      </c>
    </row>
    <row r="1230">
      <c r="A1230" s="1" t="inlineStr">
        <is>
          <t>at1_o04_20</t>
        </is>
      </c>
      <c r="B1230" s="1" t="inlineStr">
        <is>
          <t>字串</t>
        </is>
      </c>
      <c r="C1230" s="1" t="n">
        <v>300</v>
      </c>
      <c r="D1230" s="1" t="n">
        <v>0</v>
      </c>
      <c r="E1230" s="1">
        <f>IF(B1230="數值","(F"&amp;C1230&amp;"."&amp;D1230&amp;")","(A"&amp;C1230&amp;")")</f>
        <v/>
      </c>
      <c r="F1230" s="1">
        <f>"alter type "&amp;A1230&amp;" "&amp;E1230&amp;"."</f>
        <v/>
      </c>
    </row>
    <row r="1231">
      <c r="A1231" s="1" t="inlineStr">
        <is>
          <t>vdate_21</t>
        </is>
      </c>
      <c r="B1231" s="1" t="inlineStr">
        <is>
          <t>數值</t>
        </is>
      </c>
      <c r="C1231" s="1" t="n">
        <v>8</v>
      </c>
      <c r="D1231" s="1" t="n">
        <v>0</v>
      </c>
      <c r="E1231" s="1">
        <f>IF(B1231="數值","(F"&amp;C1231&amp;"."&amp;D1231&amp;")","(A"&amp;C1231&amp;")")</f>
        <v/>
      </c>
      <c r="F1231" s="1">
        <f>"alter type "&amp;A1231&amp;" "&amp;E1231&amp;"."</f>
        <v/>
      </c>
    </row>
    <row r="1232">
      <c r="A1232" s="1" t="inlineStr">
        <is>
          <t>vt_21</t>
        </is>
      </c>
      <c r="B1232" s="1" t="inlineStr">
        <is>
          <t>數值</t>
        </is>
      </c>
      <c r="C1232" s="1" t="n">
        <v>1</v>
      </c>
      <c r="D1232" s="1" t="n">
        <v>0</v>
      </c>
      <c r="E1232" s="1">
        <f>IF(B1232="數值","(F"&amp;C1232&amp;"."&amp;D1232&amp;")","(A"&amp;C1232&amp;")")</f>
        <v/>
      </c>
      <c r="F1232" s="1">
        <f>"alter type "&amp;A1232&amp;" "&amp;E1232&amp;"."</f>
        <v/>
      </c>
    </row>
    <row r="1233">
      <c r="A1233" s="1" t="inlineStr">
        <is>
          <t>vr_21</t>
        </is>
      </c>
      <c r="B1233" s="1" t="inlineStr">
        <is>
          <t>數值</t>
        </is>
      </c>
      <c r="C1233" s="1" t="n">
        <v>4</v>
      </c>
      <c r="D1233" s="1" t="n">
        <v>0</v>
      </c>
      <c r="E1233" s="1">
        <f>IF(B1233="數值","(F"&amp;C1233&amp;"."&amp;D1233&amp;")","(A"&amp;C1233&amp;")")</f>
        <v/>
      </c>
      <c r="F1233" s="1">
        <f>"alter type "&amp;A1233&amp;" "&amp;E1233&amp;"."</f>
        <v/>
      </c>
    </row>
    <row r="1234">
      <c r="A1234" s="1" t="inlineStr">
        <is>
          <t>result303_o_21</t>
        </is>
      </c>
      <c r="B1234" s="1" t="inlineStr">
        <is>
          <t>字串</t>
        </is>
      </c>
      <c r="C1234" s="1" t="n">
        <v>300</v>
      </c>
      <c r="D1234" s="1" t="n">
        <v>0</v>
      </c>
      <c r="E1234" s="1">
        <f>IF(B1234="數值","(F"&amp;C1234&amp;"."&amp;D1234&amp;")","(A"&amp;C1234&amp;")")</f>
        <v/>
      </c>
      <c r="F1234" s="1">
        <f>"alter type "&amp;A1234&amp;" "&amp;E1234&amp;"."</f>
        <v/>
      </c>
    </row>
    <row r="1235">
      <c r="A1235" s="1" t="inlineStr">
        <is>
          <t>result3061_o_21</t>
        </is>
      </c>
      <c r="B1235" s="1" t="inlineStr">
        <is>
          <t>字串</t>
        </is>
      </c>
      <c r="C1235" s="1" t="n">
        <v>300</v>
      </c>
      <c r="D1235" s="1" t="n">
        <v>0</v>
      </c>
      <c r="E1235" s="1">
        <f>IF(B1235="數值","(F"&amp;C1235&amp;"."&amp;D1235&amp;")","(A"&amp;C1235&amp;")")</f>
        <v/>
      </c>
      <c r="F1235" s="1">
        <f>"alter type "&amp;A1235&amp;" "&amp;E1235&amp;"."</f>
        <v/>
      </c>
    </row>
    <row r="1236">
      <c r="A1236" s="1" t="inlineStr">
        <is>
          <t>result3062_o_21</t>
        </is>
      </c>
      <c r="B1236" s="1" t="inlineStr">
        <is>
          <t>字串</t>
        </is>
      </c>
      <c r="C1236" s="1" t="n">
        <v>300</v>
      </c>
      <c r="D1236" s="1" t="n">
        <v>0</v>
      </c>
      <c r="E1236" s="1">
        <f>IF(B1236="數值","(F"&amp;C1236&amp;"."&amp;D1236&amp;")","(A"&amp;C1236&amp;")")</f>
        <v/>
      </c>
      <c r="F1236" s="1">
        <f>"alter type "&amp;A1236&amp;" "&amp;E1236&amp;"."</f>
        <v/>
      </c>
    </row>
    <row r="1237">
      <c r="A1237" s="1" t="inlineStr">
        <is>
          <t>result404_o_21</t>
        </is>
      </c>
      <c r="B1237" s="1" t="inlineStr">
        <is>
          <t>字串</t>
        </is>
      </c>
      <c r="C1237" s="1" t="n">
        <v>300</v>
      </c>
      <c r="D1237" s="1" t="n">
        <v>0</v>
      </c>
      <c r="E1237" s="1">
        <f>IF(B1237="數值","(F"&amp;C1237&amp;"."&amp;D1237&amp;")","(A"&amp;C1237&amp;")")</f>
        <v/>
      </c>
      <c r="F1237" s="1">
        <f>"alter type "&amp;A1237&amp;" "&amp;E1237&amp;"."</f>
        <v/>
      </c>
    </row>
    <row r="1238">
      <c r="A1238" s="1" t="inlineStr">
        <is>
          <t>result504_o_21</t>
        </is>
      </c>
      <c r="B1238" s="1" t="inlineStr">
        <is>
          <t>字串</t>
        </is>
      </c>
      <c r="C1238" s="1" t="n">
        <v>300</v>
      </c>
      <c r="D1238" s="1" t="n">
        <v>0</v>
      </c>
      <c r="E1238" s="1">
        <f>IF(B1238="數值","(F"&amp;C1238&amp;"."&amp;D1238&amp;")","(A"&amp;C1238&amp;")")</f>
        <v/>
      </c>
      <c r="F1238" s="1">
        <f>"alter type "&amp;A1238&amp;" "&amp;E1238&amp;"."</f>
        <v/>
      </c>
    </row>
    <row r="1239">
      <c r="A1239" s="1" t="inlineStr">
        <is>
          <t>result608_o_21</t>
        </is>
      </c>
      <c r="B1239" s="1" t="inlineStr">
        <is>
          <t>字串</t>
        </is>
      </c>
      <c r="C1239" s="1" t="n">
        <v>300</v>
      </c>
      <c r="D1239" s="1" t="n">
        <v>0</v>
      </c>
      <c r="E1239" s="1">
        <f>IF(B1239="數值","(F"&amp;C1239&amp;"."&amp;D1239&amp;")","(A"&amp;C1239&amp;")")</f>
        <v/>
      </c>
      <c r="F1239" s="1">
        <f>"alter type "&amp;A1239&amp;" "&amp;E1239&amp;"."</f>
        <v/>
      </c>
    </row>
    <row r="1240">
      <c r="A1240" s="1" t="inlineStr">
        <is>
          <t>result311_o_21</t>
        </is>
      </c>
      <c r="B1240" s="1" t="inlineStr">
        <is>
          <t>字串</t>
        </is>
      </c>
      <c r="C1240" s="1" t="n">
        <v>300</v>
      </c>
      <c r="D1240" s="1" t="n">
        <v>0</v>
      </c>
      <c r="E1240" s="1">
        <f>IF(B1240="數值","(F"&amp;C1240&amp;"."&amp;D1240&amp;")","(A"&amp;C1240&amp;")")</f>
        <v/>
      </c>
      <c r="F1240" s="1">
        <f>"alter type "&amp;A1240&amp;" "&amp;E1240&amp;"."</f>
        <v/>
      </c>
    </row>
    <row r="1241">
      <c r="A1241" s="1" t="inlineStr">
        <is>
          <t>result607_o_21</t>
        </is>
      </c>
      <c r="B1241" s="1" t="inlineStr">
        <is>
          <t>字串</t>
        </is>
      </c>
      <c r="C1241" s="1" t="n">
        <v>300</v>
      </c>
      <c r="D1241" s="1" t="n">
        <v>0</v>
      </c>
      <c r="E1241" s="1">
        <f>IF(B1241="數值","(F"&amp;C1241&amp;"."&amp;D1241&amp;")","(A"&amp;C1241&amp;")")</f>
        <v/>
      </c>
      <c r="F1241" s="1">
        <f>"alter type "&amp;A1241&amp;" "&amp;E1241&amp;"."</f>
        <v/>
      </c>
    </row>
    <row r="1242">
      <c r="A1242" s="1" t="inlineStr">
        <is>
          <t>result999_o_21</t>
        </is>
      </c>
      <c r="B1242" s="1" t="inlineStr">
        <is>
          <t>字串</t>
        </is>
      </c>
      <c r="C1242" s="1" t="n">
        <v>300</v>
      </c>
      <c r="D1242" s="1" t="n">
        <v>0</v>
      </c>
      <c r="E1242" s="1">
        <f>IF(B1242="數值","(F"&amp;C1242&amp;"."&amp;D1242&amp;")","(A"&amp;C1242&amp;")")</f>
        <v/>
      </c>
      <c r="F1242" s="1">
        <f>"alter type "&amp;A1242&amp;" "&amp;E1242&amp;"."</f>
        <v/>
      </c>
    </row>
    <row r="1243">
      <c r="A1243" s="1" t="inlineStr">
        <is>
          <t>at1_21</t>
        </is>
      </c>
      <c r="B1243" s="1" t="inlineStr">
        <is>
          <t>數值</t>
        </is>
      </c>
      <c r="C1243" s="1" t="n">
        <v>2</v>
      </c>
      <c r="D1243" s="1" t="n">
        <v>0</v>
      </c>
      <c r="E1243" s="1">
        <f>IF(B1243="數值","(F"&amp;C1243&amp;"."&amp;D1243&amp;")","(A"&amp;C1243&amp;")")</f>
        <v/>
      </c>
      <c r="F1243" s="1">
        <f>"alter type "&amp;A1243&amp;" "&amp;E1243&amp;"."</f>
        <v/>
      </c>
    </row>
    <row r="1244">
      <c r="A1244" s="1" t="inlineStr">
        <is>
          <t>at1_o04_21</t>
        </is>
      </c>
      <c r="B1244" s="1" t="inlineStr">
        <is>
          <t>字串</t>
        </is>
      </c>
      <c r="C1244" s="1" t="n">
        <v>300</v>
      </c>
      <c r="D1244" s="1" t="n">
        <v>0</v>
      </c>
      <c r="E1244" s="1">
        <f>IF(B1244="數值","(F"&amp;C1244&amp;"."&amp;D1244&amp;")","(A"&amp;C1244&amp;")")</f>
        <v/>
      </c>
      <c r="F1244" s="1">
        <f>"alter type "&amp;A1244&amp;" "&amp;E1244&amp;"."</f>
        <v/>
      </c>
    </row>
    <row r="1245">
      <c r="A1245" s="1" t="inlineStr">
        <is>
          <t>vdate_22</t>
        </is>
      </c>
      <c r="B1245" s="1" t="inlineStr">
        <is>
          <t>數值</t>
        </is>
      </c>
      <c r="C1245" s="1" t="n">
        <v>8</v>
      </c>
      <c r="D1245" s="1" t="n">
        <v>0</v>
      </c>
      <c r="E1245" s="1">
        <f>IF(B1245="數值","(F"&amp;C1245&amp;"."&amp;D1245&amp;")","(A"&amp;C1245&amp;")")</f>
        <v/>
      </c>
      <c r="F1245" s="1">
        <f>"alter type "&amp;A1245&amp;" "&amp;E1245&amp;"."</f>
        <v/>
      </c>
    </row>
    <row r="1246">
      <c r="A1246" s="1" t="inlineStr">
        <is>
          <t>vt_22</t>
        </is>
      </c>
      <c r="B1246" s="1" t="inlineStr">
        <is>
          <t>數值</t>
        </is>
      </c>
      <c r="C1246" s="1" t="n">
        <v>1</v>
      </c>
      <c r="D1246" s="1" t="n">
        <v>0</v>
      </c>
      <c r="E1246" s="1">
        <f>IF(B1246="數值","(F"&amp;C1246&amp;"."&amp;D1246&amp;")","(A"&amp;C1246&amp;")")</f>
        <v/>
      </c>
      <c r="F1246" s="1">
        <f>"alter type "&amp;A1246&amp;" "&amp;E1246&amp;"."</f>
        <v/>
      </c>
    </row>
    <row r="1247">
      <c r="A1247" s="1" t="inlineStr">
        <is>
          <t>vr_22</t>
        </is>
      </c>
      <c r="B1247" s="1" t="inlineStr">
        <is>
          <t>數值</t>
        </is>
      </c>
      <c r="C1247" s="1" t="n">
        <v>4</v>
      </c>
      <c r="D1247" s="1" t="n">
        <v>0</v>
      </c>
      <c r="E1247" s="1">
        <f>IF(B1247="數值","(F"&amp;C1247&amp;"."&amp;D1247&amp;")","(A"&amp;C1247&amp;")")</f>
        <v/>
      </c>
      <c r="F1247" s="1">
        <f>"alter type "&amp;A1247&amp;" "&amp;E1247&amp;"."</f>
        <v/>
      </c>
    </row>
    <row r="1248">
      <c r="A1248" s="1" t="inlineStr">
        <is>
          <t>result303_o_22</t>
        </is>
      </c>
      <c r="B1248" s="1" t="inlineStr">
        <is>
          <t>字串</t>
        </is>
      </c>
      <c r="C1248" s="1" t="n">
        <v>300</v>
      </c>
      <c r="D1248" s="1" t="n">
        <v>0</v>
      </c>
      <c r="E1248" s="1">
        <f>IF(B1248="數值","(F"&amp;C1248&amp;"."&amp;D1248&amp;")","(A"&amp;C1248&amp;")")</f>
        <v/>
      </c>
      <c r="F1248" s="1">
        <f>"alter type "&amp;A1248&amp;" "&amp;E1248&amp;"."</f>
        <v/>
      </c>
    </row>
    <row r="1249">
      <c r="A1249" s="1" t="inlineStr">
        <is>
          <t>result3061_o_22</t>
        </is>
      </c>
      <c r="B1249" s="1" t="inlineStr">
        <is>
          <t>字串</t>
        </is>
      </c>
      <c r="C1249" s="1" t="n">
        <v>300</v>
      </c>
      <c r="D1249" s="1" t="n">
        <v>0</v>
      </c>
      <c r="E1249" s="1">
        <f>IF(B1249="數值","(F"&amp;C1249&amp;"."&amp;D1249&amp;")","(A"&amp;C1249&amp;")")</f>
        <v/>
      </c>
      <c r="F1249" s="1">
        <f>"alter type "&amp;A1249&amp;" "&amp;E1249&amp;"."</f>
        <v/>
      </c>
    </row>
    <row r="1250">
      <c r="A1250" s="1" t="inlineStr">
        <is>
          <t>result3062_o_22</t>
        </is>
      </c>
      <c r="B1250" s="1" t="inlineStr">
        <is>
          <t>字串</t>
        </is>
      </c>
      <c r="C1250" s="1" t="n">
        <v>300</v>
      </c>
      <c r="D1250" s="1" t="n">
        <v>0</v>
      </c>
      <c r="E1250" s="1">
        <f>IF(B1250="數值","(F"&amp;C1250&amp;"."&amp;D1250&amp;")","(A"&amp;C1250&amp;")")</f>
        <v/>
      </c>
      <c r="F1250" s="1">
        <f>"alter type "&amp;A1250&amp;" "&amp;E1250&amp;"."</f>
        <v/>
      </c>
    </row>
    <row r="1251">
      <c r="A1251" s="1" t="inlineStr">
        <is>
          <t>result404_o_22</t>
        </is>
      </c>
      <c r="B1251" s="1" t="inlineStr">
        <is>
          <t>字串</t>
        </is>
      </c>
      <c r="C1251" s="1" t="n">
        <v>300</v>
      </c>
      <c r="D1251" s="1" t="n">
        <v>0</v>
      </c>
      <c r="E1251" s="1">
        <f>IF(B1251="數值","(F"&amp;C1251&amp;"."&amp;D1251&amp;")","(A"&amp;C1251&amp;")")</f>
        <v/>
      </c>
      <c r="F1251" s="1">
        <f>"alter type "&amp;A1251&amp;" "&amp;E1251&amp;"."</f>
        <v/>
      </c>
    </row>
    <row r="1252">
      <c r="A1252" s="1" t="inlineStr">
        <is>
          <t>result504_o_22</t>
        </is>
      </c>
      <c r="B1252" s="1" t="inlineStr">
        <is>
          <t>字串</t>
        </is>
      </c>
      <c r="C1252" s="1" t="n">
        <v>300</v>
      </c>
      <c r="D1252" s="1" t="n">
        <v>0</v>
      </c>
      <c r="E1252" s="1">
        <f>IF(B1252="數值","(F"&amp;C1252&amp;"."&amp;D1252&amp;")","(A"&amp;C1252&amp;")")</f>
        <v/>
      </c>
      <c r="F1252" s="1">
        <f>"alter type "&amp;A1252&amp;" "&amp;E1252&amp;"."</f>
        <v/>
      </c>
    </row>
    <row r="1253">
      <c r="A1253" s="1" t="inlineStr">
        <is>
          <t>result608_o_22</t>
        </is>
      </c>
      <c r="B1253" s="1" t="inlineStr">
        <is>
          <t>字串</t>
        </is>
      </c>
      <c r="C1253" s="1" t="n">
        <v>300</v>
      </c>
      <c r="D1253" s="1" t="n">
        <v>0</v>
      </c>
      <c r="E1253" s="1">
        <f>IF(B1253="數值","(F"&amp;C1253&amp;"."&amp;D1253&amp;")","(A"&amp;C1253&amp;")")</f>
        <v/>
      </c>
      <c r="F1253" s="1">
        <f>"alter type "&amp;A1253&amp;" "&amp;E1253&amp;"."</f>
        <v/>
      </c>
    </row>
    <row r="1254">
      <c r="A1254" s="1" t="inlineStr">
        <is>
          <t>result311_o_22</t>
        </is>
      </c>
      <c r="B1254" s="1" t="inlineStr">
        <is>
          <t>字串</t>
        </is>
      </c>
      <c r="C1254" s="1" t="n">
        <v>300</v>
      </c>
      <c r="D1254" s="1" t="n">
        <v>0</v>
      </c>
      <c r="E1254" s="1">
        <f>IF(B1254="數值","(F"&amp;C1254&amp;"."&amp;D1254&amp;")","(A"&amp;C1254&amp;")")</f>
        <v/>
      </c>
      <c r="F1254" s="1">
        <f>"alter type "&amp;A1254&amp;" "&amp;E1254&amp;"."</f>
        <v/>
      </c>
    </row>
    <row r="1255">
      <c r="A1255" s="1" t="inlineStr">
        <is>
          <t>result607_o_22</t>
        </is>
      </c>
      <c r="B1255" s="1" t="inlineStr">
        <is>
          <t>字串</t>
        </is>
      </c>
      <c r="C1255" s="1" t="n">
        <v>300</v>
      </c>
      <c r="D1255" s="1" t="n">
        <v>0</v>
      </c>
      <c r="E1255" s="1">
        <f>IF(B1255="數值","(F"&amp;C1255&amp;"."&amp;D1255&amp;")","(A"&amp;C1255&amp;")")</f>
        <v/>
      </c>
      <c r="F1255" s="1">
        <f>"alter type "&amp;A1255&amp;" "&amp;E1255&amp;"."</f>
        <v/>
      </c>
    </row>
    <row r="1256">
      <c r="A1256" s="1" t="inlineStr">
        <is>
          <t>result999_o_22</t>
        </is>
      </c>
      <c r="B1256" s="1" t="inlineStr">
        <is>
          <t>字串</t>
        </is>
      </c>
      <c r="C1256" s="1" t="n">
        <v>300</v>
      </c>
      <c r="D1256" s="1" t="n">
        <v>0</v>
      </c>
      <c r="E1256" s="1">
        <f>IF(B1256="數值","(F"&amp;C1256&amp;"."&amp;D1256&amp;")","(A"&amp;C1256&amp;")")</f>
        <v/>
      </c>
      <c r="F1256" s="1">
        <f>"alter type "&amp;A1256&amp;" "&amp;E1256&amp;"."</f>
        <v/>
      </c>
    </row>
    <row r="1257">
      <c r="A1257" s="1" t="inlineStr">
        <is>
          <t>at1_22</t>
        </is>
      </c>
      <c r="B1257" s="1" t="inlineStr">
        <is>
          <t>數值</t>
        </is>
      </c>
      <c r="C1257" s="1" t="n">
        <v>2</v>
      </c>
      <c r="D1257" s="1" t="n">
        <v>0</v>
      </c>
      <c r="E1257" s="1">
        <f>IF(B1257="數值","(F"&amp;C1257&amp;"."&amp;D1257&amp;")","(A"&amp;C1257&amp;")")</f>
        <v/>
      </c>
      <c r="F1257" s="1">
        <f>"alter type "&amp;A1257&amp;" "&amp;E1257&amp;"."</f>
        <v/>
      </c>
    </row>
    <row r="1258">
      <c r="A1258" s="1" t="inlineStr">
        <is>
          <t>at1_o04_22</t>
        </is>
      </c>
      <c r="B1258" s="1" t="inlineStr">
        <is>
          <t>字串</t>
        </is>
      </c>
      <c r="C1258" s="1" t="n">
        <v>300</v>
      </c>
      <c r="D1258" s="1" t="n">
        <v>0</v>
      </c>
      <c r="E1258" s="1">
        <f>IF(B1258="數值","(F"&amp;C1258&amp;"."&amp;D1258&amp;")","(A"&amp;C1258&amp;")")</f>
        <v/>
      </c>
      <c r="F1258" s="1">
        <f>"alter type "&amp;A1258&amp;" "&amp;E1258&amp;"."</f>
        <v/>
      </c>
    </row>
    <row r="1259">
      <c r="A1259" s="1" t="inlineStr">
        <is>
          <t>vdate_23</t>
        </is>
      </c>
      <c r="B1259" s="1" t="inlineStr">
        <is>
          <t>數值</t>
        </is>
      </c>
      <c r="C1259" s="1" t="n">
        <v>8</v>
      </c>
      <c r="D1259" s="1" t="n">
        <v>0</v>
      </c>
      <c r="E1259" s="1">
        <f>IF(B1259="數值","(F"&amp;C1259&amp;"."&amp;D1259&amp;")","(A"&amp;C1259&amp;")")</f>
        <v/>
      </c>
      <c r="F1259" s="1">
        <f>"alter type "&amp;A1259&amp;" "&amp;E1259&amp;"."</f>
        <v/>
      </c>
    </row>
    <row r="1260">
      <c r="A1260" s="1" t="inlineStr">
        <is>
          <t>vt_23</t>
        </is>
      </c>
      <c r="B1260" s="1" t="inlineStr">
        <is>
          <t>數值</t>
        </is>
      </c>
      <c r="C1260" s="1" t="n">
        <v>1</v>
      </c>
      <c r="D1260" s="1" t="n">
        <v>0</v>
      </c>
      <c r="E1260" s="1">
        <f>IF(B1260="數值","(F"&amp;C1260&amp;"."&amp;D1260&amp;")","(A"&amp;C1260&amp;")")</f>
        <v/>
      </c>
      <c r="F1260" s="1">
        <f>"alter type "&amp;A1260&amp;" "&amp;E1260&amp;"."</f>
        <v/>
      </c>
    </row>
    <row r="1261">
      <c r="A1261" s="1" t="inlineStr">
        <is>
          <t>vr_23</t>
        </is>
      </c>
      <c r="B1261" s="1" t="inlineStr">
        <is>
          <t>數值</t>
        </is>
      </c>
      <c r="C1261" s="1" t="n">
        <v>4</v>
      </c>
      <c r="D1261" s="1" t="n">
        <v>0</v>
      </c>
      <c r="E1261" s="1">
        <f>IF(B1261="數值","(F"&amp;C1261&amp;"."&amp;D1261&amp;")","(A"&amp;C1261&amp;")")</f>
        <v/>
      </c>
      <c r="F1261" s="1">
        <f>"alter type "&amp;A1261&amp;" "&amp;E1261&amp;"."</f>
        <v/>
      </c>
    </row>
    <row r="1262">
      <c r="A1262" s="1" t="inlineStr">
        <is>
          <t>result303_o_23</t>
        </is>
      </c>
      <c r="B1262" s="1" t="inlineStr">
        <is>
          <t>字串</t>
        </is>
      </c>
      <c r="C1262" s="1" t="n">
        <v>300</v>
      </c>
      <c r="D1262" s="1" t="n">
        <v>0</v>
      </c>
      <c r="E1262" s="1">
        <f>IF(B1262="數值","(F"&amp;C1262&amp;"."&amp;D1262&amp;")","(A"&amp;C1262&amp;")")</f>
        <v/>
      </c>
      <c r="F1262" s="1">
        <f>"alter type "&amp;A1262&amp;" "&amp;E1262&amp;"."</f>
        <v/>
      </c>
    </row>
    <row r="1263">
      <c r="A1263" s="1" t="inlineStr">
        <is>
          <t>result3061_o_23</t>
        </is>
      </c>
      <c r="B1263" s="1" t="inlineStr">
        <is>
          <t>字串</t>
        </is>
      </c>
      <c r="C1263" s="1" t="n">
        <v>300</v>
      </c>
      <c r="D1263" s="1" t="n">
        <v>0</v>
      </c>
      <c r="E1263" s="1">
        <f>IF(B1263="數值","(F"&amp;C1263&amp;"."&amp;D1263&amp;")","(A"&amp;C1263&amp;")")</f>
        <v/>
      </c>
      <c r="F1263" s="1">
        <f>"alter type "&amp;A1263&amp;" "&amp;E1263&amp;"."</f>
        <v/>
      </c>
    </row>
    <row r="1264">
      <c r="A1264" s="1" t="inlineStr">
        <is>
          <t>result3062_o_23</t>
        </is>
      </c>
      <c r="B1264" s="1" t="inlineStr">
        <is>
          <t>字串</t>
        </is>
      </c>
      <c r="C1264" s="1" t="n">
        <v>300</v>
      </c>
      <c r="D1264" s="1" t="n">
        <v>0</v>
      </c>
      <c r="E1264" s="1">
        <f>IF(B1264="數值","(F"&amp;C1264&amp;"."&amp;D1264&amp;")","(A"&amp;C1264&amp;")")</f>
        <v/>
      </c>
      <c r="F1264" s="1">
        <f>"alter type "&amp;A1264&amp;" "&amp;E1264&amp;"."</f>
        <v/>
      </c>
    </row>
    <row r="1265">
      <c r="A1265" s="1" t="inlineStr">
        <is>
          <t>result404_o_23</t>
        </is>
      </c>
      <c r="B1265" s="1" t="inlineStr">
        <is>
          <t>字串</t>
        </is>
      </c>
      <c r="C1265" s="1" t="n">
        <v>300</v>
      </c>
      <c r="D1265" s="1" t="n">
        <v>0</v>
      </c>
      <c r="E1265" s="1">
        <f>IF(B1265="數值","(F"&amp;C1265&amp;"."&amp;D1265&amp;")","(A"&amp;C1265&amp;")")</f>
        <v/>
      </c>
      <c r="F1265" s="1">
        <f>"alter type "&amp;A1265&amp;" "&amp;E1265&amp;"."</f>
        <v/>
      </c>
    </row>
    <row r="1266">
      <c r="A1266" s="1" t="inlineStr">
        <is>
          <t>result504_o_23</t>
        </is>
      </c>
      <c r="B1266" s="1" t="inlineStr">
        <is>
          <t>字串</t>
        </is>
      </c>
      <c r="C1266" s="1" t="n">
        <v>300</v>
      </c>
      <c r="D1266" s="1" t="n">
        <v>0</v>
      </c>
      <c r="E1266" s="1">
        <f>IF(B1266="數值","(F"&amp;C1266&amp;"."&amp;D1266&amp;")","(A"&amp;C1266&amp;")")</f>
        <v/>
      </c>
      <c r="F1266" s="1">
        <f>"alter type "&amp;A1266&amp;" "&amp;E1266&amp;"."</f>
        <v/>
      </c>
    </row>
    <row r="1267">
      <c r="A1267" s="1" t="inlineStr">
        <is>
          <t>result608_o_23</t>
        </is>
      </c>
      <c r="B1267" s="1" t="inlineStr">
        <is>
          <t>字串</t>
        </is>
      </c>
      <c r="C1267" s="1" t="n">
        <v>300</v>
      </c>
      <c r="D1267" s="1" t="n">
        <v>0</v>
      </c>
      <c r="E1267" s="1">
        <f>IF(B1267="數值","(F"&amp;C1267&amp;"."&amp;D1267&amp;")","(A"&amp;C1267&amp;")")</f>
        <v/>
      </c>
      <c r="F1267" s="1">
        <f>"alter type "&amp;A1267&amp;" "&amp;E1267&amp;"."</f>
        <v/>
      </c>
    </row>
    <row r="1268">
      <c r="A1268" s="1" t="inlineStr">
        <is>
          <t>result311_o_23</t>
        </is>
      </c>
      <c r="B1268" s="1" t="inlineStr">
        <is>
          <t>字串</t>
        </is>
      </c>
      <c r="C1268" s="1" t="n">
        <v>300</v>
      </c>
      <c r="D1268" s="1" t="n">
        <v>0</v>
      </c>
      <c r="E1268" s="1">
        <f>IF(B1268="數值","(F"&amp;C1268&amp;"."&amp;D1268&amp;")","(A"&amp;C1268&amp;")")</f>
        <v/>
      </c>
      <c r="F1268" s="1">
        <f>"alter type "&amp;A1268&amp;" "&amp;E1268&amp;"."</f>
        <v/>
      </c>
    </row>
    <row r="1269">
      <c r="A1269" s="1" t="inlineStr">
        <is>
          <t>result607_o_23</t>
        </is>
      </c>
      <c r="B1269" s="1" t="inlineStr">
        <is>
          <t>字串</t>
        </is>
      </c>
      <c r="C1269" s="1" t="n">
        <v>300</v>
      </c>
      <c r="D1269" s="1" t="n">
        <v>0</v>
      </c>
      <c r="E1269" s="1">
        <f>IF(B1269="數值","(F"&amp;C1269&amp;"."&amp;D1269&amp;")","(A"&amp;C1269&amp;")")</f>
        <v/>
      </c>
      <c r="F1269" s="1">
        <f>"alter type "&amp;A1269&amp;" "&amp;E1269&amp;"."</f>
        <v/>
      </c>
    </row>
    <row r="1270">
      <c r="A1270" s="1" t="inlineStr">
        <is>
          <t>result999_o_23</t>
        </is>
      </c>
      <c r="B1270" s="1" t="inlineStr">
        <is>
          <t>字串</t>
        </is>
      </c>
      <c r="C1270" s="1" t="n">
        <v>300</v>
      </c>
      <c r="D1270" s="1" t="n">
        <v>0</v>
      </c>
      <c r="E1270" s="1">
        <f>IF(B1270="數值","(F"&amp;C1270&amp;"."&amp;D1270&amp;")","(A"&amp;C1270&amp;")")</f>
        <v/>
      </c>
      <c r="F1270" s="1">
        <f>"alter type "&amp;A1270&amp;" "&amp;E1270&amp;"."</f>
        <v/>
      </c>
    </row>
    <row r="1271">
      <c r="A1271" s="1" t="inlineStr">
        <is>
          <t>at1_23</t>
        </is>
      </c>
      <c r="B1271" s="1" t="inlineStr">
        <is>
          <t>數值</t>
        </is>
      </c>
      <c r="C1271" s="1" t="n">
        <v>2</v>
      </c>
      <c r="D1271" s="1" t="n">
        <v>0</v>
      </c>
      <c r="E1271" s="1">
        <f>IF(B1271="數值","(F"&amp;C1271&amp;"."&amp;D1271&amp;")","(A"&amp;C1271&amp;")")</f>
        <v/>
      </c>
      <c r="F1271" s="1">
        <f>"alter type "&amp;A1271&amp;" "&amp;E1271&amp;"."</f>
        <v/>
      </c>
    </row>
    <row r="1272">
      <c r="A1272" s="1" t="inlineStr">
        <is>
          <t>at1_o04_23</t>
        </is>
      </c>
      <c r="B1272" s="1" t="inlineStr">
        <is>
          <t>字串</t>
        </is>
      </c>
      <c r="C1272" s="1" t="n">
        <v>300</v>
      </c>
      <c r="D1272" s="1" t="n">
        <v>0</v>
      </c>
      <c r="E1272" s="1">
        <f>IF(B1272="數值","(F"&amp;C1272&amp;"."&amp;D1272&amp;")","(A"&amp;C1272&amp;")")</f>
        <v/>
      </c>
      <c r="F1272" s="1">
        <f>"alter type "&amp;A1272&amp;" "&amp;E1272&amp;"."</f>
        <v/>
      </c>
    </row>
    <row r="1273">
      <c r="A1273" s="1" t="inlineStr">
        <is>
          <t>vdate_24</t>
        </is>
      </c>
      <c r="B1273" s="1" t="inlineStr">
        <is>
          <t>數值</t>
        </is>
      </c>
      <c r="C1273" s="1" t="n">
        <v>8</v>
      </c>
      <c r="D1273" s="1" t="n">
        <v>0</v>
      </c>
      <c r="E1273" s="1">
        <f>IF(B1273="數值","(F"&amp;C1273&amp;"."&amp;D1273&amp;")","(A"&amp;C1273&amp;")")</f>
        <v/>
      </c>
      <c r="F1273" s="1">
        <f>"alter type "&amp;A1273&amp;" "&amp;E1273&amp;"."</f>
        <v/>
      </c>
    </row>
    <row r="1274">
      <c r="A1274" s="1" t="inlineStr">
        <is>
          <t>vt_24</t>
        </is>
      </c>
      <c r="B1274" s="1" t="inlineStr">
        <is>
          <t>數值</t>
        </is>
      </c>
      <c r="C1274" s="1" t="n">
        <v>1</v>
      </c>
      <c r="D1274" s="1" t="n">
        <v>0</v>
      </c>
      <c r="E1274" s="1">
        <f>IF(B1274="數值","(F"&amp;C1274&amp;"."&amp;D1274&amp;")","(A"&amp;C1274&amp;")")</f>
        <v/>
      </c>
      <c r="F1274" s="1">
        <f>"alter type "&amp;A1274&amp;" "&amp;E1274&amp;"."</f>
        <v/>
      </c>
    </row>
    <row r="1275">
      <c r="A1275" s="1" t="inlineStr">
        <is>
          <t>vr_24</t>
        </is>
      </c>
      <c r="B1275" s="1" t="inlineStr">
        <is>
          <t>數值</t>
        </is>
      </c>
      <c r="C1275" s="1" t="n">
        <v>4</v>
      </c>
      <c r="D1275" s="1" t="n">
        <v>0</v>
      </c>
      <c r="E1275" s="1">
        <f>IF(B1275="數值","(F"&amp;C1275&amp;"."&amp;D1275&amp;")","(A"&amp;C1275&amp;")")</f>
        <v/>
      </c>
      <c r="F1275" s="1">
        <f>"alter type "&amp;A1275&amp;" "&amp;E1275&amp;"."</f>
        <v/>
      </c>
    </row>
    <row r="1276">
      <c r="A1276" s="1" t="inlineStr">
        <is>
          <t>result303_o_24</t>
        </is>
      </c>
      <c r="B1276" s="1" t="inlineStr">
        <is>
          <t>字串</t>
        </is>
      </c>
      <c r="C1276" s="1" t="n">
        <v>300</v>
      </c>
      <c r="D1276" s="1" t="n">
        <v>0</v>
      </c>
      <c r="E1276" s="1">
        <f>IF(B1276="數值","(F"&amp;C1276&amp;"."&amp;D1276&amp;")","(A"&amp;C1276&amp;")")</f>
        <v/>
      </c>
      <c r="F1276" s="1">
        <f>"alter type "&amp;A1276&amp;" "&amp;E1276&amp;"."</f>
        <v/>
      </c>
    </row>
    <row r="1277">
      <c r="A1277" s="1" t="inlineStr">
        <is>
          <t>result3061_o_24</t>
        </is>
      </c>
      <c r="B1277" s="1" t="inlineStr">
        <is>
          <t>字串</t>
        </is>
      </c>
      <c r="C1277" s="1" t="n">
        <v>300</v>
      </c>
      <c r="D1277" s="1" t="n">
        <v>0</v>
      </c>
      <c r="E1277" s="1">
        <f>IF(B1277="數值","(F"&amp;C1277&amp;"."&amp;D1277&amp;")","(A"&amp;C1277&amp;")")</f>
        <v/>
      </c>
      <c r="F1277" s="1">
        <f>"alter type "&amp;A1277&amp;" "&amp;E1277&amp;"."</f>
        <v/>
      </c>
    </row>
    <row r="1278">
      <c r="A1278" s="1" t="inlineStr">
        <is>
          <t>result3062_o_24</t>
        </is>
      </c>
      <c r="B1278" s="1" t="inlineStr">
        <is>
          <t>字串</t>
        </is>
      </c>
      <c r="C1278" s="1" t="n">
        <v>300</v>
      </c>
      <c r="D1278" s="1" t="n">
        <v>0</v>
      </c>
      <c r="E1278" s="1">
        <f>IF(B1278="數值","(F"&amp;C1278&amp;"."&amp;D1278&amp;")","(A"&amp;C1278&amp;")")</f>
        <v/>
      </c>
      <c r="F1278" s="1">
        <f>"alter type "&amp;A1278&amp;" "&amp;E1278&amp;"."</f>
        <v/>
      </c>
    </row>
    <row r="1279">
      <c r="A1279" s="1" t="inlineStr">
        <is>
          <t>result404_o_24</t>
        </is>
      </c>
      <c r="B1279" s="1" t="inlineStr">
        <is>
          <t>字串</t>
        </is>
      </c>
      <c r="C1279" s="1" t="n">
        <v>300</v>
      </c>
      <c r="D1279" s="1" t="n">
        <v>0</v>
      </c>
      <c r="E1279" s="1">
        <f>IF(B1279="數值","(F"&amp;C1279&amp;"."&amp;D1279&amp;")","(A"&amp;C1279&amp;")")</f>
        <v/>
      </c>
      <c r="F1279" s="1">
        <f>"alter type "&amp;A1279&amp;" "&amp;E1279&amp;"."</f>
        <v/>
      </c>
    </row>
    <row r="1280">
      <c r="A1280" s="1" t="inlineStr">
        <is>
          <t>result504_o_24</t>
        </is>
      </c>
      <c r="B1280" s="1" t="inlineStr">
        <is>
          <t>字串</t>
        </is>
      </c>
      <c r="C1280" s="1" t="n">
        <v>300</v>
      </c>
      <c r="D1280" s="1" t="n">
        <v>0</v>
      </c>
      <c r="E1280" s="1">
        <f>IF(B1280="數值","(F"&amp;C1280&amp;"."&amp;D1280&amp;")","(A"&amp;C1280&amp;")")</f>
        <v/>
      </c>
      <c r="F1280" s="1">
        <f>"alter type "&amp;A1280&amp;" "&amp;E1280&amp;"."</f>
        <v/>
      </c>
    </row>
    <row r="1281">
      <c r="A1281" s="1" t="inlineStr">
        <is>
          <t>result608_o_24</t>
        </is>
      </c>
      <c r="B1281" s="1" t="inlineStr">
        <is>
          <t>字串</t>
        </is>
      </c>
      <c r="C1281" s="1" t="n">
        <v>300</v>
      </c>
      <c r="D1281" s="1" t="n">
        <v>0</v>
      </c>
      <c r="E1281" s="1">
        <f>IF(B1281="數值","(F"&amp;C1281&amp;"."&amp;D1281&amp;")","(A"&amp;C1281&amp;")")</f>
        <v/>
      </c>
      <c r="F1281" s="1">
        <f>"alter type "&amp;A1281&amp;" "&amp;E1281&amp;"."</f>
        <v/>
      </c>
    </row>
    <row r="1282">
      <c r="A1282" s="1" t="inlineStr">
        <is>
          <t>result311_o_24</t>
        </is>
      </c>
      <c r="B1282" s="1" t="inlineStr">
        <is>
          <t>字串</t>
        </is>
      </c>
      <c r="C1282" s="1" t="n">
        <v>300</v>
      </c>
      <c r="D1282" s="1" t="n">
        <v>0</v>
      </c>
      <c r="E1282" s="1">
        <f>IF(B1282="數值","(F"&amp;C1282&amp;"."&amp;D1282&amp;")","(A"&amp;C1282&amp;")")</f>
        <v/>
      </c>
      <c r="F1282" s="1">
        <f>"alter type "&amp;A1282&amp;" "&amp;E1282&amp;"."</f>
        <v/>
      </c>
    </row>
    <row r="1283">
      <c r="A1283" s="1" t="inlineStr">
        <is>
          <t>result607_o_24</t>
        </is>
      </c>
      <c r="B1283" s="1" t="inlineStr">
        <is>
          <t>字串</t>
        </is>
      </c>
      <c r="C1283" s="1" t="n">
        <v>300</v>
      </c>
      <c r="D1283" s="1" t="n">
        <v>0</v>
      </c>
      <c r="E1283" s="1">
        <f>IF(B1283="數值","(F"&amp;C1283&amp;"."&amp;D1283&amp;")","(A"&amp;C1283&amp;")")</f>
        <v/>
      </c>
      <c r="F1283" s="1">
        <f>"alter type "&amp;A1283&amp;" "&amp;E1283&amp;"."</f>
        <v/>
      </c>
    </row>
    <row r="1284">
      <c r="A1284" s="1" t="inlineStr">
        <is>
          <t>result999_o_24</t>
        </is>
      </c>
      <c r="B1284" s="1" t="inlineStr">
        <is>
          <t>字串</t>
        </is>
      </c>
      <c r="C1284" s="1" t="n">
        <v>300</v>
      </c>
      <c r="D1284" s="1" t="n">
        <v>0</v>
      </c>
      <c r="E1284" s="1">
        <f>IF(B1284="數值","(F"&amp;C1284&amp;"."&amp;D1284&amp;")","(A"&amp;C1284&amp;")")</f>
        <v/>
      </c>
      <c r="F1284" s="1">
        <f>"alter type "&amp;A1284&amp;" "&amp;E1284&amp;"."</f>
        <v/>
      </c>
    </row>
    <row r="1285">
      <c r="A1285" s="1" t="inlineStr">
        <is>
          <t>at1_24</t>
        </is>
      </c>
      <c r="B1285" s="1" t="inlineStr">
        <is>
          <t>數值</t>
        </is>
      </c>
      <c r="C1285" s="1" t="n">
        <v>2</v>
      </c>
      <c r="D1285" s="1" t="n">
        <v>0</v>
      </c>
      <c r="E1285" s="1">
        <f>IF(B1285="數值","(F"&amp;C1285&amp;"."&amp;D1285&amp;")","(A"&amp;C1285&amp;")")</f>
        <v/>
      </c>
      <c r="F1285" s="1">
        <f>"alter type "&amp;A1285&amp;" "&amp;E1285&amp;"."</f>
        <v/>
      </c>
    </row>
    <row r="1286">
      <c r="A1286" s="1" t="inlineStr">
        <is>
          <t>at1_o04_24</t>
        </is>
      </c>
      <c r="B1286" s="1" t="inlineStr">
        <is>
          <t>字串</t>
        </is>
      </c>
      <c r="C1286" s="1" t="n">
        <v>300</v>
      </c>
      <c r="D1286" s="1" t="n">
        <v>0</v>
      </c>
      <c r="E1286" s="1">
        <f>IF(B1286="數值","(F"&amp;C1286&amp;"."&amp;D1286&amp;")","(A"&amp;C1286&amp;")")</f>
        <v/>
      </c>
      <c r="F1286" s="1">
        <f>"alter type "&amp;A1286&amp;" "&amp;E1286&amp;"."</f>
        <v/>
      </c>
    </row>
    <row r="1287">
      <c r="A1287" s="1" t="inlineStr">
        <is>
          <t>vdate_25</t>
        </is>
      </c>
      <c r="B1287" s="1" t="inlineStr">
        <is>
          <t>數值</t>
        </is>
      </c>
      <c r="C1287" s="1" t="n">
        <v>8</v>
      </c>
      <c r="D1287" s="1" t="n">
        <v>0</v>
      </c>
      <c r="E1287" s="1">
        <f>IF(B1287="數值","(F"&amp;C1287&amp;"."&amp;D1287&amp;")","(A"&amp;C1287&amp;")")</f>
        <v/>
      </c>
      <c r="F1287" s="1">
        <f>"alter type "&amp;A1287&amp;" "&amp;E1287&amp;"."</f>
        <v/>
      </c>
    </row>
    <row r="1288">
      <c r="A1288" s="1" t="inlineStr">
        <is>
          <t>vt_25</t>
        </is>
      </c>
      <c r="B1288" s="1" t="inlineStr">
        <is>
          <t>數值</t>
        </is>
      </c>
      <c r="C1288" s="1" t="n">
        <v>1</v>
      </c>
      <c r="D1288" s="1" t="n">
        <v>0</v>
      </c>
      <c r="E1288" s="1">
        <f>IF(B1288="數值","(F"&amp;C1288&amp;"."&amp;D1288&amp;")","(A"&amp;C1288&amp;")")</f>
        <v/>
      </c>
      <c r="F1288" s="1">
        <f>"alter type "&amp;A1288&amp;" "&amp;E1288&amp;"."</f>
        <v/>
      </c>
    </row>
    <row r="1289">
      <c r="A1289" s="1" t="inlineStr">
        <is>
          <t>vr_25</t>
        </is>
      </c>
      <c r="B1289" s="1" t="inlineStr">
        <is>
          <t>數值</t>
        </is>
      </c>
      <c r="C1289" s="1" t="n">
        <v>4</v>
      </c>
      <c r="D1289" s="1" t="n">
        <v>0</v>
      </c>
      <c r="E1289" s="1">
        <f>IF(B1289="數值","(F"&amp;C1289&amp;"."&amp;D1289&amp;")","(A"&amp;C1289&amp;")")</f>
        <v/>
      </c>
      <c r="F1289" s="1">
        <f>"alter type "&amp;A1289&amp;" "&amp;E1289&amp;"."</f>
        <v/>
      </c>
    </row>
    <row r="1290">
      <c r="A1290" s="1" t="inlineStr">
        <is>
          <t>result303_o_25</t>
        </is>
      </c>
      <c r="B1290" s="1" t="inlineStr">
        <is>
          <t>字串</t>
        </is>
      </c>
      <c r="C1290" s="1" t="n">
        <v>300</v>
      </c>
      <c r="D1290" s="1" t="n">
        <v>0</v>
      </c>
      <c r="E1290" s="1">
        <f>IF(B1290="數值","(F"&amp;C1290&amp;"."&amp;D1290&amp;")","(A"&amp;C1290&amp;")")</f>
        <v/>
      </c>
      <c r="F1290" s="1">
        <f>"alter type "&amp;A1290&amp;" "&amp;E1290&amp;"."</f>
        <v/>
      </c>
    </row>
    <row r="1291">
      <c r="A1291" s="1" t="inlineStr">
        <is>
          <t>result3061_o_25</t>
        </is>
      </c>
      <c r="B1291" s="1" t="inlineStr">
        <is>
          <t>字串</t>
        </is>
      </c>
      <c r="C1291" s="1" t="n">
        <v>300</v>
      </c>
      <c r="D1291" s="1" t="n">
        <v>0</v>
      </c>
      <c r="E1291" s="1">
        <f>IF(B1291="數值","(F"&amp;C1291&amp;"."&amp;D1291&amp;")","(A"&amp;C1291&amp;")")</f>
        <v/>
      </c>
      <c r="F1291" s="1">
        <f>"alter type "&amp;A1291&amp;" "&amp;E1291&amp;"."</f>
        <v/>
      </c>
    </row>
    <row r="1292">
      <c r="A1292" s="1" t="inlineStr">
        <is>
          <t>result3062_o_25</t>
        </is>
      </c>
      <c r="B1292" s="1" t="inlineStr">
        <is>
          <t>字串</t>
        </is>
      </c>
      <c r="C1292" s="1" t="n">
        <v>300</v>
      </c>
      <c r="D1292" s="1" t="n">
        <v>0</v>
      </c>
      <c r="E1292" s="1">
        <f>IF(B1292="數值","(F"&amp;C1292&amp;"."&amp;D1292&amp;")","(A"&amp;C1292&amp;")")</f>
        <v/>
      </c>
      <c r="F1292" s="1">
        <f>"alter type "&amp;A1292&amp;" "&amp;E1292&amp;"."</f>
        <v/>
      </c>
    </row>
    <row r="1293">
      <c r="A1293" s="1" t="inlineStr">
        <is>
          <t>result404_o_25</t>
        </is>
      </c>
      <c r="B1293" s="1" t="inlineStr">
        <is>
          <t>字串</t>
        </is>
      </c>
      <c r="C1293" s="1" t="n">
        <v>300</v>
      </c>
      <c r="D1293" s="1" t="n">
        <v>0</v>
      </c>
      <c r="E1293" s="1">
        <f>IF(B1293="數值","(F"&amp;C1293&amp;"."&amp;D1293&amp;")","(A"&amp;C1293&amp;")")</f>
        <v/>
      </c>
      <c r="F1293" s="1">
        <f>"alter type "&amp;A1293&amp;" "&amp;E1293&amp;"."</f>
        <v/>
      </c>
    </row>
    <row r="1294">
      <c r="A1294" s="1" t="inlineStr">
        <is>
          <t>result504_o_25</t>
        </is>
      </c>
      <c r="B1294" s="1" t="inlineStr">
        <is>
          <t>字串</t>
        </is>
      </c>
      <c r="C1294" s="1" t="n">
        <v>300</v>
      </c>
      <c r="D1294" s="1" t="n">
        <v>0</v>
      </c>
      <c r="E1294" s="1">
        <f>IF(B1294="數值","(F"&amp;C1294&amp;"."&amp;D1294&amp;")","(A"&amp;C1294&amp;")")</f>
        <v/>
      </c>
      <c r="F1294" s="1">
        <f>"alter type "&amp;A1294&amp;" "&amp;E1294&amp;"."</f>
        <v/>
      </c>
    </row>
    <row r="1295">
      <c r="A1295" s="1" t="inlineStr">
        <is>
          <t>result608_o_25</t>
        </is>
      </c>
      <c r="B1295" s="1" t="inlineStr">
        <is>
          <t>字串</t>
        </is>
      </c>
      <c r="C1295" s="1" t="n">
        <v>300</v>
      </c>
      <c r="D1295" s="1" t="n">
        <v>0</v>
      </c>
      <c r="E1295" s="1">
        <f>IF(B1295="數值","(F"&amp;C1295&amp;"."&amp;D1295&amp;")","(A"&amp;C1295&amp;")")</f>
        <v/>
      </c>
      <c r="F1295" s="1">
        <f>"alter type "&amp;A1295&amp;" "&amp;E1295&amp;"."</f>
        <v/>
      </c>
    </row>
    <row r="1296">
      <c r="A1296" s="1" t="inlineStr">
        <is>
          <t>result311_o_25</t>
        </is>
      </c>
      <c r="B1296" s="1" t="inlineStr">
        <is>
          <t>字串</t>
        </is>
      </c>
      <c r="C1296" s="1" t="n">
        <v>300</v>
      </c>
      <c r="D1296" s="1" t="n">
        <v>0</v>
      </c>
      <c r="E1296" s="1">
        <f>IF(B1296="數值","(F"&amp;C1296&amp;"."&amp;D1296&amp;")","(A"&amp;C1296&amp;")")</f>
        <v/>
      </c>
      <c r="F1296" s="1">
        <f>"alter type "&amp;A1296&amp;" "&amp;E1296&amp;"."</f>
        <v/>
      </c>
    </row>
    <row r="1297">
      <c r="A1297" s="1" t="inlineStr">
        <is>
          <t>result607_o_25</t>
        </is>
      </c>
      <c r="B1297" s="1" t="inlineStr">
        <is>
          <t>字串</t>
        </is>
      </c>
      <c r="C1297" s="1" t="n">
        <v>300</v>
      </c>
      <c r="D1297" s="1" t="n">
        <v>0</v>
      </c>
      <c r="E1297" s="1">
        <f>IF(B1297="數值","(F"&amp;C1297&amp;"."&amp;D1297&amp;")","(A"&amp;C1297&amp;")")</f>
        <v/>
      </c>
      <c r="F1297" s="1">
        <f>"alter type "&amp;A1297&amp;" "&amp;E1297&amp;"."</f>
        <v/>
      </c>
    </row>
    <row r="1298">
      <c r="A1298" s="1" t="inlineStr">
        <is>
          <t>result999_o_25</t>
        </is>
      </c>
      <c r="B1298" s="1" t="inlineStr">
        <is>
          <t>字串</t>
        </is>
      </c>
      <c r="C1298" s="1" t="n">
        <v>300</v>
      </c>
      <c r="D1298" s="1" t="n">
        <v>0</v>
      </c>
      <c r="E1298" s="1">
        <f>IF(B1298="數值","(F"&amp;C1298&amp;"."&amp;D1298&amp;")","(A"&amp;C1298&amp;")")</f>
        <v/>
      </c>
      <c r="F1298" s="1">
        <f>"alter type "&amp;A1298&amp;" "&amp;E1298&amp;"."</f>
        <v/>
      </c>
    </row>
    <row r="1299">
      <c r="A1299" s="1" t="inlineStr">
        <is>
          <t>at1_25</t>
        </is>
      </c>
      <c r="B1299" s="1" t="inlineStr">
        <is>
          <t>數值</t>
        </is>
      </c>
      <c r="C1299" s="1" t="n">
        <v>2</v>
      </c>
      <c r="D1299" s="1" t="n">
        <v>0</v>
      </c>
      <c r="E1299" s="1">
        <f>IF(B1299="數值","(F"&amp;C1299&amp;"."&amp;D1299&amp;")","(A"&amp;C1299&amp;")")</f>
        <v/>
      </c>
      <c r="F1299" s="1">
        <f>"alter type "&amp;A1299&amp;" "&amp;E1299&amp;"."</f>
        <v/>
      </c>
    </row>
    <row r="1300">
      <c r="A1300" s="1" t="inlineStr">
        <is>
          <t>at1_o04_25</t>
        </is>
      </c>
      <c r="B1300" s="1" t="inlineStr">
        <is>
          <t>字串</t>
        </is>
      </c>
      <c r="C1300" s="1" t="n">
        <v>300</v>
      </c>
      <c r="D1300" s="1" t="n">
        <v>0</v>
      </c>
      <c r="E1300" s="1">
        <f>IF(B1300="數值","(F"&amp;C1300&amp;"."&amp;D1300&amp;")","(A"&amp;C1300&amp;")")</f>
        <v/>
      </c>
      <c r="F1300" s="1">
        <f>"alter type "&amp;A1300&amp;" "&amp;E1300&amp;"."</f>
        <v/>
      </c>
    </row>
    <row r="1301">
      <c r="A1301" s="1" t="inlineStr">
        <is>
          <t>vdate_26</t>
        </is>
      </c>
      <c r="B1301" s="1" t="inlineStr">
        <is>
          <t>數值</t>
        </is>
      </c>
      <c r="C1301" s="1" t="n">
        <v>8</v>
      </c>
      <c r="D1301" s="1" t="n">
        <v>0</v>
      </c>
      <c r="E1301" s="1">
        <f>IF(B1301="數值","(F"&amp;C1301&amp;"."&amp;D1301&amp;")","(A"&amp;C1301&amp;")")</f>
        <v/>
      </c>
      <c r="F1301" s="1">
        <f>"alter type "&amp;A1301&amp;" "&amp;E1301&amp;"."</f>
        <v/>
      </c>
    </row>
    <row r="1302">
      <c r="A1302" s="1" t="inlineStr">
        <is>
          <t>vt_26</t>
        </is>
      </c>
      <c r="B1302" s="1" t="inlineStr">
        <is>
          <t>數值</t>
        </is>
      </c>
      <c r="C1302" s="1" t="n">
        <v>1</v>
      </c>
      <c r="D1302" s="1" t="n">
        <v>0</v>
      </c>
      <c r="E1302" s="1">
        <f>IF(B1302="數值","(F"&amp;C1302&amp;"."&amp;D1302&amp;")","(A"&amp;C1302&amp;")")</f>
        <v/>
      </c>
      <c r="F1302" s="1">
        <f>"alter type "&amp;A1302&amp;" "&amp;E1302&amp;"."</f>
        <v/>
      </c>
    </row>
    <row r="1303">
      <c r="A1303" s="1" t="inlineStr">
        <is>
          <t>vr_26</t>
        </is>
      </c>
      <c r="B1303" s="1" t="inlineStr">
        <is>
          <t>數值</t>
        </is>
      </c>
      <c r="C1303" s="1" t="n">
        <v>4</v>
      </c>
      <c r="D1303" s="1" t="n">
        <v>0</v>
      </c>
      <c r="E1303" s="1">
        <f>IF(B1303="數值","(F"&amp;C1303&amp;"."&amp;D1303&amp;")","(A"&amp;C1303&amp;")")</f>
        <v/>
      </c>
      <c r="F1303" s="1">
        <f>"alter type "&amp;A1303&amp;" "&amp;E1303&amp;"."</f>
        <v/>
      </c>
    </row>
    <row r="1304">
      <c r="A1304" s="1" t="inlineStr">
        <is>
          <t>result303_o_26</t>
        </is>
      </c>
      <c r="B1304" s="1" t="inlineStr">
        <is>
          <t>字串</t>
        </is>
      </c>
      <c r="C1304" s="1" t="n">
        <v>300</v>
      </c>
      <c r="D1304" s="1" t="n">
        <v>0</v>
      </c>
      <c r="E1304" s="1">
        <f>IF(B1304="數值","(F"&amp;C1304&amp;"."&amp;D1304&amp;")","(A"&amp;C1304&amp;")")</f>
        <v/>
      </c>
      <c r="F1304" s="1">
        <f>"alter type "&amp;A1304&amp;" "&amp;E1304&amp;"."</f>
        <v/>
      </c>
    </row>
    <row r="1305">
      <c r="A1305" s="1" t="inlineStr">
        <is>
          <t>result3061_o_26</t>
        </is>
      </c>
      <c r="B1305" s="1" t="inlineStr">
        <is>
          <t>字串</t>
        </is>
      </c>
      <c r="C1305" s="1" t="n">
        <v>300</v>
      </c>
      <c r="D1305" s="1" t="n">
        <v>0</v>
      </c>
      <c r="E1305" s="1">
        <f>IF(B1305="數值","(F"&amp;C1305&amp;"."&amp;D1305&amp;")","(A"&amp;C1305&amp;")")</f>
        <v/>
      </c>
      <c r="F1305" s="1">
        <f>"alter type "&amp;A1305&amp;" "&amp;E1305&amp;"."</f>
        <v/>
      </c>
    </row>
    <row r="1306">
      <c r="A1306" s="1" t="inlineStr">
        <is>
          <t>result3062_o_26</t>
        </is>
      </c>
      <c r="B1306" s="1" t="inlineStr">
        <is>
          <t>字串</t>
        </is>
      </c>
      <c r="C1306" s="1" t="n">
        <v>300</v>
      </c>
      <c r="D1306" s="1" t="n">
        <v>0</v>
      </c>
      <c r="E1306" s="1">
        <f>IF(B1306="數值","(F"&amp;C1306&amp;"."&amp;D1306&amp;")","(A"&amp;C1306&amp;")")</f>
        <v/>
      </c>
      <c r="F1306" s="1">
        <f>"alter type "&amp;A1306&amp;" "&amp;E1306&amp;"."</f>
        <v/>
      </c>
    </row>
    <row r="1307">
      <c r="A1307" s="1" t="inlineStr">
        <is>
          <t>result404_o_26</t>
        </is>
      </c>
      <c r="B1307" s="1" t="inlineStr">
        <is>
          <t>字串</t>
        </is>
      </c>
      <c r="C1307" s="1" t="n">
        <v>300</v>
      </c>
      <c r="D1307" s="1" t="n">
        <v>0</v>
      </c>
      <c r="E1307" s="1">
        <f>IF(B1307="數值","(F"&amp;C1307&amp;"."&amp;D1307&amp;")","(A"&amp;C1307&amp;")")</f>
        <v/>
      </c>
      <c r="F1307" s="1">
        <f>"alter type "&amp;A1307&amp;" "&amp;E1307&amp;"."</f>
        <v/>
      </c>
    </row>
    <row r="1308">
      <c r="A1308" s="1" t="inlineStr">
        <is>
          <t>result504_o_26</t>
        </is>
      </c>
      <c r="B1308" s="1" t="inlineStr">
        <is>
          <t>字串</t>
        </is>
      </c>
      <c r="C1308" s="1" t="n">
        <v>300</v>
      </c>
      <c r="D1308" s="1" t="n">
        <v>0</v>
      </c>
      <c r="E1308" s="1">
        <f>IF(B1308="數值","(F"&amp;C1308&amp;"."&amp;D1308&amp;")","(A"&amp;C1308&amp;")")</f>
        <v/>
      </c>
      <c r="F1308" s="1">
        <f>"alter type "&amp;A1308&amp;" "&amp;E1308&amp;"."</f>
        <v/>
      </c>
    </row>
    <row r="1309">
      <c r="A1309" s="1" t="inlineStr">
        <is>
          <t>result608_o_26</t>
        </is>
      </c>
      <c r="B1309" s="1" t="inlineStr">
        <is>
          <t>字串</t>
        </is>
      </c>
      <c r="C1309" s="1" t="n">
        <v>300</v>
      </c>
      <c r="D1309" s="1" t="n">
        <v>0</v>
      </c>
      <c r="E1309" s="1">
        <f>IF(B1309="數值","(F"&amp;C1309&amp;"."&amp;D1309&amp;")","(A"&amp;C1309&amp;")")</f>
        <v/>
      </c>
      <c r="F1309" s="1">
        <f>"alter type "&amp;A1309&amp;" "&amp;E1309&amp;"."</f>
        <v/>
      </c>
    </row>
    <row r="1310">
      <c r="A1310" s="1" t="inlineStr">
        <is>
          <t>result311_o_26</t>
        </is>
      </c>
      <c r="B1310" s="1" t="inlineStr">
        <is>
          <t>字串</t>
        </is>
      </c>
      <c r="C1310" s="1" t="n">
        <v>300</v>
      </c>
      <c r="D1310" s="1" t="n">
        <v>0</v>
      </c>
      <c r="E1310" s="1">
        <f>IF(B1310="數值","(F"&amp;C1310&amp;"."&amp;D1310&amp;")","(A"&amp;C1310&amp;")")</f>
        <v/>
      </c>
      <c r="F1310" s="1">
        <f>"alter type "&amp;A1310&amp;" "&amp;E1310&amp;"."</f>
        <v/>
      </c>
    </row>
    <row r="1311">
      <c r="A1311" s="1" t="inlineStr">
        <is>
          <t>result607_o_26</t>
        </is>
      </c>
      <c r="B1311" s="1" t="inlineStr">
        <is>
          <t>字串</t>
        </is>
      </c>
      <c r="C1311" s="1" t="n">
        <v>300</v>
      </c>
      <c r="D1311" s="1" t="n">
        <v>0</v>
      </c>
      <c r="E1311" s="1">
        <f>IF(B1311="數值","(F"&amp;C1311&amp;"."&amp;D1311&amp;")","(A"&amp;C1311&amp;")")</f>
        <v/>
      </c>
      <c r="F1311" s="1">
        <f>"alter type "&amp;A1311&amp;" "&amp;E1311&amp;"."</f>
        <v/>
      </c>
    </row>
    <row r="1312">
      <c r="A1312" s="1" t="inlineStr">
        <is>
          <t>result999_o_26</t>
        </is>
      </c>
      <c r="B1312" s="1" t="inlineStr">
        <is>
          <t>字串</t>
        </is>
      </c>
      <c r="C1312" s="1" t="n">
        <v>300</v>
      </c>
      <c r="D1312" s="1" t="n">
        <v>0</v>
      </c>
      <c r="E1312" s="1">
        <f>IF(B1312="數值","(F"&amp;C1312&amp;"."&amp;D1312&amp;")","(A"&amp;C1312&amp;")")</f>
        <v/>
      </c>
      <c r="F1312" s="1">
        <f>"alter type "&amp;A1312&amp;" "&amp;E1312&amp;"."</f>
        <v/>
      </c>
    </row>
    <row r="1313">
      <c r="A1313" s="1" t="inlineStr">
        <is>
          <t>at1_26</t>
        </is>
      </c>
      <c r="B1313" s="1" t="inlineStr">
        <is>
          <t>數值</t>
        </is>
      </c>
      <c r="C1313" s="1" t="n">
        <v>2</v>
      </c>
      <c r="D1313" s="1" t="n">
        <v>0</v>
      </c>
      <c r="E1313" s="1">
        <f>IF(B1313="數值","(F"&amp;C1313&amp;"."&amp;D1313&amp;")","(A"&amp;C1313&amp;")")</f>
        <v/>
      </c>
      <c r="F1313" s="1">
        <f>"alter type "&amp;A1313&amp;" "&amp;E1313&amp;"."</f>
        <v/>
      </c>
    </row>
    <row r="1314">
      <c r="A1314" s="1" t="inlineStr">
        <is>
          <t>at1_o04_26</t>
        </is>
      </c>
      <c r="B1314" s="1" t="inlineStr">
        <is>
          <t>字串</t>
        </is>
      </c>
      <c r="C1314" s="1" t="n">
        <v>300</v>
      </c>
      <c r="D1314" s="1" t="n">
        <v>0</v>
      </c>
      <c r="E1314" s="1">
        <f>IF(B1314="數值","(F"&amp;C1314&amp;"."&amp;D1314&amp;")","(A"&amp;C1314&amp;")")</f>
        <v/>
      </c>
      <c r="F1314" s="1">
        <f>"alter type "&amp;A1314&amp;" "&amp;E1314&amp;"."</f>
        <v/>
      </c>
    </row>
    <row r="1315">
      <c r="A1315" s="1" t="inlineStr">
        <is>
          <t>vdate_27</t>
        </is>
      </c>
      <c r="B1315" s="1" t="inlineStr">
        <is>
          <t>數值</t>
        </is>
      </c>
      <c r="C1315" s="1" t="n">
        <v>8</v>
      </c>
      <c r="D1315" s="1" t="n">
        <v>0</v>
      </c>
      <c r="E1315" s="1">
        <f>IF(B1315="數值","(F"&amp;C1315&amp;"."&amp;D1315&amp;")","(A"&amp;C1315&amp;")")</f>
        <v/>
      </c>
      <c r="F1315" s="1">
        <f>"alter type "&amp;A1315&amp;" "&amp;E1315&amp;"."</f>
        <v/>
      </c>
    </row>
    <row r="1316">
      <c r="A1316" s="1" t="inlineStr">
        <is>
          <t>vt_27</t>
        </is>
      </c>
      <c r="B1316" s="1" t="inlineStr">
        <is>
          <t>數值</t>
        </is>
      </c>
      <c r="C1316" s="1" t="n">
        <v>1</v>
      </c>
      <c r="D1316" s="1" t="n">
        <v>0</v>
      </c>
      <c r="E1316" s="1">
        <f>IF(B1316="數值","(F"&amp;C1316&amp;"."&amp;D1316&amp;")","(A"&amp;C1316&amp;")")</f>
        <v/>
      </c>
      <c r="F1316" s="1">
        <f>"alter type "&amp;A1316&amp;" "&amp;E1316&amp;"."</f>
        <v/>
      </c>
    </row>
    <row r="1317">
      <c r="A1317" s="1" t="inlineStr">
        <is>
          <t>vr_27</t>
        </is>
      </c>
      <c r="B1317" s="1" t="inlineStr">
        <is>
          <t>數值</t>
        </is>
      </c>
      <c r="C1317" s="1" t="n">
        <v>4</v>
      </c>
      <c r="D1317" s="1" t="n">
        <v>0</v>
      </c>
      <c r="E1317" s="1">
        <f>IF(B1317="數值","(F"&amp;C1317&amp;"."&amp;D1317&amp;")","(A"&amp;C1317&amp;")")</f>
        <v/>
      </c>
      <c r="F1317" s="1">
        <f>"alter type "&amp;A1317&amp;" "&amp;E1317&amp;"."</f>
        <v/>
      </c>
    </row>
    <row r="1318">
      <c r="A1318" s="1" t="inlineStr">
        <is>
          <t>result303_o_27</t>
        </is>
      </c>
      <c r="B1318" s="1" t="inlineStr">
        <is>
          <t>字串</t>
        </is>
      </c>
      <c r="C1318" s="1" t="n">
        <v>300</v>
      </c>
      <c r="D1318" s="1" t="n">
        <v>0</v>
      </c>
      <c r="E1318" s="1">
        <f>IF(B1318="數值","(F"&amp;C1318&amp;"."&amp;D1318&amp;")","(A"&amp;C1318&amp;")")</f>
        <v/>
      </c>
      <c r="F1318" s="1">
        <f>"alter type "&amp;A1318&amp;" "&amp;E1318&amp;"."</f>
        <v/>
      </c>
    </row>
    <row r="1319">
      <c r="A1319" s="1" t="inlineStr">
        <is>
          <t>result3061_o_27</t>
        </is>
      </c>
      <c r="B1319" s="1" t="inlineStr">
        <is>
          <t>字串</t>
        </is>
      </c>
      <c r="C1319" s="1" t="n">
        <v>300</v>
      </c>
      <c r="D1319" s="1" t="n">
        <v>0</v>
      </c>
      <c r="E1319" s="1">
        <f>IF(B1319="數值","(F"&amp;C1319&amp;"."&amp;D1319&amp;")","(A"&amp;C1319&amp;")")</f>
        <v/>
      </c>
      <c r="F1319" s="1">
        <f>"alter type "&amp;A1319&amp;" "&amp;E1319&amp;"."</f>
        <v/>
      </c>
    </row>
    <row r="1320">
      <c r="A1320" s="1" t="inlineStr">
        <is>
          <t>result3062_o_27</t>
        </is>
      </c>
      <c r="B1320" s="1" t="inlineStr">
        <is>
          <t>字串</t>
        </is>
      </c>
      <c r="C1320" s="1" t="n">
        <v>300</v>
      </c>
      <c r="D1320" s="1" t="n">
        <v>0</v>
      </c>
      <c r="E1320" s="1">
        <f>IF(B1320="數值","(F"&amp;C1320&amp;"."&amp;D1320&amp;")","(A"&amp;C1320&amp;")")</f>
        <v/>
      </c>
      <c r="F1320" s="1">
        <f>"alter type "&amp;A1320&amp;" "&amp;E1320&amp;"."</f>
        <v/>
      </c>
    </row>
    <row r="1321">
      <c r="A1321" s="1" t="inlineStr">
        <is>
          <t>result404_o_27</t>
        </is>
      </c>
      <c r="B1321" s="1" t="inlineStr">
        <is>
          <t>字串</t>
        </is>
      </c>
      <c r="C1321" s="1" t="n">
        <v>300</v>
      </c>
      <c r="D1321" s="1" t="n">
        <v>0</v>
      </c>
      <c r="E1321" s="1">
        <f>IF(B1321="數值","(F"&amp;C1321&amp;"."&amp;D1321&amp;")","(A"&amp;C1321&amp;")")</f>
        <v/>
      </c>
      <c r="F1321" s="1">
        <f>"alter type "&amp;A1321&amp;" "&amp;E1321&amp;"."</f>
        <v/>
      </c>
    </row>
    <row r="1322">
      <c r="A1322" s="1" t="inlineStr">
        <is>
          <t>result504_o_27</t>
        </is>
      </c>
      <c r="B1322" s="1" t="inlineStr">
        <is>
          <t>字串</t>
        </is>
      </c>
      <c r="C1322" s="1" t="n">
        <v>300</v>
      </c>
      <c r="D1322" s="1" t="n">
        <v>0</v>
      </c>
      <c r="E1322" s="1">
        <f>IF(B1322="數值","(F"&amp;C1322&amp;"."&amp;D1322&amp;")","(A"&amp;C1322&amp;")")</f>
        <v/>
      </c>
      <c r="F1322" s="1">
        <f>"alter type "&amp;A1322&amp;" "&amp;E1322&amp;"."</f>
        <v/>
      </c>
    </row>
    <row r="1323">
      <c r="A1323" s="1" t="inlineStr">
        <is>
          <t>result608_o_27</t>
        </is>
      </c>
      <c r="B1323" s="1" t="inlineStr">
        <is>
          <t>字串</t>
        </is>
      </c>
      <c r="C1323" s="1" t="n">
        <v>300</v>
      </c>
      <c r="D1323" s="1" t="n">
        <v>0</v>
      </c>
      <c r="E1323" s="1">
        <f>IF(B1323="數值","(F"&amp;C1323&amp;"."&amp;D1323&amp;")","(A"&amp;C1323&amp;")")</f>
        <v/>
      </c>
      <c r="F1323" s="1">
        <f>"alter type "&amp;A1323&amp;" "&amp;E1323&amp;"."</f>
        <v/>
      </c>
    </row>
    <row r="1324">
      <c r="A1324" s="1" t="inlineStr">
        <is>
          <t>result311_o_27</t>
        </is>
      </c>
      <c r="B1324" s="1" t="inlineStr">
        <is>
          <t>字串</t>
        </is>
      </c>
      <c r="C1324" s="1" t="n">
        <v>300</v>
      </c>
      <c r="D1324" s="1" t="n">
        <v>0</v>
      </c>
      <c r="E1324" s="1">
        <f>IF(B1324="數值","(F"&amp;C1324&amp;"."&amp;D1324&amp;")","(A"&amp;C1324&amp;")")</f>
        <v/>
      </c>
      <c r="F1324" s="1">
        <f>"alter type "&amp;A1324&amp;" "&amp;E1324&amp;"."</f>
        <v/>
      </c>
    </row>
    <row r="1325">
      <c r="A1325" s="1" t="inlineStr">
        <is>
          <t>result607_o_27</t>
        </is>
      </c>
      <c r="B1325" s="1" t="inlineStr">
        <is>
          <t>字串</t>
        </is>
      </c>
      <c r="C1325" s="1" t="n">
        <v>300</v>
      </c>
      <c r="D1325" s="1" t="n">
        <v>0</v>
      </c>
      <c r="E1325" s="1">
        <f>IF(B1325="數值","(F"&amp;C1325&amp;"."&amp;D1325&amp;")","(A"&amp;C1325&amp;")")</f>
        <v/>
      </c>
      <c r="F1325" s="1">
        <f>"alter type "&amp;A1325&amp;" "&amp;E1325&amp;"."</f>
        <v/>
      </c>
    </row>
    <row r="1326">
      <c r="A1326" s="1" t="inlineStr">
        <is>
          <t>result999_o_27</t>
        </is>
      </c>
      <c r="B1326" s="1" t="inlineStr">
        <is>
          <t>字串</t>
        </is>
      </c>
      <c r="C1326" s="1" t="n">
        <v>300</v>
      </c>
      <c r="D1326" s="1" t="n">
        <v>0</v>
      </c>
      <c r="E1326" s="1">
        <f>IF(B1326="數值","(F"&amp;C1326&amp;"."&amp;D1326&amp;")","(A"&amp;C1326&amp;")")</f>
        <v/>
      </c>
      <c r="F1326" s="1">
        <f>"alter type "&amp;A1326&amp;" "&amp;E1326&amp;"."</f>
        <v/>
      </c>
    </row>
    <row r="1327">
      <c r="A1327" s="1" t="inlineStr">
        <is>
          <t>at1_27</t>
        </is>
      </c>
      <c r="B1327" s="1" t="inlineStr">
        <is>
          <t>數值</t>
        </is>
      </c>
      <c r="C1327" s="1" t="n">
        <v>2</v>
      </c>
      <c r="D1327" s="1" t="n">
        <v>0</v>
      </c>
      <c r="E1327" s="1">
        <f>IF(B1327="數值","(F"&amp;C1327&amp;"."&amp;D1327&amp;")","(A"&amp;C1327&amp;")")</f>
        <v/>
      </c>
      <c r="F1327" s="1">
        <f>"alter type "&amp;A1327&amp;" "&amp;E1327&amp;"."</f>
        <v/>
      </c>
    </row>
    <row r="1328">
      <c r="A1328" s="1" t="inlineStr">
        <is>
          <t>at1_o04_27</t>
        </is>
      </c>
      <c r="B1328" s="1" t="inlineStr">
        <is>
          <t>字串</t>
        </is>
      </c>
      <c r="C1328" s="1" t="n">
        <v>300</v>
      </c>
      <c r="D1328" s="1" t="n">
        <v>0</v>
      </c>
      <c r="E1328" s="1">
        <f>IF(B1328="數值","(F"&amp;C1328&amp;"."&amp;D1328&amp;")","(A"&amp;C1328&amp;")")</f>
        <v/>
      </c>
      <c r="F1328" s="1">
        <f>"alter type "&amp;A1328&amp;" "&amp;E1328&amp;"."</f>
        <v/>
      </c>
    </row>
    <row r="1329">
      <c r="A1329" s="1" t="inlineStr">
        <is>
          <t>vdate_28</t>
        </is>
      </c>
      <c r="B1329" s="1" t="inlineStr">
        <is>
          <t>數值</t>
        </is>
      </c>
      <c r="C1329" s="1" t="n">
        <v>8</v>
      </c>
      <c r="D1329" s="1" t="n">
        <v>0</v>
      </c>
      <c r="E1329" s="1">
        <f>IF(B1329="數值","(F"&amp;C1329&amp;"."&amp;D1329&amp;")","(A"&amp;C1329&amp;")")</f>
        <v/>
      </c>
      <c r="F1329" s="1">
        <f>"alter type "&amp;A1329&amp;" "&amp;E1329&amp;"."</f>
        <v/>
      </c>
    </row>
    <row r="1330">
      <c r="A1330" s="1" t="inlineStr">
        <is>
          <t>vt_28</t>
        </is>
      </c>
      <c r="B1330" s="1" t="inlineStr">
        <is>
          <t>數值</t>
        </is>
      </c>
      <c r="C1330" s="1" t="n">
        <v>1</v>
      </c>
      <c r="D1330" s="1" t="n">
        <v>0</v>
      </c>
      <c r="E1330" s="1">
        <f>IF(B1330="數值","(F"&amp;C1330&amp;"."&amp;D1330&amp;")","(A"&amp;C1330&amp;")")</f>
        <v/>
      </c>
      <c r="F1330" s="1">
        <f>"alter type "&amp;A1330&amp;" "&amp;E1330&amp;"."</f>
        <v/>
      </c>
    </row>
    <row r="1331">
      <c r="A1331" s="1" t="inlineStr">
        <is>
          <t>vr_28</t>
        </is>
      </c>
      <c r="B1331" s="1" t="inlineStr">
        <is>
          <t>數值</t>
        </is>
      </c>
      <c r="C1331" s="1" t="n">
        <v>4</v>
      </c>
      <c r="D1331" s="1" t="n">
        <v>0</v>
      </c>
      <c r="E1331" s="1">
        <f>IF(B1331="數值","(F"&amp;C1331&amp;"."&amp;D1331&amp;")","(A"&amp;C1331&amp;")")</f>
        <v/>
      </c>
      <c r="F1331" s="1">
        <f>"alter type "&amp;A1331&amp;" "&amp;E1331&amp;"."</f>
        <v/>
      </c>
    </row>
    <row r="1332">
      <c r="A1332" s="1" t="inlineStr">
        <is>
          <t>result303_o_28</t>
        </is>
      </c>
      <c r="B1332" s="1" t="inlineStr">
        <is>
          <t>字串</t>
        </is>
      </c>
      <c r="C1332" s="1" t="n">
        <v>300</v>
      </c>
      <c r="D1332" s="1" t="n">
        <v>0</v>
      </c>
      <c r="E1332" s="1">
        <f>IF(B1332="數值","(F"&amp;C1332&amp;"."&amp;D1332&amp;")","(A"&amp;C1332&amp;")")</f>
        <v/>
      </c>
      <c r="F1332" s="1">
        <f>"alter type "&amp;A1332&amp;" "&amp;E1332&amp;"."</f>
        <v/>
      </c>
    </row>
    <row r="1333">
      <c r="A1333" s="1" t="inlineStr">
        <is>
          <t>result3061_o_28</t>
        </is>
      </c>
      <c r="B1333" s="1" t="inlineStr">
        <is>
          <t>字串</t>
        </is>
      </c>
      <c r="C1333" s="1" t="n">
        <v>300</v>
      </c>
      <c r="D1333" s="1" t="n">
        <v>0</v>
      </c>
      <c r="E1333" s="1">
        <f>IF(B1333="數值","(F"&amp;C1333&amp;"."&amp;D1333&amp;")","(A"&amp;C1333&amp;")")</f>
        <v/>
      </c>
      <c r="F1333" s="1">
        <f>"alter type "&amp;A1333&amp;" "&amp;E1333&amp;"."</f>
        <v/>
      </c>
    </row>
    <row r="1334">
      <c r="A1334" s="1" t="inlineStr">
        <is>
          <t>result3062_o_28</t>
        </is>
      </c>
      <c r="B1334" s="1" t="inlineStr">
        <is>
          <t>字串</t>
        </is>
      </c>
      <c r="C1334" s="1" t="n">
        <v>300</v>
      </c>
      <c r="D1334" s="1" t="n">
        <v>0</v>
      </c>
      <c r="E1334" s="1">
        <f>IF(B1334="數值","(F"&amp;C1334&amp;"."&amp;D1334&amp;")","(A"&amp;C1334&amp;")")</f>
        <v/>
      </c>
      <c r="F1334" s="1">
        <f>"alter type "&amp;A1334&amp;" "&amp;E1334&amp;"."</f>
        <v/>
      </c>
    </row>
    <row r="1335">
      <c r="A1335" s="1" t="inlineStr">
        <is>
          <t>result404_o_28</t>
        </is>
      </c>
      <c r="B1335" s="1" t="inlineStr">
        <is>
          <t>字串</t>
        </is>
      </c>
      <c r="C1335" s="1" t="n">
        <v>300</v>
      </c>
      <c r="D1335" s="1" t="n">
        <v>0</v>
      </c>
      <c r="E1335" s="1">
        <f>IF(B1335="數值","(F"&amp;C1335&amp;"."&amp;D1335&amp;")","(A"&amp;C1335&amp;")")</f>
        <v/>
      </c>
      <c r="F1335" s="1">
        <f>"alter type "&amp;A1335&amp;" "&amp;E1335&amp;"."</f>
        <v/>
      </c>
    </row>
    <row r="1336">
      <c r="A1336" s="1" t="inlineStr">
        <is>
          <t>result504_o_28</t>
        </is>
      </c>
      <c r="B1336" s="1" t="inlineStr">
        <is>
          <t>字串</t>
        </is>
      </c>
      <c r="C1336" s="1" t="n">
        <v>300</v>
      </c>
      <c r="D1336" s="1" t="n">
        <v>0</v>
      </c>
      <c r="E1336" s="1">
        <f>IF(B1336="數值","(F"&amp;C1336&amp;"."&amp;D1336&amp;")","(A"&amp;C1336&amp;")")</f>
        <v/>
      </c>
      <c r="F1336" s="1">
        <f>"alter type "&amp;A1336&amp;" "&amp;E1336&amp;"."</f>
        <v/>
      </c>
    </row>
    <row r="1337">
      <c r="A1337" s="1" t="inlineStr">
        <is>
          <t>result608_o_28</t>
        </is>
      </c>
      <c r="B1337" s="1" t="inlineStr">
        <is>
          <t>字串</t>
        </is>
      </c>
      <c r="C1337" s="1" t="n">
        <v>300</v>
      </c>
      <c r="D1337" s="1" t="n">
        <v>0</v>
      </c>
      <c r="E1337" s="1">
        <f>IF(B1337="數值","(F"&amp;C1337&amp;"."&amp;D1337&amp;")","(A"&amp;C1337&amp;")")</f>
        <v/>
      </c>
      <c r="F1337" s="1">
        <f>"alter type "&amp;A1337&amp;" "&amp;E1337&amp;"."</f>
        <v/>
      </c>
    </row>
    <row r="1338">
      <c r="A1338" s="1" t="inlineStr">
        <is>
          <t>result311_o_28</t>
        </is>
      </c>
      <c r="B1338" s="1" t="inlineStr">
        <is>
          <t>字串</t>
        </is>
      </c>
      <c r="C1338" s="1" t="n">
        <v>300</v>
      </c>
      <c r="D1338" s="1" t="n">
        <v>0</v>
      </c>
      <c r="E1338" s="1">
        <f>IF(B1338="數值","(F"&amp;C1338&amp;"."&amp;D1338&amp;")","(A"&amp;C1338&amp;")")</f>
        <v/>
      </c>
      <c r="F1338" s="1">
        <f>"alter type "&amp;A1338&amp;" "&amp;E1338&amp;"."</f>
        <v/>
      </c>
    </row>
    <row r="1339">
      <c r="A1339" s="1" t="inlineStr">
        <is>
          <t>result607_o_28</t>
        </is>
      </c>
      <c r="B1339" s="1" t="inlineStr">
        <is>
          <t>字串</t>
        </is>
      </c>
      <c r="C1339" s="1" t="n">
        <v>300</v>
      </c>
      <c r="D1339" s="1" t="n">
        <v>0</v>
      </c>
      <c r="E1339" s="1">
        <f>IF(B1339="數值","(F"&amp;C1339&amp;"."&amp;D1339&amp;")","(A"&amp;C1339&amp;")")</f>
        <v/>
      </c>
      <c r="F1339" s="1">
        <f>"alter type "&amp;A1339&amp;" "&amp;E1339&amp;"."</f>
        <v/>
      </c>
    </row>
    <row r="1340">
      <c r="A1340" s="1" t="inlineStr">
        <is>
          <t>result999_o_28</t>
        </is>
      </c>
      <c r="B1340" s="1" t="inlineStr">
        <is>
          <t>字串</t>
        </is>
      </c>
      <c r="C1340" s="1" t="n">
        <v>300</v>
      </c>
      <c r="D1340" s="1" t="n">
        <v>0</v>
      </c>
      <c r="E1340" s="1">
        <f>IF(B1340="數值","(F"&amp;C1340&amp;"."&amp;D1340&amp;")","(A"&amp;C1340&amp;")")</f>
        <v/>
      </c>
      <c r="F1340" s="1">
        <f>"alter type "&amp;A1340&amp;" "&amp;E1340&amp;"."</f>
        <v/>
      </c>
    </row>
    <row r="1341">
      <c r="A1341" s="1" t="inlineStr">
        <is>
          <t>at1_28</t>
        </is>
      </c>
      <c r="B1341" s="1" t="inlineStr">
        <is>
          <t>數值</t>
        </is>
      </c>
      <c r="C1341" s="1" t="n">
        <v>2</v>
      </c>
      <c r="D1341" s="1" t="n">
        <v>0</v>
      </c>
      <c r="E1341" s="1">
        <f>IF(B1341="數值","(F"&amp;C1341&amp;"."&amp;D1341&amp;")","(A"&amp;C1341&amp;")")</f>
        <v/>
      </c>
      <c r="F1341" s="1">
        <f>"alter type "&amp;A1341&amp;" "&amp;E1341&amp;"."</f>
        <v/>
      </c>
    </row>
    <row r="1342">
      <c r="A1342" s="1" t="inlineStr">
        <is>
          <t>at1_o04_28</t>
        </is>
      </c>
      <c r="B1342" s="1" t="inlineStr">
        <is>
          <t>字串</t>
        </is>
      </c>
      <c r="C1342" s="1" t="n">
        <v>300</v>
      </c>
      <c r="D1342" s="1" t="n">
        <v>0</v>
      </c>
      <c r="E1342" s="1">
        <f>IF(B1342="數值","(F"&amp;C1342&amp;"."&amp;D1342&amp;")","(A"&amp;C1342&amp;")")</f>
        <v/>
      </c>
      <c r="F1342" s="1">
        <f>"alter type "&amp;A1342&amp;" "&amp;E1342&amp;"."</f>
        <v/>
      </c>
    </row>
    <row r="1343">
      <c r="A1343" s="1" t="inlineStr">
        <is>
          <t>vdate_29</t>
        </is>
      </c>
      <c r="B1343" s="1" t="inlineStr">
        <is>
          <t>數值</t>
        </is>
      </c>
      <c r="C1343" s="1" t="n">
        <v>8</v>
      </c>
      <c r="D1343" s="1" t="n">
        <v>0</v>
      </c>
      <c r="E1343" s="1">
        <f>IF(B1343="數值","(F"&amp;C1343&amp;"."&amp;D1343&amp;")","(A"&amp;C1343&amp;")")</f>
        <v/>
      </c>
      <c r="F1343" s="1">
        <f>"alter type "&amp;A1343&amp;" "&amp;E1343&amp;"."</f>
        <v/>
      </c>
    </row>
    <row r="1344">
      <c r="A1344" s="1" t="inlineStr">
        <is>
          <t>vt_29</t>
        </is>
      </c>
      <c r="B1344" s="1" t="inlineStr">
        <is>
          <t>數值</t>
        </is>
      </c>
      <c r="C1344" s="1" t="n">
        <v>1</v>
      </c>
      <c r="D1344" s="1" t="n">
        <v>0</v>
      </c>
      <c r="E1344" s="1">
        <f>IF(B1344="數值","(F"&amp;C1344&amp;"."&amp;D1344&amp;")","(A"&amp;C1344&amp;")")</f>
        <v/>
      </c>
      <c r="F1344" s="1">
        <f>"alter type "&amp;A1344&amp;" "&amp;E1344&amp;"."</f>
        <v/>
      </c>
    </row>
    <row r="1345">
      <c r="A1345" s="1" t="inlineStr">
        <is>
          <t>vr_29</t>
        </is>
      </c>
      <c r="B1345" s="1" t="inlineStr">
        <is>
          <t>數值</t>
        </is>
      </c>
      <c r="C1345" s="1" t="n">
        <v>4</v>
      </c>
      <c r="D1345" s="1" t="n">
        <v>0</v>
      </c>
      <c r="E1345" s="1">
        <f>IF(B1345="數值","(F"&amp;C1345&amp;"."&amp;D1345&amp;")","(A"&amp;C1345&amp;")")</f>
        <v/>
      </c>
      <c r="F1345" s="1">
        <f>"alter type "&amp;A1345&amp;" "&amp;E1345&amp;"."</f>
        <v/>
      </c>
    </row>
    <row r="1346">
      <c r="A1346" s="1" t="inlineStr">
        <is>
          <t>result303_o_29</t>
        </is>
      </c>
      <c r="B1346" s="1" t="inlineStr">
        <is>
          <t>字串</t>
        </is>
      </c>
      <c r="C1346" s="1" t="n">
        <v>300</v>
      </c>
      <c r="D1346" s="1" t="n">
        <v>0</v>
      </c>
      <c r="E1346" s="1">
        <f>IF(B1346="數值","(F"&amp;C1346&amp;"."&amp;D1346&amp;")","(A"&amp;C1346&amp;")")</f>
        <v/>
      </c>
      <c r="F1346" s="1">
        <f>"alter type "&amp;A1346&amp;" "&amp;E1346&amp;"."</f>
        <v/>
      </c>
    </row>
    <row r="1347">
      <c r="A1347" s="1" t="inlineStr">
        <is>
          <t>result3061_o_29</t>
        </is>
      </c>
      <c r="B1347" s="1" t="inlineStr">
        <is>
          <t>字串</t>
        </is>
      </c>
      <c r="C1347" s="1" t="n">
        <v>300</v>
      </c>
      <c r="D1347" s="1" t="n">
        <v>0</v>
      </c>
      <c r="E1347" s="1">
        <f>IF(B1347="數值","(F"&amp;C1347&amp;"."&amp;D1347&amp;")","(A"&amp;C1347&amp;")")</f>
        <v/>
      </c>
      <c r="F1347" s="1">
        <f>"alter type "&amp;A1347&amp;" "&amp;E1347&amp;"."</f>
        <v/>
      </c>
    </row>
    <row r="1348">
      <c r="A1348" s="1" t="inlineStr">
        <is>
          <t>result3062_o_29</t>
        </is>
      </c>
      <c r="B1348" s="1" t="inlineStr">
        <is>
          <t>字串</t>
        </is>
      </c>
      <c r="C1348" s="1" t="n">
        <v>300</v>
      </c>
      <c r="D1348" s="1" t="n">
        <v>0</v>
      </c>
      <c r="E1348" s="1">
        <f>IF(B1348="數值","(F"&amp;C1348&amp;"."&amp;D1348&amp;")","(A"&amp;C1348&amp;")")</f>
        <v/>
      </c>
      <c r="F1348" s="1">
        <f>"alter type "&amp;A1348&amp;" "&amp;E1348&amp;"."</f>
        <v/>
      </c>
    </row>
    <row r="1349">
      <c r="A1349" s="1" t="inlineStr">
        <is>
          <t>result404_o_29</t>
        </is>
      </c>
      <c r="B1349" s="1" t="inlineStr">
        <is>
          <t>字串</t>
        </is>
      </c>
      <c r="C1349" s="1" t="n">
        <v>300</v>
      </c>
      <c r="D1349" s="1" t="n">
        <v>0</v>
      </c>
      <c r="E1349" s="1">
        <f>IF(B1349="數值","(F"&amp;C1349&amp;"."&amp;D1349&amp;")","(A"&amp;C1349&amp;")")</f>
        <v/>
      </c>
      <c r="F1349" s="1">
        <f>"alter type "&amp;A1349&amp;" "&amp;E1349&amp;"."</f>
        <v/>
      </c>
    </row>
    <row r="1350">
      <c r="A1350" s="1" t="inlineStr">
        <is>
          <t>result504_o_29</t>
        </is>
      </c>
      <c r="B1350" s="1" t="inlineStr">
        <is>
          <t>字串</t>
        </is>
      </c>
      <c r="C1350" s="1" t="n">
        <v>300</v>
      </c>
      <c r="D1350" s="1" t="n">
        <v>0</v>
      </c>
      <c r="E1350" s="1">
        <f>IF(B1350="數值","(F"&amp;C1350&amp;"."&amp;D1350&amp;")","(A"&amp;C1350&amp;")")</f>
        <v/>
      </c>
      <c r="F1350" s="1">
        <f>"alter type "&amp;A1350&amp;" "&amp;E1350&amp;"."</f>
        <v/>
      </c>
    </row>
    <row r="1351">
      <c r="A1351" s="1" t="inlineStr">
        <is>
          <t>result608_o_29</t>
        </is>
      </c>
      <c r="B1351" s="1" t="inlineStr">
        <is>
          <t>字串</t>
        </is>
      </c>
      <c r="C1351" s="1" t="n">
        <v>300</v>
      </c>
      <c r="D1351" s="1" t="n">
        <v>0</v>
      </c>
      <c r="E1351" s="1">
        <f>IF(B1351="數值","(F"&amp;C1351&amp;"."&amp;D1351&amp;")","(A"&amp;C1351&amp;")")</f>
        <v/>
      </c>
      <c r="F1351" s="1">
        <f>"alter type "&amp;A1351&amp;" "&amp;E1351&amp;"."</f>
        <v/>
      </c>
    </row>
    <row r="1352">
      <c r="A1352" s="1" t="inlineStr">
        <is>
          <t>result311_o_29</t>
        </is>
      </c>
      <c r="B1352" s="1" t="inlineStr">
        <is>
          <t>字串</t>
        </is>
      </c>
      <c r="C1352" s="1" t="n">
        <v>300</v>
      </c>
      <c r="D1352" s="1" t="n">
        <v>0</v>
      </c>
      <c r="E1352" s="1">
        <f>IF(B1352="數值","(F"&amp;C1352&amp;"."&amp;D1352&amp;")","(A"&amp;C1352&amp;")")</f>
        <v/>
      </c>
      <c r="F1352" s="1">
        <f>"alter type "&amp;A1352&amp;" "&amp;E1352&amp;"."</f>
        <v/>
      </c>
    </row>
    <row r="1353">
      <c r="A1353" s="1" t="inlineStr">
        <is>
          <t>result607_o_29</t>
        </is>
      </c>
      <c r="B1353" s="1" t="inlineStr">
        <is>
          <t>字串</t>
        </is>
      </c>
      <c r="C1353" s="1" t="n">
        <v>300</v>
      </c>
      <c r="D1353" s="1" t="n">
        <v>0</v>
      </c>
      <c r="E1353" s="1">
        <f>IF(B1353="數值","(F"&amp;C1353&amp;"."&amp;D1353&amp;")","(A"&amp;C1353&amp;")")</f>
        <v/>
      </c>
      <c r="F1353" s="1">
        <f>"alter type "&amp;A1353&amp;" "&amp;E1353&amp;"."</f>
        <v/>
      </c>
    </row>
    <row r="1354">
      <c r="A1354" s="1" t="inlineStr">
        <is>
          <t>result999_o_29</t>
        </is>
      </c>
      <c r="B1354" s="1" t="inlineStr">
        <is>
          <t>字串</t>
        </is>
      </c>
      <c r="C1354" s="1" t="n">
        <v>300</v>
      </c>
      <c r="D1354" s="1" t="n">
        <v>0</v>
      </c>
      <c r="E1354" s="1">
        <f>IF(B1354="數值","(F"&amp;C1354&amp;"."&amp;D1354&amp;")","(A"&amp;C1354&amp;")")</f>
        <v/>
      </c>
      <c r="F1354" s="1">
        <f>"alter type "&amp;A1354&amp;" "&amp;E1354&amp;"."</f>
        <v/>
      </c>
    </row>
    <row r="1355">
      <c r="A1355" s="1" t="inlineStr">
        <is>
          <t>at1_29</t>
        </is>
      </c>
      <c r="B1355" s="1" t="inlineStr">
        <is>
          <t>數值</t>
        </is>
      </c>
      <c r="C1355" s="1" t="n">
        <v>2</v>
      </c>
      <c r="D1355" s="1" t="n">
        <v>0</v>
      </c>
      <c r="E1355" s="1">
        <f>IF(B1355="數值","(F"&amp;C1355&amp;"."&amp;D1355&amp;")","(A"&amp;C1355&amp;")")</f>
        <v/>
      </c>
      <c r="F1355" s="1">
        <f>"alter type "&amp;A1355&amp;" "&amp;E1355&amp;"."</f>
        <v/>
      </c>
    </row>
    <row r="1356">
      <c r="A1356" s="1" t="inlineStr">
        <is>
          <t>at1_o04_29</t>
        </is>
      </c>
      <c r="B1356" s="1" t="inlineStr">
        <is>
          <t>字串</t>
        </is>
      </c>
      <c r="C1356" s="1" t="n">
        <v>300</v>
      </c>
      <c r="D1356" s="1" t="n">
        <v>0</v>
      </c>
      <c r="E1356" s="1">
        <f>IF(B1356="數值","(F"&amp;C1356&amp;"."&amp;D1356&amp;")","(A"&amp;C1356&amp;")")</f>
        <v/>
      </c>
      <c r="F1356" s="1">
        <f>"alter type "&amp;A1356&amp;" "&amp;E1356&amp;"."</f>
        <v/>
      </c>
    </row>
    <row r="1357">
      <c r="A1357" s="1" t="inlineStr">
        <is>
          <t>vdate_30</t>
        </is>
      </c>
      <c r="B1357" s="1" t="inlineStr">
        <is>
          <t>數值</t>
        </is>
      </c>
      <c r="C1357" s="1" t="n">
        <v>8</v>
      </c>
      <c r="D1357" s="1" t="n">
        <v>0</v>
      </c>
      <c r="E1357" s="1">
        <f>IF(B1357="數值","(F"&amp;C1357&amp;"."&amp;D1357&amp;")","(A"&amp;C1357&amp;")")</f>
        <v/>
      </c>
      <c r="F1357" s="1">
        <f>"alter type "&amp;A1357&amp;" "&amp;E1357&amp;"."</f>
        <v/>
      </c>
    </row>
    <row r="1358">
      <c r="A1358" s="1" t="inlineStr">
        <is>
          <t>vt_30</t>
        </is>
      </c>
      <c r="B1358" s="1" t="inlineStr">
        <is>
          <t>數值</t>
        </is>
      </c>
      <c r="C1358" s="1" t="n">
        <v>1</v>
      </c>
      <c r="D1358" s="1" t="n">
        <v>0</v>
      </c>
      <c r="E1358" s="1">
        <f>IF(B1358="數值","(F"&amp;C1358&amp;"."&amp;D1358&amp;")","(A"&amp;C1358&amp;")")</f>
        <v/>
      </c>
      <c r="F1358" s="1">
        <f>"alter type "&amp;A1358&amp;" "&amp;E1358&amp;"."</f>
        <v/>
      </c>
    </row>
    <row r="1359">
      <c r="A1359" s="1" t="inlineStr">
        <is>
          <t>vr_30</t>
        </is>
      </c>
      <c r="B1359" s="1" t="inlineStr">
        <is>
          <t>數值</t>
        </is>
      </c>
      <c r="C1359" s="1" t="n">
        <v>4</v>
      </c>
      <c r="D1359" s="1" t="n">
        <v>0</v>
      </c>
      <c r="E1359" s="1">
        <f>IF(B1359="數值","(F"&amp;C1359&amp;"."&amp;D1359&amp;")","(A"&amp;C1359&amp;")")</f>
        <v/>
      </c>
      <c r="F1359" s="1">
        <f>"alter type "&amp;A1359&amp;" "&amp;E1359&amp;"."</f>
        <v/>
      </c>
    </row>
    <row r="1360">
      <c r="A1360" s="1" t="inlineStr">
        <is>
          <t>result303_o_30</t>
        </is>
      </c>
      <c r="B1360" s="1" t="inlineStr">
        <is>
          <t>字串</t>
        </is>
      </c>
      <c r="C1360" s="1" t="n">
        <v>300</v>
      </c>
      <c r="D1360" s="1" t="n">
        <v>0</v>
      </c>
      <c r="E1360" s="1">
        <f>IF(B1360="數值","(F"&amp;C1360&amp;"."&amp;D1360&amp;")","(A"&amp;C1360&amp;")")</f>
        <v/>
      </c>
      <c r="F1360" s="1">
        <f>"alter type "&amp;A1360&amp;" "&amp;E1360&amp;"."</f>
        <v/>
      </c>
    </row>
    <row r="1361">
      <c r="A1361" s="1" t="inlineStr">
        <is>
          <t>result3061_o_30</t>
        </is>
      </c>
      <c r="B1361" s="1" t="inlineStr">
        <is>
          <t>字串</t>
        </is>
      </c>
      <c r="C1361" s="1" t="n">
        <v>300</v>
      </c>
      <c r="D1361" s="1" t="n">
        <v>0</v>
      </c>
      <c r="E1361" s="1">
        <f>IF(B1361="數值","(F"&amp;C1361&amp;"."&amp;D1361&amp;")","(A"&amp;C1361&amp;")")</f>
        <v/>
      </c>
      <c r="F1361" s="1">
        <f>"alter type "&amp;A1361&amp;" "&amp;E1361&amp;"."</f>
        <v/>
      </c>
    </row>
    <row r="1362">
      <c r="A1362" s="1" t="inlineStr">
        <is>
          <t>result3062_o_30</t>
        </is>
      </c>
      <c r="B1362" s="1" t="inlineStr">
        <is>
          <t>字串</t>
        </is>
      </c>
      <c r="C1362" s="1" t="n">
        <v>300</v>
      </c>
      <c r="D1362" s="1" t="n">
        <v>0</v>
      </c>
      <c r="E1362" s="1">
        <f>IF(B1362="數值","(F"&amp;C1362&amp;"."&amp;D1362&amp;")","(A"&amp;C1362&amp;")")</f>
        <v/>
      </c>
      <c r="F1362" s="1">
        <f>"alter type "&amp;A1362&amp;" "&amp;E1362&amp;"."</f>
        <v/>
      </c>
    </row>
    <row r="1363">
      <c r="A1363" s="1" t="inlineStr">
        <is>
          <t>result404_o_30</t>
        </is>
      </c>
      <c r="B1363" s="1" t="inlineStr">
        <is>
          <t>字串</t>
        </is>
      </c>
      <c r="C1363" s="1" t="n">
        <v>300</v>
      </c>
      <c r="D1363" s="1" t="n">
        <v>0</v>
      </c>
      <c r="E1363" s="1">
        <f>IF(B1363="數值","(F"&amp;C1363&amp;"."&amp;D1363&amp;")","(A"&amp;C1363&amp;")")</f>
        <v/>
      </c>
      <c r="F1363" s="1">
        <f>"alter type "&amp;A1363&amp;" "&amp;E1363&amp;"."</f>
        <v/>
      </c>
    </row>
    <row r="1364">
      <c r="A1364" s="1" t="inlineStr">
        <is>
          <t>result504_o_30</t>
        </is>
      </c>
      <c r="B1364" s="1" t="inlineStr">
        <is>
          <t>字串</t>
        </is>
      </c>
      <c r="C1364" s="1" t="n">
        <v>300</v>
      </c>
      <c r="D1364" s="1" t="n">
        <v>0</v>
      </c>
      <c r="E1364" s="1">
        <f>IF(B1364="數值","(F"&amp;C1364&amp;"."&amp;D1364&amp;")","(A"&amp;C1364&amp;")")</f>
        <v/>
      </c>
      <c r="F1364" s="1">
        <f>"alter type "&amp;A1364&amp;" "&amp;E1364&amp;"."</f>
        <v/>
      </c>
    </row>
    <row r="1365">
      <c r="A1365" s="1" t="inlineStr">
        <is>
          <t>result608_o_30</t>
        </is>
      </c>
      <c r="B1365" s="1" t="inlineStr">
        <is>
          <t>字串</t>
        </is>
      </c>
      <c r="C1365" s="1" t="n">
        <v>300</v>
      </c>
      <c r="D1365" s="1" t="n">
        <v>0</v>
      </c>
      <c r="E1365" s="1">
        <f>IF(B1365="數值","(F"&amp;C1365&amp;"."&amp;D1365&amp;")","(A"&amp;C1365&amp;")")</f>
        <v/>
      </c>
      <c r="F1365" s="1">
        <f>"alter type "&amp;A1365&amp;" "&amp;E1365&amp;"."</f>
        <v/>
      </c>
    </row>
    <row r="1366">
      <c r="A1366" s="1" t="inlineStr">
        <is>
          <t>result311_o_30</t>
        </is>
      </c>
      <c r="B1366" s="1" t="inlineStr">
        <is>
          <t>字串</t>
        </is>
      </c>
      <c r="C1366" s="1" t="n">
        <v>300</v>
      </c>
      <c r="D1366" s="1" t="n">
        <v>0</v>
      </c>
      <c r="E1366" s="1">
        <f>IF(B1366="數值","(F"&amp;C1366&amp;"."&amp;D1366&amp;")","(A"&amp;C1366&amp;")")</f>
        <v/>
      </c>
      <c r="F1366" s="1">
        <f>"alter type "&amp;A1366&amp;" "&amp;E1366&amp;"."</f>
        <v/>
      </c>
    </row>
    <row r="1367">
      <c r="A1367" s="1" t="inlineStr">
        <is>
          <t>result607_o_30</t>
        </is>
      </c>
      <c r="B1367" s="1" t="inlineStr">
        <is>
          <t>字串</t>
        </is>
      </c>
      <c r="C1367" s="1" t="n">
        <v>300</v>
      </c>
      <c r="D1367" s="1" t="n">
        <v>0</v>
      </c>
      <c r="E1367" s="1">
        <f>IF(B1367="數值","(F"&amp;C1367&amp;"."&amp;D1367&amp;")","(A"&amp;C1367&amp;")")</f>
        <v/>
      </c>
      <c r="F1367" s="1">
        <f>"alter type "&amp;A1367&amp;" "&amp;E1367&amp;"."</f>
        <v/>
      </c>
    </row>
    <row r="1368">
      <c r="A1368" s="1" t="inlineStr">
        <is>
          <t>result999_o_30</t>
        </is>
      </c>
      <c r="B1368" s="1" t="inlineStr">
        <is>
          <t>字串</t>
        </is>
      </c>
      <c r="C1368" s="1" t="n">
        <v>300</v>
      </c>
      <c r="D1368" s="1" t="n">
        <v>0</v>
      </c>
      <c r="E1368" s="1">
        <f>IF(B1368="數值","(F"&amp;C1368&amp;"."&amp;D1368&amp;")","(A"&amp;C1368&amp;")")</f>
        <v/>
      </c>
      <c r="F1368" s="1">
        <f>"alter type "&amp;A1368&amp;" "&amp;E1368&amp;"."</f>
        <v/>
      </c>
    </row>
    <row r="1369">
      <c r="A1369" s="1" t="inlineStr">
        <is>
          <t>at1_30</t>
        </is>
      </c>
      <c r="B1369" s="1" t="inlineStr">
        <is>
          <t>數值</t>
        </is>
      </c>
      <c r="C1369" s="1" t="n">
        <v>2</v>
      </c>
      <c r="D1369" s="1" t="n">
        <v>0</v>
      </c>
      <c r="E1369" s="1">
        <f>IF(B1369="數值","(F"&amp;C1369&amp;"."&amp;D1369&amp;")","(A"&amp;C1369&amp;")")</f>
        <v/>
      </c>
      <c r="F1369" s="1">
        <f>"alter type "&amp;A1369&amp;" "&amp;E1369&amp;"."</f>
        <v/>
      </c>
    </row>
    <row r="1370">
      <c r="A1370" s="1" t="inlineStr">
        <is>
          <t>at1_o04_30</t>
        </is>
      </c>
      <c r="B1370" s="1" t="inlineStr">
        <is>
          <t>字串</t>
        </is>
      </c>
      <c r="C1370" s="1" t="n">
        <v>300</v>
      </c>
      <c r="D1370" s="1" t="n">
        <v>0</v>
      </c>
      <c r="E1370" s="1">
        <f>IF(B1370="數值","(F"&amp;C1370&amp;"."&amp;D1370&amp;")","(A"&amp;C1370&amp;")")</f>
        <v/>
      </c>
      <c r="F1370" s="1">
        <f>"alter type "&amp;A1370&amp;" "&amp;E1370&amp;"."</f>
        <v/>
      </c>
    </row>
    <row r="1371">
      <c r="A1371" s="1" t="inlineStr">
        <is>
          <t>vlast</t>
        </is>
      </c>
      <c r="B1371" s="1" t="inlineStr">
        <is>
          <t>數值</t>
        </is>
      </c>
      <c r="C1371" s="1" t="n">
        <v>4</v>
      </c>
      <c r="D1371" s="1" t="n">
        <v>0</v>
      </c>
      <c r="E1371" s="1">
        <f>IF(B1371="數值","(F"&amp;C1371&amp;"."&amp;D1371&amp;")","(A"&amp;C1371&amp;")")</f>
        <v/>
      </c>
      <c r="F1371" s="1">
        <f>"alter type "&amp;A1371&amp;" "&amp;E1371&amp;"."</f>
        <v/>
      </c>
    </row>
    <row r="1372">
      <c r="A1372" s="1" t="inlineStr">
        <is>
          <t>stime_1</t>
        </is>
      </c>
      <c r="B1372" s="1" t="inlineStr">
        <is>
          <t>數值</t>
        </is>
      </c>
      <c r="C1372" s="1" t="n">
        <v>12</v>
      </c>
      <c r="D1372" s="1" t="n">
        <v>0</v>
      </c>
      <c r="E1372" s="1">
        <f>IF(B1372="數值","(F"&amp;C1372&amp;"."&amp;D1372&amp;")","(A"&amp;C1372&amp;")")</f>
        <v/>
      </c>
      <c r="F1372" s="1">
        <f>"alter type "&amp;A1372&amp;" "&amp;E1372&amp;"."</f>
        <v/>
      </c>
    </row>
    <row r="1373">
      <c r="A1373" s="1" t="inlineStr">
        <is>
          <t>etime_1</t>
        </is>
      </c>
      <c r="B1373" s="1" t="inlineStr">
        <is>
          <t>數值</t>
        </is>
      </c>
      <c r="C1373" s="1" t="n">
        <v>12</v>
      </c>
      <c r="D1373" s="1" t="n">
        <v>0</v>
      </c>
      <c r="E1373" s="1">
        <f>IF(B1373="數值","(F"&amp;C1373&amp;"."&amp;D1373&amp;")","(A"&amp;C1373&amp;")")</f>
        <v/>
      </c>
      <c r="F1373" s="1">
        <f>"alter type "&amp;A1373&amp;" "&amp;E1373&amp;"."</f>
        <v/>
      </c>
    </row>
    <row r="1374">
      <c r="A1374" s="1" t="inlineStr">
        <is>
          <t>stime_2</t>
        </is>
      </c>
      <c r="B1374" s="1" t="inlineStr">
        <is>
          <t>數值</t>
        </is>
      </c>
      <c r="C1374" s="1" t="n">
        <v>12</v>
      </c>
      <c r="D1374" s="1" t="n">
        <v>0</v>
      </c>
      <c r="E1374" s="1">
        <f>IF(B1374="數值","(F"&amp;C1374&amp;"."&amp;D1374&amp;")","(A"&amp;C1374&amp;")")</f>
        <v/>
      </c>
      <c r="F1374" s="1">
        <f>"alter type "&amp;A1374&amp;" "&amp;E1374&amp;"."</f>
        <v/>
      </c>
    </row>
    <row r="1375">
      <c r="A1375" s="1" t="inlineStr">
        <is>
          <t>etime_2</t>
        </is>
      </c>
      <c r="B1375" s="1" t="inlineStr">
        <is>
          <t>數值</t>
        </is>
      </c>
      <c r="C1375" s="1" t="n">
        <v>12</v>
      </c>
      <c r="D1375" s="1" t="n">
        <v>0</v>
      </c>
      <c r="E1375" s="1">
        <f>IF(B1375="數值","(F"&amp;C1375&amp;"."&amp;D1375&amp;")","(A"&amp;C1375&amp;")")</f>
        <v/>
      </c>
      <c r="F1375" s="1">
        <f>"alter type "&amp;A1375&amp;" "&amp;E1375&amp;"."</f>
        <v/>
      </c>
    </row>
    <row r="1376">
      <c r="A1376" s="1" t="inlineStr">
        <is>
          <t>stime_3</t>
        </is>
      </c>
      <c r="B1376" s="1" t="inlineStr">
        <is>
          <t>數值</t>
        </is>
      </c>
      <c r="C1376" s="1" t="n">
        <v>12</v>
      </c>
      <c r="D1376" s="1" t="n">
        <v>0</v>
      </c>
      <c r="E1376" s="1">
        <f>IF(B1376="數值","(F"&amp;C1376&amp;"."&amp;D1376&amp;")","(A"&amp;C1376&amp;")")</f>
        <v/>
      </c>
      <c r="F1376" s="1">
        <f>"alter type "&amp;A1376&amp;" "&amp;E1376&amp;"."</f>
        <v/>
      </c>
    </row>
    <row r="1377">
      <c r="A1377" s="1" t="inlineStr">
        <is>
          <t>etime_3</t>
        </is>
      </c>
      <c r="B1377" s="1" t="inlineStr">
        <is>
          <t>數值</t>
        </is>
      </c>
      <c r="C1377" s="1" t="n">
        <v>12</v>
      </c>
      <c r="D1377" s="1" t="n">
        <v>0</v>
      </c>
      <c r="E1377" s="1">
        <f>IF(B1377="數值","(F"&amp;C1377&amp;"."&amp;D1377&amp;")","(A"&amp;C1377&amp;")")</f>
        <v/>
      </c>
      <c r="F1377" s="1">
        <f>"alter type "&amp;A1377&amp;" "&amp;E1377&amp;"."</f>
        <v/>
      </c>
    </row>
    <row r="1378">
      <c r="A1378" s="1" t="inlineStr">
        <is>
          <t>stime_4</t>
        </is>
      </c>
      <c r="B1378" s="1" t="inlineStr">
        <is>
          <t>數值</t>
        </is>
      </c>
      <c r="C1378" s="1" t="n">
        <v>12</v>
      </c>
      <c r="D1378" s="1" t="n">
        <v>0</v>
      </c>
      <c r="E1378" s="1">
        <f>IF(B1378="數值","(F"&amp;C1378&amp;"."&amp;D1378&amp;")","(A"&amp;C1378&amp;")")</f>
        <v/>
      </c>
      <c r="F1378" s="1">
        <f>"alter type "&amp;A1378&amp;" "&amp;E1378&amp;"."</f>
        <v/>
      </c>
    </row>
    <row r="1379">
      <c r="A1379" s="1" t="inlineStr">
        <is>
          <t>etime_4</t>
        </is>
      </c>
      <c r="B1379" s="1" t="inlineStr">
        <is>
          <t>數值</t>
        </is>
      </c>
      <c r="C1379" s="1" t="n">
        <v>12</v>
      </c>
      <c r="D1379" s="1" t="n">
        <v>0</v>
      </c>
      <c r="E1379" s="1">
        <f>IF(B1379="數值","(F"&amp;C1379&amp;"."&amp;D1379&amp;")","(A"&amp;C1379&amp;")")</f>
        <v/>
      </c>
      <c r="F1379" s="1">
        <f>"alter type "&amp;A1379&amp;" "&amp;E1379&amp;"."</f>
        <v/>
      </c>
    </row>
    <row r="1380">
      <c r="A1380" s="1" t="inlineStr">
        <is>
          <t>last_time</t>
        </is>
      </c>
      <c r="B1380" s="1" t="inlineStr">
        <is>
          <t>數值</t>
        </is>
      </c>
      <c r="C1380" s="1" t="n">
        <v>12</v>
      </c>
      <c r="D1380" s="1" t="n">
        <v>0</v>
      </c>
      <c r="E1380" s="1">
        <f>IF(B1380="數值","(F"&amp;C1380&amp;"."&amp;D1380&amp;")","(A"&amp;C1380&amp;")")</f>
        <v/>
      </c>
      <c r="F1380" s="1">
        <f>"alter type "&amp;A1380&amp;" "&amp;E1380&amp;"."</f>
        <v/>
      </c>
    </row>
    <row r="1381">
      <c r="A1381" s="1" t="inlineStr">
        <is>
          <t>ff</t>
        </is>
      </c>
      <c r="B1381" s="1" t="inlineStr">
        <is>
          <t>數值</t>
        </is>
      </c>
      <c r="C1381" s="1" t="n">
        <v>2</v>
      </c>
      <c r="D1381" s="1" t="n">
        <v>0</v>
      </c>
      <c r="E1381" s="1">
        <f>IF(B1381="數值","(F"&amp;C1381&amp;"."&amp;D1381&amp;")","(A"&amp;C1381&amp;")")</f>
        <v/>
      </c>
      <c r="F1381" s="1">
        <f>"alter type "&amp;A1381&amp;" "&amp;E1381&amp;"."</f>
        <v/>
      </c>
    </row>
    <row r="1382">
      <c r="A1382" s="1" t="inlineStr">
        <is>
          <t>fs</t>
        </is>
      </c>
      <c r="B1382" s="1" t="inlineStr">
        <is>
          <t>數值</t>
        </is>
      </c>
      <c r="C1382" s="1" t="n">
        <v>2</v>
      </c>
      <c r="D1382" s="1" t="n">
        <v>0</v>
      </c>
      <c r="E1382" s="1">
        <f>IF(B1382="數值","(F"&amp;C1382&amp;"."&amp;D1382&amp;")","(A"&amp;C1382&amp;")")</f>
        <v/>
      </c>
      <c r="F1382" s="1">
        <f>"alter type "&amp;A1382&amp;" "&amp;E1382&amp;"."</f>
        <v/>
      </c>
    </row>
    <row r="1383">
      <c r="A1383" s="1" t="inlineStr">
        <is>
          <t>mp</t>
        </is>
      </c>
      <c r="B1383" s="1" t="inlineStr">
        <is>
          <t>數值</t>
        </is>
      </c>
      <c r="C1383" s="1" t="n">
        <v>2</v>
      </c>
      <c r="D1383" s="1" t="n">
        <v>0</v>
      </c>
      <c r="E1383" s="1">
        <f>IF(B1383="數值","(F"&amp;C1383&amp;"."&amp;D1383&amp;")","(A"&amp;C1383&amp;")")</f>
        <v/>
      </c>
      <c r="F1383" s="1">
        <f>"alter type "&amp;A1383&amp;" "&amp;E1383&amp;"."</f>
        <v/>
      </c>
    </row>
    <row r="1384">
      <c r="A1384" s="1" t="inlineStr">
        <is>
          <t>sp</t>
        </is>
      </c>
      <c r="B1384" s="1" t="inlineStr">
        <is>
          <t>數值</t>
        </is>
      </c>
      <c r="C1384" s="1" t="n">
        <v>2</v>
      </c>
      <c r="D1384" s="1" t="n">
        <v>0</v>
      </c>
      <c r="E1384" s="1">
        <f>IF(B1384="數值","(F"&amp;C1384&amp;"."&amp;D1384&amp;")","(A"&amp;C1384&amp;")")</f>
        <v/>
      </c>
      <c r="F1384" s="1">
        <f>"alter type "&amp;A1384&amp;" "&amp;E1384&amp;"."</f>
        <v/>
      </c>
    </row>
    <row r="1385">
      <c r="A1385" s="1" t="inlineStr">
        <is>
          <t>c1_00</t>
        </is>
      </c>
      <c r="B1385" s="1" t="inlineStr">
        <is>
          <t>數值</t>
        </is>
      </c>
      <c r="C1385" s="1" t="n">
        <v>2</v>
      </c>
      <c r="D1385" s="1" t="n">
        <v>0</v>
      </c>
      <c r="E1385" s="1">
        <f>IF(B1385="數值","(F"&amp;C1385&amp;"."&amp;D1385&amp;")","(A"&amp;C1385&amp;")")</f>
        <v/>
      </c>
      <c r="F1385" s="1">
        <f>"alter type "&amp;A1385&amp;" "&amp;E1385&amp;"."</f>
        <v/>
      </c>
    </row>
    <row r="1386">
      <c r="A1386" s="1" t="inlineStr">
        <is>
          <t>c1_01</t>
        </is>
      </c>
      <c r="B1386" s="1" t="inlineStr">
        <is>
          <t>數值</t>
        </is>
      </c>
      <c r="C1386" s="1" t="n">
        <v>2</v>
      </c>
      <c r="D1386" s="1" t="n">
        <v>0</v>
      </c>
      <c r="E1386" s="1">
        <f>IF(B1386="數值","(F"&amp;C1386&amp;"."&amp;D1386&amp;")","(A"&amp;C1386&amp;")")</f>
        <v/>
      </c>
      <c r="F1386" s="1">
        <f>"alter type "&amp;A1386&amp;" "&amp;E1386&amp;"."</f>
        <v/>
      </c>
    </row>
    <row r="1387">
      <c r="A1387" s="1" t="inlineStr">
        <is>
          <t>c1_02</t>
        </is>
      </c>
      <c r="B1387" s="1" t="inlineStr">
        <is>
          <t>數值</t>
        </is>
      </c>
      <c r="C1387" s="1" t="n">
        <v>2</v>
      </c>
      <c r="D1387" s="1" t="n">
        <v>0</v>
      </c>
      <c r="E1387" s="1">
        <f>IF(B1387="數值","(F"&amp;C1387&amp;"."&amp;D1387&amp;")","(A"&amp;C1387&amp;")")</f>
        <v/>
      </c>
      <c r="F1387" s="1">
        <f>"alter type "&amp;A1387&amp;" "&amp;E1387&amp;"."</f>
        <v/>
      </c>
    </row>
    <row r="1388">
      <c r="A1388" s="1" t="inlineStr">
        <is>
          <t>c1_03</t>
        </is>
      </c>
      <c r="B1388" s="1" t="inlineStr">
        <is>
          <t>數值</t>
        </is>
      </c>
      <c r="C1388" s="1" t="n">
        <v>2</v>
      </c>
      <c r="D1388" s="1" t="n">
        <v>0</v>
      </c>
      <c r="E1388" s="1">
        <f>IF(B1388="數值","(F"&amp;C1388&amp;"."&amp;D1388&amp;")","(A"&amp;C1388&amp;")")</f>
        <v/>
      </c>
      <c r="F1388" s="1">
        <f>"alter type "&amp;A1388&amp;" "&amp;E1388&amp;"."</f>
        <v/>
      </c>
    </row>
    <row r="1389">
      <c r="A1389" s="1" t="inlineStr">
        <is>
          <t>c1_04</t>
        </is>
      </c>
      <c r="B1389" s="1" t="inlineStr">
        <is>
          <t>數值</t>
        </is>
      </c>
      <c r="C1389" s="1" t="n">
        <v>2</v>
      </c>
      <c r="D1389" s="1" t="n">
        <v>0</v>
      </c>
      <c r="E1389" s="1">
        <f>IF(B1389="數值","(F"&amp;C1389&amp;"."&amp;D1389&amp;")","(A"&amp;C1389&amp;")")</f>
        <v/>
      </c>
      <c r="F1389" s="1">
        <f>"alter type "&amp;A1389&amp;" "&amp;E1389&amp;"."</f>
        <v/>
      </c>
    </row>
    <row r="1390">
      <c r="A1390" s="1" t="inlineStr">
        <is>
          <t>c1_05</t>
        </is>
      </c>
      <c r="B1390" s="1" t="inlineStr">
        <is>
          <t>數值</t>
        </is>
      </c>
      <c r="C1390" s="1" t="n">
        <v>2</v>
      </c>
      <c r="D1390" s="1" t="n">
        <v>0</v>
      </c>
      <c r="E1390" s="1">
        <f>IF(B1390="數值","(F"&amp;C1390&amp;"."&amp;D1390&amp;")","(A"&amp;C1390&amp;")")</f>
        <v/>
      </c>
      <c r="F1390" s="1">
        <f>"alter type "&amp;A1390&amp;" "&amp;E1390&amp;"."</f>
        <v/>
      </c>
    </row>
    <row r="1391">
      <c r="A1391" s="1" t="inlineStr">
        <is>
          <t>c1_06</t>
        </is>
      </c>
      <c r="B1391" s="1" t="inlineStr">
        <is>
          <t>數值</t>
        </is>
      </c>
      <c r="C1391" s="1" t="n">
        <v>2</v>
      </c>
      <c r="D1391" s="1" t="n">
        <v>0</v>
      </c>
      <c r="E1391" s="1">
        <f>IF(B1391="數值","(F"&amp;C1391&amp;"."&amp;D1391&amp;")","(A"&amp;C1391&amp;")")</f>
        <v/>
      </c>
      <c r="F1391" s="1">
        <f>"alter type "&amp;A1391&amp;" "&amp;E1391&amp;"."</f>
        <v/>
      </c>
    </row>
    <row r="1392">
      <c r="A1392" s="1" t="inlineStr">
        <is>
          <t>c1_o00</t>
        </is>
      </c>
      <c r="B1392" s="1" t="inlineStr">
        <is>
          <t>字串</t>
        </is>
      </c>
      <c r="C1392" s="1" t="n">
        <v>300</v>
      </c>
      <c r="D1392" s="1" t="n">
        <v>0</v>
      </c>
      <c r="E1392" s="1">
        <f>IF(B1392="數值","(F"&amp;C1392&amp;"."&amp;D1392&amp;")","(A"&amp;C1392&amp;")")</f>
        <v/>
      </c>
      <c r="F1392" s="1">
        <f>"alter type "&amp;A1392&amp;" "&amp;E1392&amp;"."</f>
        <v/>
      </c>
    </row>
    <row r="1393">
      <c r="A1393" s="1" t="inlineStr">
        <is>
          <t>c1_o02</t>
        </is>
      </c>
      <c r="B1393" s="1" t="inlineStr">
        <is>
          <t>字串</t>
        </is>
      </c>
      <c r="C1393" s="1" t="n">
        <v>300</v>
      </c>
      <c r="D1393" s="1" t="n">
        <v>0</v>
      </c>
      <c r="E1393" s="1">
        <f>IF(B1393="數值","(F"&amp;C1393&amp;"."&amp;D1393&amp;")","(A"&amp;C1393&amp;")")</f>
        <v/>
      </c>
      <c r="F1393" s="1">
        <f>"alter type "&amp;A1393&amp;" "&amp;E1393&amp;"."</f>
        <v/>
      </c>
    </row>
    <row r="1394">
      <c r="A1394" s="1" t="inlineStr">
        <is>
          <t>c1_o03</t>
        </is>
      </c>
      <c r="B1394" s="1" t="inlineStr">
        <is>
          <t>字串</t>
        </is>
      </c>
      <c r="C1394" s="1" t="n">
        <v>300</v>
      </c>
      <c r="D1394" s="1" t="n">
        <v>0</v>
      </c>
      <c r="E1394" s="1">
        <f>IF(B1394="數值","(F"&amp;C1394&amp;"."&amp;D1394&amp;")","(A"&amp;C1394&amp;")")</f>
        <v/>
      </c>
      <c r="F1394" s="1">
        <f>"alter type "&amp;A1394&amp;" "&amp;E1394&amp;"."</f>
        <v/>
      </c>
    </row>
    <row r="1395">
      <c r="A1395" s="1" t="inlineStr">
        <is>
          <t>c1_o04</t>
        </is>
      </c>
      <c r="B1395" s="1" t="inlineStr">
        <is>
          <t>字串</t>
        </is>
      </c>
      <c r="C1395" s="1" t="n">
        <v>300</v>
      </c>
      <c r="D1395" s="1" t="n">
        <v>0</v>
      </c>
      <c r="E1395" s="1">
        <f>IF(B1395="數值","(F"&amp;C1395&amp;"."&amp;D1395&amp;")","(A"&amp;C1395&amp;")")</f>
        <v/>
      </c>
      <c r="F1395" s="1">
        <f>"alter type "&amp;A1395&amp;" "&amp;E1395&amp;"."</f>
        <v/>
      </c>
    </row>
    <row r="1396">
      <c r="A1396" s="1" t="inlineStr">
        <is>
          <t>c1_o05</t>
        </is>
      </c>
      <c r="B1396" s="1" t="inlineStr">
        <is>
          <t>字串</t>
        </is>
      </c>
      <c r="C1396" s="1" t="n">
        <v>300</v>
      </c>
      <c r="D1396" s="1" t="n">
        <v>0</v>
      </c>
      <c r="E1396" s="1">
        <f>IF(B1396="數值","(F"&amp;C1396&amp;"."&amp;D1396&amp;")","(A"&amp;C1396&amp;")")</f>
        <v/>
      </c>
      <c r="F1396" s="1">
        <f>"alter type "&amp;A1396&amp;" "&amp;E1396&amp;"."</f>
        <v/>
      </c>
    </row>
    <row r="1397">
      <c r="A1397" s="1" t="inlineStr">
        <is>
          <t>c1_o06</t>
        </is>
      </c>
      <c r="B1397" s="1" t="inlineStr">
        <is>
          <t>字串</t>
        </is>
      </c>
      <c r="C1397" s="1" t="n">
        <v>300</v>
      </c>
      <c r="D1397" s="1" t="n">
        <v>0</v>
      </c>
      <c r="E1397" s="1">
        <f>IF(B1397="數值","(F"&amp;C1397&amp;"."&amp;D1397&amp;")","(A"&amp;C1397&amp;")")</f>
        <v/>
      </c>
      <c r="F1397" s="1">
        <f>"alter type "&amp;A1397&amp;" "&amp;E1397&amp;"."</f>
        <v/>
      </c>
    </row>
    <row r="1398">
      <c r="A1398" s="1" t="inlineStr">
        <is>
          <t>c2</t>
        </is>
      </c>
      <c r="B1398" s="1" t="inlineStr">
        <is>
          <t>數值</t>
        </is>
      </c>
      <c r="C1398" s="1" t="n">
        <v>2</v>
      </c>
      <c r="D1398" s="1" t="n">
        <v>0</v>
      </c>
      <c r="E1398" s="1">
        <f>IF(B1398="數值","(F"&amp;C1398&amp;"."&amp;D1398&amp;")","(A"&amp;C1398&amp;")")</f>
        <v/>
      </c>
      <c r="F1398" s="1">
        <f>"alter type "&amp;A1398&amp;" "&amp;E1398&amp;"."</f>
        <v/>
      </c>
    </row>
    <row r="1399">
      <c r="A1399" s="1" t="inlineStr">
        <is>
          <t>c2_o11</t>
        </is>
      </c>
      <c r="B1399" s="1" t="inlineStr">
        <is>
          <t>字串</t>
        </is>
      </c>
      <c r="C1399" s="1" t="n">
        <v>300</v>
      </c>
      <c r="D1399" s="1" t="n">
        <v>0</v>
      </c>
      <c r="E1399" s="1">
        <f>IF(B1399="數值","(F"&amp;C1399&amp;"."&amp;D1399&amp;")","(A"&amp;C1399&amp;")")</f>
        <v/>
      </c>
      <c r="F1399" s="1">
        <f>"alter type "&amp;A1399&amp;" "&amp;E1399&amp;"."</f>
        <v/>
      </c>
    </row>
    <row r="1400">
      <c r="A1400" s="1" t="inlineStr">
        <is>
          <t>c3_01</t>
        </is>
      </c>
      <c r="B1400" s="1" t="inlineStr">
        <is>
          <t>數值</t>
        </is>
      </c>
      <c r="C1400" s="1" t="n">
        <v>2</v>
      </c>
      <c r="D1400" s="1" t="n">
        <v>0</v>
      </c>
      <c r="E1400" s="1">
        <f>IF(B1400="數值","(F"&amp;C1400&amp;"."&amp;D1400&amp;")","(A"&amp;C1400&amp;")")</f>
        <v/>
      </c>
      <c r="F1400" s="1">
        <f>"alter type "&amp;A1400&amp;" "&amp;E1400&amp;"."</f>
        <v/>
      </c>
    </row>
    <row r="1401">
      <c r="A1401" s="1" t="inlineStr">
        <is>
          <t>c3_02</t>
        </is>
      </c>
      <c r="B1401" s="1" t="inlineStr">
        <is>
          <t>數值</t>
        </is>
      </c>
      <c r="C1401" s="1" t="n">
        <v>2</v>
      </c>
      <c r="D1401" s="1" t="n">
        <v>0</v>
      </c>
      <c r="E1401" s="1">
        <f>IF(B1401="數值","(F"&amp;C1401&amp;"."&amp;D1401&amp;")","(A"&amp;C1401&amp;")")</f>
        <v/>
      </c>
      <c r="F1401" s="1">
        <f>"alter type "&amp;A1401&amp;" "&amp;E1401&amp;"."</f>
        <v/>
      </c>
    </row>
    <row r="1402">
      <c r="A1402" s="1" t="inlineStr">
        <is>
          <t>c3_03</t>
        </is>
      </c>
      <c r="B1402" s="1" t="inlineStr">
        <is>
          <t>數值</t>
        </is>
      </c>
      <c r="C1402" s="1" t="n">
        <v>2</v>
      </c>
      <c r="D1402" s="1" t="n">
        <v>0</v>
      </c>
      <c r="E1402" s="1">
        <f>IF(B1402="數值","(F"&amp;C1402&amp;"."&amp;D1402&amp;")","(A"&amp;C1402&amp;")")</f>
        <v/>
      </c>
      <c r="F1402" s="1">
        <f>"alter type "&amp;A1402&amp;" "&amp;E1402&amp;"."</f>
        <v/>
      </c>
    </row>
    <row r="1403">
      <c r="A1403" s="1" t="inlineStr">
        <is>
          <t>c3_04</t>
        </is>
      </c>
      <c r="B1403" s="1" t="inlineStr">
        <is>
          <t>數值</t>
        </is>
      </c>
      <c r="C1403" s="1" t="n">
        <v>2</v>
      </c>
      <c r="D1403" s="1" t="n">
        <v>0</v>
      </c>
      <c r="E1403" s="1">
        <f>IF(B1403="數值","(F"&amp;C1403&amp;"."&amp;D1403&amp;")","(A"&amp;C1403&amp;")")</f>
        <v/>
      </c>
      <c r="F1403" s="1">
        <f>"alter type "&amp;A1403&amp;" "&amp;E1403&amp;"."</f>
        <v/>
      </c>
    </row>
    <row r="1404">
      <c r="A1404" s="1" t="inlineStr">
        <is>
          <t>c3_o01</t>
        </is>
      </c>
      <c r="B1404" s="1" t="inlineStr">
        <is>
          <t>字串</t>
        </is>
      </c>
      <c r="C1404" s="1" t="n">
        <v>300</v>
      </c>
      <c r="D1404" s="1" t="n">
        <v>0</v>
      </c>
      <c r="E1404" s="1">
        <f>IF(B1404="數值","(F"&amp;C1404&amp;"."&amp;D1404&amp;")","(A"&amp;C1404&amp;")")</f>
        <v/>
      </c>
      <c r="F1404" s="1">
        <f>"alter type "&amp;A1404&amp;" "&amp;E1404&amp;"."</f>
        <v/>
      </c>
    </row>
    <row r="1405">
      <c r="A1405" s="1" t="inlineStr">
        <is>
          <t>c3_o03</t>
        </is>
      </c>
      <c r="B1405" s="1" t="inlineStr">
        <is>
          <t>字串</t>
        </is>
      </c>
      <c r="C1405" s="1" t="n">
        <v>300</v>
      </c>
      <c r="D1405" s="1" t="n">
        <v>0</v>
      </c>
      <c r="E1405" s="1">
        <f>IF(B1405="數值","(F"&amp;C1405&amp;"."&amp;D1405&amp;")","(A"&amp;C1405&amp;")")</f>
        <v/>
      </c>
      <c r="F1405" s="1">
        <f>"alter type "&amp;A1405&amp;" "&amp;E1405&amp;"."</f>
        <v/>
      </c>
    </row>
    <row r="1406">
      <c r="A1406" s="1" t="inlineStr">
        <is>
          <t>c3_o04</t>
        </is>
      </c>
      <c r="B1406" s="1" t="inlineStr">
        <is>
          <t>字串</t>
        </is>
      </c>
      <c r="C1406" s="1" t="n">
        <v>300</v>
      </c>
      <c r="D1406" s="1" t="n">
        <v>0</v>
      </c>
      <c r="E1406" s="1">
        <f>IF(B1406="數值","(F"&amp;C1406&amp;"."&amp;D1406&amp;")","(A"&amp;C1406&amp;")")</f>
        <v/>
      </c>
      <c r="F1406" s="1">
        <f>"alter type "&amp;A1406&amp;" "&amp;E1406&amp;"."</f>
        <v/>
      </c>
    </row>
    <row r="1407">
      <c r="A1407" s="1" t="inlineStr">
        <is>
          <t>note_i</t>
        </is>
      </c>
      <c r="B1407" s="1" t="inlineStr">
        <is>
          <t>字串</t>
        </is>
      </c>
      <c r="C1407" s="1" t="n">
        <v>1200</v>
      </c>
      <c r="D1407" s="1" t="n">
        <v>0</v>
      </c>
      <c r="E1407" s="1">
        <f>IF(B1407="數值","(F"&amp;C1407&amp;"."&amp;D1407&amp;")","(A"&amp;C1407&amp;")")</f>
        <v/>
      </c>
      <c r="F1407" s="1">
        <f>"alter type "&amp;A1407&amp;" "&amp;E1407&amp;"."</f>
        <v/>
      </c>
    </row>
    <row r="1408">
      <c r="A1408" s="1" t="inlineStr">
        <is>
          <t>note_s</t>
        </is>
      </c>
      <c r="B1408" s="1" t="inlineStr">
        <is>
          <t>字串</t>
        </is>
      </c>
      <c r="C1408" s="1" t="n">
        <v>1200</v>
      </c>
      <c r="D1408" s="1" t="n">
        <v>0</v>
      </c>
      <c r="E1408" s="1">
        <f>IF(B1408="數值","(F"&amp;C1408&amp;"."&amp;D1408&amp;")","(A"&amp;C1408&amp;")")</f>
        <v/>
      </c>
      <c r="F1408" s="1">
        <f>"alter type "&amp;A1408&amp;" "&amp;E1408&amp;"."</f>
        <v/>
      </c>
    </row>
    <row r="1409">
      <c r="A1409" s="1" t="inlineStr">
        <is>
          <t>sfno</t>
        </is>
      </c>
      <c r="B1409" s="1" t="inlineStr">
        <is>
          <t>字串</t>
        </is>
      </c>
      <c r="C1409" s="1" t="n">
        <v>3</v>
      </c>
      <c r="D1409" s="1" t="n">
        <v>0</v>
      </c>
      <c r="E1409" s="1">
        <f>IF(B1409="數值","(F"&amp;C1409&amp;"."&amp;D1409&amp;")","(A"&amp;C1409&amp;")")</f>
        <v/>
      </c>
      <c r="F1409" s="1">
        <f>"alter type "&amp;A1409&amp;" "&amp;E1409&amp;"."</f>
        <v/>
      </c>
    </row>
    <row r="1410">
      <c r="A1410" s="1" t="inlineStr">
        <is>
          <t>slno</t>
        </is>
      </c>
      <c r="B1410" s="1" t="inlineStr">
        <is>
          <t>字串</t>
        </is>
      </c>
      <c r="C1410" s="1" t="n">
        <v>3</v>
      </c>
      <c r="D1410" s="1" t="n">
        <v>0</v>
      </c>
      <c r="E1410" s="1">
        <f>IF(B1410="數值","(F"&amp;C1410&amp;"."&amp;D1410&amp;")","(A"&amp;C1410&amp;")")</f>
        <v/>
      </c>
      <c r="F1410" s="1">
        <f>"alter type "&amp;A1410&amp;" "&amp;E1410&amp;"."</f>
        <v/>
      </c>
    </row>
    <row r="1411">
      <c r="A1411" s="1" t="inlineStr">
        <is>
          <t>s_date_1</t>
        </is>
      </c>
      <c r="B1411" s="1" t="inlineStr">
        <is>
          <t>數值</t>
        </is>
      </c>
      <c r="C1411" s="1" t="n">
        <v>8</v>
      </c>
      <c r="D1411" s="1" t="n">
        <v>0</v>
      </c>
      <c r="E1411" s="1">
        <f>IF(B1411="數值","(F"&amp;C1411&amp;"."&amp;D1411&amp;")","(A"&amp;C1411&amp;")")</f>
        <v/>
      </c>
      <c r="F1411" s="1">
        <f>"alter type "&amp;A1411&amp;" "&amp;E1411&amp;"."</f>
        <v/>
      </c>
    </row>
    <row r="1412">
      <c r="A1412" s="1" t="inlineStr">
        <is>
          <t>s_in_1</t>
        </is>
      </c>
      <c r="B1412" s="1" t="inlineStr">
        <is>
          <t>字串</t>
        </is>
      </c>
      <c r="C1412" s="1" t="n">
        <v>8</v>
      </c>
      <c r="D1412" s="1" t="n">
        <v>0</v>
      </c>
      <c r="E1412" s="1">
        <f>IF(B1412="數值","(F"&amp;C1412&amp;"."&amp;D1412&amp;")","(A"&amp;C1412&amp;")")</f>
        <v/>
      </c>
      <c r="F1412" s="1">
        <f>"alter type "&amp;A1412&amp;" "&amp;E1412&amp;"."</f>
        <v/>
      </c>
    </row>
    <row r="1413">
      <c r="A1413" s="1" t="inlineStr">
        <is>
          <t>s_date_2</t>
        </is>
      </c>
      <c r="B1413" s="1" t="inlineStr">
        <is>
          <t>數值</t>
        </is>
      </c>
      <c r="C1413" s="1" t="n">
        <v>8</v>
      </c>
      <c r="D1413" s="1" t="n">
        <v>0</v>
      </c>
      <c r="E1413" s="1">
        <f>IF(B1413="數值","(F"&amp;C1413&amp;"."&amp;D1413&amp;")","(A"&amp;C1413&amp;")")</f>
        <v/>
      </c>
      <c r="F1413" s="1">
        <f>"alter type "&amp;A1413&amp;" "&amp;E1413&amp;"."</f>
        <v/>
      </c>
    </row>
    <row r="1414">
      <c r="A1414" s="1" t="inlineStr">
        <is>
          <t>s_in_2</t>
        </is>
      </c>
      <c r="B1414" s="1" t="inlineStr">
        <is>
          <t>字串</t>
        </is>
      </c>
      <c r="C1414" s="1" t="n">
        <v>8</v>
      </c>
      <c r="D1414" s="1" t="n">
        <v>0</v>
      </c>
      <c r="E1414" s="1">
        <f>IF(B1414="數值","(F"&amp;C1414&amp;"."&amp;D1414&amp;")","(A"&amp;C1414&amp;")")</f>
        <v/>
      </c>
      <c r="F1414" s="1">
        <f>"alter type "&amp;A1414&amp;" "&amp;E1414&amp;"."</f>
        <v/>
      </c>
    </row>
    <row r="1415">
      <c r="A1415" s="1" t="inlineStr">
        <is>
          <t>s_date_3</t>
        </is>
      </c>
      <c r="B1415" s="1" t="inlineStr">
        <is>
          <t>數值</t>
        </is>
      </c>
      <c r="C1415" s="1" t="n">
        <v>8</v>
      </c>
      <c r="D1415" s="1" t="n">
        <v>0</v>
      </c>
      <c r="E1415" s="1">
        <f>IF(B1415="數值","(F"&amp;C1415&amp;"."&amp;D1415&amp;")","(A"&amp;C1415&amp;")")</f>
        <v/>
      </c>
      <c r="F1415" s="1">
        <f>"alter type "&amp;A1415&amp;" "&amp;E1415&amp;"."</f>
        <v/>
      </c>
    </row>
    <row r="1416">
      <c r="A1416" s="1" t="inlineStr">
        <is>
          <t>s_in_3</t>
        </is>
      </c>
      <c r="B1416" s="1" t="inlineStr">
        <is>
          <t>字串</t>
        </is>
      </c>
      <c r="C1416" s="1" t="n">
        <v>8</v>
      </c>
      <c r="D1416" s="1" t="n">
        <v>0</v>
      </c>
      <c r="E1416" s="1">
        <f>IF(B1416="數值","(F"&amp;C1416&amp;"."&amp;D1416&amp;")","(A"&amp;C1416&amp;")")</f>
        <v/>
      </c>
      <c r="F1416" s="1">
        <f>"alter type "&amp;A1416&amp;" "&amp;E1416&amp;"."</f>
        <v/>
      </c>
    </row>
    <row r="1417">
      <c r="A1417" s="1" t="inlineStr">
        <is>
          <t>s_date_4</t>
        </is>
      </c>
      <c r="B1417" s="1" t="inlineStr">
        <is>
          <t>數值</t>
        </is>
      </c>
      <c r="C1417" s="1" t="n">
        <v>8</v>
      </c>
      <c r="D1417" s="1" t="n">
        <v>0</v>
      </c>
      <c r="E1417" s="1">
        <f>IF(B1417="數值","(F"&amp;C1417&amp;"."&amp;D1417&amp;")","(A"&amp;C1417&amp;")")</f>
        <v/>
      </c>
      <c r="F1417" s="1">
        <f>"alter type "&amp;A1417&amp;" "&amp;E1417&amp;"."</f>
        <v/>
      </c>
    </row>
    <row r="1418">
      <c r="A1418" s="1" t="inlineStr">
        <is>
          <t>s_in_4</t>
        </is>
      </c>
      <c r="B1418" s="1" t="inlineStr">
        <is>
          <t>字串</t>
        </is>
      </c>
      <c r="C1418" s="1" t="n">
        <v>8</v>
      </c>
      <c r="D1418" s="1" t="n">
        <v>0</v>
      </c>
      <c r="E1418" s="1">
        <f>IF(B1418="數值","(F"&amp;C1418&amp;"."&amp;D1418&amp;")","(A"&amp;C1418&amp;")")</f>
        <v/>
      </c>
      <c r="F1418" s="1">
        <f>"alter type "&amp;A1418&amp;" "&amp;E1418&amp;"."</f>
        <v/>
      </c>
    </row>
    <row r="1419">
      <c r="A1419" s="1" t="inlineStr">
        <is>
          <t>s_date_5</t>
        </is>
      </c>
      <c r="B1419" s="1" t="inlineStr">
        <is>
          <t>數值</t>
        </is>
      </c>
      <c r="C1419" s="1" t="n">
        <v>8</v>
      </c>
      <c r="D1419" s="1" t="n">
        <v>0</v>
      </c>
      <c r="E1419" s="1">
        <f>IF(B1419="數值","(F"&amp;C1419&amp;"."&amp;D1419&amp;")","(A"&amp;C1419&amp;")")</f>
        <v/>
      </c>
      <c r="F1419" s="1">
        <f>"alter type "&amp;A1419&amp;" "&amp;E1419&amp;"."</f>
        <v/>
      </c>
    </row>
    <row r="1420">
      <c r="A1420" s="1" t="inlineStr">
        <is>
          <t>s_in_5</t>
        </is>
      </c>
      <c r="B1420" s="1" t="inlineStr">
        <is>
          <t>字串</t>
        </is>
      </c>
      <c r="C1420" s="1" t="n">
        <v>8</v>
      </c>
      <c r="D1420" s="1" t="n">
        <v>0</v>
      </c>
      <c r="E1420" s="1">
        <f>IF(B1420="數值","(F"&amp;C1420&amp;"."&amp;D1420&amp;")","(A"&amp;C1420&amp;")")</f>
        <v/>
      </c>
      <c r="F1420" s="1">
        <f>"alter type "&amp;A1420&amp;" "&amp;E1420&amp;"."</f>
        <v/>
      </c>
    </row>
    <row r="1421">
      <c r="A1421" s="1" t="inlineStr">
        <is>
          <t>s_date_6</t>
        </is>
      </c>
      <c r="B1421" s="1" t="inlineStr">
        <is>
          <t>數值</t>
        </is>
      </c>
      <c r="C1421" s="1" t="n">
        <v>8</v>
      </c>
      <c r="D1421" s="1" t="n">
        <v>0</v>
      </c>
      <c r="E1421" s="1">
        <f>IF(B1421="數值","(F"&amp;C1421&amp;"."&amp;D1421&amp;")","(A"&amp;C1421&amp;")")</f>
        <v/>
      </c>
      <c r="F1421" s="1">
        <f>"alter type "&amp;A1421&amp;" "&amp;E1421&amp;"."</f>
        <v/>
      </c>
    </row>
    <row r="1422">
      <c r="A1422" s="1" t="inlineStr">
        <is>
          <t>s_in_6</t>
        </is>
      </c>
      <c r="B1422" s="1" t="inlineStr">
        <is>
          <t>字串</t>
        </is>
      </c>
      <c r="C1422" s="1" t="n">
        <v>8</v>
      </c>
      <c r="D1422" s="1" t="n">
        <v>0</v>
      </c>
      <c r="E1422" s="1">
        <f>IF(B1422="數值","(F"&amp;C1422&amp;"."&amp;D1422&amp;")","(A"&amp;C1422&amp;")")</f>
        <v/>
      </c>
      <c r="F1422" s="1">
        <f>"alter type "&amp;A1422&amp;" "&amp;E1422&amp;"."</f>
        <v/>
      </c>
    </row>
    <row r="1423">
      <c r="A1423" s="1" t="inlineStr">
        <is>
          <t>s_date_7</t>
        </is>
      </c>
      <c r="B1423" s="1" t="inlineStr">
        <is>
          <t>數值</t>
        </is>
      </c>
      <c r="C1423" s="1" t="n">
        <v>8</v>
      </c>
      <c r="D1423" s="1" t="n">
        <v>0</v>
      </c>
      <c r="E1423" s="1">
        <f>IF(B1423="數值","(F"&amp;C1423&amp;"."&amp;D1423&amp;")","(A"&amp;C1423&amp;")")</f>
        <v/>
      </c>
      <c r="F1423" s="1">
        <f>"alter type "&amp;A1423&amp;" "&amp;E1423&amp;"."</f>
        <v/>
      </c>
    </row>
    <row r="1424">
      <c r="A1424" s="1" t="inlineStr">
        <is>
          <t>s_in_7</t>
        </is>
      </c>
      <c r="B1424" s="1" t="inlineStr">
        <is>
          <t>字串</t>
        </is>
      </c>
      <c r="C1424" s="1" t="n">
        <v>8</v>
      </c>
      <c r="D1424" s="1" t="n">
        <v>0</v>
      </c>
      <c r="E1424" s="1">
        <f>IF(B1424="數值","(F"&amp;C1424&amp;"."&amp;D1424&amp;")","(A"&amp;C1424&amp;")")</f>
        <v/>
      </c>
      <c r="F1424" s="1">
        <f>"alter type "&amp;A1424&amp;" "&amp;E1424&amp;"."</f>
        <v/>
      </c>
    </row>
    <row r="1425">
      <c r="A1425" s="1" t="inlineStr">
        <is>
          <t>s_date_8</t>
        </is>
      </c>
      <c r="B1425" s="1" t="inlineStr">
        <is>
          <t>數值</t>
        </is>
      </c>
      <c r="C1425" s="1" t="n">
        <v>8</v>
      </c>
      <c r="D1425" s="1" t="n">
        <v>0</v>
      </c>
      <c r="E1425" s="1">
        <f>IF(B1425="數值","(F"&amp;C1425&amp;"."&amp;D1425&amp;")","(A"&amp;C1425&amp;")")</f>
        <v/>
      </c>
      <c r="F1425" s="1">
        <f>"alter type "&amp;A1425&amp;" "&amp;E1425&amp;"."</f>
        <v/>
      </c>
    </row>
    <row r="1426">
      <c r="A1426" s="1" t="inlineStr">
        <is>
          <t>s_in_8</t>
        </is>
      </c>
      <c r="B1426" s="1" t="inlineStr">
        <is>
          <t>字串</t>
        </is>
      </c>
      <c r="C1426" s="1" t="n">
        <v>8</v>
      </c>
      <c r="D1426" s="1" t="n">
        <v>0</v>
      </c>
      <c r="E1426" s="1">
        <f>IF(B1426="數值","(F"&amp;C1426&amp;"."&amp;D1426&amp;")","(A"&amp;C1426&amp;")")</f>
        <v/>
      </c>
      <c r="F1426" s="1">
        <f>"alter type "&amp;A1426&amp;" "&amp;E1426&amp;"."</f>
        <v/>
      </c>
    </row>
    <row r="1427">
      <c r="A1427" s="1" t="inlineStr">
        <is>
          <t>s_date_9</t>
        </is>
      </c>
      <c r="B1427" s="1" t="inlineStr">
        <is>
          <t>數值</t>
        </is>
      </c>
      <c r="C1427" s="1" t="n">
        <v>8</v>
      </c>
      <c r="D1427" s="1" t="n">
        <v>0</v>
      </c>
      <c r="E1427" s="1">
        <f>IF(B1427="數值","(F"&amp;C1427&amp;"."&amp;D1427&amp;")","(A"&amp;C1427&amp;")")</f>
        <v/>
      </c>
      <c r="F1427" s="1">
        <f>"alter type "&amp;A1427&amp;" "&amp;E1427&amp;"."</f>
        <v/>
      </c>
    </row>
    <row r="1428">
      <c r="A1428" s="1" t="inlineStr">
        <is>
          <t>s_in_9</t>
        </is>
      </c>
      <c r="B1428" s="1" t="inlineStr">
        <is>
          <t>字串</t>
        </is>
      </c>
      <c r="C1428" s="1" t="n">
        <v>8</v>
      </c>
      <c r="D1428" s="1" t="n">
        <v>0</v>
      </c>
      <c r="E1428" s="1">
        <f>IF(B1428="數值","(F"&amp;C1428&amp;"."&amp;D1428&amp;")","(A"&amp;C1428&amp;")")</f>
        <v/>
      </c>
      <c r="F1428" s="1">
        <f>"alter type "&amp;A1428&amp;" "&amp;E1428&amp;"."</f>
        <v/>
      </c>
    </row>
    <row r="1429">
      <c r="A1429" s="1" t="inlineStr">
        <is>
          <t>s_date_10</t>
        </is>
      </c>
      <c r="B1429" s="1" t="inlineStr">
        <is>
          <t>數值</t>
        </is>
      </c>
      <c r="C1429" s="1" t="n">
        <v>8</v>
      </c>
      <c r="D1429" s="1" t="n">
        <v>0</v>
      </c>
      <c r="E1429" s="1">
        <f>IF(B1429="數值","(F"&amp;C1429&amp;"."&amp;D1429&amp;")","(A"&amp;C1429&amp;")")</f>
        <v/>
      </c>
      <c r="F1429" s="1">
        <f>"alter type "&amp;A1429&amp;" "&amp;E1429&amp;"."</f>
        <v/>
      </c>
    </row>
    <row r="1430">
      <c r="A1430" s="1" t="inlineStr">
        <is>
          <t>s_in_10</t>
        </is>
      </c>
      <c r="B1430" s="1" t="inlineStr">
        <is>
          <t>字串</t>
        </is>
      </c>
      <c r="C1430" s="1" t="n">
        <v>8</v>
      </c>
      <c r="D1430" s="1" t="n">
        <v>0</v>
      </c>
      <c r="E1430" s="1">
        <f>IF(B1430="數值","(F"&amp;C1430&amp;"."&amp;D1430&amp;")","(A"&amp;C1430&amp;")")</f>
        <v/>
      </c>
      <c r="F1430" s="1">
        <f>"alter type "&amp;A1430&amp;" "&amp;E1430&amp;"."</f>
        <v/>
      </c>
    </row>
    <row r="1431">
      <c r="A1431" s="1" t="inlineStr">
        <is>
          <t>tfno</t>
        </is>
      </c>
      <c r="B1431" s="1" t="inlineStr">
        <is>
          <t>字串</t>
        </is>
      </c>
      <c r="C1431" s="1" t="n">
        <v>3</v>
      </c>
      <c r="D1431" s="1" t="n">
        <v>0</v>
      </c>
      <c r="E1431" s="1">
        <f>IF(B1431="數值","(F"&amp;C1431&amp;"."&amp;D1431&amp;")","(A"&amp;C1431&amp;")")</f>
        <v/>
      </c>
      <c r="F1431" s="1">
        <f>"alter type "&amp;A1431&amp;" "&amp;E1431&amp;"."</f>
        <v/>
      </c>
    </row>
    <row r="1432">
      <c r="A1432" s="1" t="inlineStr">
        <is>
          <t>tlno</t>
        </is>
      </c>
      <c r="B1432" s="1" t="inlineStr">
        <is>
          <t>字串</t>
        </is>
      </c>
      <c r="C1432" s="1" t="n">
        <v>3</v>
      </c>
      <c r="D1432" s="1" t="n">
        <v>0</v>
      </c>
      <c r="E1432" s="1">
        <f>IF(B1432="數值","(F"&amp;C1432&amp;"."&amp;D1432&amp;")","(A"&amp;C1432&amp;")")</f>
        <v/>
      </c>
      <c r="F1432" s="1">
        <f>"alter type "&amp;A1432&amp;" "&amp;E1432&amp;"."</f>
        <v/>
      </c>
    </row>
    <row r="1433">
      <c r="A1433" s="1" t="inlineStr">
        <is>
          <t>t_date_1</t>
        </is>
      </c>
      <c r="B1433" s="1" t="inlineStr">
        <is>
          <t>數值</t>
        </is>
      </c>
      <c r="C1433" s="1" t="n">
        <v>8</v>
      </c>
      <c r="D1433" s="1" t="n">
        <v>0</v>
      </c>
      <c r="E1433" s="1">
        <f>IF(B1433="數值","(F"&amp;C1433&amp;"."&amp;D1433&amp;")","(A"&amp;C1433&amp;")")</f>
        <v/>
      </c>
      <c r="F1433" s="1">
        <f>"alter type "&amp;A1433&amp;" "&amp;E1433&amp;"."</f>
        <v/>
      </c>
    </row>
    <row r="1434">
      <c r="A1434" s="1" t="inlineStr">
        <is>
          <t>t_in_1</t>
        </is>
      </c>
      <c r="B1434" s="1" t="inlineStr">
        <is>
          <t>字串</t>
        </is>
      </c>
      <c r="C1434" s="1" t="n">
        <v>20</v>
      </c>
      <c r="D1434" s="1" t="n">
        <v>0</v>
      </c>
      <c r="E1434" s="1">
        <f>IF(B1434="數值","(F"&amp;C1434&amp;"."&amp;D1434&amp;")","(A"&amp;C1434&amp;")")</f>
        <v/>
      </c>
      <c r="F1434" s="1">
        <f>"alter type "&amp;A1434&amp;" "&amp;E1434&amp;"."</f>
        <v/>
      </c>
    </row>
    <row r="1435">
      <c r="A1435" s="1" t="inlineStr">
        <is>
          <t>phone1_1</t>
        </is>
      </c>
      <c r="B1435" s="1" t="inlineStr">
        <is>
          <t>字串</t>
        </is>
      </c>
      <c r="C1435" s="1" t="n">
        <v>21</v>
      </c>
      <c r="D1435" s="1" t="n">
        <v>0</v>
      </c>
      <c r="E1435" s="1">
        <f>IF(B1435="數值","(F"&amp;C1435&amp;"."&amp;D1435&amp;")","(A"&amp;C1435&amp;")")</f>
        <v/>
      </c>
      <c r="F1435" s="1">
        <f>"alter type "&amp;A1435&amp;" "&amp;E1435&amp;"."</f>
        <v/>
      </c>
    </row>
    <row r="1436">
      <c r="A1436" s="1" t="inlineStr">
        <is>
          <t>phone2_1</t>
        </is>
      </c>
      <c r="B1436" s="1" t="inlineStr">
        <is>
          <t>字串</t>
        </is>
      </c>
      <c r="C1436" s="1" t="n">
        <v>21</v>
      </c>
      <c r="D1436" s="1" t="n">
        <v>0</v>
      </c>
      <c r="E1436" s="1">
        <f>IF(B1436="數值","(F"&amp;C1436&amp;"."&amp;D1436&amp;")","(A"&amp;C1436&amp;")")</f>
        <v/>
      </c>
      <c r="F1436" s="1">
        <f>"alter type "&amp;A1436&amp;" "&amp;E1436&amp;"."</f>
        <v/>
      </c>
    </row>
    <row r="1437">
      <c r="A1437" s="1" t="inlineStr">
        <is>
          <t>phone3_1</t>
        </is>
      </c>
      <c r="B1437" s="1" t="inlineStr">
        <is>
          <t>字串</t>
        </is>
      </c>
      <c r="C1437" s="1" t="n">
        <v>21</v>
      </c>
      <c r="D1437" s="1" t="n">
        <v>0</v>
      </c>
      <c r="E1437" s="1">
        <f>IF(B1437="數值","(F"&amp;C1437&amp;"."&amp;D1437&amp;")","(A"&amp;C1437&amp;")")</f>
        <v/>
      </c>
      <c r="F1437" s="1">
        <f>"alter type "&amp;A1437&amp;" "&amp;E1437&amp;"."</f>
        <v/>
      </c>
    </row>
    <row r="1438">
      <c r="A1438" s="1" t="inlineStr">
        <is>
          <t>cell1_1</t>
        </is>
      </c>
      <c r="B1438" s="1" t="inlineStr">
        <is>
          <t>字串</t>
        </is>
      </c>
      <c r="C1438" s="1" t="n">
        <v>12</v>
      </c>
      <c r="D1438" s="1" t="n">
        <v>0</v>
      </c>
      <c r="E1438" s="1">
        <f>IF(B1438="數值","(F"&amp;C1438&amp;"."&amp;D1438&amp;")","(A"&amp;C1438&amp;")")</f>
        <v/>
      </c>
      <c r="F1438" s="1">
        <f>"alter type "&amp;A1438&amp;" "&amp;E1438&amp;"."</f>
        <v/>
      </c>
    </row>
    <row r="1439">
      <c r="A1439" s="1" t="inlineStr">
        <is>
          <t>cell2_1</t>
        </is>
      </c>
      <c r="B1439" s="1" t="inlineStr">
        <is>
          <t>字串</t>
        </is>
      </c>
      <c r="C1439" s="1" t="n">
        <v>12</v>
      </c>
      <c r="D1439" s="1" t="n">
        <v>0</v>
      </c>
      <c r="E1439" s="1">
        <f>IF(B1439="數值","(F"&amp;C1439&amp;"."&amp;D1439&amp;")","(A"&amp;C1439&amp;")")</f>
        <v/>
      </c>
      <c r="F1439" s="1">
        <f>"alter type "&amp;A1439&amp;" "&amp;E1439&amp;"."</f>
        <v/>
      </c>
    </row>
    <row r="1440">
      <c r="A1440" s="1" t="inlineStr">
        <is>
          <t>cell3_1</t>
        </is>
      </c>
      <c r="B1440" s="1" t="inlineStr">
        <is>
          <t>字串</t>
        </is>
      </c>
      <c r="C1440" s="1" t="n">
        <v>12</v>
      </c>
      <c r="D1440" s="1" t="n">
        <v>0</v>
      </c>
      <c r="E1440" s="1">
        <f>IF(B1440="數值","(F"&amp;C1440&amp;"."&amp;D1440&amp;")","(A"&amp;C1440&amp;")")</f>
        <v/>
      </c>
      <c r="F1440" s="1">
        <f>"alter type "&amp;A1440&amp;" "&amp;E1440&amp;"."</f>
        <v/>
      </c>
    </row>
    <row r="1441">
      <c r="A1441" s="1" t="inlineStr">
        <is>
          <t>add1_1</t>
        </is>
      </c>
      <c r="B1441" s="1" t="inlineStr">
        <is>
          <t>字串</t>
        </is>
      </c>
      <c r="C1441" s="1" t="n">
        <v>180</v>
      </c>
      <c r="D1441" s="1" t="n">
        <v>0</v>
      </c>
      <c r="E1441" s="1">
        <f>IF(B1441="數值","(F"&amp;C1441&amp;"."&amp;D1441&amp;")","(A"&amp;C1441&amp;")")</f>
        <v/>
      </c>
      <c r="F1441" s="1">
        <f>"alter type "&amp;A1441&amp;" "&amp;E1441&amp;"."</f>
        <v/>
      </c>
    </row>
    <row r="1442">
      <c r="A1442" s="1" t="inlineStr">
        <is>
          <t>add2_1</t>
        </is>
      </c>
      <c r="B1442" s="1" t="inlineStr">
        <is>
          <t>字串</t>
        </is>
      </c>
      <c r="C1442" s="1" t="n">
        <v>180</v>
      </c>
      <c r="D1442" s="1" t="n">
        <v>0</v>
      </c>
      <c r="E1442" s="1">
        <f>IF(B1442="數值","(F"&amp;C1442&amp;"."&amp;D1442&amp;")","(A"&amp;C1442&amp;")")</f>
        <v/>
      </c>
      <c r="F1442" s="1">
        <f>"alter type "&amp;A1442&amp;" "&amp;E1442&amp;"."</f>
        <v/>
      </c>
    </row>
    <row r="1443">
      <c r="A1443" s="1" t="inlineStr">
        <is>
          <t>add3_1</t>
        </is>
      </c>
      <c r="B1443" s="1" t="inlineStr">
        <is>
          <t>字串</t>
        </is>
      </c>
      <c r="C1443" s="1" t="n">
        <v>180</v>
      </c>
      <c r="D1443" s="1" t="n">
        <v>0</v>
      </c>
      <c r="E1443" s="1">
        <f>IF(B1443="數值","(F"&amp;C1443&amp;"."&amp;D1443&amp;")","(A"&amp;C1443&amp;")")</f>
        <v/>
      </c>
      <c r="F1443" s="1">
        <f>"alter type "&amp;A1443&amp;" "&amp;E1443&amp;"."</f>
        <v/>
      </c>
    </row>
    <row r="1444">
      <c r="A1444" s="1" t="inlineStr">
        <is>
          <t>t_date_2</t>
        </is>
      </c>
      <c r="B1444" s="1" t="inlineStr">
        <is>
          <t>數值</t>
        </is>
      </c>
      <c r="C1444" s="1" t="n">
        <v>8</v>
      </c>
      <c r="D1444" s="1" t="n">
        <v>0</v>
      </c>
      <c r="E1444" s="1">
        <f>IF(B1444="數值","(F"&amp;C1444&amp;"."&amp;D1444&amp;")","(A"&amp;C1444&amp;")")</f>
        <v/>
      </c>
      <c r="F1444" s="1">
        <f>"alter type "&amp;A1444&amp;" "&amp;E1444&amp;"."</f>
        <v/>
      </c>
    </row>
    <row r="1445">
      <c r="A1445" s="1" t="inlineStr">
        <is>
          <t>t_in_2</t>
        </is>
      </c>
      <c r="B1445" s="1" t="inlineStr">
        <is>
          <t>字串</t>
        </is>
      </c>
      <c r="C1445" s="1" t="n">
        <v>20</v>
      </c>
      <c r="D1445" s="1" t="n">
        <v>0</v>
      </c>
      <c r="E1445" s="1">
        <f>IF(B1445="數值","(F"&amp;C1445&amp;"."&amp;D1445&amp;")","(A"&amp;C1445&amp;")")</f>
        <v/>
      </c>
      <c r="F1445" s="1">
        <f>"alter type "&amp;A1445&amp;" "&amp;E1445&amp;"."</f>
        <v/>
      </c>
    </row>
    <row r="1446">
      <c r="A1446" s="1" t="inlineStr">
        <is>
          <t>phone1_2</t>
        </is>
      </c>
      <c r="B1446" s="1" t="inlineStr">
        <is>
          <t>字串</t>
        </is>
      </c>
      <c r="C1446" s="1" t="n">
        <v>21</v>
      </c>
      <c r="D1446" s="1" t="n">
        <v>0</v>
      </c>
      <c r="E1446" s="1">
        <f>IF(B1446="數值","(F"&amp;C1446&amp;"."&amp;D1446&amp;")","(A"&amp;C1446&amp;")")</f>
        <v/>
      </c>
      <c r="F1446" s="1">
        <f>"alter type "&amp;A1446&amp;" "&amp;E1446&amp;"."</f>
        <v/>
      </c>
    </row>
    <row r="1447">
      <c r="A1447" s="1" t="inlineStr">
        <is>
          <t>phone2_2</t>
        </is>
      </c>
      <c r="B1447" s="1" t="inlineStr">
        <is>
          <t>字串</t>
        </is>
      </c>
      <c r="C1447" s="1" t="n">
        <v>21</v>
      </c>
      <c r="D1447" s="1" t="n">
        <v>0</v>
      </c>
      <c r="E1447" s="1">
        <f>IF(B1447="數值","(F"&amp;C1447&amp;"."&amp;D1447&amp;")","(A"&amp;C1447&amp;")")</f>
        <v/>
      </c>
      <c r="F1447" s="1">
        <f>"alter type "&amp;A1447&amp;" "&amp;E1447&amp;"."</f>
        <v/>
      </c>
    </row>
    <row r="1448">
      <c r="A1448" s="1" t="inlineStr">
        <is>
          <t>phone3_2</t>
        </is>
      </c>
      <c r="B1448" s="1" t="inlineStr">
        <is>
          <t>字串</t>
        </is>
      </c>
      <c r="C1448" s="1" t="n">
        <v>21</v>
      </c>
      <c r="D1448" s="1" t="n">
        <v>0</v>
      </c>
      <c r="E1448" s="1">
        <f>IF(B1448="數值","(F"&amp;C1448&amp;"."&amp;D1448&amp;")","(A"&amp;C1448&amp;")")</f>
        <v/>
      </c>
      <c r="F1448" s="1">
        <f>"alter type "&amp;A1448&amp;" "&amp;E1448&amp;"."</f>
        <v/>
      </c>
    </row>
    <row r="1449">
      <c r="A1449" s="1" t="inlineStr">
        <is>
          <t>cell1_2</t>
        </is>
      </c>
      <c r="B1449" s="1" t="inlineStr">
        <is>
          <t>字串</t>
        </is>
      </c>
      <c r="C1449" s="1" t="n">
        <v>12</v>
      </c>
      <c r="D1449" s="1" t="n">
        <v>0</v>
      </c>
      <c r="E1449" s="1">
        <f>IF(B1449="數值","(F"&amp;C1449&amp;"."&amp;D1449&amp;")","(A"&amp;C1449&amp;")")</f>
        <v/>
      </c>
      <c r="F1449" s="1">
        <f>"alter type "&amp;A1449&amp;" "&amp;E1449&amp;"."</f>
        <v/>
      </c>
    </row>
    <row r="1450">
      <c r="A1450" s="1" t="inlineStr">
        <is>
          <t>cell2_2</t>
        </is>
      </c>
      <c r="B1450" s="1" t="inlineStr">
        <is>
          <t>字串</t>
        </is>
      </c>
      <c r="C1450" s="1" t="n">
        <v>12</v>
      </c>
      <c r="D1450" s="1" t="n">
        <v>0</v>
      </c>
      <c r="E1450" s="1">
        <f>IF(B1450="數值","(F"&amp;C1450&amp;"."&amp;D1450&amp;")","(A"&amp;C1450&amp;")")</f>
        <v/>
      </c>
      <c r="F1450" s="1">
        <f>"alter type "&amp;A1450&amp;" "&amp;E1450&amp;"."</f>
        <v/>
      </c>
    </row>
    <row r="1451">
      <c r="A1451" s="1" t="inlineStr">
        <is>
          <t>cell3_2</t>
        </is>
      </c>
      <c r="B1451" s="1" t="inlineStr">
        <is>
          <t>字串</t>
        </is>
      </c>
      <c r="C1451" s="1" t="n">
        <v>12</v>
      </c>
      <c r="D1451" s="1" t="n">
        <v>0</v>
      </c>
      <c r="E1451" s="1">
        <f>IF(B1451="數值","(F"&amp;C1451&amp;"."&amp;D1451&amp;")","(A"&amp;C1451&amp;")")</f>
        <v/>
      </c>
      <c r="F1451" s="1">
        <f>"alter type "&amp;A1451&amp;" "&amp;E1451&amp;"."</f>
        <v/>
      </c>
    </row>
    <row r="1452">
      <c r="A1452" s="1" t="inlineStr">
        <is>
          <t>add1_2</t>
        </is>
      </c>
      <c r="B1452" s="1" t="inlineStr">
        <is>
          <t>字串</t>
        </is>
      </c>
      <c r="C1452" s="1" t="n">
        <v>180</v>
      </c>
      <c r="D1452" s="1" t="n">
        <v>0</v>
      </c>
      <c r="E1452" s="1">
        <f>IF(B1452="數值","(F"&amp;C1452&amp;"."&amp;D1452&amp;")","(A"&amp;C1452&amp;")")</f>
        <v/>
      </c>
      <c r="F1452" s="1">
        <f>"alter type "&amp;A1452&amp;" "&amp;E1452&amp;"."</f>
        <v/>
      </c>
    </row>
    <row r="1453">
      <c r="A1453" s="1" t="inlineStr">
        <is>
          <t>add2_2</t>
        </is>
      </c>
      <c r="B1453" s="1" t="inlineStr">
        <is>
          <t>字串</t>
        </is>
      </c>
      <c r="C1453" s="1" t="n">
        <v>180</v>
      </c>
      <c r="D1453" s="1" t="n">
        <v>0</v>
      </c>
      <c r="E1453" s="1">
        <f>IF(B1453="數值","(F"&amp;C1453&amp;"."&amp;D1453&amp;")","(A"&amp;C1453&amp;")")</f>
        <v/>
      </c>
      <c r="F1453" s="1">
        <f>"alter type "&amp;A1453&amp;" "&amp;E1453&amp;"."</f>
        <v/>
      </c>
    </row>
    <row r="1454">
      <c r="A1454" s="1" t="inlineStr">
        <is>
          <t>add3_2</t>
        </is>
      </c>
      <c r="B1454" s="1" t="inlineStr">
        <is>
          <t>字串</t>
        </is>
      </c>
      <c r="C1454" s="1" t="n">
        <v>180</v>
      </c>
      <c r="D1454" s="1" t="n">
        <v>0</v>
      </c>
      <c r="E1454" s="1">
        <f>IF(B1454="數值","(F"&amp;C1454&amp;"."&amp;D1454&amp;")","(A"&amp;C1454&amp;")")</f>
        <v/>
      </c>
      <c r="F1454" s="1">
        <f>"alter type "&amp;A1454&amp;" "&amp;E1454&amp;"."</f>
        <v/>
      </c>
    </row>
    <row r="1455">
      <c r="A1455" s="1" t="inlineStr">
        <is>
          <t>t_date_3</t>
        </is>
      </c>
      <c r="B1455" s="1" t="inlineStr">
        <is>
          <t>數值</t>
        </is>
      </c>
      <c r="C1455" s="1" t="n">
        <v>8</v>
      </c>
      <c r="D1455" s="1" t="n">
        <v>0</v>
      </c>
      <c r="E1455" s="1">
        <f>IF(B1455="數值","(F"&amp;C1455&amp;"."&amp;D1455&amp;")","(A"&amp;C1455&amp;")")</f>
        <v/>
      </c>
      <c r="F1455" s="1">
        <f>"alter type "&amp;A1455&amp;" "&amp;E1455&amp;"."</f>
        <v/>
      </c>
    </row>
    <row r="1456">
      <c r="A1456" s="1" t="inlineStr">
        <is>
          <t>t_in_3</t>
        </is>
      </c>
      <c r="B1456" s="1" t="inlineStr">
        <is>
          <t>字串</t>
        </is>
      </c>
      <c r="C1456" s="1" t="n">
        <v>20</v>
      </c>
      <c r="D1456" s="1" t="n">
        <v>0</v>
      </c>
      <c r="E1456" s="1">
        <f>IF(B1456="數值","(F"&amp;C1456&amp;"."&amp;D1456&amp;")","(A"&amp;C1456&amp;")")</f>
        <v/>
      </c>
      <c r="F1456" s="1">
        <f>"alter type "&amp;A1456&amp;" "&amp;E1456&amp;"."</f>
        <v/>
      </c>
    </row>
    <row r="1457">
      <c r="A1457" s="1" t="inlineStr">
        <is>
          <t>phone1_3</t>
        </is>
      </c>
      <c r="B1457" s="1" t="inlineStr">
        <is>
          <t>字串</t>
        </is>
      </c>
      <c r="C1457" s="1" t="n">
        <v>21</v>
      </c>
      <c r="D1457" s="1" t="n">
        <v>0</v>
      </c>
      <c r="E1457" s="1">
        <f>IF(B1457="數值","(F"&amp;C1457&amp;"."&amp;D1457&amp;")","(A"&amp;C1457&amp;")")</f>
        <v/>
      </c>
      <c r="F1457" s="1">
        <f>"alter type "&amp;A1457&amp;" "&amp;E1457&amp;"."</f>
        <v/>
      </c>
    </row>
    <row r="1458">
      <c r="A1458" s="1" t="inlineStr">
        <is>
          <t>phone2_3</t>
        </is>
      </c>
      <c r="B1458" s="1" t="inlineStr">
        <is>
          <t>字串</t>
        </is>
      </c>
      <c r="C1458" s="1" t="n">
        <v>21</v>
      </c>
      <c r="D1458" s="1" t="n">
        <v>0</v>
      </c>
      <c r="E1458" s="1">
        <f>IF(B1458="數值","(F"&amp;C1458&amp;"."&amp;D1458&amp;")","(A"&amp;C1458&amp;")")</f>
        <v/>
      </c>
      <c r="F1458" s="1">
        <f>"alter type "&amp;A1458&amp;" "&amp;E1458&amp;"."</f>
        <v/>
      </c>
    </row>
    <row r="1459">
      <c r="A1459" s="1" t="inlineStr">
        <is>
          <t>phone3_3</t>
        </is>
      </c>
      <c r="B1459" s="1" t="inlineStr">
        <is>
          <t>字串</t>
        </is>
      </c>
      <c r="C1459" s="1" t="n">
        <v>21</v>
      </c>
      <c r="D1459" s="1" t="n">
        <v>0</v>
      </c>
      <c r="E1459" s="1">
        <f>IF(B1459="數值","(F"&amp;C1459&amp;"."&amp;D1459&amp;")","(A"&amp;C1459&amp;")")</f>
        <v/>
      </c>
      <c r="F1459" s="1">
        <f>"alter type "&amp;A1459&amp;" "&amp;E1459&amp;"."</f>
        <v/>
      </c>
    </row>
    <row r="1460">
      <c r="A1460" s="1" t="inlineStr">
        <is>
          <t>cell1_3</t>
        </is>
      </c>
      <c r="B1460" s="1" t="inlineStr">
        <is>
          <t>字串</t>
        </is>
      </c>
      <c r="C1460" s="1" t="n">
        <v>12</v>
      </c>
      <c r="D1460" s="1" t="n">
        <v>0</v>
      </c>
      <c r="E1460" s="1">
        <f>IF(B1460="數值","(F"&amp;C1460&amp;"."&amp;D1460&amp;")","(A"&amp;C1460&amp;")")</f>
        <v/>
      </c>
      <c r="F1460" s="1">
        <f>"alter type "&amp;A1460&amp;" "&amp;E1460&amp;"."</f>
        <v/>
      </c>
    </row>
    <row r="1461">
      <c r="A1461" s="1" t="inlineStr">
        <is>
          <t>cell2_3</t>
        </is>
      </c>
      <c r="B1461" s="1" t="inlineStr">
        <is>
          <t>字串</t>
        </is>
      </c>
      <c r="C1461" s="1" t="n">
        <v>12</v>
      </c>
      <c r="D1461" s="1" t="n">
        <v>0</v>
      </c>
      <c r="E1461" s="1">
        <f>IF(B1461="數值","(F"&amp;C1461&amp;"."&amp;D1461&amp;")","(A"&amp;C1461&amp;")")</f>
        <v/>
      </c>
      <c r="F1461" s="1">
        <f>"alter type "&amp;A1461&amp;" "&amp;E1461&amp;"."</f>
        <v/>
      </c>
    </row>
    <row r="1462">
      <c r="A1462" s="1" t="inlineStr">
        <is>
          <t>cell3_3</t>
        </is>
      </c>
      <c r="B1462" s="1" t="inlineStr">
        <is>
          <t>字串</t>
        </is>
      </c>
      <c r="C1462" s="1" t="n">
        <v>12</v>
      </c>
      <c r="D1462" s="1" t="n">
        <v>0</v>
      </c>
      <c r="E1462" s="1">
        <f>IF(B1462="數值","(F"&amp;C1462&amp;"."&amp;D1462&amp;")","(A"&amp;C1462&amp;")")</f>
        <v/>
      </c>
      <c r="F1462" s="1">
        <f>"alter type "&amp;A1462&amp;" "&amp;E1462&amp;"."</f>
        <v/>
      </c>
    </row>
    <row r="1463">
      <c r="A1463" s="1" t="inlineStr">
        <is>
          <t>add1_3</t>
        </is>
      </c>
      <c r="B1463" s="1" t="inlineStr">
        <is>
          <t>字串</t>
        </is>
      </c>
      <c r="C1463" s="1" t="n">
        <v>180</v>
      </c>
      <c r="D1463" s="1" t="n">
        <v>0</v>
      </c>
      <c r="E1463" s="1">
        <f>IF(B1463="數值","(F"&amp;C1463&amp;"."&amp;D1463&amp;")","(A"&amp;C1463&amp;")")</f>
        <v/>
      </c>
      <c r="F1463" s="1">
        <f>"alter type "&amp;A1463&amp;" "&amp;E1463&amp;"."</f>
        <v/>
      </c>
    </row>
    <row r="1464">
      <c r="A1464" s="1" t="inlineStr">
        <is>
          <t>add2_3</t>
        </is>
      </c>
      <c r="B1464" s="1" t="inlineStr">
        <is>
          <t>字串</t>
        </is>
      </c>
      <c r="C1464" s="1" t="n">
        <v>180</v>
      </c>
      <c r="D1464" s="1" t="n">
        <v>0</v>
      </c>
      <c r="E1464" s="1">
        <f>IF(B1464="數值","(F"&amp;C1464&amp;"."&amp;D1464&amp;")","(A"&amp;C1464&amp;")")</f>
        <v/>
      </c>
      <c r="F1464" s="1">
        <f>"alter type "&amp;A1464&amp;" "&amp;E1464&amp;"."</f>
        <v/>
      </c>
    </row>
    <row r="1465">
      <c r="A1465" s="1" t="inlineStr">
        <is>
          <t>add3_3</t>
        </is>
      </c>
      <c r="B1465" s="1" t="inlineStr">
        <is>
          <t>字串</t>
        </is>
      </c>
      <c r="C1465" s="1" t="n">
        <v>180</v>
      </c>
      <c r="D1465" s="1" t="n">
        <v>0</v>
      </c>
      <c r="E1465" s="1">
        <f>IF(B1465="數值","(F"&amp;C1465&amp;"."&amp;D1465&amp;")","(A"&amp;C1465&amp;")")</f>
        <v/>
      </c>
      <c r="F1465" s="1">
        <f>"alter type "&amp;A1465&amp;" "&amp;E1465&amp;"."</f>
        <v/>
      </c>
    </row>
    <row r="1466">
      <c r="A1466" s="1" t="inlineStr">
        <is>
          <t>t_date_4</t>
        </is>
      </c>
      <c r="B1466" s="1" t="inlineStr">
        <is>
          <t>數值</t>
        </is>
      </c>
      <c r="C1466" s="1" t="n">
        <v>8</v>
      </c>
      <c r="D1466" s="1" t="n">
        <v>0</v>
      </c>
      <c r="E1466" s="1">
        <f>IF(B1466="數值","(F"&amp;C1466&amp;"."&amp;D1466&amp;")","(A"&amp;C1466&amp;")")</f>
        <v/>
      </c>
      <c r="F1466" s="1">
        <f>"alter type "&amp;A1466&amp;" "&amp;E1466&amp;"."</f>
        <v/>
      </c>
    </row>
    <row r="1467">
      <c r="A1467" s="1" t="inlineStr">
        <is>
          <t>t_in_4</t>
        </is>
      </c>
      <c r="B1467" s="1" t="inlineStr">
        <is>
          <t>字串</t>
        </is>
      </c>
      <c r="C1467" s="1" t="n">
        <v>20</v>
      </c>
      <c r="D1467" s="1" t="n">
        <v>0</v>
      </c>
      <c r="E1467" s="1">
        <f>IF(B1467="數值","(F"&amp;C1467&amp;"."&amp;D1467&amp;")","(A"&amp;C1467&amp;")")</f>
        <v/>
      </c>
      <c r="F1467" s="1">
        <f>"alter type "&amp;A1467&amp;" "&amp;E1467&amp;"."</f>
        <v/>
      </c>
    </row>
    <row r="1468">
      <c r="A1468" s="1" t="inlineStr">
        <is>
          <t>phone1_4</t>
        </is>
      </c>
      <c r="B1468" s="1" t="inlineStr">
        <is>
          <t>字串</t>
        </is>
      </c>
      <c r="C1468" s="1" t="n">
        <v>21</v>
      </c>
      <c r="D1468" s="1" t="n">
        <v>0</v>
      </c>
      <c r="E1468" s="1">
        <f>IF(B1468="數值","(F"&amp;C1468&amp;"."&amp;D1468&amp;")","(A"&amp;C1468&amp;")")</f>
        <v/>
      </c>
      <c r="F1468" s="1">
        <f>"alter type "&amp;A1468&amp;" "&amp;E1468&amp;"."</f>
        <v/>
      </c>
    </row>
    <row r="1469">
      <c r="A1469" s="1" t="inlineStr">
        <is>
          <t>phone2_4</t>
        </is>
      </c>
      <c r="B1469" s="1" t="inlineStr">
        <is>
          <t>字串</t>
        </is>
      </c>
      <c r="C1469" s="1" t="n">
        <v>21</v>
      </c>
      <c r="D1469" s="1" t="n">
        <v>0</v>
      </c>
      <c r="E1469" s="1">
        <f>IF(B1469="數值","(F"&amp;C1469&amp;"."&amp;D1469&amp;")","(A"&amp;C1469&amp;")")</f>
        <v/>
      </c>
      <c r="F1469" s="1">
        <f>"alter type "&amp;A1469&amp;" "&amp;E1469&amp;"."</f>
        <v/>
      </c>
    </row>
    <row r="1470">
      <c r="A1470" s="1" t="inlineStr">
        <is>
          <t>phone3_4</t>
        </is>
      </c>
      <c r="B1470" s="1" t="inlineStr">
        <is>
          <t>字串</t>
        </is>
      </c>
      <c r="C1470" s="1" t="n">
        <v>21</v>
      </c>
      <c r="D1470" s="1" t="n">
        <v>0</v>
      </c>
      <c r="E1470" s="1">
        <f>IF(B1470="數值","(F"&amp;C1470&amp;"."&amp;D1470&amp;")","(A"&amp;C1470&amp;")")</f>
        <v/>
      </c>
      <c r="F1470" s="1">
        <f>"alter type "&amp;A1470&amp;" "&amp;E1470&amp;"."</f>
        <v/>
      </c>
    </row>
    <row r="1471">
      <c r="A1471" s="1" t="inlineStr">
        <is>
          <t>cell1_4</t>
        </is>
      </c>
      <c r="B1471" s="1" t="inlineStr">
        <is>
          <t>字串</t>
        </is>
      </c>
      <c r="C1471" s="1" t="n">
        <v>12</v>
      </c>
      <c r="D1471" s="1" t="n">
        <v>0</v>
      </c>
      <c r="E1471" s="1">
        <f>IF(B1471="數值","(F"&amp;C1471&amp;"."&amp;D1471&amp;")","(A"&amp;C1471&amp;")")</f>
        <v/>
      </c>
      <c r="F1471" s="1">
        <f>"alter type "&amp;A1471&amp;" "&amp;E1471&amp;"."</f>
        <v/>
      </c>
    </row>
    <row r="1472">
      <c r="A1472" s="1" t="inlineStr">
        <is>
          <t>cell2_4</t>
        </is>
      </c>
      <c r="B1472" s="1" t="inlineStr">
        <is>
          <t>字串</t>
        </is>
      </c>
      <c r="C1472" s="1" t="n">
        <v>12</v>
      </c>
      <c r="D1472" s="1" t="n">
        <v>0</v>
      </c>
      <c r="E1472" s="1">
        <f>IF(B1472="數值","(F"&amp;C1472&amp;"."&amp;D1472&amp;")","(A"&amp;C1472&amp;")")</f>
        <v/>
      </c>
      <c r="F1472" s="1">
        <f>"alter type "&amp;A1472&amp;" "&amp;E1472&amp;"."</f>
        <v/>
      </c>
    </row>
    <row r="1473">
      <c r="A1473" s="1" t="inlineStr">
        <is>
          <t>cell3_4</t>
        </is>
      </c>
      <c r="B1473" s="1" t="inlineStr">
        <is>
          <t>字串</t>
        </is>
      </c>
      <c r="C1473" s="1" t="n">
        <v>12</v>
      </c>
      <c r="D1473" s="1" t="n">
        <v>0</v>
      </c>
      <c r="E1473" s="1">
        <f>IF(B1473="數值","(F"&amp;C1473&amp;"."&amp;D1473&amp;")","(A"&amp;C1473&amp;")")</f>
        <v/>
      </c>
      <c r="F1473" s="1">
        <f>"alter type "&amp;A1473&amp;" "&amp;E1473&amp;"."</f>
        <v/>
      </c>
    </row>
    <row r="1474">
      <c r="A1474" s="1" t="inlineStr">
        <is>
          <t>add1_4</t>
        </is>
      </c>
      <c r="B1474" s="1" t="inlineStr">
        <is>
          <t>字串</t>
        </is>
      </c>
      <c r="C1474" s="1" t="n">
        <v>180</v>
      </c>
      <c r="D1474" s="1" t="n">
        <v>0</v>
      </c>
      <c r="E1474" s="1">
        <f>IF(B1474="數值","(F"&amp;C1474&amp;"."&amp;D1474&amp;")","(A"&amp;C1474&amp;")")</f>
        <v/>
      </c>
      <c r="F1474" s="1">
        <f>"alter type "&amp;A1474&amp;" "&amp;E1474&amp;"."</f>
        <v/>
      </c>
    </row>
    <row r="1475">
      <c r="A1475" s="1" t="inlineStr">
        <is>
          <t>add2_4</t>
        </is>
      </c>
      <c r="B1475" s="1" t="inlineStr">
        <is>
          <t>字串</t>
        </is>
      </c>
      <c r="C1475" s="1" t="n">
        <v>180</v>
      </c>
      <c r="D1475" s="1" t="n">
        <v>0</v>
      </c>
      <c r="E1475" s="1">
        <f>IF(B1475="數值","(F"&amp;C1475&amp;"."&amp;D1475&amp;")","(A"&amp;C1475&amp;")")</f>
        <v/>
      </c>
      <c r="F1475" s="1">
        <f>"alter type "&amp;A1475&amp;" "&amp;E1475&amp;"."</f>
        <v/>
      </c>
    </row>
    <row r="1476">
      <c r="A1476" s="1" t="inlineStr">
        <is>
          <t>add3_4</t>
        </is>
      </c>
      <c r="B1476" s="1" t="inlineStr">
        <is>
          <t>字串</t>
        </is>
      </c>
      <c r="C1476" s="1" t="n">
        <v>180</v>
      </c>
      <c r="D1476" s="1" t="n">
        <v>0</v>
      </c>
      <c r="E1476" s="1">
        <f>IF(B1476="數值","(F"&amp;C1476&amp;"."&amp;D1476&amp;")","(A"&amp;C1476&amp;")")</f>
        <v/>
      </c>
      <c r="F1476" s="1">
        <f>"alter type "&amp;A1476&amp;" "&amp;E1476&amp;"."</f>
        <v/>
      </c>
    </row>
    <row r="1477">
      <c r="A1477" s="1" t="inlineStr">
        <is>
          <t>t_date_5</t>
        </is>
      </c>
      <c r="B1477" s="1" t="inlineStr">
        <is>
          <t>數值</t>
        </is>
      </c>
      <c r="C1477" s="1" t="n">
        <v>8</v>
      </c>
      <c r="D1477" s="1" t="n">
        <v>0</v>
      </c>
      <c r="E1477" s="1">
        <f>IF(B1477="數值","(F"&amp;C1477&amp;"."&amp;D1477&amp;")","(A"&amp;C1477&amp;")")</f>
        <v/>
      </c>
      <c r="F1477" s="1">
        <f>"alter type "&amp;A1477&amp;" "&amp;E1477&amp;"."</f>
        <v/>
      </c>
    </row>
    <row r="1478">
      <c r="A1478" s="1" t="inlineStr">
        <is>
          <t>t_in_5</t>
        </is>
      </c>
      <c r="B1478" s="1" t="inlineStr">
        <is>
          <t>字串</t>
        </is>
      </c>
      <c r="C1478" s="1" t="n">
        <v>20</v>
      </c>
      <c r="D1478" s="1" t="n">
        <v>0</v>
      </c>
      <c r="E1478" s="1">
        <f>IF(B1478="數值","(F"&amp;C1478&amp;"."&amp;D1478&amp;")","(A"&amp;C1478&amp;")")</f>
        <v/>
      </c>
      <c r="F1478" s="1">
        <f>"alter type "&amp;A1478&amp;" "&amp;E1478&amp;"."</f>
        <v/>
      </c>
    </row>
    <row r="1479">
      <c r="A1479" s="1" t="inlineStr">
        <is>
          <t>phone1_5</t>
        </is>
      </c>
      <c r="B1479" s="1" t="inlineStr">
        <is>
          <t>字串</t>
        </is>
      </c>
      <c r="C1479" s="1" t="n">
        <v>21</v>
      </c>
      <c r="D1479" s="1" t="n">
        <v>0</v>
      </c>
      <c r="E1479" s="1">
        <f>IF(B1479="數值","(F"&amp;C1479&amp;"."&amp;D1479&amp;")","(A"&amp;C1479&amp;")")</f>
        <v/>
      </c>
      <c r="F1479" s="1">
        <f>"alter type "&amp;A1479&amp;" "&amp;E1479&amp;"."</f>
        <v/>
      </c>
    </row>
    <row r="1480">
      <c r="A1480" s="1" t="inlineStr">
        <is>
          <t>phone2_5</t>
        </is>
      </c>
      <c r="B1480" s="1" t="inlineStr">
        <is>
          <t>字串</t>
        </is>
      </c>
      <c r="C1480" s="1" t="n">
        <v>21</v>
      </c>
      <c r="D1480" s="1" t="n">
        <v>0</v>
      </c>
      <c r="E1480" s="1">
        <f>IF(B1480="數值","(F"&amp;C1480&amp;"."&amp;D1480&amp;")","(A"&amp;C1480&amp;")")</f>
        <v/>
      </c>
      <c r="F1480" s="1">
        <f>"alter type "&amp;A1480&amp;" "&amp;E1480&amp;"."</f>
        <v/>
      </c>
    </row>
    <row r="1481">
      <c r="A1481" s="1" t="inlineStr">
        <is>
          <t>phone3_5</t>
        </is>
      </c>
      <c r="B1481" s="1" t="inlineStr">
        <is>
          <t>字串</t>
        </is>
      </c>
      <c r="C1481" s="1" t="n">
        <v>21</v>
      </c>
      <c r="D1481" s="1" t="n">
        <v>0</v>
      </c>
      <c r="E1481" s="1">
        <f>IF(B1481="數值","(F"&amp;C1481&amp;"."&amp;D1481&amp;")","(A"&amp;C1481&amp;")")</f>
        <v/>
      </c>
      <c r="F1481" s="1">
        <f>"alter type "&amp;A1481&amp;" "&amp;E1481&amp;"."</f>
        <v/>
      </c>
    </row>
    <row r="1482">
      <c r="A1482" s="1" t="inlineStr">
        <is>
          <t>cell1_5</t>
        </is>
      </c>
      <c r="B1482" s="1" t="inlineStr">
        <is>
          <t>字串</t>
        </is>
      </c>
      <c r="C1482" s="1" t="n">
        <v>12</v>
      </c>
      <c r="D1482" s="1" t="n">
        <v>0</v>
      </c>
      <c r="E1482" s="1">
        <f>IF(B1482="數值","(F"&amp;C1482&amp;"."&amp;D1482&amp;")","(A"&amp;C1482&amp;")")</f>
        <v/>
      </c>
      <c r="F1482" s="1">
        <f>"alter type "&amp;A1482&amp;" "&amp;E1482&amp;"."</f>
        <v/>
      </c>
    </row>
    <row r="1483">
      <c r="A1483" s="1" t="inlineStr">
        <is>
          <t>cell2_5</t>
        </is>
      </c>
      <c r="B1483" s="1" t="inlineStr">
        <is>
          <t>字串</t>
        </is>
      </c>
      <c r="C1483" s="1" t="n">
        <v>12</v>
      </c>
      <c r="D1483" s="1" t="n">
        <v>0</v>
      </c>
      <c r="E1483" s="1">
        <f>IF(B1483="數值","(F"&amp;C1483&amp;"."&amp;D1483&amp;")","(A"&amp;C1483&amp;")")</f>
        <v/>
      </c>
      <c r="F1483" s="1">
        <f>"alter type "&amp;A1483&amp;" "&amp;E1483&amp;"."</f>
        <v/>
      </c>
    </row>
    <row r="1484">
      <c r="A1484" s="1" t="inlineStr">
        <is>
          <t>cell3_5</t>
        </is>
      </c>
      <c r="B1484" s="1" t="inlineStr">
        <is>
          <t>字串</t>
        </is>
      </c>
      <c r="C1484" s="1" t="n">
        <v>12</v>
      </c>
      <c r="D1484" s="1" t="n">
        <v>0</v>
      </c>
      <c r="E1484" s="1">
        <f>IF(B1484="數值","(F"&amp;C1484&amp;"."&amp;D1484&amp;")","(A"&amp;C1484&amp;")")</f>
        <v/>
      </c>
      <c r="F1484" s="1">
        <f>"alter type "&amp;A1484&amp;" "&amp;E1484&amp;"."</f>
        <v/>
      </c>
    </row>
    <row r="1485">
      <c r="A1485" s="1" t="inlineStr">
        <is>
          <t>add1_5</t>
        </is>
      </c>
      <c r="B1485" s="1" t="inlineStr">
        <is>
          <t>字串</t>
        </is>
      </c>
      <c r="C1485" s="1" t="n">
        <v>180</v>
      </c>
      <c r="D1485" s="1" t="n">
        <v>0</v>
      </c>
      <c r="E1485" s="1">
        <f>IF(B1485="數值","(F"&amp;C1485&amp;"."&amp;D1485&amp;")","(A"&amp;C1485&amp;")")</f>
        <v/>
      </c>
      <c r="F1485" s="1">
        <f>"alter type "&amp;A1485&amp;" "&amp;E1485&amp;"."</f>
        <v/>
      </c>
    </row>
    <row r="1486">
      <c r="A1486" s="1" t="inlineStr">
        <is>
          <t>add2_5</t>
        </is>
      </c>
      <c r="B1486" s="1" t="inlineStr">
        <is>
          <t>字串</t>
        </is>
      </c>
      <c r="C1486" s="1" t="n">
        <v>180</v>
      </c>
      <c r="D1486" s="1" t="n">
        <v>0</v>
      </c>
      <c r="E1486" s="1">
        <f>IF(B1486="數值","(F"&amp;C1486&amp;"."&amp;D1486&amp;")","(A"&amp;C1486&amp;")")</f>
        <v/>
      </c>
      <c r="F1486" s="1">
        <f>"alter type "&amp;A1486&amp;" "&amp;E1486&amp;"."</f>
        <v/>
      </c>
    </row>
    <row r="1487">
      <c r="A1487" s="1" t="inlineStr">
        <is>
          <t>add3_5</t>
        </is>
      </c>
      <c r="B1487" s="1" t="inlineStr">
        <is>
          <t>字串</t>
        </is>
      </c>
      <c r="C1487" s="1" t="n">
        <v>180</v>
      </c>
      <c r="D1487" s="1" t="n">
        <v>0</v>
      </c>
      <c r="E1487" s="1">
        <f>IF(B1487="數值","(F"&amp;C1487&amp;"."&amp;D1487&amp;")","(A"&amp;C1487&amp;")")</f>
        <v/>
      </c>
      <c r="F1487" s="1">
        <f>"alter type "&amp;A1487&amp;" "&amp;E1487&amp;"."</f>
        <v/>
      </c>
    </row>
    <row r="1488">
      <c r="A1488" s="1" t="inlineStr">
        <is>
          <t>t_date_6</t>
        </is>
      </c>
      <c r="B1488" s="1" t="inlineStr">
        <is>
          <t>數值</t>
        </is>
      </c>
      <c r="C1488" s="1" t="n">
        <v>8</v>
      </c>
      <c r="D1488" s="1" t="n">
        <v>0</v>
      </c>
      <c r="E1488" s="1">
        <f>IF(B1488="數值","(F"&amp;C1488&amp;"."&amp;D1488&amp;")","(A"&amp;C1488&amp;")")</f>
        <v/>
      </c>
      <c r="F1488" s="1">
        <f>"alter type "&amp;A1488&amp;" "&amp;E1488&amp;"."</f>
        <v/>
      </c>
    </row>
    <row r="1489">
      <c r="A1489" s="1" t="inlineStr">
        <is>
          <t>t_in_6</t>
        </is>
      </c>
      <c r="B1489" s="1" t="inlineStr">
        <is>
          <t>字串</t>
        </is>
      </c>
      <c r="C1489" s="1" t="n">
        <v>20</v>
      </c>
      <c r="D1489" s="1" t="n">
        <v>0</v>
      </c>
      <c r="E1489" s="1">
        <f>IF(B1489="數值","(F"&amp;C1489&amp;"."&amp;D1489&amp;")","(A"&amp;C1489&amp;")")</f>
        <v/>
      </c>
      <c r="F1489" s="1">
        <f>"alter type "&amp;A1489&amp;" "&amp;E1489&amp;"."</f>
        <v/>
      </c>
    </row>
    <row r="1490">
      <c r="A1490" s="1" t="inlineStr">
        <is>
          <t>phone1_6</t>
        </is>
      </c>
      <c r="B1490" s="1" t="inlineStr">
        <is>
          <t>字串</t>
        </is>
      </c>
      <c r="C1490" s="1" t="n">
        <v>21</v>
      </c>
      <c r="D1490" s="1" t="n">
        <v>0</v>
      </c>
      <c r="E1490" s="1">
        <f>IF(B1490="數值","(F"&amp;C1490&amp;"."&amp;D1490&amp;")","(A"&amp;C1490&amp;")")</f>
        <v/>
      </c>
      <c r="F1490" s="1">
        <f>"alter type "&amp;A1490&amp;" "&amp;E1490&amp;"."</f>
        <v/>
      </c>
    </row>
    <row r="1491">
      <c r="A1491" s="1" t="inlineStr">
        <is>
          <t>phone2_6</t>
        </is>
      </c>
      <c r="B1491" s="1" t="inlineStr">
        <is>
          <t>字串</t>
        </is>
      </c>
      <c r="C1491" s="1" t="n">
        <v>21</v>
      </c>
      <c r="D1491" s="1" t="n">
        <v>0</v>
      </c>
      <c r="E1491" s="1">
        <f>IF(B1491="數值","(F"&amp;C1491&amp;"."&amp;D1491&amp;")","(A"&amp;C1491&amp;")")</f>
        <v/>
      </c>
      <c r="F1491" s="1">
        <f>"alter type "&amp;A1491&amp;" "&amp;E1491&amp;"."</f>
        <v/>
      </c>
    </row>
    <row r="1492">
      <c r="A1492" s="1" t="inlineStr">
        <is>
          <t>phone3_6</t>
        </is>
      </c>
      <c r="B1492" s="1" t="inlineStr">
        <is>
          <t>字串</t>
        </is>
      </c>
      <c r="C1492" s="1" t="n">
        <v>21</v>
      </c>
      <c r="D1492" s="1" t="n">
        <v>0</v>
      </c>
      <c r="E1492" s="1">
        <f>IF(B1492="數值","(F"&amp;C1492&amp;"."&amp;D1492&amp;")","(A"&amp;C1492&amp;")")</f>
        <v/>
      </c>
      <c r="F1492" s="1">
        <f>"alter type "&amp;A1492&amp;" "&amp;E1492&amp;"."</f>
        <v/>
      </c>
    </row>
    <row r="1493">
      <c r="A1493" s="1" t="inlineStr">
        <is>
          <t>cell1_6</t>
        </is>
      </c>
      <c r="B1493" s="1" t="inlineStr">
        <is>
          <t>字串</t>
        </is>
      </c>
      <c r="C1493" s="1" t="n">
        <v>12</v>
      </c>
      <c r="D1493" s="1" t="n">
        <v>0</v>
      </c>
      <c r="E1493" s="1">
        <f>IF(B1493="數值","(F"&amp;C1493&amp;"."&amp;D1493&amp;")","(A"&amp;C1493&amp;")")</f>
        <v/>
      </c>
      <c r="F1493" s="1">
        <f>"alter type "&amp;A1493&amp;" "&amp;E1493&amp;"."</f>
        <v/>
      </c>
    </row>
    <row r="1494">
      <c r="A1494" s="1" t="inlineStr">
        <is>
          <t>cell2_6</t>
        </is>
      </c>
      <c r="B1494" s="1" t="inlineStr">
        <is>
          <t>字串</t>
        </is>
      </c>
      <c r="C1494" s="1" t="n">
        <v>12</v>
      </c>
      <c r="D1494" s="1" t="n">
        <v>0</v>
      </c>
      <c r="E1494" s="1">
        <f>IF(B1494="數值","(F"&amp;C1494&amp;"."&amp;D1494&amp;")","(A"&amp;C1494&amp;")")</f>
        <v/>
      </c>
      <c r="F1494" s="1">
        <f>"alter type "&amp;A1494&amp;" "&amp;E1494&amp;"."</f>
        <v/>
      </c>
    </row>
    <row r="1495">
      <c r="A1495" s="1" t="inlineStr">
        <is>
          <t>cell3_6</t>
        </is>
      </c>
      <c r="B1495" s="1" t="inlineStr">
        <is>
          <t>字串</t>
        </is>
      </c>
      <c r="C1495" s="1" t="n">
        <v>12</v>
      </c>
      <c r="D1495" s="1" t="n">
        <v>0</v>
      </c>
      <c r="E1495" s="1">
        <f>IF(B1495="數值","(F"&amp;C1495&amp;"."&amp;D1495&amp;")","(A"&amp;C1495&amp;")")</f>
        <v/>
      </c>
      <c r="F1495" s="1">
        <f>"alter type "&amp;A1495&amp;" "&amp;E1495&amp;"."</f>
        <v/>
      </c>
    </row>
    <row r="1496">
      <c r="A1496" s="1" t="inlineStr">
        <is>
          <t>add1_6</t>
        </is>
      </c>
      <c r="B1496" s="1" t="inlineStr">
        <is>
          <t>字串</t>
        </is>
      </c>
      <c r="C1496" s="1" t="n">
        <v>180</v>
      </c>
      <c r="D1496" s="1" t="n">
        <v>0</v>
      </c>
      <c r="E1496" s="1">
        <f>IF(B1496="數值","(F"&amp;C1496&amp;"."&amp;D1496&amp;")","(A"&amp;C1496&amp;")")</f>
        <v/>
      </c>
      <c r="F1496" s="1">
        <f>"alter type "&amp;A1496&amp;" "&amp;E1496&amp;"."</f>
        <v/>
      </c>
    </row>
    <row r="1497">
      <c r="A1497" s="1" t="inlineStr">
        <is>
          <t>add2_6</t>
        </is>
      </c>
      <c r="B1497" s="1" t="inlineStr">
        <is>
          <t>字串</t>
        </is>
      </c>
      <c r="C1497" s="1" t="n">
        <v>180</v>
      </c>
      <c r="D1497" s="1" t="n">
        <v>0</v>
      </c>
      <c r="E1497" s="1">
        <f>IF(B1497="數值","(F"&amp;C1497&amp;"."&amp;D1497&amp;")","(A"&amp;C1497&amp;")")</f>
        <v/>
      </c>
      <c r="F1497" s="1">
        <f>"alter type "&amp;A1497&amp;" "&amp;E1497&amp;"."</f>
        <v/>
      </c>
    </row>
    <row r="1498">
      <c r="A1498" s="1" t="inlineStr">
        <is>
          <t>add3_6</t>
        </is>
      </c>
      <c r="B1498" s="1" t="inlineStr">
        <is>
          <t>字串</t>
        </is>
      </c>
      <c r="C1498" s="1" t="n">
        <v>180</v>
      </c>
      <c r="D1498" s="1" t="n">
        <v>0</v>
      </c>
      <c r="E1498" s="1">
        <f>IF(B1498="數值","(F"&amp;C1498&amp;"."&amp;D1498&amp;")","(A"&amp;C1498&amp;")")</f>
        <v/>
      </c>
      <c r="F1498" s="1">
        <f>"alter type "&amp;A1498&amp;" "&amp;E1498&amp;"."</f>
        <v/>
      </c>
    </row>
    <row r="1499">
      <c r="A1499" s="1" t="inlineStr">
        <is>
          <t>t_date_7</t>
        </is>
      </c>
      <c r="B1499" s="1" t="inlineStr">
        <is>
          <t>數值</t>
        </is>
      </c>
      <c r="C1499" s="1" t="n">
        <v>8</v>
      </c>
      <c r="D1499" s="1" t="n">
        <v>0</v>
      </c>
      <c r="E1499" s="1">
        <f>IF(B1499="數值","(F"&amp;C1499&amp;"."&amp;D1499&amp;")","(A"&amp;C1499&amp;")")</f>
        <v/>
      </c>
      <c r="F1499" s="1">
        <f>"alter type "&amp;A1499&amp;" "&amp;E1499&amp;"."</f>
        <v/>
      </c>
    </row>
    <row r="1500">
      <c r="A1500" s="1" t="inlineStr">
        <is>
          <t>t_in_7</t>
        </is>
      </c>
      <c r="B1500" s="1" t="inlineStr">
        <is>
          <t>字串</t>
        </is>
      </c>
      <c r="C1500" s="1" t="n">
        <v>20</v>
      </c>
      <c r="D1500" s="1" t="n">
        <v>0</v>
      </c>
      <c r="E1500" s="1">
        <f>IF(B1500="數值","(F"&amp;C1500&amp;"."&amp;D1500&amp;")","(A"&amp;C1500&amp;")")</f>
        <v/>
      </c>
      <c r="F1500" s="1">
        <f>"alter type "&amp;A1500&amp;" "&amp;E1500&amp;"."</f>
        <v/>
      </c>
    </row>
    <row r="1501">
      <c r="A1501" s="1" t="inlineStr">
        <is>
          <t>phone1_7</t>
        </is>
      </c>
      <c r="B1501" s="1" t="inlineStr">
        <is>
          <t>字串</t>
        </is>
      </c>
      <c r="C1501" s="1" t="n">
        <v>21</v>
      </c>
      <c r="D1501" s="1" t="n">
        <v>0</v>
      </c>
      <c r="E1501" s="1">
        <f>IF(B1501="數值","(F"&amp;C1501&amp;"."&amp;D1501&amp;")","(A"&amp;C1501&amp;")")</f>
        <v/>
      </c>
      <c r="F1501" s="1">
        <f>"alter type "&amp;A1501&amp;" "&amp;E1501&amp;"."</f>
        <v/>
      </c>
    </row>
    <row r="1502">
      <c r="A1502" s="1" t="inlineStr">
        <is>
          <t>phone2_7</t>
        </is>
      </c>
      <c r="B1502" s="1" t="inlineStr">
        <is>
          <t>字串</t>
        </is>
      </c>
      <c r="C1502" s="1" t="n">
        <v>21</v>
      </c>
      <c r="D1502" s="1" t="n">
        <v>0</v>
      </c>
      <c r="E1502" s="1">
        <f>IF(B1502="數值","(F"&amp;C1502&amp;"."&amp;D1502&amp;")","(A"&amp;C1502&amp;")")</f>
        <v/>
      </c>
      <c r="F1502" s="1">
        <f>"alter type "&amp;A1502&amp;" "&amp;E1502&amp;"."</f>
        <v/>
      </c>
    </row>
    <row r="1503">
      <c r="A1503" s="1" t="inlineStr">
        <is>
          <t>phone3_7</t>
        </is>
      </c>
      <c r="B1503" s="1" t="inlineStr">
        <is>
          <t>字串</t>
        </is>
      </c>
      <c r="C1503" s="1" t="n">
        <v>21</v>
      </c>
      <c r="D1503" s="1" t="n">
        <v>0</v>
      </c>
      <c r="E1503" s="1">
        <f>IF(B1503="數值","(F"&amp;C1503&amp;"."&amp;D1503&amp;")","(A"&amp;C1503&amp;")")</f>
        <v/>
      </c>
      <c r="F1503" s="1">
        <f>"alter type "&amp;A1503&amp;" "&amp;E1503&amp;"."</f>
        <v/>
      </c>
    </row>
    <row r="1504">
      <c r="A1504" s="1" t="inlineStr">
        <is>
          <t>cell1_7</t>
        </is>
      </c>
      <c r="B1504" s="1" t="inlineStr">
        <is>
          <t>字串</t>
        </is>
      </c>
      <c r="C1504" s="1" t="n">
        <v>12</v>
      </c>
      <c r="D1504" s="1" t="n">
        <v>0</v>
      </c>
      <c r="E1504" s="1">
        <f>IF(B1504="數值","(F"&amp;C1504&amp;"."&amp;D1504&amp;")","(A"&amp;C1504&amp;")")</f>
        <v/>
      </c>
      <c r="F1504" s="1">
        <f>"alter type "&amp;A1504&amp;" "&amp;E1504&amp;"."</f>
        <v/>
      </c>
    </row>
    <row r="1505">
      <c r="A1505" s="1" t="inlineStr">
        <is>
          <t>cell2_7</t>
        </is>
      </c>
      <c r="B1505" s="1" t="inlineStr">
        <is>
          <t>字串</t>
        </is>
      </c>
      <c r="C1505" s="1" t="n">
        <v>12</v>
      </c>
      <c r="D1505" s="1" t="n">
        <v>0</v>
      </c>
      <c r="E1505" s="1">
        <f>IF(B1505="數值","(F"&amp;C1505&amp;"."&amp;D1505&amp;")","(A"&amp;C1505&amp;")")</f>
        <v/>
      </c>
      <c r="F1505" s="1">
        <f>"alter type "&amp;A1505&amp;" "&amp;E1505&amp;"."</f>
        <v/>
      </c>
    </row>
    <row r="1506">
      <c r="A1506" s="1" t="inlineStr">
        <is>
          <t>cell3_7</t>
        </is>
      </c>
      <c r="B1506" s="1" t="inlineStr">
        <is>
          <t>字串</t>
        </is>
      </c>
      <c r="C1506" s="1" t="n">
        <v>12</v>
      </c>
      <c r="D1506" s="1" t="n">
        <v>0</v>
      </c>
      <c r="E1506" s="1">
        <f>IF(B1506="數值","(F"&amp;C1506&amp;"."&amp;D1506&amp;")","(A"&amp;C1506&amp;")")</f>
        <v/>
      </c>
      <c r="F1506" s="1">
        <f>"alter type "&amp;A1506&amp;" "&amp;E1506&amp;"."</f>
        <v/>
      </c>
    </row>
    <row r="1507">
      <c r="A1507" s="1" t="inlineStr">
        <is>
          <t>add1_7</t>
        </is>
      </c>
      <c r="B1507" s="1" t="inlineStr">
        <is>
          <t>字串</t>
        </is>
      </c>
      <c r="C1507" s="1" t="n">
        <v>180</v>
      </c>
      <c r="D1507" s="1" t="n">
        <v>0</v>
      </c>
      <c r="E1507" s="1">
        <f>IF(B1507="數值","(F"&amp;C1507&amp;"."&amp;D1507&amp;")","(A"&amp;C1507&amp;")")</f>
        <v/>
      </c>
      <c r="F1507" s="1">
        <f>"alter type "&amp;A1507&amp;" "&amp;E1507&amp;"."</f>
        <v/>
      </c>
    </row>
    <row r="1508">
      <c r="A1508" s="1" t="inlineStr">
        <is>
          <t>add2_7</t>
        </is>
      </c>
      <c r="B1508" s="1" t="inlineStr">
        <is>
          <t>字串</t>
        </is>
      </c>
      <c r="C1508" s="1" t="n">
        <v>180</v>
      </c>
      <c r="D1508" s="1" t="n">
        <v>0</v>
      </c>
      <c r="E1508" s="1">
        <f>IF(B1508="數值","(F"&amp;C1508&amp;"."&amp;D1508&amp;")","(A"&amp;C1508&amp;")")</f>
        <v/>
      </c>
      <c r="F1508" s="1">
        <f>"alter type "&amp;A1508&amp;" "&amp;E1508&amp;"."</f>
        <v/>
      </c>
    </row>
    <row r="1509">
      <c r="A1509" s="1" t="inlineStr">
        <is>
          <t>add3_7</t>
        </is>
      </c>
      <c r="B1509" s="1" t="inlineStr">
        <is>
          <t>字串</t>
        </is>
      </c>
      <c r="C1509" s="1" t="n">
        <v>180</v>
      </c>
      <c r="D1509" s="1" t="n">
        <v>0</v>
      </c>
      <c r="E1509" s="1">
        <f>IF(B1509="數值","(F"&amp;C1509&amp;"."&amp;D1509&amp;")","(A"&amp;C1509&amp;")")</f>
        <v/>
      </c>
      <c r="F1509" s="1">
        <f>"alter type "&amp;A1509&amp;" "&amp;E1509&amp;"."</f>
        <v/>
      </c>
    </row>
    <row r="1510">
      <c r="A1510" s="1" t="inlineStr">
        <is>
          <t>t_date_8</t>
        </is>
      </c>
      <c r="B1510" s="1" t="inlineStr">
        <is>
          <t>數值</t>
        </is>
      </c>
      <c r="C1510" s="1" t="n">
        <v>8</v>
      </c>
      <c r="D1510" s="1" t="n">
        <v>0</v>
      </c>
      <c r="E1510" s="1">
        <f>IF(B1510="數值","(F"&amp;C1510&amp;"."&amp;D1510&amp;")","(A"&amp;C1510&amp;")")</f>
        <v/>
      </c>
      <c r="F1510" s="1">
        <f>"alter type "&amp;A1510&amp;" "&amp;E1510&amp;"."</f>
        <v/>
      </c>
    </row>
    <row r="1511">
      <c r="A1511" s="1" t="inlineStr">
        <is>
          <t>t_in_8</t>
        </is>
      </c>
      <c r="B1511" s="1" t="inlineStr">
        <is>
          <t>字串</t>
        </is>
      </c>
      <c r="C1511" s="1" t="n">
        <v>20</v>
      </c>
      <c r="D1511" s="1" t="n">
        <v>0</v>
      </c>
      <c r="E1511" s="1">
        <f>IF(B1511="數值","(F"&amp;C1511&amp;"."&amp;D1511&amp;")","(A"&amp;C1511&amp;")")</f>
        <v/>
      </c>
      <c r="F1511" s="1">
        <f>"alter type "&amp;A1511&amp;" "&amp;E1511&amp;"."</f>
        <v/>
      </c>
    </row>
    <row r="1512">
      <c r="A1512" s="1" t="inlineStr">
        <is>
          <t>phone1_8</t>
        </is>
      </c>
      <c r="B1512" s="1" t="inlineStr">
        <is>
          <t>字串</t>
        </is>
      </c>
      <c r="C1512" s="1" t="n">
        <v>21</v>
      </c>
      <c r="D1512" s="1" t="n">
        <v>0</v>
      </c>
      <c r="E1512" s="1">
        <f>IF(B1512="數值","(F"&amp;C1512&amp;"."&amp;D1512&amp;")","(A"&amp;C1512&amp;")")</f>
        <v/>
      </c>
      <c r="F1512" s="1">
        <f>"alter type "&amp;A1512&amp;" "&amp;E1512&amp;"."</f>
        <v/>
      </c>
    </row>
    <row r="1513">
      <c r="A1513" s="1" t="inlineStr">
        <is>
          <t>phone2_8</t>
        </is>
      </c>
      <c r="B1513" s="1" t="inlineStr">
        <is>
          <t>字串</t>
        </is>
      </c>
      <c r="C1513" s="1" t="n">
        <v>21</v>
      </c>
      <c r="D1513" s="1" t="n">
        <v>0</v>
      </c>
      <c r="E1513" s="1">
        <f>IF(B1513="數值","(F"&amp;C1513&amp;"."&amp;D1513&amp;")","(A"&amp;C1513&amp;")")</f>
        <v/>
      </c>
      <c r="F1513" s="1">
        <f>"alter type "&amp;A1513&amp;" "&amp;E1513&amp;"."</f>
        <v/>
      </c>
    </row>
    <row r="1514">
      <c r="A1514" s="1" t="inlineStr">
        <is>
          <t>phone3_8</t>
        </is>
      </c>
      <c r="B1514" s="1" t="inlineStr">
        <is>
          <t>字串</t>
        </is>
      </c>
      <c r="C1514" s="1" t="n">
        <v>21</v>
      </c>
      <c r="D1514" s="1" t="n">
        <v>0</v>
      </c>
      <c r="E1514" s="1">
        <f>IF(B1514="數值","(F"&amp;C1514&amp;"."&amp;D1514&amp;")","(A"&amp;C1514&amp;")")</f>
        <v/>
      </c>
      <c r="F1514" s="1">
        <f>"alter type "&amp;A1514&amp;" "&amp;E1514&amp;"."</f>
        <v/>
      </c>
    </row>
    <row r="1515">
      <c r="A1515" s="1" t="inlineStr">
        <is>
          <t>cell1_8</t>
        </is>
      </c>
      <c r="B1515" s="1" t="inlineStr">
        <is>
          <t>字串</t>
        </is>
      </c>
      <c r="C1515" s="1" t="n">
        <v>12</v>
      </c>
      <c r="D1515" s="1" t="n">
        <v>0</v>
      </c>
      <c r="E1515" s="1">
        <f>IF(B1515="數值","(F"&amp;C1515&amp;"."&amp;D1515&amp;")","(A"&amp;C1515&amp;")")</f>
        <v/>
      </c>
      <c r="F1515" s="1">
        <f>"alter type "&amp;A1515&amp;" "&amp;E1515&amp;"."</f>
        <v/>
      </c>
    </row>
    <row r="1516">
      <c r="A1516" s="1" t="inlineStr">
        <is>
          <t>cell2_8</t>
        </is>
      </c>
      <c r="B1516" s="1" t="inlineStr">
        <is>
          <t>字串</t>
        </is>
      </c>
      <c r="C1516" s="1" t="n">
        <v>12</v>
      </c>
      <c r="D1516" s="1" t="n">
        <v>0</v>
      </c>
      <c r="E1516" s="1">
        <f>IF(B1516="數值","(F"&amp;C1516&amp;"."&amp;D1516&amp;")","(A"&amp;C1516&amp;")")</f>
        <v/>
      </c>
      <c r="F1516" s="1">
        <f>"alter type "&amp;A1516&amp;" "&amp;E1516&amp;"."</f>
        <v/>
      </c>
    </row>
    <row r="1517">
      <c r="A1517" s="1" t="inlineStr">
        <is>
          <t>cell3_8</t>
        </is>
      </c>
      <c r="B1517" s="1" t="inlineStr">
        <is>
          <t>字串</t>
        </is>
      </c>
      <c r="C1517" s="1" t="n">
        <v>12</v>
      </c>
      <c r="D1517" s="1" t="n">
        <v>0</v>
      </c>
      <c r="E1517" s="1">
        <f>IF(B1517="數值","(F"&amp;C1517&amp;"."&amp;D1517&amp;")","(A"&amp;C1517&amp;")")</f>
        <v/>
      </c>
      <c r="F1517" s="1">
        <f>"alter type "&amp;A1517&amp;" "&amp;E1517&amp;"."</f>
        <v/>
      </c>
    </row>
    <row r="1518">
      <c r="A1518" s="1" t="inlineStr">
        <is>
          <t>add1_8</t>
        </is>
      </c>
      <c r="B1518" s="1" t="inlineStr">
        <is>
          <t>字串</t>
        </is>
      </c>
      <c r="C1518" s="1" t="n">
        <v>180</v>
      </c>
      <c r="D1518" s="1" t="n">
        <v>0</v>
      </c>
      <c r="E1518" s="1">
        <f>IF(B1518="數值","(F"&amp;C1518&amp;"."&amp;D1518&amp;")","(A"&amp;C1518&amp;")")</f>
        <v/>
      </c>
      <c r="F1518" s="1">
        <f>"alter type "&amp;A1518&amp;" "&amp;E1518&amp;"."</f>
        <v/>
      </c>
    </row>
    <row r="1519">
      <c r="A1519" s="1" t="inlineStr">
        <is>
          <t>add2_8</t>
        </is>
      </c>
      <c r="B1519" s="1" t="inlineStr">
        <is>
          <t>字串</t>
        </is>
      </c>
      <c r="C1519" s="1" t="n">
        <v>180</v>
      </c>
      <c r="D1519" s="1" t="n">
        <v>0</v>
      </c>
      <c r="E1519" s="1">
        <f>IF(B1519="數值","(F"&amp;C1519&amp;"."&amp;D1519&amp;")","(A"&amp;C1519&amp;")")</f>
        <v/>
      </c>
      <c r="F1519" s="1">
        <f>"alter type "&amp;A1519&amp;" "&amp;E1519&amp;"."</f>
        <v/>
      </c>
    </row>
    <row r="1520">
      <c r="A1520" s="1" t="inlineStr">
        <is>
          <t>add3_8</t>
        </is>
      </c>
      <c r="B1520" s="1" t="inlineStr">
        <is>
          <t>字串</t>
        </is>
      </c>
      <c r="C1520" s="1" t="n">
        <v>180</v>
      </c>
      <c r="D1520" s="1" t="n">
        <v>0</v>
      </c>
      <c r="E1520" s="1">
        <f>IF(B1520="數值","(F"&amp;C1520&amp;"."&amp;D1520&amp;")","(A"&amp;C1520&amp;")")</f>
        <v/>
      </c>
      <c r="F1520" s="1">
        <f>"alter type "&amp;A1520&amp;" "&amp;E1520&amp;"."</f>
        <v/>
      </c>
    </row>
    <row r="1521">
      <c r="A1521" s="1" t="inlineStr">
        <is>
          <t>t_date_9</t>
        </is>
      </c>
      <c r="B1521" s="1" t="inlineStr">
        <is>
          <t>數值</t>
        </is>
      </c>
      <c r="C1521" s="1" t="n">
        <v>8</v>
      </c>
      <c r="D1521" s="1" t="n">
        <v>0</v>
      </c>
      <c r="E1521" s="1">
        <f>IF(B1521="數值","(F"&amp;C1521&amp;"."&amp;D1521&amp;")","(A"&amp;C1521&amp;")")</f>
        <v/>
      </c>
      <c r="F1521" s="1">
        <f>"alter type "&amp;A1521&amp;" "&amp;E1521&amp;"."</f>
        <v/>
      </c>
    </row>
    <row r="1522">
      <c r="A1522" s="1" t="inlineStr">
        <is>
          <t>t_in_9</t>
        </is>
      </c>
      <c r="B1522" s="1" t="inlineStr">
        <is>
          <t>字串</t>
        </is>
      </c>
      <c r="C1522" s="1" t="n">
        <v>20</v>
      </c>
      <c r="D1522" s="1" t="n">
        <v>0</v>
      </c>
      <c r="E1522" s="1">
        <f>IF(B1522="數值","(F"&amp;C1522&amp;"."&amp;D1522&amp;")","(A"&amp;C1522&amp;")")</f>
        <v/>
      </c>
      <c r="F1522" s="1">
        <f>"alter type "&amp;A1522&amp;" "&amp;E1522&amp;"."</f>
        <v/>
      </c>
    </row>
    <row r="1523">
      <c r="A1523" s="1" t="inlineStr">
        <is>
          <t>phone1_9</t>
        </is>
      </c>
      <c r="B1523" s="1" t="inlineStr">
        <is>
          <t>字串</t>
        </is>
      </c>
      <c r="C1523" s="1" t="n">
        <v>21</v>
      </c>
      <c r="D1523" s="1" t="n">
        <v>0</v>
      </c>
      <c r="E1523" s="1">
        <f>IF(B1523="數值","(F"&amp;C1523&amp;"."&amp;D1523&amp;")","(A"&amp;C1523&amp;")")</f>
        <v/>
      </c>
      <c r="F1523" s="1">
        <f>"alter type "&amp;A1523&amp;" "&amp;E1523&amp;"."</f>
        <v/>
      </c>
    </row>
    <row r="1524">
      <c r="A1524" s="1" t="inlineStr">
        <is>
          <t>phone2_9</t>
        </is>
      </c>
      <c r="B1524" s="1" t="inlineStr">
        <is>
          <t>字串</t>
        </is>
      </c>
      <c r="C1524" s="1" t="n">
        <v>21</v>
      </c>
      <c r="D1524" s="1" t="n">
        <v>0</v>
      </c>
      <c r="E1524" s="1">
        <f>IF(B1524="數值","(F"&amp;C1524&amp;"."&amp;D1524&amp;")","(A"&amp;C1524&amp;")")</f>
        <v/>
      </c>
      <c r="F1524" s="1">
        <f>"alter type "&amp;A1524&amp;" "&amp;E1524&amp;"."</f>
        <v/>
      </c>
    </row>
    <row r="1525">
      <c r="A1525" s="1" t="inlineStr">
        <is>
          <t>phone3_9</t>
        </is>
      </c>
      <c r="B1525" s="1" t="inlineStr">
        <is>
          <t>字串</t>
        </is>
      </c>
      <c r="C1525" s="1" t="n">
        <v>21</v>
      </c>
      <c r="D1525" s="1" t="n">
        <v>0</v>
      </c>
      <c r="E1525" s="1">
        <f>IF(B1525="數值","(F"&amp;C1525&amp;"."&amp;D1525&amp;")","(A"&amp;C1525&amp;")")</f>
        <v/>
      </c>
      <c r="F1525" s="1">
        <f>"alter type "&amp;A1525&amp;" "&amp;E1525&amp;"."</f>
        <v/>
      </c>
    </row>
    <row r="1526">
      <c r="A1526" s="1" t="inlineStr">
        <is>
          <t>cell1_9</t>
        </is>
      </c>
      <c r="B1526" s="1" t="inlineStr">
        <is>
          <t>字串</t>
        </is>
      </c>
      <c r="C1526" s="1" t="n">
        <v>12</v>
      </c>
      <c r="D1526" s="1" t="n">
        <v>0</v>
      </c>
      <c r="E1526" s="1">
        <f>IF(B1526="數值","(F"&amp;C1526&amp;"."&amp;D1526&amp;")","(A"&amp;C1526&amp;")")</f>
        <v/>
      </c>
      <c r="F1526" s="1">
        <f>"alter type "&amp;A1526&amp;" "&amp;E1526&amp;"."</f>
        <v/>
      </c>
    </row>
    <row r="1527">
      <c r="A1527" s="1" t="inlineStr">
        <is>
          <t>cell2_9</t>
        </is>
      </c>
      <c r="B1527" s="1" t="inlineStr">
        <is>
          <t>字串</t>
        </is>
      </c>
      <c r="C1527" s="1" t="n">
        <v>12</v>
      </c>
      <c r="D1527" s="1" t="n">
        <v>0</v>
      </c>
      <c r="E1527" s="1">
        <f>IF(B1527="數值","(F"&amp;C1527&amp;"."&amp;D1527&amp;")","(A"&amp;C1527&amp;")")</f>
        <v/>
      </c>
      <c r="F1527" s="1">
        <f>"alter type "&amp;A1527&amp;" "&amp;E1527&amp;"."</f>
        <v/>
      </c>
    </row>
    <row r="1528">
      <c r="A1528" s="1" t="inlineStr">
        <is>
          <t>cell3_9</t>
        </is>
      </c>
      <c r="B1528" s="1" t="inlineStr">
        <is>
          <t>字串</t>
        </is>
      </c>
      <c r="C1528" s="1" t="n">
        <v>12</v>
      </c>
      <c r="D1528" s="1" t="n">
        <v>0</v>
      </c>
      <c r="E1528" s="1">
        <f>IF(B1528="數值","(F"&amp;C1528&amp;"."&amp;D1528&amp;")","(A"&amp;C1528&amp;")")</f>
        <v/>
      </c>
      <c r="F1528" s="1">
        <f>"alter type "&amp;A1528&amp;" "&amp;E1528&amp;"."</f>
        <v/>
      </c>
    </row>
    <row r="1529">
      <c r="A1529" s="1" t="inlineStr">
        <is>
          <t>add1_9</t>
        </is>
      </c>
      <c r="B1529" s="1" t="inlineStr">
        <is>
          <t>字串</t>
        </is>
      </c>
      <c r="C1529" s="1" t="n">
        <v>180</v>
      </c>
      <c r="D1529" s="1" t="n">
        <v>0</v>
      </c>
      <c r="E1529" s="1">
        <f>IF(B1529="數值","(F"&amp;C1529&amp;"."&amp;D1529&amp;")","(A"&amp;C1529&amp;")")</f>
        <v/>
      </c>
      <c r="F1529" s="1">
        <f>"alter type "&amp;A1529&amp;" "&amp;E1529&amp;"."</f>
        <v/>
      </c>
    </row>
    <row r="1530">
      <c r="A1530" s="1" t="inlineStr">
        <is>
          <t>add2_9</t>
        </is>
      </c>
      <c r="B1530" s="1" t="inlineStr">
        <is>
          <t>字串</t>
        </is>
      </c>
      <c r="C1530" s="1" t="n">
        <v>180</v>
      </c>
      <c r="D1530" s="1" t="n">
        <v>0</v>
      </c>
      <c r="E1530" s="1">
        <f>IF(B1530="數值","(F"&amp;C1530&amp;"."&amp;D1530&amp;")","(A"&amp;C1530&amp;")")</f>
        <v/>
      </c>
      <c r="F1530" s="1">
        <f>"alter type "&amp;A1530&amp;" "&amp;E1530&amp;"."</f>
        <v/>
      </c>
    </row>
    <row r="1531">
      <c r="A1531" s="1" t="inlineStr">
        <is>
          <t>add3_9</t>
        </is>
      </c>
      <c r="B1531" s="1" t="inlineStr">
        <is>
          <t>字串</t>
        </is>
      </c>
      <c r="C1531" s="1" t="n">
        <v>180</v>
      </c>
      <c r="D1531" s="1" t="n">
        <v>0</v>
      </c>
      <c r="E1531" s="1">
        <f>IF(B1531="數值","(F"&amp;C1531&amp;"."&amp;D1531&amp;")","(A"&amp;C1531&amp;")")</f>
        <v/>
      </c>
      <c r="F1531" s="1">
        <f>"alter type "&amp;A1531&amp;" "&amp;E1531&amp;"."</f>
        <v/>
      </c>
    </row>
    <row r="1532">
      <c r="A1532" s="1" t="inlineStr">
        <is>
          <t>t_date_10</t>
        </is>
      </c>
      <c r="B1532" s="1" t="inlineStr">
        <is>
          <t>數值</t>
        </is>
      </c>
      <c r="C1532" s="1" t="n">
        <v>8</v>
      </c>
      <c r="D1532" s="1" t="n">
        <v>0</v>
      </c>
      <c r="E1532" s="1">
        <f>IF(B1532="數值","(F"&amp;C1532&amp;"."&amp;D1532&amp;")","(A"&amp;C1532&amp;")")</f>
        <v/>
      </c>
      <c r="F1532" s="1">
        <f>"alter type "&amp;A1532&amp;" "&amp;E1532&amp;"."</f>
        <v/>
      </c>
    </row>
    <row r="1533">
      <c r="A1533" s="1" t="inlineStr">
        <is>
          <t>t_in_10</t>
        </is>
      </c>
      <c r="B1533" s="1" t="inlineStr">
        <is>
          <t>字串</t>
        </is>
      </c>
      <c r="C1533" s="1" t="n">
        <v>20</v>
      </c>
      <c r="D1533" s="1" t="n">
        <v>0</v>
      </c>
      <c r="E1533" s="1">
        <f>IF(B1533="數值","(F"&amp;C1533&amp;"."&amp;D1533&amp;")","(A"&amp;C1533&amp;")")</f>
        <v/>
      </c>
      <c r="F1533" s="1">
        <f>"alter type "&amp;A1533&amp;" "&amp;E1533&amp;"."</f>
        <v/>
      </c>
    </row>
    <row r="1534">
      <c r="A1534" s="1" t="inlineStr">
        <is>
          <t>phone1_10</t>
        </is>
      </c>
      <c r="B1534" s="1" t="inlineStr">
        <is>
          <t>字串</t>
        </is>
      </c>
      <c r="C1534" s="1" t="n">
        <v>21</v>
      </c>
      <c r="D1534" s="1" t="n">
        <v>0</v>
      </c>
      <c r="E1534" s="1">
        <f>IF(B1534="數值","(F"&amp;C1534&amp;"."&amp;D1534&amp;")","(A"&amp;C1534&amp;")")</f>
        <v/>
      </c>
      <c r="F1534" s="1">
        <f>"alter type "&amp;A1534&amp;" "&amp;E1534&amp;"."</f>
        <v/>
      </c>
    </row>
    <row r="1535">
      <c r="A1535" s="1" t="inlineStr">
        <is>
          <t>phone2_10</t>
        </is>
      </c>
      <c r="B1535" s="1" t="inlineStr">
        <is>
          <t>字串</t>
        </is>
      </c>
      <c r="C1535" s="1" t="n">
        <v>21</v>
      </c>
      <c r="D1535" s="1" t="n">
        <v>0</v>
      </c>
      <c r="E1535" s="1">
        <f>IF(B1535="數值","(F"&amp;C1535&amp;"."&amp;D1535&amp;")","(A"&amp;C1535&amp;")")</f>
        <v/>
      </c>
      <c r="F1535" s="1">
        <f>"alter type "&amp;A1535&amp;" "&amp;E1535&amp;"."</f>
        <v/>
      </c>
    </row>
    <row r="1536">
      <c r="A1536" s="1" t="inlineStr">
        <is>
          <t>phone3_10</t>
        </is>
      </c>
      <c r="B1536" s="1" t="inlineStr">
        <is>
          <t>字串</t>
        </is>
      </c>
      <c r="C1536" s="1" t="n">
        <v>21</v>
      </c>
      <c r="D1536" s="1" t="n">
        <v>0</v>
      </c>
      <c r="E1536" s="1">
        <f>IF(B1536="數值","(F"&amp;C1536&amp;"."&amp;D1536&amp;")","(A"&amp;C1536&amp;")")</f>
        <v/>
      </c>
      <c r="F1536" s="1">
        <f>"alter type "&amp;A1536&amp;" "&amp;E1536&amp;"."</f>
        <v/>
      </c>
    </row>
    <row r="1537">
      <c r="A1537" s="1" t="inlineStr">
        <is>
          <t>cell1_10</t>
        </is>
      </c>
      <c r="B1537" s="1" t="inlineStr">
        <is>
          <t>字串</t>
        </is>
      </c>
      <c r="C1537" s="1" t="n">
        <v>12</v>
      </c>
      <c r="D1537" s="1" t="n">
        <v>0</v>
      </c>
      <c r="E1537" s="1">
        <f>IF(B1537="數值","(F"&amp;C1537&amp;"."&amp;D1537&amp;")","(A"&amp;C1537&amp;")")</f>
        <v/>
      </c>
      <c r="F1537" s="1">
        <f>"alter type "&amp;A1537&amp;" "&amp;E1537&amp;"."</f>
        <v/>
      </c>
    </row>
    <row r="1538">
      <c r="A1538" s="1" t="inlineStr">
        <is>
          <t>cell2_10</t>
        </is>
      </c>
      <c r="B1538" s="1" t="inlineStr">
        <is>
          <t>字串</t>
        </is>
      </c>
      <c r="C1538" s="1" t="n">
        <v>12</v>
      </c>
      <c r="D1538" s="1" t="n">
        <v>0</v>
      </c>
      <c r="E1538" s="1">
        <f>IF(B1538="數值","(F"&amp;C1538&amp;"."&amp;D1538&amp;")","(A"&amp;C1538&amp;")")</f>
        <v/>
      </c>
      <c r="F1538" s="1">
        <f>"alter type "&amp;A1538&amp;" "&amp;E1538&amp;"."</f>
        <v/>
      </c>
    </row>
    <row r="1539">
      <c r="A1539" s="1" t="inlineStr">
        <is>
          <t>cell3_10</t>
        </is>
      </c>
      <c r="B1539" s="1" t="inlineStr">
        <is>
          <t>字串</t>
        </is>
      </c>
      <c r="C1539" s="1" t="n">
        <v>12</v>
      </c>
      <c r="D1539" s="1" t="n">
        <v>0</v>
      </c>
      <c r="E1539" s="1">
        <f>IF(B1539="數值","(F"&amp;C1539&amp;"."&amp;D1539&amp;")","(A"&amp;C1539&amp;")")</f>
        <v/>
      </c>
      <c r="F1539" s="1">
        <f>"alter type "&amp;A1539&amp;" "&amp;E1539&amp;"."</f>
        <v/>
      </c>
    </row>
    <row r="1540">
      <c r="A1540" s="1" t="inlineStr">
        <is>
          <t>add1_10</t>
        </is>
      </c>
      <c r="B1540" s="1" t="inlineStr">
        <is>
          <t>字串</t>
        </is>
      </c>
      <c r="C1540" s="1" t="n">
        <v>180</v>
      </c>
      <c r="D1540" s="1" t="n">
        <v>0</v>
      </c>
      <c r="E1540" s="1">
        <f>IF(B1540="數值","(F"&amp;C1540&amp;"."&amp;D1540&amp;")","(A"&amp;C1540&amp;")")</f>
        <v/>
      </c>
      <c r="F1540" s="1">
        <f>"alter type "&amp;A1540&amp;" "&amp;E1540&amp;"."</f>
        <v/>
      </c>
    </row>
    <row r="1541">
      <c r="A1541" s="1" t="inlineStr">
        <is>
          <t>add2_10</t>
        </is>
      </c>
      <c r="B1541" s="1" t="inlineStr">
        <is>
          <t>字串</t>
        </is>
      </c>
      <c r="C1541" s="1" t="n">
        <v>180</v>
      </c>
      <c r="D1541" s="1" t="n">
        <v>0</v>
      </c>
      <c r="E1541" s="1">
        <f>IF(B1541="數值","(F"&amp;C1541&amp;"."&amp;D1541&amp;")","(A"&amp;C1541&amp;")")</f>
        <v/>
      </c>
      <c r="F1541" s="1">
        <f>"alter type "&amp;A1541&amp;" "&amp;E1541&amp;"."</f>
        <v/>
      </c>
    </row>
    <row r="1542">
      <c r="A1542" s="1" t="inlineStr">
        <is>
          <t>add3_10</t>
        </is>
      </c>
      <c r="B1542" s="1" t="inlineStr">
        <is>
          <t>字串</t>
        </is>
      </c>
      <c r="C1542" s="1" t="n">
        <v>180</v>
      </c>
      <c r="D1542" s="1" t="n">
        <v>0</v>
      </c>
      <c r="E1542" s="1">
        <f>IF(B1542="數值","(F"&amp;C1542&amp;"."&amp;D1542&amp;")","(A"&amp;C1542&amp;")")</f>
        <v/>
      </c>
      <c r="F1542" s="1">
        <f>"alter type "&amp;A1542&amp;" "&amp;E1542&amp;"."</f>
        <v/>
      </c>
    </row>
    <row r="1543">
      <c r="A1543" s="1" t="inlineStr">
        <is>
          <t>phone1</t>
        </is>
      </c>
      <c r="B1543" s="1" t="inlineStr">
        <is>
          <t>字串</t>
        </is>
      </c>
      <c r="C1543" s="1" t="n">
        <v>21</v>
      </c>
      <c r="D1543" s="1" t="n">
        <v>0</v>
      </c>
      <c r="E1543" s="1">
        <f>IF(B1543="數值","(F"&amp;C1543&amp;"."&amp;D1543&amp;")","(A"&amp;C1543&amp;")")</f>
        <v/>
      </c>
      <c r="F1543" s="1">
        <f>"alter type "&amp;A1543&amp;" "&amp;E1543&amp;"."</f>
        <v/>
      </c>
    </row>
    <row r="1544">
      <c r="A1544" s="1" t="inlineStr">
        <is>
          <t>phone2</t>
        </is>
      </c>
      <c r="B1544" s="1" t="inlineStr">
        <is>
          <t>字串</t>
        </is>
      </c>
      <c r="C1544" s="1" t="n">
        <v>21</v>
      </c>
      <c r="D1544" s="1" t="n">
        <v>0</v>
      </c>
      <c r="E1544" s="1">
        <f>IF(B1544="數值","(F"&amp;C1544&amp;"."&amp;D1544&amp;")","(A"&amp;C1544&amp;")")</f>
        <v/>
      </c>
      <c r="F1544" s="1">
        <f>"alter type "&amp;A1544&amp;" "&amp;E1544&amp;"."</f>
        <v/>
      </c>
    </row>
    <row r="1545">
      <c r="A1545" s="1" t="inlineStr">
        <is>
          <t>phone3</t>
        </is>
      </c>
      <c r="B1545" s="1" t="inlineStr">
        <is>
          <t>字串</t>
        </is>
      </c>
      <c r="C1545" s="1" t="n">
        <v>21</v>
      </c>
      <c r="D1545" s="1" t="n">
        <v>0</v>
      </c>
      <c r="E1545" s="1">
        <f>IF(B1545="數值","(F"&amp;C1545&amp;"."&amp;D1545&amp;")","(A"&amp;C1545&amp;")")</f>
        <v/>
      </c>
      <c r="F1545" s="1">
        <f>"alter type "&amp;A1545&amp;" "&amp;E1545&amp;"."</f>
        <v/>
      </c>
    </row>
    <row r="1546">
      <c r="A1546" s="1" t="inlineStr">
        <is>
          <t>phone4</t>
        </is>
      </c>
      <c r="B1546" s="1" t="inlineStr">
        <is>
          <t>字串</t>
        </is>
      </c>
      <c r="C1546" s="1" t="n">
        <v>21</v>
      </c>
      <c r="D1546" s="1" t="n">
        <v>0</v>
      </c>
      <c r="E1546" s="1">
        <f>IF(B1546="數值","(F"&amp;C1546&amp;"."&amp;D1546&amp;")","(A"&amp;C1546&amp;")")</f>
        <v/>
      </c>
      <c r="F1546" s="1">
        <f>"alter type "&amp;A1546&amp;" "&amp;E1546&amp;"."</f>
        <v/>
      </c>
    </row>
    <row r="1547">
      <c r="A1547" s="1" t="inlineStr">
        <is>
          <t>phone5</t>
        </is>
      </c>
      <c r="B1547" s="1" t="inlineStr">
        <is>
          <t>字串</t>
        </is>
      </c>
      <c r="C1547" s="1" t="n">
        <v>21</v>
      </c>
      <c r="D1547" s="1" t="n">
        <v>0</v>
      </c>
      <c r="E1547" s="1">
        <f>IF(B1547="數值","(F"&amp;C1547&amp;"."&amp;D1547&amp;")","(A"&amp;C1547&amp;")")</f>
        <v/>
      </c>
      <c r="F1547" s="1">
        <f>"alter type "&amp;A1547&amp;" "&amp;E1547&amp;"."</f>
        <v/>
      </c>
    </row>
    <row r="1548">
      <c r="A1548" s="1" t="inlineStr">
        <is>
          <t>cell1</t>
        </is>
      </c>
      <c r="B1548" s="1" t="inlineStr">
        <is>
          <t>字串</t>
        </is>
      </c>
      <c r="C1548" s="1" t="n">
        <v>12</v>
      </c>
      <c r="D1548" s="1" t="n">
        <v>0</v>
      </c>
      <c r="E1548" s="1">
        <f>IF(B1548="數值","(F"&amp;C1548&amp;"."&amp;D1548&amp;")","(A"&amp;C1548&amp;")")</f>
        <v/>
      </c>
      <c r="F1548" s="1">
        <f>"alter type "&amp;A1548&amp;" "&amp;E1548&amp;"."</f>
        <v/>
      </c>
    </row>
    <row r="1549">
      <c r="A1549" s="1" t="inlineStr">
        <is>
          <t>cell2</t>
        </is>
      </c>
      <c r="B1549" s="1" t="inlineStr">
        <is>
          <t>字串</t>
        </is>
      </c>
      <c r="C1549" s="1" t="n">
        <v>12</v>
      </c>
      <c r="D1549" s="1" t="n">
        <v>0</v>
      </c>
      <c r="E1549" s="1">
        <f>IF(B1549="數值","(F"&amp;C1549&amp;"."&amp;D1549&amp;")","(A"&amp;C1549&amp;")")</f>
        <v/>
      </c>
      <c r="F1549" s="1">
        <f>"alter type "&amp;A1549&amp;" "&amp;E1549&amp;"."</f>
        <v/>
      </c>
    </row>
    <row r="1550">
      <c r="A1550" s="1" t="inlineStr">
        <is>
          <t>cell3</t>
        </is>
      </c>
      <c r="B1550" s="1" t="inlineStr">
        <is>
          <t>字串</t>
        </is>
      </c>
      <c r="C1550" s="1" t="n">
        <v>12</v>
      </c>
      <c r="D1550" s="1" t="n">
        <v>0</v>
      </c>
      <c r="E1550" s="1">
        <f>IF(B1550="數值","(F"&amp;C1550&amp;"."&amp;D1550&amp;")","(A"&amp;C1550&amp;")")</f>
        <v/>
      </c>
      <c r="F1550" s="1">
        <f>"alter type "&amp;A1550&amp;" "&amp;E1550&amp;"."</f>
        <v/>
      </c>
    </row>
    <row r="1551">
      <c r="A1551" s="1" t="inlineStr">
        <is>
          <t>cell4</t>
        </is>
      </c>
      <c r="B1551" s="1" t="inlineStr">
        <is>
          <t>字串</t>
        </is>
      </c>
      <c r="C1551" s="1" t="n">
        <v>12</v>
      </c>
      <c r="D1551" s="1" t="n">
        <v>0</v>
      </c>
      <c r="E1551" s="1">
        <f>IF(B1551="數值","(F"&amp;C1551&amp;"."&amp;D1551&amp;")","(A"&amp;C1551&amp;")")</f>
        <v/>
      </c>
      <c r="F1551" s="1">
        <f>"alter type "&amp;A1551&amp;" "&amp;E1551&amp;"."</f>
        <v/>
      </c>
    </row>
    <row r="1552">
      <c r="A1552" s="1" t="inlineStr">
        <is>
          <t>cell5</t>
        </is>
      </c>
      <c r="B1552" s="1" t="inlineStr">
        <is>
          <t>字串</t>
        </is>
      </c>
      <c r="C1552" s="1" t="n">
        <v>12</v>
      </c>
      <c r="D1552" s="1" t="n">
        <v>0</v>
      </c>
      <c r="E1552" s="1">
        <f>IF(B1552="數值","(F"&amp;C1552&amp;"."&amp;D1552&amp;")","(A"&amp;C1552&amp;")")</f>
        <v/>
      </c>
      <c r="F1552" s="1">
        <f>"alter type "&amp;A1552&amp;" "&amp;E1552&amp;"."</f>
        <v/>
      </c>
    </row>
    <row r="1553">
      <c r="A1553" s="1" t="inlineStr">
        <is>
          <t>add1</t>
        </is>
      </c>
      <c r="B1553" s="1" t="inlineStr">
        <is>
          <t>字串</t>
        </is>
      </c>
      <c r="C1553" s="1" t="n">
        <v>180</v>
      </c>
      <c r="D1553" s="1" t="n">
        <v>0</v>
      </c>
      <c r="E1553" s="1">
        <f>IF(B1553="數值","(F"&amp;C1553&amp;"."&amp;D1553&amp;")","(A"&amp;C1553&amp;")")</f>
        <v/>
      </c>
      <c r="F1553" s="1">
        <f>"alter type "&amp;A1553&amp;" "&amp;E1553&amp;"."</f>
        <v/>
      </c>
    </row>
    <row r="1554">
      <c r="A1554" s="1" t="inlineStr">
        <is>
          <t>add2</t>
        </is>
      </c>
      <c r="B1554" s="1" t="inlineStr">
        <is>
          <t>字串</t>
        </is>
      </c>
      <c r="C1554" s="1" t="n">
        <v>180</v>
      </c>
      <c r="D1554" s="1" t="n">
        <v>0</v>
      </c>
      <c r="E1554" s="1">
        <f>IF(B1554="數值","(F"&amp;C1554&amp;"."&amp;D1554&amp;")","(A"&amp;C1554&amp;")")</f>
        <v/>
      </c>
      <c r="F1554" s="1">
        <f>"alter type "&amp;A1554&amp;" "&amp;E1554&amp;"."</f>
        <v/>
      </c>
    </row>
    <row r="1555">
      <c r="A1555" s="1" t="inlineStr">
        <is>
          <t>add3</t>
        </is>
      </c>
      <c r="B1555" s="1" t="inlineStr">
        <is>
          <t>字串</t>
        </is>
      </c>
      <c r="C1555" s="1" t="n">
        <v>180</v>
      </c>
      <c r="D1555" s="1" t="n">
        <v>0</v>
      </c>
      <c r="E1555" s="1">
        <f>IF(B1555="數值","(F"&amp;C1555&amp;"."&amp;D1555&amp;")","(A"&amp;C1555&amp;")")</f>
        <v/>
      </c>
      <c r="F1555" s="1">
        <f>"alter type "&amp;A1555&amp;" "&amp;E1555&amp;"."</f>
        <v/>
      </c>
    </row>
    <row r="1556">
      <c r="A1556" s="1" t="inlineStr">
        <is>
          <t>add4</t>
        </is>
      </c>
      <c r="B1556" s="1" t="inlineStr">
        <is>
          <t>字串</t>
        </is>
      </c>
      <c r="C1556" s="1" t="n">
        <v>180</v>
      </c>
      <c r="D1556" s="1" t="n">
        <v>0</v>
      </c>
      <c r="E1556" s="1">
        <f>IF(B1556="數值","(F"&amp;C1556&amp;"."&amp;D1556&amp;")","(A"&amp;C1556&amp;")")</f>
        <v/>
      </c>
      <c r="F1556" s="1">
        <f>"alter type "&amp;A1556&amp;" "&amp;E1556&amp;"."</f>
        <v/>
      </c>
    </row>
    <row r="1557">
      <c r="A1557" s="1" t="inlineStr">
        <is>
          <t>add5</t>
        </is>
      </c>
      <c r="B1557" s="1" t="inlineStr">
        <is>
          <t>字串</t>
        </is>
      </c>
      <c r="C1557" s="1" t="n">
        <v>180</v>
      </c>
      <c r="D1557" s="1" t="n">
        <v>0</v>
      </c>
      <c r="E1557" s="1">
        <f>IF(B1557="數值","(F"&amp;C1557&amp;"."&amp;D1557&amp;")","(A"&amp;C1557&amp;")")</f>
        <v/>
      </c>
      <c r="F1557" s="1">
        <f>"alter type "&amp;A1557&amp;" "&amp;E1557&amp;"."</f>
        <v/>
      </c>
    </row>
    <row r="1558">
      <c r="A1558" s="1" t="inlineStr">
        <is>
          <t>name2023</t>
        </is>
      </c>
      <c r="B1558" s="1" t="inlineStr">
        <is>
          <t>字串</t>
        </is>
      </c>
      <c r="C1558" s="1" t="n">
        <v>60</v>
      </c>
      <c r="D1558" s="1" t="n">
        <v>0</v>
      </c>
      <c r="E1558" s="1">
        <f>IF(B1558="數值","(F"&amp;C1558&amp;"."&amp;D1558&amp;")","(A"&amp;C1558&amp;")")</f>
        <v/>
      </c>
      <c r="F1558" s="1">
        <f>"alter type "&amp;A1558&amp;" "&amp;E1558&amp;"."</f>
        <v/>
      </c>
    </row>
    <row r="1559">
      <c r="A1559" s="1" t="inlineStr">
        <is>
          <t>year2023</t>
        </is>
      </c>
      <c r="B1559" s="1" t="inlineStr">
        <is>
          <t>數值</t>
        </is>
      </c>
      <c r="C1559" s="1" t="n">
        <v>3</v>
      </c>
      <c r="D1559" s="1" t="n">
        <v>0</v>
      </c>
      <c r="E1559" s="1">
        <f>IF(B1559="數值","(F"&amp;C1559&amp;"."&amp;D1559&amp;")","(A"&amp;C1559&amp;")")</f>
        <v/>
      </c>
      <c r="F1559" s="1">
        <f>"alter type "&amp;A1559&amp;" "&amp;E1559&amp;"."</f>
        <v/>
      </c>
    </row>
    <row r="1560">
      <c r="A1560" s="1" t="inlineStr">
        <is>
          <t>gen2023</t>
        </is>
      </c>
      <c r="B1560" s="1" t="inlineStr">
        <is>
          <t>數值</t>
        </is>
      </c>
      <c r="C1560" s="1" t="n">
        <v>8</v>
      </c>
      <c r="D1560" s="1" t="n">
        <v>0</v>
      </c>
      <c r="E1560" s="1">
        <f>IF(B1560="數值","(F"&amp;C1560&amp;"."&amp;D1560&amp;")","(A"&amp;C1560&amp;")")</f>
        <v/>
      </c>
      <c r="F1560" s="1">
        <f>"alter type "&amp;A1560&amp;" "&amp;E1560&amp;"."</f>
        <v/>
      </c>
    </row>
    <row r="1561">
      <c r="A1561" s="1" t="inlineStr">
        <is>
          <t>marry2023</t>
        </is>
      </c>
      <c r="B1561" s="1" t="inlineStr">
        <is>
          <t>數值</t>
        </is>
      </c>
      <c r="C1561" s="1" t="n">
        <v>8</v>
      </c>
      <c r="D1561" s="1" t="n">
        <v>0</v>
      </c>
      <c r="E1561" s="1">
        <f>IF(B1561="數值","(F"&amp;C1561&amp;"."&amp;D1561&amp;")","(A"&amp;C1561&amp;")")</f>
        <v/>
      </c>
      <c r="F1561" s="1">
        <f>"alter type "&amp;A1561&amp;" "&amp;E1561&amp;"."</f>
        <v/>
      </c>
    </row>
    <row r="1562">
      <c r="A1562" s="1" t="inlineStr">
        <is>
          <t>edu2023</t>
        </is>
      </c>
      <c r="B1562" s="1" t="inlineStr">
        <is>
          <t>數值</t>
        </is>
      </c>
      <c r="C1562" s="1" t="n">
        <v>8</v>
      </c>
      <c r="D1562" s="1" t="n">
        <v>0</v>
      </c>
      <c r="E1562" s="1">
        <f>IF(B1562="數值","(F"&amp;C1562&amp;"."&amp;D1562&amp;")","(A"&amp;C1562&amp;")")</f>
        <v/>
      </c>
      <c r="F1562" s="1">
        <f>"alter type "&amp;A1562&amp;" "&amp;E1562&amp;"."</f>
        <v/>
      </c>
    </row>
    <row r="1563">
      <c r="A1563" s="1" t="inlineStr">
        <is>
          <t>email2023</t>
        </is>
      </c>
      <c r="B1563" s="1" t="inlineStr">
        <is>
          <t>字串</t>
        </is>
      </c>
      <c r="C1563" s="1" t="n">
        <v>450</v>
      </c>
      <c r="D1563" s="1" t="n">
        <v>0</v>
      </c>
      <c r="E1563" s="1">
        <f>IF(B1563="數值","(F"&amp;C1563&amp;"."&amp;D1563&amp;")","(A"&amp;C1563&amp;")")</f>
        <v/>
      </c>
      <c r="F1563" s="1">
        <f>"alter type "&amp;A1563&amp;" "&amp;E1563&amp;"."</f>
        <v/>
      </c>
    </row>
    <row r="1564">
      <c r="A1564" s="1" t="inlineStr">
        <is>
          <t>CAInote</t>
        </is>
      </c>
      <c r="B1564" s="1" t="inlineStr">
        <is>
          <t>字串</t>
        </is>
      </c>
      <c r="C1564" s="1" t="n">
        <v>1200</v>
      </c>
      <c r="D1564" s="1" t="n">
        <v>0</v>
      </c>
      <c r="E1564" s="1">
        <f>IF(B1564="數值","(F"&amp;C1564&amp;"."&amp;D1564&amp;")","(A"&amp;C1564&amp;")")</f>
        <v/>
      </c>
      <c r="F1564" s="1">
        <f>"alter type "&amp;A1564&amp;" "&amp;E1564&amp;"."</f>
        <v/>
      </c>
    </row>
    <row r="1565">
      <c r="A1565" s="1" t="inlineStr">
        <is>
          <t>appointment</t>
        </is>
      </c>
      <c r="B1565" s="1" t="inlineStr">
        <is>
          <t>數值</t>
        </is>
      </c>
      <c r="C1565" s="1" t="n">
        <v>8</v>
      </c>
      <c r="D1565" s="1" t="n">
        <v>0</v>
      </c>
      <c r="E1565" s="1">
        <f>IF(B1565="數值","(F"&amp;C1565&amp;"."&amp;D1565&amp;")","(A"&amp;C1565&amp;")")</f>
        <v/>
      </c>
      <c r="F1565" s="1">
        <f>"alter type "&amp;A1565&amp;" "&amp;E1565&amp;"."</f>
        <v/>
      </c>
    </row>
    <row r="1566">
      <c r="A1566" s="1" t="inlineStr">
        <is>
          <t>stime_1</t>
        </is>
      </c>
      <c r="B1566" s="1" t="inlineStr">
        <is>
          <t>數值</t>
        </is>
      </c>
      <c r="C1566" s="1" t="n">
        <v>14</v>
      </c>
      <c r="D1566" s="1" t="n">
        <v>0</v>
      </c>
      <c r="E1566" s="1">
        <f>IF(B1566="數值","(F"&amp;C1566&amp;"."&amp;D1566&amp;")","(A"&amp;C1566&amp;")")</f>
        <v/>
      </c>
      <c r="F1566" s="1">
        <f>"alter type "&amp;A1566&amp;" "&amp;E1566&amp;"."</f>
        <v/>
      </c>
    </row>
    <row r="1567">
      <c r="A1567" s="1" t="inlineStr">
        <is>
          <t>etime_1</t>
        </is>
      </c>
      <c r="B1567" s="1" t="inlineStr">
        <is>
          <t>數值</t>
        </is>
      </c>
      <c r="C1567" s="1" t="n">
        <v>14</v>
      </c>
      <c r="D1567" s="1" t="n">
        <v>0</v>
      </c>
      <c r="E1567" s="1">
        <f>IF(B1567="數值","(F"&amp;C1567&amp;"."&amp;D1567&amp;")","(A"&amp;C1567&amp;")")</f>
        <v/>
      </c>
      <c r="F1567" s="1">
        <f>"alter type "&amp;A1567&amp;" "&amp;E1567&amp;"."</f>
        <v/>
      </c>
    </row>
    <row r="1568">
      <c r="A1568" s="1" t="inlineStr">
        <is>
          <t>stime_2</t>
        </is>
      </c>
      <c r="B1568" s="1" t="inlineStr">
        <is>
          <t>數值</t>
        </is>
      </c>
      <c r="C1568" s="1" t="n">
        <v>14</v>
      </c>
      <c r="D1568" s="1" t="n">
        <v>0</v>
      </c>
      <c r="E1568" s="1">
        <f>IF(B1568="數值","(F"&amp;C1568&amp;"."&amp;D1568&amp;")","(A"&amp;C1568&amp;")")</f>
        <v/>
      </c>
      <c r="F1568" s="1">
        <f>"alter type "&amp;A1568&amp;" "&amp;E1568&amp;"."</f>
        <v/>
      </c>
    </row>
    <row r="1569">
      <c r="A1569" s="1" t="inlineStr">
        <is>
          <t>etime_2</t>
        </is>
      </c>
      <c r="B1569" s="1" t="inlineStr">
        <is>
          <t>數值</t>
        </is>
      </c>
      <c r="C1569" s="1" t="n">
        <v>14</v>
      </c>
      <c r="D1569" s="1" t="n">
        <v>0</v>
      </c>
      <c r="E1569" s="1">
        <f>IF(B1569="數值","(F"&amp;C1569&amp;"."&amp;D1569&amp;")","(A"&amp;C1569&amp;")")</f>
        <v/>
      </c>
      <c r="F1569" s="1">
        <f>"alter type "&amp;A1569&amp;" "&amp;E1569&amp;"."</f>
        <v/>
      </c>
    </row>
    <row r="1570">
      <c r="A1570" s="1" t="inlineStr">
        <is>
          <t>stime_3</t>
        </is>
      </c>
      <c r="B1570" s="1" t="inlineStr">
        <is>
          <t>數值</t>
        </is>
      </c>
      <c r="C1570" s="1" t="n">
        <v>14</v>
      </c>
      <c r="D1570" s="1" t="n">
        <v>0</v>
      </c>
      <c r="E1570" s="1">
        <f>IF(B1570="數值","(F"&amp;C1570&amp;"."&amp;D1570&amp;")","(A"&amp;C1570&amp;")")</f>
        <v/>
      </c>
      <c r="F1570" s="1">
        <f>"alter type "&amp;A1570&amp;" "&amp;E1570&amp;"."</f>
        <v/>
      </c>
    </row>
    <row r="1571">
      <c r="A1571" s="1" t="inlineStr">
        <is>
          <t>etime_3</t>
        </is>
      </c>
      <c r="B1571" s="1" t="inlineStr">
        <is>
          <t>數值</t>
        </is>
      </c>
      <c r="C1571" s="1" t="n">
        <v>14</v>
      </c>
      <c r="D1571" s="1" t="n">
        <v>0</v>
      </c>
      <c r="E1571" s="1">
        <f>IF(B1571="數值","(F"&amp;C1571&amp;"."&amp;D1571&amp;")","(A"&amp;C1571&amp;")")</f>
        <v/>
      </c>
      <c r="F1571" s="1">
        <f>"alter type "&amp;A1571&amp;" "&amp;E1571&amp;"."</f>
        <v/>
      </c>
    </row>
    <row r="1572">
      <c r="A1572" s="1" t="inlineStr">
        <is>
          <t>stime_4</t>
        </is>
      </c>
      <c r="B1572" s="1" t="inlineStr">
        <is>
          <t>數值</t>
        </is>
      </c>
      <c r="C1572" s="1" t="n">
        <v>14</v>
      </c>
      <c r="D1572" s="1" t="n">
        <v>0</v>
      </c>
      <c r="E1572" s="1">
        <f>IF(B1572="數值","(F"&amp;C1572&amp;"."&amp;D1572&amp;")","(A"&amp;C1572&amp;")")</f>
        <v/>
      </c>
      <c r="F1572" s="1">
        <f>"alter type "&amp;A1572&amp;" "&amp;E1572&amp;"."</f>
        <v/>
      </c>
    </row>
    <row r="1573">
      <c r="A1573" s="1" t="inlineStr">
        <is>
          <t>etime_4</t>
        </is>
      </c>
      <c r="B1573" s="1" t="inlineStr">
        <is>
          <t>數值</t>
        </is>
      </c>
      <c r="C1573" s="1" t="n">
        <v>14</v>
      </c>
      <c r="D1573" s="1" t="n">
        <v>0</v>
      </c>
      <c r="E1573" s="1">
        <f>IF(B1573="數值","(F"&amp;C1573&amp;"."&amp;D1573&amp;")","(A"&amp;C1573&amp;")")</f>
        <v/>
      </c>
      <c r="F1573" s="1">
        <f>"alter type "&amp;A1573&amp;" "&amp;E1573&amp;"."</f>
        <v/>
      </c>
    </row>
    <row r="1574">
      <c r="E1574" s="1" t="n"/>
      <c r="F1574" s="1" t="n"/>
    </row>
  </sheetData>
  <autoFilter ref="A1:D943"/>
  <pageMargins left="0.7" right="0.7" top="0.75" bottom="0.75" header="0.3" footer="0.3"/>
  <pageSetup orientation="portrait" paperSize="9"/>
</worksheet>
</file>

<file path=xl/worksheets/sheet15.xml><?xml version="1.0" encoding="utf-8"?>
<worksheet xmlns="http://schemas.openxmlformats.org/spreadsheetml/2006/main">
  <sheetPr>
    <outlinePr summaryBelow="1" summaryRight="1"/>
    <pageSetUpPr/>
  </sheetPr>
  <dimension ref="A1:A17"/>
  <sheetViews>
    <sheetView workbookViewId="0">
      <selection activeCell="I9" sqref="I9"/>
    </sheetView>
  </sheetViews>
  <sheetFormatPr baseColWidth="8" defaultRowHeight="16.5"/>
  <sheetData>
    <row r="1">
      <c r="A1" s="1" t="inlineStr">
        <is>
          <t>vB1</t>
        </is>
      </c>
    </row>
    <row r="2">
      <c r="A2" s="1" t="inlineStr">
        <is>
          <t>vB3</t>
        </is>
      </c>
    </row>
    <row r="3">
      <c r="A3" s="1" t="inlineStr">
        <is>
          <t>vB5</t>
        </is>
      </c>
    </row>
    <row r="4">
      <c r="A4" s="1" t="inlineStr">
        <is>
          <t>vC1</t>
        </is>
      </c>
    </row>
    <row r="5">
      <c r="A5" s="1" t="inlineStr">
        <is>
          <t>vD2</t>
        </is>
      </c>
    </row>
    <row r="6">
      <c r="A6" s="1" t="inlineStr">
        <is>
          <t>vE4</t>
        </is>
      </c>
    </row>
    <row r="7">
      <c r="A7" s="1" t="inlineStr">
        <is>
          <t>vE7</t>
        </is>
      </c>
    </row>
    <row r="8">
      <c r="A8" s="1" t="inlineStr">
        <is>
          <t>vE10</t>
        </is>
      </c>
    </row>
    <row r="9">
      <c r="A9" s="1" t="inlineStr">
        <is>
          <t>vG1</t>
        </is>
      </c>
    </row>
    <row r="10">
      <c r="A10" s="1" t="inlineStr">
        <is>
          <t>vG4</t>
        </is>
      </c>
    </row>
    <row r="11">
      <c r="A11" s="1" t="inlineStr">
        <is>
          <t>vI1</t>
        </is>
      </c>
    </row>
    <row r="12">
      <c r="A12" s="1" t="inlineStr">
        <is>
          <t>vI3</t>
        </is>
      </c>
    </row>
    <row r="13">
      <c r="A13" s="1" t="inlineStr">
        <is>
          <t>vKFB1</t>
        </is>
      </c>
    </row>
    <row r="14">
      <c r="A14" s="1" t="inlineStr">
        <is>
          <t>vKIG1</t>
        </is>
      </c>
    </row>
    <row r="15">
      <c r="A15" s="1" t="inlineStr">
        <is>
          <t>vKTT1</t>
        </is>
      </c>
    </row>
    <row r="16">
      <c r="A16" s="1" t="inlineStr">
        <is>
          <t>vKLI1</t>
        </is>
      </c>
    </row>
    <row r="17">
      <c r="A17" s="1" t="inlineStr">
        <is>
          <t>vKYT1</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LPH</dc:creator>
  <dcterms:created xmlns:dcterms="http://purl.org/dc/terms/" xmlns:xsi="http://www.w3.org/2001/XMLSchema-instance" xsi:type="dcterms:W3CDTF">2018-09-06T07:00:34Z</dcterms:created>
  <dcterms:modified xmlns:dcterms="http://purl.org/dc/terms/" xmlns:xsi="http://www.w3.org/2001/XMLSchema-instance" xsi:type="dcterms:W3CDTF">2026-06-14T11:38:03Z</dcterms:modified>
  <cp:lastModifiedBy>kuang</cp:lastModifiedBy>
</cp:coreProperties>
</file>