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Z:\AIWork\syntaxwork\傳播4-1\"/>
    </mc:Choice>
  </mc:AlternateContent>
  <xr:revisionPtr revIDLastSave="0" documentId="13_ncr:1_{C0780226-10C5-43BC-8019-8635B2F67DCC}" xr6:coauthVersionLast="36" xr6:coauthVersionMax="36" xr10:uidLastSave="{00000000-0000-0000-0000-000000000000}"/>
  <bookViews>
    <workbookView xWindow="-105" yWindow="-105" windowWidth="23250" windowHeight="12450" activeTab="2" xr2:uid="{00000000-000D-0000-FFFF-FFFF00000000}"/>
  </bookViews>
  <sheets>
    <sheet name="m&amp;P變項配置範圍" sheetId="1" r:id="rId1"/>
    <sheet name="all" sheetId="2" r:id="rId2"/>
    <sheet name="數值題" sheetId="3" r:id="rId3"/>
    <sheet name="開放欄位" sheetId="4" r:id="rId4"/>
    <sheet name="複選題_301-400" sheetId="5" r:id="rId5"/>
    <sheet name="複選題內_互斥" sheetId="6" r:id="rId6"/>
    <sheet name="複選題變項清單" sheetId="7" r:id="rId7"/>
    <sheet name="特殊變項範圍" sheetId="8" r:id="rId8"/>
    <sheet name="邏輯組" sheetId="9" r:id="rId9"/>
    <sheet name="96特殊處理變項" sheetId="10" r:id="rId10"/>
    <sheet name="變項清單_問卷" sheetId="11" state="hidden" r:id="rId11"/>
    <sheet name="變項清單_訪問紀錄" sheetId="12" state="hidden" r:id="rId12"/>
    <sheet name="問卷＋訪問紀錄" sheetId="13" r:id="rId13"/>
    <sheet name="可輸入小數點清單" sheetId="14" r:id="rId14"/>
  </sheets>
  <definedNames>
    <definedName name="_xlnm._FilterDatabase" localSheetId="9" hidden="1">'96特殊處理變項'!$A$1:$J$35</definedName>
    <definedName name="_xlnm._FilterDatabase" localSheetId="1" hidden="1">all!$A$1:$C$886</definedName>
    <definedName name="_xlnm._FilterDatabase" localSheetId="12" hidden="1">'問卷＋訪問紀錄'!$A$1:$D$943</definedName>
    <definedName name="_xlnm._FilterDatabase" localSheetId="3" hidden="1">開放欄位!$A$1:$I$5</definedName>
    <definedName name="_xlnm._FilterDatabase" localSheetId="2" hidden="1">數值題!$A$1:$L$808</definedName>
    <definedName name="_xlnm._FilterDatabase" localSheetId="4" hidden="1">'複選題_301-400'!$A$1:$V$2</definedName>
    <definedName name="_xlnm._FilterDatabase" localSheetId="11" hidden="1">變項清單_訪問紀錄!$A$1:$C$57</definedName>
  </definedNames>
  <calcPr calcId="191029"/>
</workbook>
</file>

<file path=xl/calcChain.xml><?xml version="1.0" encoding="utf-8"?>
<calcChain xmlns="http://schemas.openxmlformats.org/spreadsheetml/2006/main">
  <c r="E1573" i="13" l="1"/>
  <c r="F1573" i="13" s="1"/>
  <c r="E1572" i="13"/>
  <c r="F1572" i="13" s="1"/>
  <c r="E1571" i="13"/>
  <c r="F1571" i="13" s="1"/>
  <c r="F1570" i="13"/>
  <c r="E1570" i="13"/>
  <c r="E1569" i="13"/>
  <c r="F1569" i="13" s="1"/>
  <c r="E1568" i="13"/>
  <c r="F1568" i="13" s="1"/>
  <c r="F1567" i="13"/>
  <c r="E1567" i="13"/>
  <c r="E1566" i="13"/>
  <c r="F1566" i="13" s="1"/>
  <c r="E1565" i="13"/>
  <c r="F1565" i="13" s="1"/>
  <c r="F1564" i="13"/>
  <c r="E1564" i="13"/>
  <c r="E1563" i="13"/>
  <c r="F1563" i="13" s="1"/>
  <c r="E1562" i="13"/>
  <c r="F1562" i="13" s="1"/>
  <c r="E1561" i="13"/>
  <c r="F1561" i="13" s="1"/>
  <c r="E1560" i="13"/>
  <c r="F1560" i="13" s="1"/>
  <c r="F1559" i="13"/>
  <c r="E1559" i="13"/>
  <c r="E1558" i="13"/>
  <c r="F1558" i="13" s="1"/>
  <c r="E1557" i="13"/>
  <c r="F1557" i="13" s="1"/>
  <c r="F1556" i="13"/>
  <c r="E1556" i="13"/>
  <c r="F1555" i="13"/>
  <c r="E1555" i="13"/>
  <c r="F1554" i="13"/>
  <c r="E1554" i="13"/>
  <c r="E1553" i="13"/>
  <c r="F1553" i="13" s="1"/>
  <c r="E1552" i="13"/>
  <c r="F1552" i="13" s="1"/>
  <c r="F1551" i="13"/>
  <c r="E1551" i="13"/>
  <c r="E1550" i="13"/>
  <c r="F1550" i="13" s="1"/>
  <c r="E1549" i="13"/>
  <c r="F1549" i="13" s="1"/>
  <c r="F1548" i="13"/>
  <c r="E1548" i="13"/>
  <c r="E1547" i="13"/>
  <c r="F1547" i="13" s="1"/>
  <c r="E1546" i="13"/>
  <c r="F1546" i="13" s="1"/>
  <c r="E1545" i="13"/>
  <c r="F1545" i="13" s="1"/>
  <c r="E1544" i="13"/>
  <c r="F1544" i="13" s="1"/>
  <c r="E1543" i="13"/>
  <c r="F1543" i="13" s="1"/>
  <c r="E1542" i="13"/>
  <c r="F1542" i="13" s="1"/>
  <c r="E1541" i="13"/>
  <c r="F1541" i="13" s="1"/>
  <c r="E1540" i="13"/>
  <c r="F1540" i="13" s="1"/>
  <c r="E1539" i="13"/>
  <c r="F1539" i="13" s="1"/>
  <c r="F1538" i="13"/>
  <c r="E1538" i="13"/>
  <c r="E1537" i="13"/>
  <c r="F1537" i="13" s="1"/>
  <c r="F1536" i="13"/>
  <c r="E1536" i="13"/>
  <c r="F1535" i="13"/>
  <c r="E1535" i="13"/>
  <c r="E1534" i="13"/>
  <c r="F1534" i="13" s="1"/>
  <c r="F1533" i="13"/>
  <c r="E1533" i="13"/>
  <c r="E1532" i="13"/>
  <c r="F1532" i="13" s="1"/>
  <c r="E1531" i="13"/>
  <c r="F1531" i="13" s="1"/>
  <c r="F1530" i="13"/>
  <c r="E1530" i="13"/>
  <c r="E1529" i="13"/>
  <c r="F1529" i="13" s="1"/>
  <c r="E1528" i="13"/>
  <c r="F1528" i="13" s="1"/>
  <c r="F1527" i="13"/>
  <c r="E1527" i="13"/>
  <c r="E1526" i="13"/>
  <c r="F1526" i="13" s="1"/>
  <c r="F1525" i="13"/>
  <c r="E1525" i="13"/>
  <c r="E1524" i="13"/>
  <c r="F1524" i="13" s="1"/>
  <c r="F1523" i="13"/>
  <c r="E1523" i="13"/>
  <c r="E1522" i="13"/>
  <c r="F1522" i="13" s="1"/>
  <c r="F1521" i="13"/>
  <c r="E1521" i="13"/>
  <c r="F1520" i="13"/>
  <c r="E1520" i="13"/>
  <c r="E1519" i="13"/>
  <c r="F1519" i="13" s="1"/>
  <c r="F1518" i="13"/>
  <c r="E1518" i="13"/>
  <c r="E1517" i="13"/>
  <c r="F1517" i="13" s="1"/>
  <c r="E1516" i="13"/>
  <c r="F1516" i="13" s="1"/>
  <c r="E1515" i="13"/>
  <c r="F1515" i="13" s="1"/>
  <c r="F1514" i="13"/>
  <c r="E1514" i="13"/>
  <c r="F1513" i="13"/>
  <c r="E1513" i="13"/>
  <c r="E1512" i="13"/>
  <c r="F1512" i="13" s="1"/>
  <c r="E1511" i="13"/>
  <c r="F1511" i="13" s="1"/>
  <c r="E1510" i="13"/>
  <c r="F1510" i="13" s="1"/>
  <c r="F1509" i="13"/>
  <c r="E1509" i="13"/>
  <c r="E1508" i="13"/>
  <c r="F1508" i="13" s="1"/>
  <c r="F1507" i="13"/>
  <c r="E1507" i="13"/>
  <c r="F1506" i="13"/>
  <c r="E1506" i="13"/>
  <c r="E1505" i="13"/>
  <c r="F1505" i="13" s="1"/>
  <c r="E1504" i="13"/>
  <c r="F1504" i="13" s="1"/>
  <c r="E1503" i="13"/>
  <c r="F1503" i="13" s="1"/>
  <c r="E1502" i="13"/>
  <c r="F1502" i="13" s="1"/>
  <c r="F1501" i="13"/>
  <c r="E1501" i="13"/>
  <c r="E1500" i="13"/>
  <c r="F1500" i="13" s="1"/>
  <c r="E1499" i="13"/>
  <c r="F1499" i="13" s="1"/>
  <c r="F1498" i="13"/>
  <c r="E1498" i="13"/>
  <c r="F1497" i="13"/>
  <c r="E1497" i="13"/>
  <c r="F1496" i="13"/>
  <c r="E1496" i="13"/>
  <c r="E1495" i="13"/>
  <c r="F1495" i="13" s="1"/>
  <c r="E1494" i="13"/>
  <c r="F1494" i="13" s="1"/>
  <c r="F1493" i="13"/>
  <c r="E1493" i="13"/>
  <c r="E1492" i="13"/>
  <c r="F1492" i="13" s="1"/>
  <c r="E1491" i="13"/>
  <c r="F1491" i="13" s="1"/>
  <c r="F1490" i="13"/>
  <c r="E1490" i="13"/>
  <c r="E1489" i="13"/>
  <c r="F1489" i="13" s="1"/>
  <c r="F1488" i="13"/>
  <c r="E1488" i="13"/>
  <c r="E1487" i="13"/>
  <c r="F1487" i="13" s="1"/>
  <c r="E1486" i="13"/>
  <c r="F1486" i="13" s="1"/>
  <c r="F1485" i="13"/>
  <c r="E1485" i="13"/>
  <c r="F1484" i="13"/>
  <c r="E1484" i="13"/>
  <c r="E1483" i="13"/>
  <c r="F1483" i="13" s="1"/>
  <c r="E1482" i="13"/>
  <c r="F1482" i="13" s="1"/>
  <c r="E1481" i="13"/>
  <c r="F1481" i="13" s="1"/>
  <c r="E1480" i="13"/>
  <c r="F1480" i="13" s="1"/>
  <c r="F1479" i="13"/>
  <c r="E1479" i="13"/>
  <c r="E1478" i="13"/>
  <c r="F1478" i="13" s="1"/>
  <c r="F1477" i="13"/>
  <c r="E1477" i="13"/>
  <c r="F1476" i="13"/>
  <c r="E1476" i="13"/>
  <c r="F1475" i="13"/>
  <c r="E1475" i="13"/>
  <c r="E1474" i="13"/>
  <c r="F1474" i="13" s="1"/>
  <c r="F1473" i="13"/>
  <c r="E1473" i="13"/>
  <c r="E1472" i="13"/>
  <c r="F1472" i="13" s="1"/>
  <c r="E1471" i="13"/>
  <c r="F1471" i="13" s="1"/>
  <c r="E1470" i="13"/>
  <c r="F1470" i="13" s="1"/>
  <c r="E1469" i="13"/>
  <c r="F1469" i="13" s="1"/>
  <c r="E1468" i="13"/>
  <c r="F1468" i="13" s="1"/>
  <c r="F1467" i="13"/>
  <c r="E1467" i="13"/>
  <c r="E1466" i="13"/>
  <c r="F1466" i="13" s="1"/>
  <c r="E1465" i="13"/>
  <c r="F1465" i="13" s="1"/>
  <c r="F1464" i="13"/>
  <c r="E1464" i="13"/>
  <c r="F1463" i="13"/>
  <c r="E1463" i="13"/>
  <c r="E1462" i="13"/>
  <c r="F1462" i="13" s="1"/>
  <c r="F1461" i="13"/>
  <c r="E1461" i="13"/>
  <c r="E1460" i="13"/>
  <c r="F1460" i="13" s="1"/>
  <c r="F1459" i="13"/>
  <c r="E1459" i="13"/>
  <c r="E1458" i="13"/>
  <c r="F1458" i="13" s="1"/>
  <c r="E1457" i="13"/>
  <c r="F1457" i="13" s="1"/>
  <c r="F1456" i="13"/>
  <c r="E1456" i="13"/>
  <c r="E1455" i="13"/>
  <c r="F1455" i="13" s="1"/>
  <c r="E1454" i="13"/>
  <c r="F1454" i="13" s="1"/>
  <c r="E1453" i="13"/>
  <c r="F1453" i="13" s="1"/>
  <c r="E1452" i="13"/>
  <c r="F1452" i="13" s="1"/>
  <c r="E1451" i="13"/>
  <c r="F1451" i="13" s="1"/>
  <c r="F1450" i="13"/>
  <c r="E1450" i="13"/>
  <c r="E1449" i="13"/>
  <c r="F1449" i="13" s="1"/>
  <c r="E1448" i="13"/>
  <c r="F1448" i="13" s="1"/>
  <c r="E1447" i="13"/>
  <c r="F1447" i="13" s="1"/>
  <c r="F1446" i="13"/>
  <c r="E1446" i="13"/>
  <c r="E1445" i="13"/>
  <c r="F1445" i="13" s="1"/>
  <c r="E1444" i="13"/>
  <c r="F1444" i="13" s="1"/>
  <c r="F1443" i="13"/>
  <c r="E1443" i="13"/>
  <c r="E1442" i="13"/>
  <c r="F1442" i="13" s="1"/>
  <c r="E1441" i="13"/>
  <c r="F1441" i="13" s="1"/>
  <c r="E1440" i="13"/>
  <c r="F1440" i="13" s="1"/>
  <c r="F1439" i="13"/>
  <c r="E1439" i="13"/>
  <c r="E1438" i="13"/>
  <c r="F1438" i="13" s="1"/>
  <c r="F1437" i="13"/>
  <c r="E1437" i="13"/>
  <c r="F1436" i="13"/>
  <c r="E1436" i="13"/>
  <c r="F1435" i="13"/>
  <c r="E1435" i="13"/>
  <c r="E1434" i="13"/>
  <c r="F1434" i="13" s="1"/>
  <c r="E1433" i="13"/>
  <c r="F1433" i="13" s="1"/>
  <c r="E1432" i="13"/>
  <c r="F1432" i="13" s="1"/>
  <c r="F1431" i="13"/>
  <c r="E1431" i="13"/>
  <c r="F1430" i="13"/>
  <c r="E1430" i="13"/>
  <c r="F1429" i="13"/>
  <c r="E1429" i="13"/>
  <c r="E1428" i="13"/>
  <c r="F1428" i="13" s="1"/>
  <c r="E1427" i="13"/>
  <c r="F1427" i="13" s="1"/>
  <c r="E1426" i="13"/>
  <c r="F1426" i="13" s="1"/>
  <c r="F1425" i="13"/>
  <c r="E1425" i="13"/>
  <c r="E1424" i="13"/>
  <c r="F1424" i="13" s="1"/>
  <c r="E1423" i="13"/>
  <c r="F1423" i="13" s="1"/>
  <c r="E1422" i="13"/>
  <c r="F1422" i="13" s="1"/>
  <c r="E1421" i="13"/>
  <c r="F1421" i="13" s="1"/>
  <c r="E1420" i="13"/>
  <c r="F1420" i="13" s="1"/>
  <c r="E1419" i="13"/>
  <c r="F1419" i="13" s="1"/>
  <c r="E1418" i="13"/>
  <c r="F1418" i="13" s="1"/>
  <c r="F1417" i="13"/>
  <c r="E1417" i="13"/>
  <c r="E1416" i="13"/>
  <c r="F1416" i="13" s="1"/>
  <c r="F1415" i="13"/>
  <c r="E1415" i="13"/>
  <c r="F1414" i="13"/>
  <c r="E1414" i="13"/>
  <c r="E1413" i="13"/>
  <c r="F1413" i="13" s="1"/>
  <c r="E1412" i="13"/>
  <c r="F1412" i="13" s="1"/>
  <c r="F1411" i="13"/>
  <c r="E1411" i="13"/>
  <c r="E1410" i="13"/>
  <c r="F1410" i="13" s="1"/>
  <c r="F1409" i="13"/>
  <c r="E1409" i="13"/>
  <c r="F1408" i="13"/>
  <c r="E1408" i="13"/>
  <c r="F1407" i="13"/>
  <c r="E1407" i="13"/>
  <c r="E1406" i="13"/>
  <c r="F1406" i="13" s="1"/>
  <c r="E1405" i="13"/>
  <c r="F1405" i="13" s="1"/>
  <c r="F1404" i="13"/>
  <c r="E1404" i="13"/>
  <c r="E1403" i="13"/>
  <c r="F1403" i="13" s="1"/>
  <c r="E1402" i="13"/>
  <c r="F1402" i="13" s="1"/>
  <c r="F1401" i="13"/>
  <c r="E1401" i="13"/>
  <c r="E1400" i="13"/>
  <c r="F1400" i="13" s="1"/>
  <c r="E1399" i="13"/>
  <c r="F1399" i="13" s="1"/>
  <c r="E1398" i="13"/>
  <c r="F1398" i="13" s="1"/>
  <c r="E1397" i="13"/>
  <c r="F1397" i="13" s="1"/>
  <c r="E1396" i="13"/>
  <c r="F1396" i="13" s="1"/>
  <c r="F1395" i="13"/>
  <c r="E1395" i="13"/>
  <c r="E1394" i="13"/>
  <c r="F1394" i="13" s="1"/>
  <c r="F1393" i="13"/>
  <c r="E1393" i="13"/>
  <c r="E1392" i="13"/>
  <c r="F1392" i="13" s="1"/>
  <c r="E1391" i="13"/>
  <c r="F1391" i="13" s="1"/>
  <c r="F1390" i="13"/>
  <c r="E1390" i="13"/>
  <c r="E1389" i="13"/>
  <c r="F1389" i="13" s="1"/>
  <c r="E1388" i="13"/>
  <c r="F1388" i="13" s="1"/>
  <c r="F1387" i="13"/>
  <c r="E1387" i="13"/>
  <c r="F1386" i="13"/>
  <c r="E1386" i="13"/>
  <c r="F1385" i="13"/>
  <c r="E1385" i="13"/>
  <c r="E1384" i="13"/>
  <c r="F1384" i="13" s="1"/>
  <c r="F1383" i="13"/>
  <c r="E1383" i="13"/>
  <c r="E1382" i="13"/>
  <c r="F1382" i="13" s="1"/>
  <c r="F1381" i="13"/>
  <c r="E1381" i="13"/>
  <c r="E1380" i="13"/>
  <c r="F1380" i="13" s="1"/>
  <c r="E1379" i="13"/>
  <c r="F1379" i="13" s="1"/>
  <c r="E1378" i="13"/>
  <c r="F1378" i="13" s="1"/>
  <c r="E1377" i="13"/>
  <c r="F1377" i="13" s="1"/>
  <c r="F1376" i="13"/>
  <c r="E1376" i="13"/>
  <c r="F1375" i="13"/>
  <c r="E1375" i="13"/>
  <c r="F1374" i="13"/>
  <c r="E1374" i="13"/>
  <c r="E1373" i="13"/>
  <c r="F1373" i="13" s="1"/>
  <c r="E1372" i="13"/>
  <c r="F1372" i="13" s="1"/>
  <c r="E1371" i="13"/>
  <c r="F1371" i="13" s="1"/>
  <c r="E1370" i="13"/>
  <c r="F1370" i="13" s="1"/>
  <c r="F1369" i="13"/>
  <c r="E1369" i="13"/>
  <c r="F1368" i="13"/>
  <c r="E1368" i="13"/>
  <c r="E1367" i="13"/>
  <c r="F1367" i="13" s="1"/>
  <c r="E1366" i="13"/>
  <c r="F1366" i="13" s="1"/>
  <c r="F1365" i="13"/>
  <c r="E1365" i="13"/>
  <c r="F1364" i="13"/>
  <c r="E1364" i="13"/>
  <c r="F1363" i="13"/>
  <c r="E1363" i="13"/>
  <c r="E1362" i="13"/>
  <c r="F1362" i="13" s="1"/>
  <c r="F1361" i="13"/>
  <c r="E1361" i="13"/>
  <c r="E1360" i="13"/>
  <c r="F1360" i="13" s="1"/>
  <c r="E1359" i="13"/>
  <c r="F1359" i="13" s="1"/>
  <c r="E1358" i="13"/>
  <c r="F1358" i="13" s="1"/>
  <c r="F1357" i="13"/>
  <c r="E1357" i="13"/>
  <c r="E1356" i="13"/>
  <c r="F1356" i="13" s="1"/>
  <c r="E1355" i="13"/>
  <c r="F1355" i="13" s="1"/>
  <c r="F1354" i="13"/>
  <c r="E1354" i="13"/>
  <c r="F1353" i="13"/>
  <c r="E1353" i="13"/>
  <c r="E1352" i="13"/>
  <c r="F1352" i="13" s="1"/>
  <c r="F1351" i="13"/>
  <c r="E1351" i="13"/>
  <c r="E1350" i="13"/>
  <c r="F1350" i="13" s="1"/>
  <c r="E1349" i="13"/>
  <c r="F1349" i="13" s="1"/>
  <c r="F1348" i="13"/>
  <c r="E1348" i="13"/>
  <c r="E1347" i="13"/>
  <c r="F1347" i="13" s="1"/>
  <c r="F1346" i="13"/>
  <c r="E1346" i="13"/>
  <c r="E1345" i="13"/>
  <c r="F1345" i="13" s="1"/>
  <c r="E1344" i="13"/>
  <c r="F1344" i="13" s="1"/>
  <c r="F1343" i="13"/>
  <c r="E1343" i="13"/>
  <c r="E1342" i="13"/>
  <c r="F1342" i="13" s="1"/>
  <c r="E1341" i="13"/>
  <c r="F1341" i="13" s="1"/>
  <c r="F1340" i="13"/>
  <c r="E1340" i="13"/>
  <c r="E1339" i="13"/>
  <c r="F1339" i="13" s="1"/>
  <c r="F1338" i="13"/>
  <c r="E1338" i="13"/>
  <c r="E1337" i="13"/>
  <c r="F1337" i="13" s="1"/>
  <c r="F1336" i="13"/>
  <c r="E1336" i="13"/>
  <c r="F1335" i="13"/>
  <c r="E1335" i="13"/>
  <c r="E1334" i="13"/>
  <c r="F1334" i="13" s="1"/>
  <c r="E1333" i="13"/>
  <c r="F1333" i="13" s="1"/>
  <c r="E1332" i="13"/>
  <c r="F1332" i="13" s="1"/>
  <c r="E1331" i="13"/>
  <c r="F1331" i="13" s="1"/>
  <c r="F1330" i="13"/>
  <c r="E1330" i="13"/>
  <c r="E1329" i="13"/>
  <c r="F1329" i="13" s="1"/>
  <c r="E1328" i="13"/>
  <c r="F1328" i="13" s="1"/>
  <c r="F1327" i="13"/>
  <c r="E1327" i="13"/>
  <c r="F1326" i="13"/>
  <c r="E1326" i="13"/>
  <c r="E1325" i="13"/>
  <c r="F1325" i="13" s="1"/>
  <c r="F1324" i="13"/>
  <c r="E1324" i="13"/>
  <c r="E1323" i="13"/>
  <c r="F1323" i="13" s="1"/>
  <c r="E1322" i="13"/>
  <c r="F1322" i="13" s="1"/>
  <c r="E1321" i="13"/>
  <c r="F1321" i="13" s="1"/>
  <c r="E1320" i="13"/>
  <c r="F1320" i="13" s="1"/>
  <c r="F1319" i="13"/>
  <c r="E1319" i="13"/>
  <c r="F1318" i="13"/>
  <c r="E1318" i="13"/>
  <c r="E1317" i="13"/>
  <c r="F1317" i="13" s="1"/>
  <c r="E1316" i="13"/>
  <c r="F1316" i="13" s="1"/>
  <c r="E1315" i="13"/>
  <c r="F1315" i="13" s="1"/>
  <c r="E1314" i="13"/>
  <c r="F1314" i="13" s="1"/>
  <c r="F1313" i="13"/>
  <c r="E1313" i="13"/>
  <c r="E1312" i="13"/>
  <c r="F1312" i="13" s="1"/>
  <c r="E1311" i="13"/>
  <c r="F1311" i="13" s="1"/>
  <c r="E1310" i="13"/>
  <c r="F1310" i="13" s="1"/>
  <c r="F1309" i="13"/>
  <c r="E1309" i="13"/>
  <c r="E1308" i="13"/>
  <c r="F1308" i="13" s="1"/>
  <c r="F1307" i="13"/>
  <c r="E1307" i="13"/>
  <c r="F1306" i="13"/>
  <c r="E1306" i="13"/>
  <c r="E1305" i="13"/>
  <c r="F1305" i="13" s="1"/>
  <c r="F1304" i="13"/>
  <c r="E1304" i="13"/>
  <c r="E1303" i="13"/>
  <c r="F1303" i="13" s="1"/>
  <c r="E1302" i="13"/>
  <c r="F1302" i="13" s="1"/>
  <c r="F1301" i="13"/>
  <c r="E1301" i="13"/>
  <c r="E1300" i="13"/>
  <c r="F1300" i="13" s="1"/>
  <c r="E1299" i="13"/>
  <c r="F1299" i="13" s="1"/>
  <c r="F1298" i="13"/>
  <c r="E1298" i="13"/>
  <c r="E1297" i="13"/>
  <c r="F1297" i="13" s="1"/>
  <c r="F1296" i="13"/>
  <c r="E1296" i="13"/>
  <c r="E1295" i="13"/>
  <c r="F1295" i="13" s="1"/>
  <c r="E1294" i="13"/>
  <c r="F1294" i="13" s="1"/>
  <c r="E1293" i="13"/>
  <c r="F1293" i="13" s="1"/>
  <c r="E1292" i="13"/>
  <c r="F1292" i="13" s="1"/>
  <c r="F1291" i="13"/>
  <c r="E1291" i="13"/>
  <c r="F1290" i="13"/>
  <c r="E1290" i="13"/>
  <c r="E1289" i="13"/>
  <c r="F1289" i="13" s="1"/>
  <c r="F1288" i="13"/>
  <c r="E1288" i="13"/>
  <c r="E1287" i="13"/>
  <c r="F1287" i="13" s="1"/>
  <c r="F1286" i="13"/>
  <c r="E1286" i="13"/>
  <c r="F1285" i="13"/>
  <c r="E1285" i="13"/>
  <c r="E1284" i="13"/>
  <c r="F1284" i="13" s="1"/>
  <c r="E1283" i="13"/>
  <c r="F1283" i="13" s="1"/>
  <c r="E1282" i="13"/>
  <c r="F1282" i="13" s="1"/>
  <c r="E1281" i="13"/>
  <c r="F1281" i="13" s="1"/>
  <c r="E1280" i="13"/>
  <c r="F1280" i="13" s="1"/>
  <c r="F1279" i="13"/>
  <c r="E1279" i="13"/>
  <c r="E1278" i="13"/>
  <c r="F1278" i="13" s="1"/>
  <c r="F1277" i="13"/>
  <c r="E1277" i="13"/>
  <c r="E1276" i="13"/>
  <c r="F1276" i="13" s="1"/>
  <c r="E1275" i="13"/>
  <c r="F1275" i="13" s="1"/>
  <c r="E1274" i="13"/>
  <c r="F1274" i="13" s="1"/>
  <c r="E1273" i="13"/>
  <c r="F1273" i="13" s="1"/>
  <c r="E1272" i="13"/>
  <c r="F1272" i="13" s="1"/>
  <c r="E1271" i="13"/>
  <c r="F1271" i="13" s="1"/>
  <c r="F1270" i="13"/>
  <c r="E1270" i="13"/>
  <c r="E1269" i="13"/>
  <c r="F1269" i="13" s="1"/>
  <c r="F1268" i="13"/>
  <c r="E1268" i="13"/>
  <c r="F1267" i="13"/>
  <c r="E1267" i="13"/>
  <c r="E1266" i="13"/>
  <c r="F1266" i="13" s="1"/>
  <c r="F1265" i="13"/>
  <c r="E1265" i="13"/>
  <c r="F1264" i="13"/>
  <c r="E1264" i="13"/>
  <c r="F1263" i="13"/>
  <c r="E1263" i="13"/>
  <c r="E1262" i="13"/>
  <c r="F1262" i="13" s="1"/>
  <c r="E1261" i="13"/>
  <c r="F1261" i="13" s="1"/>
  <c r="F1260" i="13"/>
  <c r="E1260" i="13"/>
  <c r="E1259" i="13"/>
  <c r="F1259" i="13" s="1"/>
  <c r="E1258" i="13"/>
  <c r="F1258" i="13" s="1"/>
  <c r="F1257" i="13"/>
  <c r="E1257" i="13"/>
  <c r="F1256" i="13"/>
  <c r="E1256" i="13"/>
  <c r="E1255" i="13"/>
  <c r="F1255" i="13" s="1"/>
  <c r="E1254" i="13"/>
  <c r="F1254" i="13" s="1"/>
  <c r="E1253" i="13"/>
  <c r="F1253" i="13" s="1"/>
  <c r="E1252" i="13"/>
  <c r="F1252" i="13" s="1"/>
  <c r="F1251" i="13"/>
  <c r="E1251" i="13"/>
  <c r="E1250" i="13"/>
  <c r="F1250" i="13" s="1"/>
  <c r="F1249" i="13"/>
  <c r="E1249" i="13"/>
  <c r="F1248" i="13"/>
  <c r="E1248" i="13"/>
  <c r="E1247" i="13"/>
  <c r="F1247" i="13" s="1"/>
  <c r="F1246" i="13"/>
  <c r="E1246" i="13"/>
  <c r="E1245" i="13"/>
  <c r="F1245" i="13" s="1"/>
  <c r="E1244" i="13"/>
  <c r="F1244" i="13" s="1"/>
  <c r="F1243" i="13"/>
  <c r="E1243" i="13"/>
  <c r="E1242" i="13"/>
  <c r="F1242" i="13" s="1"/>
  <c r="E1241" i="13"/>
  <c r="F1241" i="13" s="1"/>
  <c r="F1240" i="13"/>
  <c r="E1240" i="13"/>
  <c r="E1239" i="13"/>
  <c r="F1239" i="13" s="1"/>
  <c r="F1238" i="13"/>
  <c r="E1238" i="13"/>
  <c r="E1237" i="13"/>
  <c r="F1237" i="13" s="1"/>
  <c r="E1236" i="13"/>
  <c r="F1236" i="13" s="1"/>
  <c r="F1235" i="13"/>
  <c r="E1235" i="13"/>
  <c r="E1234" i="13"/>
  <c r="F1234" i="13" s="1"/>
  <c r="E1233" i="13"/>
  <c r="F1233" i="13" s="1"/>
  <c r="E1232" i="13"/>
  <c r="F1232" i="13" s="1"/>
  <c r="F1231" i="13"/>
  <c r="E1231" i="13"/>
  <c r="F1230" i="13"/>
  <c r="E1230" i="13"/>
  <c r="E1229" i="13"/>
  <c r="F1229" i="13" s="1"/>
  <c r="E1228" i="13"/>
  <c r="F1228" i="13" s="1"/>
  <c r="F1227" i="13"/>
  <c r="E1227" i="13"/>
  <c r="F1226" i="13"/>
  <c r="E1226" i="13"/>
  <c r="F1225" i="13"/>
  <c r="E1225" i="13"/>
  <c r="E1224" i="13"/>
  <c r="F1224" i="13" s="1"/>
  <c r="E1223" i="13"/>
  <c r="F1223" i="13" s="1"/>
  <c r="E1222" i="13"/>
  <c r="F1222" i="13" s="1"/>
  <c r="E1221" i="13"/>
  <c r="F1221" i="13" s="1"/>
  <c r="E1220" i="13"/>
  <c r="F1220" i="13" s="1"/>
  <c r="E1219" i="13"/>
  <c r="F1219" i="13" s="1"/>
  <c r="F1218" i="13"/>
  <c r="E1218" i="13"/>
  <c r="E1217" i="13"/>
  <c r="F1217" i="13" s="1"/>
  <c r="E1216" i="13"/>
  <c r="F1216" i="13" s="1"/>
  <c r="F1215" i="13"/>
  <c r="E1215" i="13"/>
  <c r="F1214" i="13"/>
  <c r="E1214" i="13"/>
  <c r="F1213" i="13"/>
  <c r="E1213" i="13"/>
  <c r="E1212" i="13"/>
  <c r="F1212" i="13" s="1"/>
  <c r="F1211" i="13"/>
  <c r="E1211" i="13"/>
  <c r="F1210" i="13"/>
  <c r="E1210" i="13"/>
  <c r="F1209" i="13"/>
  <c r="E1209" i="13"/>
  <c r="F1208" i="13"/>
  <c r="E1208" i="13"/>
  <c r="E1207" i="13"/>
  <c r="F1207" i="13" s="1"/>
  <c r="E1206" i="13"/>
  <c r="F1206" i="13" s="1"/>
  <c r="E1205" i="13"/>
  <c r="F1205" i="13" s="1"/>
  <c r="F1204" i="13"/>
  <c r="E1204" i="13"/>
  <c r="E1203" i="13"/>
  <c r="F1203" i="13" s="1"/>
  <c r="E1202" i="13"/>
  <c r="F1202" i="13" s="1"/>
  <c r="E1201" i="13"/>
  <c r="F1201" i="13" s="1"/>
  <c r="E1200" i="13"/>
  <c r="F1200" i="13" s="1"/>
  <c r="E1199" i="13"/>
  <c r="F1199" i="13" s="1"/>
  <c r="E1198" i="13"/>
  <c r="F1198" i="13" s="1"/>
  <c r="E1197" i="13"/>
  <c r="F1197" i="13" s="1"/>
  <c r="F1196" i="13"/>
  <c r="E1196" i="13"/>
  <c r="E1195" i="13"/>
  <c r="F1195" i="13" s="1"/>
  <c r="E1194" i="13"/>
  <c r="F1194" i="13" s="1"/>
  <c r="F1193" i="13"/>
  <c r="E1193" i="13"/>
  <c r="E1192" i="13"/>
  <c r="F1192" i="13" s="1"/>
  <c r="F1191" i="13"/>
  <c r="E1191" i="13"/>
  <c r="F1190" i="13"/>
  <c r="E1190" i="13"/>
  <c r="E1189" i="13"/>
  <c r="F1189" i="13" s="1"/>
  <c r="F1188" i="13"/>
  <c r="E1188" i="13"/>
  <c r="F1187" i="13"/>
  <c r="E1187" i="13"/>
  <c r="F1186" i="13"/>
  <c r="E1186" i="13"/>
  <c r="E1185" i="13"/>
  <c r="F1185" i="13" s="1"/>
  <c r="E1184" i="13"/>
  <c r="F1184" i="13" s="1"/>
  <c r="F1183" i="13"/>
  <c r="E1183" i="13"/>
  <c r="E1182" i="13"/>
  <c r="F1182" i="13" s="1"/>
  <c r="F1181" i="13"/>
  <c r="E1181" i="13"/>
  <c r="F1180" i="13"/>
  <c r="E1180" i="13"/>
  <c r="E1179" i="13"/>
  <c r="F1179" i="13" s="1"/>
  <c r="E1178" i="13"/>
  <c r="F1178" i="13" s="1"/>
  <c r="F1177" i="13"/>
  <c r="E1177" i="13"/>
  <c r="F1176" i="13"/>
  <c r="E1176" i="13"/>
  <c r="F1175" i="13"/>
  <c r="E1175" i="13"/>
  <c r="E1174" i="13"/>
  <c r="F1174" i="13" s="1"/>
  <c r="E1173" i="13"/>
  <c r="F1173" i="13" s="1"/>
  <c r="E1172" i="13"/>
  <c r="F1172" i="13" s="1"/>
  <c r="E1171" i="13"/>
  <c r="F1171" i="13" s="1"/>
  <c r="F1170" i="13"/>
  <c r="E1170" i="13"/>
  <c r="F1169" i="13"/>
  <c r="E1169" i="13"/>
  <c r="E1168" i="13"/>
  <c r="F1168" i="13" s="1"/>
  <c r="E1167" i="13"/>
  <c r="F1167" i="13" s="1"/>
  <c r="F1166" i="13"/>
  <c r="E1166" i="13"/>
  <c r="F1165" i="13"/>
  <c r="E1165" i="13"/>
  <c r="F1164" i="13"/>
  <c r="E1164" i="13"/>
  <c r="E1163" i="13"/>
  <c r="F1163" i="13" s="1"/>
  <c r="E1162" i="13"/>
  <c r="F1162" i="13" s="1"/>
  <c r="F1161" i="13"/>
  <c r="E1161" i="13"/>
  <c r="E1160" i="13"/>
  <c r="F1160" i="13" s="1"/>
  <c r="E1159" i="13"/>
  <c r="F1159" i="13" s="1"/>
  <c r="E1158" i="13"/>
  <c r="F1158" i="13" s="1"/>
  <c r="E1157" i="13"/>
  <c r="F1157" i="13" s="1"/>
  <c r="E1156" i="13"/>
  <c r="F1156" i="13" s="1"/>
  <c r="F1155" i="13"/>
  <c r="E1155" i="13"/>
  <c r="F1154" i="13"/>
  <c r="E1154" i="13"/>
  <c r="F1153" i="13"/>
  <c r="E1153" i="13"/>
  <c r="E1152" i="13"/>
  <c r="F1152" i="13" s="1"/>
  <c r="F1151" i="13"/>
  <c r="E1151" i="13"/>
  <c r="E1150" i="13"/>
  <c r="F1150" i="13" s="1"/>
  <c r="E1149" i="13"/>
  <c r="F1149" i="13" s="1"/>
  <c r="F1148" i="13"/>
  <c r="E1148" i="13"/>
  <c r="F1147" i="13"/>
  <c r="E1147" i="13"/>
  <c r="E1146" i="13"/>
  <c r="F1146" i="13" s="1"/>
  <c r="E1145" i="13"/>
  <c r="F1145" i="13" s="1"/>
  <c r="F1144" i="13"/>
  <c r="E1144" i="13"/>
  <c r="F1143" i="13"/>
  <c r="E1143" i="13"/>
  <c r="E1142" i="13"/>
  <c r="F1142" i="13" s="1"/>
  <c r="F1141" i="13"/>
  <c r="E1141" i="13"/>
  <c r="F1140" i="13"/>
  <c r="E1140" i="13"/>
  <c r="E1139" i="13"/>
  <c r="F1139" i="13" s="1"/>
  <c r="F1138" i="13"/>
  <c r="E1138" i="13"/>
  <c r="E1137" i="13"/>
  <c r="F1137" i="13" s="1"/>
  <c r="F1136" i="13"/>
  <c r="E1136" i="13"/>
  <c r="E1135" i="13"/>
  <c r="F1135" i="13" s="1"/>
  <c r="E1134" i="13"/>
  <c r="F1134" i="13" s="1"/>
  <c r="F1133" i="13"/>
  <c r="E1133" i="13"/>
  <c r="E1132" i="13"/>
  <c r="F1132" i="13" s="1"/>
  <c r="E1131" i="13"/>
  <c r="F1131" i="13" s="1"/>
  <c r="F1130" i="13"/>
  <c r="E1130" i="13"/>
  <c r="E1129" i="13"/>
  <c r="F1129" i="13" s="1"/>
  <c r="F1128" i="13"/>
  <c r="E1128" i="13"/>
  <c r="F1127" i="13"/>
  <c r="E1127" i="13"/>
  <c r="E1126" i="13"/>
  <c r="F1126" i="13" s="1"/>
  <c r="F1125" i="13"/>
  <c r="E1125" i="13"/>
  <c r="E1124" i="13"/>
  <c r="F1124" i="13" s="1"/>
  <c r="E1123" i="13"/>
  <c r="F1123" i="13" s="1"/>
  <c r="E1122" i="13"/>
  <c r="F1122" i="13" s="1"/>
  <c r="E1121" i="13"/>
  <c r="F1121" i="13" s="1"/>
  <c r="E1120" i="13"/>
  <c r="F1120" i="13" s="1"/>
  <c r="F1119" i="13"/>
  <c r="E1119" i="13"/>
  <c r="E1118" i="13"/>
  <c r="F1118" i="13" s="1"/>
  <c r="E1117" i="13"/>
  <c r="F1117" i="13" s="1"/>
  <c r="E1116" i="13"/>
  <c r="F1116" i="13" s="1"/>
  <c r="E1115" i="13"/>
  <c r="F1115" i="13" s="1"/>
  <c r="F1114" i="13"/>
  <c r="E1114" i="13"/>
  <c r="E1113" i="13"/>
  <c r="F1113" i="13" s="1"/>
  <c r="E1112" i="13"/>
  <c r="F1112" i="13" s="1"/>
  <c r="E1111" i="13"/>
  <c r="F1111" i="13" s="1"/>
  <c r="E1110" i="13"/>
  <c r="F1110" i="13" s="1"/>
  <c r="F1109" i="13"/>
  <c r="E1109" i="13"/>
  <c r="E1108" i="13"/>
  <c r="F1108" i="13" s="1"/>
  <c r="E1107" i="13"/>
  <c r="F1107" i="13" s="1"/>
  <c r="F1106" i="13"/>
  <c r="E1106" i="13"/>
  <c r="F1105" i="13"/>
  <c r="E1105" i="13"/>
  <c r="E1104" i="13"/>
  <c r="F1104" i="13" s="1"/>
  <c r="F1103" i="13"/>
  <c r="E1103" i="13"/>
  <c r="E1102" i="13"/>
  <c r="F1102" i="13" s="1"/>
  <c r="E1101" i="13"/>
  <c r="F1101" i="13" s="1"/>
  <c r="E1100" i="13"/>
  <c r="F1100" i="13" s="1"/>
  <c r="E1099" i="13"/>
  <c r="F1099" i="13" s="1"/>
  <c r="F1098" i="13"/>
  <c r="E1098" i="13"/>
  <c r="F1097" i="13"/>
  <c r="E1097" i="13"/>
  <c r="E1096" i="13"/>
  <c r="F1096" i="13" s="1"/>
  <c r="E1095" i="13"/>
  <c r="F1095" i="13" s="1"/>
  <c r="E1094" i="13"/>
  <c r="F1094" i="13" s="1"/>
  <c r="F1093" i="13"/>
  <c r="E1093" i="13"/>
  <c r="E1092" i="13"/>
  <c r="F1092" i="13" s="1"/>
  <c r="F1091" i="13"/>
  <c r="E1091" i="13"/>
  <c r="E1090" i="13"/>
  <c r="F1090" i="13" s="1"/>
  <c r="E1089" i="13"/>
  <c r="F1089" i="13" s="1"/>
  <c r="F1088" i="13"/>
  <c r="E1088" i="13"/>
  <c r="E1087" i="13"/>
  <c r="F1087" i="13" s="1"/>
  <c r="F1086" i="13"/>
  <c r="E1086" i="13"/>
  <c r="F1085" i="13"/>
  <c r="E1085" i="13"/>
  <c r="F1084" i="13"/>
  <c r="E1084" i="13"/>
  <c r="E1083" i="13"/>
  <c r="F1083" i="13" s="1"/>
  <c r="E1082" i="13"/>
  <c r="F1082" i="13" s="1"/>
  <c r="E1081" i="13"/>
  <c r="F1081" i="13" s="1"/>
  <c r="F1080" i="13"/>
  <c r="E1080" i="13"/>
  <c r="E1079" i="13"/>
  <c r="F1079" i="13" s="1"/>
  <c r="E1078" i="13"/>
  <c r="F1078" i="13" s="1"/>
  <c r="F1077" i="13"/>
  <c r="E1077" i="13"/>
  <c r="E1076" i="13"/>
  <c r="F1076" i="13" s="1"/>
  <c r="F1075" i="13"/>
  <c r="E1075" i="13"/>
  <c r="E1074" i="13"/>
  <c r="F1074" i="13" s="1"/>
  <c r="E1073" i="13"/>
  <c r="F1073" i="13" s="1"/>
  <c r="E1072" i="13"/>
  <c r="F1072" i="13" s="1"/>
  <c r="F1071" i="13"/>
  <c r="E1071" i="13"/>
  <c r="E1070" i="13"/>
  <c r="F1070" i="13" s="1"/>
  <c r="F1069" i="13"/>
  <c r="E1069" i="13"/>
  <c r="E1068" i="13"/>
  <c r="F1068" i="13" s="1"/>
  <c r="F1067" i="13"/>
  <c r="E1067" i="13"/>
  <c r="E1066" i="13"/>
  <c r="F1066" i="13" s="1"/>
  <c r="F1065" i="13"/>
  <c r="E1065" i="13"/>
  <c r="F1064" i="13"/>
  <c r="E1064" i="13"/>
  <c r="E1063" i="13"/>
  <c r="F1063" i="13" s="1"/>
  <c r="E1062" i="13"/>
  <c r="F1062" i="13" s="1"/>
  <c r="E1061" i="13"/>
  <c r="F1061" i="13" s="1"/>
  <c r="E1060" i="13"/>
  <c r="F1060" i="13" s="1"/>
  <c r="F1059" i="13"/>
  <c r="E1059" i="13"/>
  <c r="F1058" i="13"/>
  <c r="E1058" i="13"/>
  <c r="E1057" i="13"/>
  <c r="F1057" i="13" s="1"/>
  <c r="F1056" i="13"/>
  <c r="E1056" i="13"/>
  <c r="E1055" i="13"/>
  <c r="F1055" i="13" s="1"/>
  <c r="E1054" i="13"/>
  <c r="F1054" i="13" s="1"/>
  <c r="E1053" i="13"/>
  <c r="F1053" i="13" s="1"/>
  <c r="E1052" i="13"/>
  <c r="F1052" i="13" s="1"/>
  <c r="E1051" i="13"/>
  <c r="F1051" i="13" s="1"/>
  <c r="F1050" i="13"/>
  <c r="E1050" i="13"/>
  <c r="E1049" i="13"/>
  <c r="F1049" i="13" s="1"/>
  <c r="E1048" i="13"/>
  <c r="F1048" i="13" s="1"/>
  <c r="F1047" i="13"/>
  <c r="E1047" i="13"/>
  <c r="F1046" i="13"/>
  <c r="E1046" i="13"/>
  <c r="E1045" i="13"/>
  <c r="F1045" i="13" s="1"/>
  <c r="F1044" i="13"/>
  <c r="E1044" i="13"/>
  <c r="F1043" i="13"/>
  <c r="E1043" i="13"/>
  <c r="E1042" i="13"/>
  <c r="F1042" i="13" s="1"/>
  <c r="F1041" i="13"/>
  <c r="E1041" i="13"/>
  <c r="E1040" i="13"/>
  <c r="F1040" i="13" s="1"/>
  <c r="E1039" i="13"/>
  <c r="F1039" i="13" s="1"/>
  <c r="F1038" i="13"/>
  <c r="E1038" i="13"/>
  <c r="E1037" i="13"/>
  <c r="F1037" i="13" s="1"/>
  <c r="F1036" i="13"/>
  <c r="E1036" i="13"/>
  <c r="F1035" i="13"/>
  <c r="E1035" i="13"/>
  <c r="E1034" i="13"/>
  <c r="F1034" i="13" s="1"/>
  <c r="E1033" i="13"/>
  <c r="F1033" i="13" s="1"/>
  <c r="E1032" i="13"/>
  <c r="F1032" i="13" s="1"/>
  <c r="F1031" i="13"/>
  <c r="E1031" i="13"/>
  <c r="E1030" i="13"/>
  <c r="F1030" i="13" s="1"/>
  <c r="E1029" i="13"/>
  <c r="F1029" i="13" s="1"/>
  <c r="F1028" i="13"/>
  <c r="E1028" i="13"/>
  <c r="E1027" i="13"/>
  <c r="F1027" i="13" s="1"/>
  <c r="F1026" i="13"/>
  <c r="E1026" i="13"/>
  <c r="F1025" i="13"/>
  <c r="E1025" i="13"/>
  <c r="E1024" i="13"/>
  <c r="F1024" i="13" s="1"/>
  <c r="E1023" i="13"/>
  <c r="F1023" i="13" s="1"/>
  <c r="E1022" i="13"/>
  <c r="F1022" i="13" s="1"/>
  <c r="E1021" i="13"/>
  <c r="F1021" i="13" s="1"/>
  <c r="E1020" i="13"/>
  <c r="F1020" i="13" s="1"/>
  <c r="F1019" i="13"/>
  <c r="E1019" i="13"/>
  <c r="E1018" i="13"/>
  <c r="F1018" i="13" s="1"/>
  <c r="F1017" i="13"/>
  <c r="E1017" i="13"/>
  <c r="E1016" i="13"/>
  <c r="F1016" i="13" s="1"/>
  <c r="E1015" i="13"/>
  <c r="F1015" i="13" s="1"/>
  <c r="F1014" i="13"/>
  <c r="E1014" i="13"/>
  <c r="E1013" i="13"/>
  <c r="F1013" i="13" s="1"/>
  <c r="E1012" i="13"/>
  <c r="F1012" i="13" s="1"/>
  <c r="F1011" i="13"/>
  <c r="E1011" i="13"/>
  <c r="F1010" i="13"/>
  <c r="E1010" i="13"/>
  <c r="F1009" i="13"/>
  <c r="E1009" i="13"/>
  <c r="E1008" i="13"/>
  <c r="F1008" i="13" s="1"/>
  <c r="F1007" i="13"/>
  <c r="E1007" i="13"/>
  <c r="E1006" i="13"/>
  <c r="F1006" i="13" s="1"/>
  <c r="E1005" i="13"/>
  <c r="F1005" i="13" s="1"/>
  <c r="F1004" i="13"/>
  <c r="E1004" i="13"/>
  <c r="E1003" i="13"/>
  <c r="F1003" i="13" s="1"/>
  <c r="E1002" i="13"/>
  <c r="F1002" i="13" s="1"/>
  <c r="F1001" i="13"/>
  <c r="E1001" i="13"/>
  <c r="E1000" i="13"/>
  <c r="F1000" i="13" s="1"/>
  <c r="E999" i="13"/>
  <c r="F999" i="13" s="1"/>
  <c r="E998" i="13"/>
  <c r="F998" i="13" s="1"/>
  <c r="F997" i="13"/>
  <c r="E997" i="13"/>
  <c r="F996" i="13"/>
  <c r="E996" i="13"/>
  <c r="E995" i="13"/>
  <c r="F995" i="13" s="1"/>
  <c r="E994" i="13"/>
  <c r="F994" i="13" s="1"/>
  <c r="F993" i="13"/>
  <c r="E993" i="13"/>
  <c r="E992" i="13"/>
  <c r="F992" i="13" s="1"/>
  <c r="E991" i="13"/>
  <c r="F991" i="13" s="1"/>
  <c r="F990" i="13"/>
  <c r="E990" i="13"/>
  <c r="F989" i="13"/>
  <c r="E989" i="13"/>
  <c r="F988" i="13"/>
  <c r="E988" i="13"/>
  <c r="F987" i="13"/>
  <c r="E987" i="13"/>
  <c r="E986" i="13"/>
  <c r="F986" i="13" s="1"/>
  <c r="E985" i="13"/>
  <c r="F985" i="13" s="1"/>
  <c r="F984" i="13"/>
  <c r="E984" i="13"/>
  <c r="F983" i="13"/>
  <c r="E983" i="13"/>
  <c r="E982" i="13"/>
  <c r="F982" i="13" s="1"/>
  <c r="F981" i="13"/>
  <c r="E981" i="13"/>
  <c r="E980" i="13"/>
  <c r="F980" i="13" s="1"/>
  <c r="E979" i="13"/>
  <c r="F979" i="13" s="1"/>
  <c r="F978" i="13"/>
  <c r="E978" i="13"/>
  <c r="F977" i="13"/>
  <c r="E977" i="13"/>
  <c r="F976" i="13"/>
  <c r="E976" i="13"/>
  <c r="E975" i="13"/>
  <c r="F975" i="13" s="1"/>
  <c r="E974" i="13"/>
  <c r="F974" i="13" s="1"/>
  <c r="E973" i="13"/>
  <c r="F973" i="13" s="1"/>
  <c r="E972" i="13"/>
  <c r="F972" i="13" s="1"/>
  <c r="E971" i="13"/>
  <c r="F971" i="13" s="1"/>
  <c r="F970" i="13"/>
  <c r="E970" i="13"/>
  <c r="F969" i="13"/>
  <c r="E969" i="13"/>
  <c r="F968" i="13"/>
  <c r="E968" i="13"/>
  <c r="F967" i="13"/>
  <c r="E967" i="13"/>
  <c r="F966" i="13"/>
  <c r="E966" i="13"/>
  <c r="F965" i="13"/>
  <c r="E965" i="13"/>
  <c r="E964" i="13"/>
  <c r="F964" i="13" s="1"/>
  <c r="E963" i="13"/>
  <c r="F963" i="13" s="1"/>
  <c r="E962" i="13"/>
  <c r="F962" i="13" s="1"/>
  <c r="F961" i="13"/>
  <c r="E961" i="13"/>
  <c r="E960" i="13"/>
  <c r="F960" i="13" s="1"/>
  <c r="F959" i="13"/>
  <c r="E959" i="13"/>
  <c r="E958" i="13"/>
  <c r="F958" i="13" s="1"/>
  <c r="F957" i="13"/>
  <c r="E957" i="13"/>
  <c r="F956" i="13"/>
  <c r="E956" i="13"/>
  <c r="F955" i="13"/>
  <c r="E955" i="13"/>
  <c r="F954" i="13"/>
  <c r="E954" i="13"/>
  <c r="E953" i="13"/>
  <c r="F953" i="13" s="1"/>
  <c r="E952" i="13"/>
  <c r="F952" i="13" s="1"/>
  <c r="F951" i="13"/>
  <c r="E951" i="13"/>
  <c r="E950" i="13"/>
  <c r="F950" i="13" s="1"/>
  <c r="E949" i="13"/>
  <c r="F949" i="13" s="1"/>
  <c r="F948" i="13"/>
  <c r="E948" i="13"/>
  <c r="E947" i="13"/>
  <c r="F947" i="13" s="1"/>
  <c r="F946" i="13"/>
  <c r="E946" i="13"/>
  <c r="F945" i="13"/>
  <c r="E945" i="13"/>
  <c r="F943" i="13"/>
  <c r="E943" i="13"/>
  <c r="F942" i="13"/>
  <c r="E942" i="13"/>
  <c r="E941" i="13"/>
  <c r="F941" i="13" s="1"/>
  <c r="E940" i="13"/>
  <c r="F940" i="13" s="1"/>
  <c r="F939" i="13"/>
  <c r="E939" i="13"/>
  <c r="E938" i="13"/>
  <c r="F938" i="13" s="1"/>
  <c r="E937" i="13"/>
  <c r="F937" i="13" s="1"/>
  <c r="E936" i="13"/>
  <c r="F936" i="13" s="1"/>
  <c r="E935" i="13"/>
  <c r="F935" i="13" s="1"/>
  <c r="F934" i="13"/>
  <c r="E934" i="13"/>
  <c r="F933" i="13"/>
  <c r="E933" i="13"/>
  <c r="F932" i="13"/>
  <c r="E932" i="13"/>
  <c r="E931" i="13"/>
  <c r="F931" i="13" s="1"/>
  <c r="F930" i="13"/>
  <c r="E930" i="13"/>
  <c r="F929" i="13"/>
  <c r="E929" i="13"/>
  <c r="E928" i="13"/>
  <c r="F928" i="13" s="1"/>
  <c r="E927" i="13"/>
  <c r="F927" i="13" s="1"/>
  <c r="F926" i="13"/>
  <c r="E926" i="13"/>
  <c r="F925" i="13"/>
  <c r="E925" i="13"/>
  <c r="E924" i="13"/>
  <c r="F924" i="13" s="1"/>
  <c r="F923" i="13"/>
  <c r="E923" i="13"/>
  <c r="F922" i="13"/>
  <c r="E922" i="13"/>
  <c r="E921" i="13"/>
  <c r="F921" i="13" s="1"/>
  <c r="E920" i="13"/>
  <c r="F920" i="13" s="1"/>
  <c r="F919" i="13"/>
  <c r="E919" i="13"/>
  <c r="F918" i="13"/>
  <c r="E918" i="13"/>
  <c r="E917" i="13"/>
  <c r="F917" i="13" s="1"/>
  <c r="F916" i="13"/>
  <c r="E916" i="13"/>
  <c r="E915" i="13"/>
  <c r="F915" i="13" s="1"/>
  <c r="F914" i="13"/>
  <c r="E914" i="13"/>
  <c r="E913" i="13"/>
  <c r="F913" i="13" s="1"/>
  <c r="F912" i="13"/>
  <c r="E912" i="13"/>
  <c r="E911" i="13"/>
  <c r="F911" i="13" s="1"/>
  <c r="E910" i="13"/>
  <c r="F910" i="13" s="1"/>
  <c r="E909" i="13"/>
  <c r="F909" i="13" s="1"/>
  <c r="F908" i="13"/>
  <c r="E908" i="13"/>
  <c r="E907" i="13"/>
  <c r="F907" i="13" s="1"/>
  <c r="E906" i="13"/>
  <c r="F906" i="13" s="1"/>
  <c r="F905" i="13"/>
  <c r="E905" i="13"/>
  <c r="E904" i="13"/>
  <c r="F904" i="13" s="1"/>
  <c r="F903" i="13"/>
  <c r="E903" i="13"/>
  <c r="E902" i="13"/>
  <c r="F902" i="13" s="1"/>
  <c r="E901" i="13"/>
  <c r="F901" i="13" s="1"/>
  <c r="E900" i="13"/>
  <c r="F900" i="13" s="1"/>
  <c r="E899" i="13"/>
  <c r="F899" i="13" s="1"/>
  <c r="E898" i="13"/>
  <c r="F898" i="13" s="1"/>
  <c r="F897" i="13"/>
  <c r="E897" i="13"/>
  <c r="F896" i="13"/>
  <c r="E896" i="13"/>
  <c r="E895" i="13"/>
  <c r="F895" i="13" s="1"/>
  <c r="E894" i="13"/>
  <c r="F894" i="13" s="1"/>
  <c r="E893" i="13"/>
  <c r="F893" i="13" s="1"/>
  <c r="F892" i="13"/>
  <c r="E892" i="13"/>
  <c r="E891" i="13"/>
  <c r="F891" i="13" s="1"/>
  <c r="E890" i="13"/>
  <c r="F890" i="13" s="1"/>
  <c r="E889" i="13"/>
  <c r="F889" i="13" s="1"/>
  <c r="E888" i="13"/>
  <c r="F888" i="13" s="1"/>
  <c r="F887" i="13"/>
  <c r="E887" i="13"/>
  <c r="E886" i="13"/>
  <c r="F886" i="13" s="1"/>
  <c r="E885" i="13"/>
  <c r="F885" i="13" s="1"/>
  <c r="F884" i="13"/>
  <c r="E884" i="13"/>
  <c r="E883" i="13"/>
  <c r="F883" i="13" s="1"/>
  <c r="E882" i="13"/>
  <c r="F882" i="13" s="1"/>
  <c r="E881" i="13"/>
  <c r="F881" i="13" s="1"/>
  <c r="F880" i="13"/>
  <c r="E880" i="13"/>
  <c r="E879" i="13"/>
  <c r="F879" i="13" s="1"/>
  <c r="E878" i="13"/>
  <c r="F878" i="13" s="1"/>
  <c r="E877" i="13"/>
  <c r="F877" i="13" s="1"/>
  <c r="F876" i="13"/>
  <c r="E876" i="13"/>
  <c r="F875" i="13"/>
  <c r="E875" i="13"/>
  <c r="F874" i="13"/>
  <c r="E874" i="13"/>
  <c r="E873" i="13"/>
  <c r="F873" i="13" s="1"/>
  <c r="F872" i="13"/>
  <c r="E872" i="13"/>
  <c r="E871" i="13"/>
  <c r="F871" i="13" s="1"/>
  <c r="F870" i="13"/>
  <c r="E870" i="13"/>
  <c r="E869" i="13"/>
  <c r="F869" i="13" s="1"/>
  <c r="F868" i="13"/>
  <c r="E868" i="13"/>
  <c r="F867" i="13"/>
  <c r="E867" i="13"/>
  <c r="F866" i="13"/>
  <c r="E866" i="13"/>
  <c r="E865" i="13"/>
  <c r="F865" i="13" s="1"/>
  <c r="F864" i="13"/>
  <c r="E864" i="13"/>
  <c r="E863" i="13"/>
  <c r="F863" i="13" s="1"/>
  <c r="E862" i="13"/>
  <c r="F862" i="13" s="1"/>
  <c r="E861" i="13"/>
  <c r="F861" i="13" s="1"/>
  <c r="F860" i="13"/>
  <c r="E860" i="13"/>
  <c r="F859" i="13"/>
  <c r="E859" i="13"/>
  <c r="E858" i="13"/>
  <c r="F858" i="13" s="1"/>
  <c r="F857" i="13"/>
  <c r="E857" i="13"/>
  <c r="F856" i="13"/>
  <c r="E856" i="13"/>
  <c r="F855" i="13"/>
  <c r="E855" i="13"/>
  <c r="F854" i="13"/>
  <c r="E854" i="13"/>
  <c r="E853" i="13"/>
  <c r="F853" i="13" s="1"/>
  <c r="E852" i="13"/>
  <c r="F852" i="13" s="1"/>
  <c r="E851" i="13"/>
  <c r="F851" i="13" s="1"/>
  <c r="E850" i="13"/>
  <c r="F850" i="13" s="1"/>
  <c r="E849" i="13"/>
  <c r="F849" i="13" s="1"/>
  <c r="F848" i="13"/>
  <c r="E848" i="13"/>
  <c r="E847" i="13"/>
  <c r="F847" i="13" s="1"/>
  <c r="E846" i="13"/>
  <c r="F846" i="13" s="1"/>
  <c r="F845" i="13"/>
  <c r="E845" i="13"/>
  <c r="E844" i="13"/>
  <c r="F844" i="13" s="1"/>
  <c r="F843" i="13"/>
  <c r="E843" i="13"/>
  <c r="E842" i="13"/>
  <c r="F842" i="13" s="1"/>
  <c r="E841" i="13"/>
  <c r="F841" i="13" s="1"/>
  <c r="E840" i="13"/>
  <c r="F840" i="13" s="1"/>
  <c r="E839" i="13"/>
  <c r="F839" i="13" s="1"/>
  <c r="F838" i="13"/>
  <c r="E838" i="13"/>
  <c r="F837" i="13"/>
  <c r="E837" i="13"/>
  <c r="E836" i="13"/>
  <c r="F836" i="13" s="1"/>
  <c r="E835" i="13"/>
  <c r="F835" i="13" s="1"/>
  <c r="F834" i="13"/>
  <c r="E834" i="13"/>
  <c r="E833" i="13"/>
  <c r="F833" i="13" s="1"/>
  <c r="F832" i="13"/>
  <c r="E832" i="13"/>
  <c r="E831" i="13"/>
  <c r="F831" i="13" s="1"/>
  <c r="E830" i="13"/>
  <c r="F830" i="13" s="1"/>
  <c r="E829" i="13"/>
  <c r="F829" i="13" s="1"/>
  <c r="F828" i="13"/>
  <c r="E828" i="13"/>
  <c r="F827" i="13"/>
  <c r="E827" i="13"/>
  <c r="E826" i="13"/>
  <c r="F826" i="13" s="1"/>
  <c r="F825" i="13"/>
  <c r="E825" i="13"/>
  <c r="F824" i="13"/>
  <c r="E824" i="13"/>
  <c r="E823" i="13"/>
  <c r="F823" i="13" s="1"/>
  <c r="E822" i="13"/>
  <c r="F822" i="13" s="1"/>
  <c r="E821" i="13"/>
  <c r="F821" i="13" s="1"/>
  <c r="E820" i="13"/>
  <c r="F820" i="13" s="1"/>
  <c r="F819" i="13"/>
  <c r="E819" i="13"/>
  <c r="E818" i="13"/>
  <c r="F818" i="13" s="1"/>
  <c r="F817" i="13"/>
  <c r="E817" i="13"/>
  <c r="F816" i="13"/>
  <c r="E816" i="13"/>
  <c r="E815" i="13"/>
  <c r="F815" i="13" s="1"/>
  <c r="F814" i="13"/>
  <c r="E814" i="13"/>
  <c r="F813" i="13"/>
  <c r="E813" i="13"/>
  <c r="F812" i="13"/>
  <c r="E812" i="13"/>
  <c r="E811" i="13"/>
  <c r="F811" i="13" s="1"/>
  <c r="F810" i="13"/>
  <c r="E810" i="13"/>
  <c r="F809" i="13"/>
  <c r="E809" i="13"/>
  <c r="E808" i="13"/>
  <c r="F808" i="13" s="1"/>
  <c r="E807" i="13"/>
  <c r="F807" i="13" s="1"/>
  <c r="F806" i="13"/>
  <c r="E806" i="13"/>
  <c r="F805" i="13"/>
  <c r="E805" i="13"/>
  <c r="E804" i="13"/>
  <c r="F804" i="13" s="1"/>
  <c r="F803" i="13"/>
  <c r="E803" i="13"/>
  <c r="E802" i="13"/>
  <c r="F802" i="13" s="1"/>
  <c r="E801" i="13"/>
  <c r="F801" i="13" s="1"/>
  <c r="E800" i="13"/>
  <c r="F800" i="13" s="1"/>
  <c r="F799" i="13"/>
  <c r="E799" i="13"/>
  <c r="F798" i="13"/>
  <c r="E798" i="13"/>
  <c r="F797" i="13"/>
  <c r="E797" i="13"/>
  <c r="F796" i="13"/>
  <c r="E796" i="13"/>
  <c r="E795" i="13"/>
  <c r="F795" i="13" s="1"/>
  <c r="F794" i="13"/>
  <c r="E794" i="13"/>
  <c r="E793" i="13"/>
  <c r="F793" i="13" s="1"/>
  <c r="F792" i="13"/>
  <c r="E792" i="13"/>
  <c r="E791" i="13"/>
  <c r="F791" i="13" s="1"/>
  <c r="F790" i="13"/>
  <c r="E790" i="13"/>
  <c r="F789" i="13"/>
  <c r="E789" i="13"/>
  <c r="E788" i="13"/>
  <c r="F788" i="13" s="1"/>
  <c r="F787" i="13"/>
  <c r="E787" i="13"/>
  <c r="E786" i="13"/>
  <c r="F786" i="13" s="1"/>
  <c r="E785" i="13"/>
  <c r="F785" i="13" s="1"/>
  <c r="F784" i="13"/>
  <c r="E784" i="13"/>
  <c r="E783" i="13"/>
  <c r="F783" i="13" s="1"/>
  <c r="F782" i="13"/>
  <c r="E782" i="13"/>
  <c r="E781" i="13"/>
  <c r="F781" i="13" s="1"/>
  <c r="E780" i="13"/>
  <c r="F780" i="13" s="1"/>
  <c r="E779" i="13"/>
  <c r="F779" i="13" s="1"/>
  <c r="F778" i="13"/>
  <c r="E778" i="13"/>
  <c r="E777" i="13"/>
  <c r="F777" i="13" s="1"/>
  <c r="F776" i="13"/>
  <c r="E776" i="13"/>
  <c r="F775" i="13"/>
  <c r="E775" i="13"/>
  <c r="E774" i="13"/>
  <c r="F774" i="13" s="1"/>
  <c r="F773" i="13"/>
  <c r="E773" i="13"/>
  <c r="E772" i="13"/>
  <c r="F772" i="13" s="1"/>
  <c r="E771" i="13"/>
  <c r="F771" i="13" s="1"/>
  <c r="E770" i="13"/>
  <c r="F770" i="13" s="1"/>
  <c r="E769" i="13"/>
  <c r="F769" i="13" s="1"/>
  <c r="E768" i="13"/>
  <c r="F768" i="13" s="1"/>
  <c r="F767" i="13"/>
  <c r="E767" i="13"/>
  <c r="F766" i="13"/>
  <c r="E766" i="13"/>
  <c r="E765" i="13"/>
  <c r="F765" i="13" s="1"/>
  <c r="E764" i="13"/>
  <c r="F764" i="13" s="1"/>
  <c r="E763" i="13"/>
  <c r="F763" i="13" s="1"/>
  <c r="F762" i="13"/>
  <c r="E762" i="13"/>
  <c r="E761" i="13"/>
  <c r="F761" i="13" s="1"/>
  <c r="F760" i="13"/>
  <c r="E760" i="13"/>
  <c r="F759" i="13"/>
  <c r="E759" i="13"/>
  <c r="F758" i="13"/>
  <c r="E758" i="13"/>
  <c r="F757" i="13"/>
  <c r="E757" i="13"/>
  <c r="E756" i="13"/>
  <c r="F756" i="13" s="1"/>
  <c r="F755" i="13"/>
  <c r="E755" i="13"/>
  <c r="E754" i="13"/>
  <c r="F754" i="13" s="1"/>
  <c r="E753" i="13"/>
  <c r="F753" i="13" s="1"/>
  <c r="F752" i="13"/>
  <c r="E752" i="13"/>
  <c r="E751" i="13"/>
  <c r="F751" i="13" s="1"/>
  <c r="F750" i="13"/>
  <c r="E750" i="13"/>
  <c r="E749" i="13"/>
  <c r="F749" i="13" s="1"/>
  <c r="F748" i="13"/>
  <c r="E748" i="13"/>
  <c r="F747" i="13"/>
  <c r="E747" i="13"/>
  <c r="F746" i="13"/>
  <c r="E746" i="13"/>
  <c r="E745" i="13"/>
  <c r="F745" i="13" s="1"/>
  <c r="E744" i="13"/>
  <c r="F744" i="13" s="1"/>
  <c r="E743" i="13"/>
  <c r="F743" i="13" s="1"/>
  <c r="E742" i="13"/>
  <c r="F742" i="13" s="1"/>
  <c r="E741" i="13"/>
  <c r="F741" i="13" s="1"/>
  <c r="F740" i="13"/>
  <c r="E740" i="13"/>
  <c r="F739" i="13"/>
  <c r="E739" i="13"/>
  <c r="E738" i="13"/>
  <c r="F738" i="13" s="1"/>
  <c r="E737" i="13"/>
  <c r="F737" i="13" s="1"/>
  <c r="E736" i="13"/>
  <c r="F736" i="13" s="1"/>
  <c r="F735" i="13"/>
  <c r="E735" i="13"/>
  <c r="E734" i="13"/>
  <c r="F734" i="13" s="1"/>
  <c r="E733" i="13"/>
  <c r="F733" i="13" s="1"/>
  <c r="F732" i="13"/>
  <c r="E732" i="13"/>
  <c r="E731" i="13"/>
  <c r="F731" i="13" s="1"/>
  <c r="F730" i="13"/>
  <c r="E730" i="13"/>
  <c r="F729" i="13"/>
  <c r="E729" i="13"/>
  <c r="E728" i="13"/>
  <c r="F728" i="13" s="1"/>
  <c r="E727" i="13"/>
  <c r="F727" i="13" s="1"/>
  <c r="E726" i="13"/>
  <c r="F726" i="13" s="1"/>
  <c r="E725" i="13"/>
  <c r="F725" i="13" s="1"/>
  <c r="F724" i="13"/>
  <c r="E724" i="13"/>
  <c r="E723" i="13"/>
  <c r="F723" i="13" s="1"/>
  <c r="E722" i="13"/>
  <c r="F722" i="13" s="1"/>
  <c r="F721" i="13"/>
  <c r="E721" i="13"/>
  <c r="E720" i="13"/>
  <c r="F720" i="13" s="1"/>
  <c r="F719" i="13"/>
  <c r="E719" i="13"/>
  <c r="E718" i="13"/>
  <c r="F718" i="13" s="1"/>
  <c r="F717" i="13"/>
  <c r="E717" i="13"/>
  <c r="F716" i="13"/>
  <c r="E716" i="13"/>
  <c r="F715" i="13"/>
  <c r="E715" i="13"/>
  <c r="F714" i="13"/>
  <c r="E714" i="13"/>
  <c r="E713" i="13"/>
  <c r="F713" i="13" s="1"/>
  <c r="E712" i="13"/>
  <c r="F712" i="13" s="1"/>
  <c r="E711" i="13"/>
  <c r="F711" i="13" s="1"/>
  <c r="F710" i="13"/>
  <c r="E710" i="13"/>
  <c r="F709" i="13"/>
  <c r="E709" i="13"/>
  <c r="E708" i="13"/>
  <c r="F708" i="13" s="1"/>
  <c r="E707" i="13"/>
  <c r="F707" i="13" s="1"/>
  <c r="E706" i="13"/>
  <c r="F706" i="13" s="1"/>
  <c r="E705" i="13"/>
  <c r="F705" i="13" s="1"/>
  <c r="E704" i="13"/>
  <c r="F704" i="13" s="1"/>
  <c r="F703" i="13"/>
  <c r="E703" i="13"/>
  <c r="F702" i="13"/>
  <c r="E702" i="13"/>
  <c r="E701" i="13"/>
  <c r="F701" i="13" s="1"/>
  <c r="E700" i="13"/>
  <c r="F700" i="13" s="1"/>
  <c r="F699" i="13"/>
  <c r="E699" i="13"/>
  <c r="E698" i="13"/>
  <c r="F698" i="13" s="1"/>
  <c r="E697" i="13"/>
  <c r="F697" i="13" s="1"/>
  <c r="F696" i="13"/>
  <c r="E696" i="13"/>
  <c r="F695" i="13"/>
  <c r="E695" i="13"/>
  <c r="F694" i="13"/>
  <c r="E694" i="13"/>
  <c r="F693" i="13"/>
  <c r="E693" i="13"/>
  <c r="E692" i="13"/>
  <c r="F692" i="13" s="1"/>
  <c r="F691" i="13"/>
  <c r="E691" i="13"/>
  <c r="F690" i="13"/>
  <c r="E690" i="13"/>
  <c r="F689" i="13"/>
  <c r="E689" i="13"/>
  <c r="E688" i="13"/>
  <c r="F688" i="13" s="1"/>
  <c r="F687" i="13"/>
  <c r="E687" i="13"/>
  <c r="E686" i="13"/>
  <c r="F686" i="13" s="1"/>
  <c r="E685" i="13"/>
  <c r="F685" i="13" s="1"/>
  <c r="E684" i="13"/>
  <c r="F684" i="13" s="1"/>
  <c r="E683" i="13"/>
  <c r="F683" i="13" s="1"/>
  <c r="F682" i="13"/>
  <c r="E682" i="13"/>
  <c r="F681" i="13"/>
  <c r="E681" i="13"/>
  <c r="E680" i="13"/>
  <c r="F680" i="13" s="1"/>
  <c r="F679" i="13"/>
  <c r="E679" i="13"/>
  <c r="E678" i="13"/>
  <c r="F678" i="13" s="1"/>
  <c r="F677" i="13"/>
  <c r="E677" i="13"/>
  <c r="E676" i="13"/>
  <c r="F676" i="13" s="1"/>
  <c r="F675" i="13"/>
  <c r="E675" i="13"/>
  <c r="F674" i="13"/>
  <c r="E674" i="13"/>
  <c r="F673" i="13"/>
  <c r="E673" i="13"/>
  <c r="F672" i="13"/>
  <c r="E672" i="13"/>
  <c r="E671" i="13"/>
  <c r="F671" i="13" s="1"/>
  <c r="E670" i="13"/>
  <c r="F670" i="13" s="1"/>
  <c r="F669" i="13"/>
  <c r="E669" i="13"/>
  <c r="E668" i="13"/>
  <c r="F668" i="13" s="1"/>
  <c r="E667" i="13"/>
  <c r="F667" i="13" s="1"/>
  <c r="F666" i="13"/>
  <c r="E666" i="13"/>
  <c r="E665" i="13"/>
  <c r="F665" i="13" s="1"/>
  <c r="E664" i="13"/>
  <c r="F664" i="13" s="1"/>
  <c r="E663" i="13"/>
  <c r="F663" i="13" s="1"/>
  <c r="E662" i="13"/>
  <c r="F662" i="13" s="1"/>
  <c r="F661" i="13"/>
  <c r="E661" i="13"/>
  <c r="E660" i="13"/>
  <c r="F660" i="13" s="1"/>
  <c r="F659" i="13"/>
  <c r="E659" i="13"/>
  <c r="E658" i="13"/>
  <c r="F658" i="13" s="1"/>
  <c r="E657" i="13"/>
  <c r="F657" i="13" s="1"/>
  <c r="F656" i="13"/>
  <c r="E656" i="13"/>
  <c r="E655" i="13"/>
  <c r="F655" i="13" s="1"/>
  <c r="F654" i="13"/>
  <c r="E654" i="13"/>
  <c r="F653" i="13"/>
  <c r="E653" i="13"/>
  <c r="F652" i="13"/>
  <c r="E652" i="13"/>
  <c r="F651" i="13"/>
  <c r="E651" i="13"/>
  <c r="E650" i="13"/>
  <c r="F650" i="13" s="1"/>
  <c r="F649" i="13"/>
  <c r="E649" i="13"/>
  <c r="E648" i="13"/>
  <c r="F648" i="13" s="1"/>
  <c r="E647" i="13"/>
  <c r="F647" i="13" s="1"/>
  <c r="E646" i="13"/>
  <c r="F646" i="13" s="1"/>
  <c r="F645" i="13"/>
  <c r="E645" i="13"/>
  <c r="E644" i="13"/>
  <c r="F644" i="13" s="1"/>
  <c r="E643" i="13"/>
  <c r="F643" i="13" s="1"/>
  <c r="E642" i="13"/>
  <c r="F642" i="13" s="1"/>
  <c r="E641" i="13"/>
  <c r="F641" i="13" s="1"/>
  <c r="F640" i="13"/>
  <c r="E640" i="13"/>
  <c r="F639" i="13"/>
  <c r="E639" i="13"/>
  <c r="E638" i="13"/>
  <c r="F638" i="13" s="1"/>
  <c r="E637" i="13"/>
  <c r="F637" i="13" s="1"/>
  <c r="E636" i="13"/>
  <c r="F636" i="13" s="1"/>
  <c r="F635" i="13"/>
  <c r="E635" i="13"/>
  <c r="E634" i="13"/>
  <c r="F634" i="13" s="1"/>
  <c r="F633" i="13"/>
  <c r="E633" i="13"/>
  <c r="F632" i="13"/>
  <c r="E632" i="13"/>
  <c r="F631" i="13"/>
  <c r="E631" i="13"/>
  <c r="F630" i="13"/>
  <c r="E630" i="13"/>
  <c r="F629" i="13"/>
  <c r="E629" i="13"/>
  <c r="E628" i="13"/>
  <c r="F628" i="13" s="1"/>
  <c r="F627" i="13"/>
  <c r="E627" i="13"/>
  <c r="E626" i="13"/>
  <c r="F626" i="13" s="1"/>
  <c r="E625" i="13"/>
  <c r="F625" i="13" s="1"/>
  <c r="F624" i="13"/>
  <c r="E624" i="13"/>
  <c r="E623" i="13"/>
  <c r="F623" i="13" s="1"/>
  <c r="E622" i="13"/>
  <c r="F622" i="13" s="1"/>
  <c r="E621" i="13"/>
  <c r="F621" i="13" s="1"/>
  <c r="E620" i="13"/>
  <c r="F620" i="13" s="1"/>
  <c r="F619" i="13"/>
  <c r="E619" i="13"/>
  <c r="E618" i="13"/>
  <c r="F618" i="13" s="1"/>
  <c r="E617" i="13"/>
  <c r="F617" i="13" s="1"/>
  <c r="F616" i="13"/>
  <c r="E616" i="13"/>
  <c r="E615" i="13"/>
  <c r="F615" i="13" s="1"/>
  <c r="F614" i="13"/>
  <c r="E614" i="13"/>
  <c r="E613" i="13"/>
  <c r="F613" i="13" s="1"/>
  <c r="F612" i="13"/>
  <c r="E612" i="13"/>
  <c r="F611" i="13"/>
  <c r="E611" i="13"/>
  <c r="F610" i="13"/>
  <c r="E610" i="13"/>
  <c r="F609" i="13"/>
  <c r="E609" i="13"/>
  <c r="E608" i="13"/>
  <c r="F608" i="13" s="1"/>
  <c r="E607" i="13"/>
  <c r="F607" i="13" s="1"/>
  <c r="F606" i="13"/>
  <c r="E606" i="13"/>
  <c r="F605" i="13"/>
  <c r="E605" i="13"/>
  <c r="E604" i="13"/>
  <c r="F604" i="13" s="1"/>
  <c r="F603" i="13"/>
  <c r="E603" i="13"/>
  <c r="E602" i="13"/>
  <c r="F602" i="13" s="1"/>
  <c r="E601" i="13"/>
  <c r="F601" i="13" s="1"/>
  <c r="E600" i="13"/>
  <c r="F600" i="13" s="1"/>
  <c r="F599" i="13"/>
  <c r="E599" i="13"/>
  <c r="E598" i="13"/>
  <c r="F598" i="13" s="1"/>
  <c r="E597" i="13"/>
  <c r="F597" i="13" s="1"/>
  <c r="E596" i="13"/>
  <c r="F596" i="13" s="1"/>
  <c r="E595" i="13"/>
  <c r="F595" i="13" s="1"/>
  <c r="F594" i="13"/>
  <c r="E594" i="13"/>
  <c r="F593" i="13"/>
  <c r="E593" i="13"/>
  <c r="E592" i="13"/>
  <c r="F592" i="13" s="1"/>
  <c r="F591" i="13"/>
  <c r="E591" i="13"/>
  <c r="F590" i="13"/>
  <c r="E590" i="13"/>
  <c r="F589" i="13"/>
  <c r="E589" i="13"/>
  <c r="E588" i="13"/>
  <c r="F588" i="13" s="1"/>
  <c r="F587" i="13"/>
  <c r="E587" i="13"/>
  <c r="E586" i="13"/>
  <c r="F586" i="13" s="1"/>
  <c r="E585" i="13"/>
  <c r="F585" i="13" s="1"/>
  <c r="F584" i="13"/>
  <c r="E584" i="13"/>
  <c r="E583" i="13"/>
  <c r="F583" i="13" s="1"/>
  <c r="F582" i="13"/>
  <c r="E582" i="13"/>
  <c r="E581" i="13"/>
  <c r="F581" i="13" s="1"/>
  <c r="E580" i="13"/>
  <c r="F580" i="13" s="1"/>
  <c r="F579" i="13"/>
  <c r="E579" i="13"/>
  <c r="E578" i="13"/>
  <c r="F578" i="13" s="1"/>
  <c r="F577" i="13"/>
  <c r="E577" i="13"/>
  <c r="E576" i="13"/>
  <c r="F576" i="13" s="1"/>
  <c r="F575" i="13"/>
  <c r="E575" i="13"/>
  <c r="E574" i="13"/>
  <c r="F574" i="13" s="1"/>
  <c r="F573" i="13"/>
  <c r="E573" i="13"/>
  <c r="F572" i="13"/>
  <c r="E572" i="13"/>
  <c r="E571" i="13"/>
  <c r="F571" i="13" s="1"/>
  <c r="F570" i="13"/>
  <c r="E570" i="13"/>
  <c r="F569" i="13"/>
  <c r="E569" i="13"/>
  <c r="E568" i="13"/>
  <c r="F568" i="13" s="1"/>
  <c r="E567" i="13"/>
  <c r="F567" i="13" s="1"/>
  <c r="F566" i="13"/>
  <c r="E566" i="13"/>
  <c r="F565" i="13"/>
  <c r="E565" i="13"/>
  <c r="E564" i="13"/>
  <c r="F564" i="13" s="1"/>
  <c r="E563" i="13"/>
  <c r="F563" i="13" s="1"/>
  <c r="E562" i="13"/>
  <c r="F562" i="13" s="1"/>
  <c r="F561" i="13"/>
  <c r="E561" i="13"/>
  <c r="E560" i="13"/>
  <c r="F560" i="13" s="1"/>
  <c r="F559" i="13"/>
  <c r="E559" i="13"/>
  <c r="E558" i="13"/>
  <c r="F558" i="13" s="1"/>
  <c r="F557" i="13"/>
  <c r="E557" i="13"/>
  <c r="F556" i="13"/>
  <c r="E556" i="13"/>
  <c r="E555" i="13"/>
  <c r="F555" i="13" s="1"/>
  <c r="F554" i="13"/>
  <c r="E554" i="13"/>
  <c r="E553" i="13"/>
  <c r="F553" i="13" s="1"/>
  <c r="F552" i="13"/>
  <c r="E552" i="13"/>
  <c r="F551" i="13"/>
  <c r="E551" i="13"/>
  <c r="E550" i="13"/>
  <c r="F550" i="13" s="1"/>
  <c r="F549" i="13"/>
  <c r="E549" i="13"/>
  <c r="E548" i="13"/>
  <c r="F548" i="13" s="1"/>
  <c r="E547" i="13"/>
  <c r="F547" i="13" s="1"/>
  <c r="E546" i="13"/>
  <c r="F546" i="13" s="1"/>
  <c r="F545" i="13"/>
  <c r="E545" i="13"/>
  <c r="E544" i="13"/>
  <c r="F544" i="13" s="1"/>
  <c r="F543" i="13"/>
  <c r="E543" i="13"/>
  <c r="F542" i="13"/>
  <c r="E542" i="13"/>
  <c r="E541" i="13"/>
  <c r="F541" i="13" s="1"/>
  <c r="F540" i="13"/>
  <c r="E540" i="13"/>
  <c r="F539" i="13"/>
  <c r="E539" i="13"/>
  <c r="E538" i="13"/>
  <c r="F538" i="13" s="1"/>
  <c r="F537" i="13"/>
  <c r="E537" i="13"/>
  <c r="F536" i="13"/>
  <c r="E536" i="13"/>
  <c r="F535" i="13"/>
  <c r="E535" i="13"/>
  <c r="E534" i="13"/>
  <c r="F534" i="13" s="1"/>
  <c r="E533" i="13"/>
  <c r="F533" i="13" s="1"/>
  <c r="F532" i="13"/>
  <c r="E532" i="13"/>
  <c r="E531" i="13"/>
  <c r="F531" i="13" s="1"/>
  <c r="F530" i="13"/>
  <c r="E530" i="13"/>
  <c r="F529" i="13"/>
  <c r="E529" i="13"/>
  <c r="E528" i="13"/>
  <c r="F528" i="13" s="1"/>
  <c r="E527" i="13"/>
  <c r="F527" i="13" s="1"/>
  <c r="E526" i="13"/>
  <c r="F526" i="13" s="1"/>
  <c r="E525" i="13"/>
  <c r="F525" i="13" s="1"/>
  <c r="F524" i="13"/>
  <c r="E524" i="13"/>
  <c r="E523" i="13"/>
  <c r="F523" i="13" s="1"/>
  <c r="E522" i="13"/>
  <c r="F522" i="13" s="1"/>
  <c r="E521" i="13"/>
  <c r="F521" i="13" s="1"/>
  <c r="F520" i="13"/>
  <c r="E520" i="13"/>
  <c r="F519" i="13"/>
  <c r="E519" i="13"/>
  <c r="E518" i="13"/>
  <c r="F518" i="13" s="1"/>
  <c r="F517" i="13"/>
  <c r="E517" i="13"/>
  <c r="F516" i="13"/>
  <c r="E516" i="13"/>
  <c r="F515" i="13"/>
  <c r="E515" i="13"/>
  <c r="F514" i="13"/>
  <c r="E514" i="13"/>
  <c r="E513" i="13"/>
  <c r="F513" i="13" s="1"/>
  <c r="F512" i="13"/>
  <c r="E512" i="13"/>
  <c r="F511" i="13"/>
  <c r="E511" i="13"/>
  <c r="E510" i="13"/>
  <c r="F510" i="13" s="1"/>
  <c r="F509" i="13"/>
  <c r="E509" i="13"/>
  <c r="E508" i="13"/>
  <c r="F508" i="13" s="1"/>
  <c r="E507" i="13"/>
  <c r="F507" i="13" s="1"/>
  <c r="E506" i="13"/>
  <c r="F506" i="13" s="1"/>
  <c r="E505" i="13"/>
  <c r="F505" i="13" s="1"/>
  <c r="E504" i="13"/>
  <c r="F504" i="13" s="1"/>
  <c r="F503" i="13"/>
  <c r="E503" i="13"/>
  <c r="E502" i="13"/>
  <c r="F502" i="13" s="1"/>
  <c r="E501" i="13"/>
  <c r="F501" i="13" s="1"/>
  <c r="E500" i="13"/>
  <c r="F500" i="13" s="1"/>
  <c r="F499" i="13"/>
  <c r="E499" i="13"/>
  <c r="E498" i="13"/>
  <c r="F498" i="13" s="1"/>
  <c r="E497" i="13"/>
  <c r="F497" i="13" s="1"/>
  <c r="F496" i="13"/>
  <c r="E496" i="13"/>
  <c r="F495" i="13"/>
  <c r="E495" i="13"/>
  <c r="F494" i="13"/>
  <c r="E494" i="13"/>
  <c r="F493" i="13"/>
  <c r="E493" i="13"/>
  <c r="E492" i="13"/>
  <c r="F492" i="13" s="1"/>
  <c r="E491" i="13"/>
  <c r="F491" i="13" s="1"/>
  <c r="E490" i="13"/>
  <c r="F490" i="13" s="1"/>
  <c r="F489" i="13"/>
  <c r="E489" i="13"/>
  <c r="E488" i="13"/>
  <c r="F488" i="13" s="1"/>
  <c r="F487" i="13"/>
  <c r="E487" i="13"/>
  <c r="E486" i="13"/>
  <c r="F486" i="13" s="1"/>
  <c r="E485" i="13"/>
  <c r="F485" i="13" s="1"/>
  <c r="E484" i="13"/>
  <c r="F484" i="13" s="1"/>
  <c r="E483" i="13"/>
  <c r="F483" i="13" s="1"/>
  <c r="F482" i="13"/>
  <c r="E482" i="13"/>
  <c r="F481" i="13"/>
  <c r="E481" i="13"/>
  <c r="E480" i="13"/>
  <c r="F480" i="13" s="1"/>
  <c r="F479" i="13"/>
  <c r="E479" i="13"/>
  <c r="E478" i="13"/>
  <c r="F478" i="13" s="1"/>
  <c r="F477" i="13"/>
  <c r="E477" i="13"/>
  <c r="E476" i="13"/>
  <c r="F476" i="13" s="1"/>
  <c r="F475" i="13"/>
  <c r="E475" i="13"/>
  <c r="F474" i="13"/>
  <c r="E474" i="13"/>
  <c r="F473" i="13"/>
  <c r="E473" i="13"/>
  <c r="F472" i="13"/>
  <c r="E472" i="13"/>
  <c r="E471" i="13"/>
  <c r="F471" i="13" s="1"/>
  <c r="E470" i="13"/>
  <c r="F470" i="13" s="1"/>
  <c r="F469" i="13"/>
  <c r="E469" i="13"/>
  <c r="E468" i="13"/>
  <c r="F468" i="13" s="1"/>
  <c r="E467" i="13"/>
  <c r="F467" i="13" s="1"/>
  <c r="F466" i="13"/>
  <c r="E466" i="13"/>
  <c r="E465" i="13"/>
  <c r="F465" i="13" s="1"/>
  <c r="E464" i="13"/>
  <c r="F464" i="13" s="1"/>
  <c r="E463" i="13"/>
  <c r="F463" i="13" s="1"/>
  <c r="E462" i="13"/>
  <c r="F462" i="13" s="1"/>
  <c r="F461" i="13"/>
  <c r="E461" i="13"/>
  <c r="F460" i="13"/>
  <c r="E460" i="13"/>
  <c r="F459" i="13"/>
  <c r="E459" i="13"/>
  <c r="E458" i="13"/>
  <c r="F458" i="13" s="1"/>
  <c r="F457" i="13"/>
  <c r="E457" i="13"/>
  <c r="F456" i="13"/>
  <c r="E456" i="13"/>
  <c r="E455" i="13"/>
  <c r="F455" i="13" s="1"/>
  <c r="F454" i="13"/>
  <c r="E454" i="13"/>
  <c r="F453" i="13"/>
  <c r="E453" i="13"/>
  <c r="F452" i="13"/>
  <c r="E452" i="13"/>
  <c r="F451" i="13"/>
  <c r="E451" i="13"/>
  <c r="E450" i="13"/>
  <c r="F450" i="13" s="1"/>
  <c r="E449" i="13"/>
  <c r="F449" i="13" s="1"/>
  <c r="E448" i="13"/>
  <c r="F448" i="13" s="1"/>
  <c r="E447" i="13"/>
  <c r="F447" i="13" s="1"/>
  <c r="E446" i="13"/>
  <c r="F446" i="13" s="1"/>
  <c r="F445" i="13"/>
  <c r="E445" i="13"/>
  <c r="E444" i="13"/>
  <c r="F444" i="13" s="1"/>
  <c r="E443" i="13"/>
  <c r="F443" i="13" s="1"/>
  <c r="E442" i="13"/>
  <c r="F442" i="13" s="1"/>
  <c r="E441" i="13"/>
  <c r="F441" i="13" s="1"/>
  <c r="F440" i="13"/>
  <c r="E440" i="13"/>
  <c r="E439" i="13"/>
  <c r="F439" i="13" s="1"/>
  <c r="E438" i="13"/>
  <c r="F438" i="13" s="1"/>
  <c r="F437" i="13"/>
  <c r="E437" i="13"/>
  <c r="E436" i="13"/>
  <c r="F436" i="13" s="1"/>
  <c r="F435" i="13"/>
  <c r="E435" i="13"/>
  <c r="E434" i="13"/>
  <c r="F434" i="13" s="1"/>
  <c r="F433" i="13"/>
  <c r="E433" i="13"/>
  <c r="F432" i="13"/>
  <c r="E432" i="13"/>
  <c r="F431" i="13"/>
  <c r="E431" i="13"/>
  <c r="F430" i="13"/>
  <c r="E430" i="13"/>
  <c r="E429" i="13"/>
  <c r="F429" i="13" s="1"/>
  <c r="E428" i="13"/>
  <c r="F428" i="13" s="1"/>
  <c r="E427" i="13"/>
  <c r="F427" i="13" s="1"/>
  <c r="E426" i="13"/>
  <c r="F426" i="13" s="1"/>
  <c r="E425" i="13"/>
  <c r="F425" i="13" s="1"/>
  <c r="F424" i="13"/>
  <c r="E424" i="13"/>
  <c r="E423" i="13"/>
  <c r="F423" i="13" s="1"/>
  <c r="E422" i="13"/>
  <c r="F422" i="13" s="1"/>
  <c r="E421" i="13"/>
  <c r="F421" i="13" s="1"/>
  <c r="E420" i="13"/>
  <c r="F420" i="13" s="1"/>
  <c r="F419" i="13"/>
  <c r="E419" i="13"/>
  <c r="E418" i="13"/>
  <c r="F418" i="13" s="1"/>
  <c r="F417" i="13"/>
  <c r="E417" i="13"/>
  <c r="E416" i="13"/>
  <c r="F416" i="13" s="1"/>
  <c r="E415" i="13"/>
  <c r="F415" i="13" s="1"/>
  <c r="F414" i="13"/>
  <c r="E414" i="13"/>
  <c r="E413" i="13"/>
  <c r="F413" i="13" s="1"/>
  <c r="F412" i="13"/>
  <c r="E412" i="13"/>
  <c r="F411" i="13"/>
  <c r="E411" i="13"/>
  <c r="F410" i="13"/>
  <c r="E410" i="13"/>
  <c r="F409" i="13"/>
  <c r="E409" i="13"/>
  <c r="E408" i="13"/>
  <c r="F408" i="13" s="1"/>
  <c r="E407" i="13"/>
  <c r="F407" i="13" s="1"/>
  <c r="F406" i="13"/>
  <c r="E406" i="13"/>
  <c r="E405" i="13"/>
  <c r="F405" i="13" s="1"/>
  <c r="E404" i="13"/>
  <c r="F404" i="13" s="1"/>
  <c r="F403" i="13"/>
  <c r="E403" i="13"/>
  <c r="E402" i="13"/>
  <c r="F402" i="13" s="1"/>
  <c r="E401" i="13"/>
  <c r="F401" i="13" s="1"/>
  <c r="E400" i="13"/>
  <c r="F400" i="13" s="1"/>
  <c r="E399" i="13"/>
  <c r="F399" i="13" s="1"/>
  <c r="E398" i="13"/>
  <c r="F398" i="13" s="1"/>
  <c r="E397" i="13"/>
  <c r="F397" i="13" s="1"/>
  <c r="F396" i="13"/>
  <c r="E396" i="13"/>
  <c r="F395" i="13"/>
  <c r="E395" i="13"/>
  <c r="E394" i="13"/>
  <c r="F394" i="13" s="1"/>
  <c r="F393" i="13"/>
  <c r="E393" i="13"/>
  <c r="E392" i="13"/>
  <c r="F392" i="13" s="1"/>
  <c r="F391" i="13"/>
  <c r="E391" i="13"/>
  <c r="F390" i="13"/>
  <c r="E390" i="13"/>
  <c r="F389" i="13"/>
  <c r="E389" i="13"/>
  <c r="E388" i="13"/>
  <c r="F388" i="13" s="1"/>
  <c r="F387" i="13"/>
  <c r="E387" i="13"/>
  <c r="E386" i="13"/>
  <c r="F386" i="13" s="1"/>
  <c r="F385" i="13"/>
  <c r="E385" i="13"/>
  <c r="E384" i="13"/>
  <c r="F384" i="13" s="1"/>
  <c r="E383" i="13"/>
  <c r="F383" i="13" s="1"/>
  <c r="F382" i="13"/>
  <c r="E382" i="13"/>
  <c r="E381" i="13"/>
  <c r="F381" i="13" s="1"/>
  <c r="E380" i="13"/>
  <c r="F380" i="13" s="1"/>
  <c r="E379" i="13"/>
  <c r="F379" i="13" s="1"/>
  <c r="E378" i="13"/>
  <c r="F378" i="13" s="1"/>
  <c r="F377" i="13"/>
  <c r="E377" i="13"/>
  <c r="E376" i="13"/>
  <c r="F376" i="13" s="1"/>
  <c r="F375" i="13"/>
  <c r="E375" i="13"/>
  <c r="F374" i="13"/>
  <c r="E374" i="13"/>
  <c r="E373" i="13"/>
  <c r="F373" i="13" s="1"/>
  <c r="F372" i="13"/>
  <c r="E372" i="13"/>
  <c r="E371" i="13"/>
  <c r="F371" i="13" s="1"/>
  <c r="F370" i="13"/>
  <c r="E370" i="13"/>
  <c r="F369" i="13"/>
  <c r="E369" i="13"/>
  <c r="E368" i="13"/>
  <c r="F368" i="13" s="1"/>
  <c r="E367" i="13"/>
  <c r="F367" i="13" s="1"/>
  <c r="F366" i="13"/>
  <c r="E366" i="13"/>
  <c r="E365" i="13"/>
  <c r="F365" i="13" s="1"/>
  <c r="E364" i="13"/>
  <c r="F364" i="13" s="1"/>
  <c r="E363" i="13"/>
  <c r="F363" i="13" s="1"/>
  <c r="E362" i="13"/>
  <c r="F362" i="13" s="1"/>
  <c r="F361" i="13"/>
  <c r="E361" i="13"/>
  <c r="E360" i="13"/>
  <c r="F360" i="13" s="1"/>
  <c r="E359" i="13"/>
  <c r="F359" i="13" s="1"/>
  <c r="E358" i="13"/>
  <c r="F358" i="13" s="1"/>
  <c r="F357" i="13"/>
  <c r="E357" i="13"/>
  <c r="F356" i="13"/>
  <c r="E356" i="13"/>
  <c r="E355" i="13"/>
  <c r="F355" i="13" s="1"/>
  <c r="E354" i="13"/>
  <c r="F354" i="13" s="1"/>
  <c r="F353" i="13"/>
  <c r="E353" i="13"/>
  <c r="E352" i="13"/>
  <c r="F352" i="13" s="1"/>
  <c r="F351" i="13"/>
  <c r="E351" i="13"/>
  <c r="E350" i="13"/>
  <c r="F350" i="13" s="1"/>
  <c r="F349" i="13"/>
  <c r="E349" i="13"/>
  <c r="E348" i="13"/>
  <c r="F348" i="13" s="1"/>
  <c r="E347" i="13"/>
  <c r="F347" i="13" s="1"/>
  <c r="E346" i="13"/>
  <c r="F346" i="13" s="1"/>
  <c r="F345" i="13"/>
  <c r="E345" i="13"/>
  <c r="F344" i="13"/>
  <c r="E344" i="13"/>
  <c r="E343" i="13"/>
  <c r="F343" i="13" s="1"/>
  <c r="F342" i="13"/>
  <c r="E342" i="13"/>
  <c r="E341" i="13"/>
  <c r="F341" i="13" s="1"/>
  <c r="F340" i="13"/>
  <c r="E340" i="13"/>
  <c r="E339" i="13"/>
  <c r="F339" i="13" s="1"/>
  <c r="E338" i="13"/>
  <c r="F338" i="13" s="1"/>
  <c r="F337" i="13"/>
  <c r="E337" i="13"/>
  <c r="F336" i="13"/>
  <c r="E336" i="13"/>
  <c r="F335" i="13"/>
  <c r="E335" i="13"/>
  <c r="E334" i="13"/>
  <c r="F334" i="13" s="1"/>
  <c r="E333" i="13"/>
  <c r="F333" i="13" s="1"/>
  <c r="E332" i="13"/>
  <c r="F332" i="13" s="1"/>
  <c r="E331" i="13"/>
  <c r="F331" i="13" s="1"/>
  <c r="F330" i="13"/>
  <c r="E330" i="13"/>
  <c r="E329" i="13"/>
  <c r="F329" i="13" s="1"/>
  <c r="E328" i="13"/>
  <c r="F328" i="13" s="1"/>
  <c r="E327" i="13"/>
  <c r="F327" i="13" s="1"/>
  <c r="E326" i="13"/>
  <c r="F326" i="13" s="1"/>
  <c r="E325" i="13"/>
  <c r="F325" i="13" s="1"/>
  <c r="F324" i="13"/>
  <c r="E324" i="13"/>
  <c r="F323" i="13"/>
  <c r="E323" i="13"/>
  <c r="F322" i="13"/>
  <c r="E322" i="13"/>
  <c r="E321" i="13"/>
  <c r="F321" i="13" s="1"/>
  <c r="F320" i="13"/>
  <c r="E320" i="13"/>
  <c r="F319" i="13"/>
  <c r="E319" i="13"/>
  <c r="E318" i="13"/>
  <c r="F318" i="13" s="1"/>
  <c r="F317" i="13"/>
  <c r="E317" i="13"/>
  <c r="F316" i="13"/>
  <c r="E316" i="13"/>
  <c r="F315" i="13"/>
  <c r="E315" i="13"/>
  <c r="F314" i="13"/>
  <c r="E314" i="13"/>
  <c r="E313" i="13"/>
  <c r="F313" i="13" s="1"/>
  <c r="F312" i="13"/>
  <c r="E312" i="13"/>
  <c r="E311" i="13"/>
  <c r="F311" i="13" s="1"/>
  <c r="E310" i="13"/>
  <c r="F310" i="13" s="1"/>
  <c r="F309" i="13"/>
  <c r="E309" i="13"/>
  <c r="E308" i="13"/>
  <c r="F308" i="13" s="1"/>
  <c r="E307" i="13"/>
  <c r="F307" i="13" s="1"/>
  <c r="E306" i="13"/>
  <c r="F306" i="13" s="1"/>
  <c r="E305" i="13"/>
  <c r="F305" i="13" s="1"/>
  <c r="E304" i="13"/>
  <c r="F304" i="13" s="1"/>
  <c r="F303" i="13"/>
  <c r="E303" i="13"/>
  <c r="E302" i="13"/>
  <c r="F302" i="13" s="1"/>
  <c r="F301" i="13"/>
  <c r="E301" i="13"/>
  <c r="E300" i="13"/>
  <c r="F300" i="13" s="1"/>
  <c r="E299" i="13"/>
  <c r="F299" i="13" s="1"/>
  <c r="E298" i="13"/>
  <c r="F298" i="13" s="1"/>
  <c r="E297" i="13"/>
  <c r="F297" i="13" s="1"/>
  <c r="F296" i="13"/>
  <c r="E296" i="13"/>
  <c r="F295" i="13"/>
  <c r="E295" i="13"/>
  <c r="F294" i="13"/>
  <c r="E294" i="13"/>
  <c r="E293" i="13"/>
  <c r="F293" i="13" s="1"/>
  <c r="E292" i="13"/>
  <c r="F292" i="13" s="1"/>
  <c r="E291" i="13"/>
  <c r="F291" i="13" s="1"/>
  <c r="E290" i="13"/>
  <c r="F290" i="13" s="1"/>
  <c r="E289" i="13"/>
  <c r="F289" i="13" s="1"/>
  <c r="E288" i="13"/>
  <c r="F288" i="13" s="1"/>
  <c r="F287" i="13"/>
  <c r="E287" i="13"/>
  <c r="E286" i="13"/>
  <c r="F286" i="13" s="1"/>
  <c r="E285" i="13"/>
  <c r="F285" i="13" s="1"/>
  <c r="E284" i="13"/>
  <c r="F284" i="13" s="1"/>
  <c r="E283" i="13"/>
  <c r="F283" i="13" s="1"/>
  <c r="F282" i="13"/>
  <c r="E282" i="13"/>
  <c r="F281" i="13"/>
  <c r="E281" i="13"/>
  <c r="E280" i="13"/>
  <c r="F280" i="13" s="1"/>
  <c r="E279" i="13"/>
  <c r="F279" i="13" s="1"/>
  <c r="E278" i="13"/>
  <c r="F278" i="13" s="1"/>
  <c r="F277" i="13"/>
  <c r="E277" i="13"/>
  <c r="E276" i="13"/>
  <c r="F276" i="13" s="1"/>
  <c r="F275" i="13"/>
  <c r="E275" i="13"/>
  <c r="F274" i="13"/>
  <c r="E274" i="13"/>
  <c r="F273" i="13"/>
  <c r="E273" i="13"/>
  <c r="F272" i="13"/>
  <c r="E272" i="13"/>
  <c r="E271" i="13"/>
  <c r="F271" i="13" s="1"/>
  <c r="E270" i="13"/>
  <c r="F270" i="13" s="1"/>
  <c r="F269" i="13"/>
  <c r="E269" i="13"/>
  <c r="E268" i="13"/>
  <c r="F268" i="13" s="1"/>
  <c r="E267" i="13"/>
  <c r="F267" i="13" s="1"/>
  <c r="F266" i="13"/>
  <c r="E266" i="13"/>
  <c r="E265" i="13"/>
  <c r="F265" i="13" s="1"/>
  <c r="E264" i="13"/>
  <c r="F264" i="13" s="1"/>
  <c r="E263" i="13"/>
  <c r="F263" i="13" s="1"/>
  <c r="E262" i="13"/>
  <c r="F262" i="13" s="1"/>
  <c r="F261" i="13"/>
  <c r="E261" i="13"/>
  <c r="F260" i="13"/>
  <c r="E260" i="13"/>
  <c r="E259" i="13"/>
  <c r="F259" i="13" s="1"/>
  <c r="E258" i="13"/>
  <c r="F258" i="13" s="1"/>
  <c r="E257" i="13"/>
  <c r="F257" i="13" s="1"/>
  <c r="F256" i="13"/>
  <c r="E256" i="13"/>
  <c r="E255" i="13"/>
  <c r="F255" i="13" s="1"/>
  <c r="F254" i="13"/>
  <c r="E254" i="13"/>
  <c r="F253" i="13"/>
  <c r="E253" i="13"/>
  <c r="F252" i="13"/>
  <c r="E252" i="13"/>
  <c r="E251" i="13"/>
  <c r="F251" i="13" s="1"/>
  <c r="E250" i="13"/>
  <c r="F250" i="13" s="1"/>
  <c r="F249" i="13"/>
  <c r="E249" i="13"/>
  <c r="E248" i="13"/>
  <c r="F248" i="13" s="1"/>
  <c r="F247" i="13"/>
  <c r="E247" i="13"/>
  <c r="F246" i="13"/>
  <c r="E246" i="13"/>
  <c r="E245" i="13"/>
  <c r="F245" i="13" s="1"/>
  <c r="F244" i="13"/>
  <c r="E244" i="13"/>
  <c r="F243" i="13"/>
  <c r="E243" i="13"/>
  <c r="F242" i="13"/>
  <c r="E242" i="13"/>
  <c r="F241" i="13"/>
  <c r="E241" i="13"/>
  <c r="E240" i="13"/>
  <c r="F240" i="13" s="1"/>
  <c r="F239" i="13"/>
  <c r="E239" i="13"/>
  <c r="E238" i="13"/>
  <c r="F238" i="13" s="1"/>
  <c r="E237" i="13"/>
  <c r="F237" i="13" s="1"/>
  <c r="F236" i="13"/>
  <c r="E236" i="13"/>
  <c r="E235" i="13"/>
  <c r="F235" i="13" s="1"/>
  <c r="F234" i="13"/>
  <c r="E234" i="13"/>
  <c r="F233" i="13"/>
  <c r="E233" i="13"/>
  <c r="F232" i="13"/>
  <c r="E232" i="13"/>
  <c r="E231" i="13"/>
  <c r="F231" i="13" s="1"/>
  <c r="E230" i="13"/>
  <c r="F230" i="13" s="1"/>
  <c r="E229" i="13"/>
  <c r="F229" i="13" s="1"/>
  <c r="F228" i="13"/>
  <c r="E228" i="13"/>
  <c r="F227" i="13"/>
  <c r="E227" i="13"/>
  <c r="F226" i="13"/>
  <c r="E226" i="13"/>
  <c r="E225" i="13"/>
  <c r="F225" i="13" s="1"/>
  <c r="F224" i="13"/>
  <c r="E224" i="13"/>
  <c r="F223" i="13"/>
  <c r="E223" i="13"/>
  <c r="F222" i="13"/>
  <c r="E222" i="13"/>
  <c r="F221" i="13"/>
  <c r="E221" i="13"/>
  <c r="E220" i="13"/>
  <c r="F220" i="13" s="1"/>
  <c r="E219" i="13"/>
  <c r="F219" i="13" s="1"/>
  <c r="E218" i="13"/>
  <c r="F218" i="13" s="1"/>
  <c r="F217" i="13"/>
  <c r="E217" i="13"/>
  <c r="F216" i="13"/>
  <c r="E216" i="13"/>
  <c r="E215" i="13"/>
  <c r="F215" i="13" s="1"/>
  <c r="F214" i="13"/>
  <c r="E214" i="13"/>
  <c r="F213" i="13"/>
  <c r="E213" i="13"/>
  <c r="F212" i="13"/>
  <c r="E212" i="13"/>
  <c r="E211" i="13"/>
  <c r="F211" i="13" s="1"/>
  <c r="E210" i="13"/>
  <c r="F210" i="13" s="1"/>
  <c r="F209" i="13"/>
  <c r="E209" i="13"/>
  <c r="F208" i="13"/>
  <c r="E208" i="13"/>
  <c r="E207" i="13"/>
  <c r="F207" i="13" s="1"/>
  <c r="F206" i="13"/>
  <c r="E206" i="13"/>
  <c r="E205" i="13"/>
  <c r="F205" i="13" s="1"/>
  <c r="F204" i="13"/>
  <c r="E204" i="13"/>
  <c r="F203" i="13"/>
  <c r="E203" i="13"/>
  <c r="F202" i="13"/>
  <c r="E202" i="13"/>
  <c r="E201" i="13"/>
  <c r="F201" i="13" s="1"/>
  <c r="E200" i="13"/>
  <c r="F200" i="13" s="1"/>
  <c r="E199" i="13"/>
  <c r="F199" i="13" s="1"/>
  <c r="E198" i="13"/>
  <c r="F198" i="13" s="1"/>
  <c r="E197" i="13"/>
  <c r="F197" i="13" s="1"/>
  <c r="F196" i="13"/>
  <c r="E196" i="13"/>
  <c r="E195" i="13"/>
  <c r="F195" i="13" s="1"/>
  <c r="F194" i="13"/>
  <c r="E194" i="13"/>
  <c r="F193" i="13"/>
  <c r="E193" i="13"/>
  <c r="E192" i="13"/>
  <c r="F192" i="13" s="1"/>
  <c r="E191" i="13"/>
  <c r="F191" i="13" s="1"/>
  <c r="E190" i="13"/>
  <c r="F190" i="13" s="1"/>
  <c r="E189" i="13"/>
  <c r="F189" i="13" s="1"/>
  <c r="E188" i="13"/>
  <c r="F188" i="13" s="1"/>
  <c r="F187" i="13"/>
  <c r="E187" i="13"/>
  <c r="F186" i="13"/>
  <c r="E186" i="13"/>
  <c r="E185" i="13"/>
  <c r="F185" i="13" s="1"/>
  <c r="F184" i="13"/>
  <c r="E184" i="13"/>
  <c r="F183" i="13"/>
  <c r="E183" i="13"/>
  <c r="F182" i="13"/>
  <c r="E182" i="13"/>
  <c r="F181" i="13"/>
  <c r="E181" i="13"/>
  <c r="E180" i="13"/>
  <c r="F180" i="13" s="1"/>
  <c r="F179" i="13"/>
  <c r="E179" i="13"/>
  <c r="E178" i="13"/>
  <c r="F178" i="13" s="1"/>
  <c r="F177" i="13"/>
  <c r="E177" i="13"/>
  <c r="F176" i="13"/>
  <c r="E176" i="13"/>
  <c r="E175" i="13"/>
  <c r="F175" i="13" s="1"/>
  <c r="F174" i="13"/>
  <c r="E174" i="13"/>
  <c r="F173" i="13"/>
  <c r="E173" i="13"/>
  <c r="E172" i="13"/>
  <c r="F172" i="13" s="1"/>
  <c r="F171" i="13"/>
  <c r="E171" i="13"/>
  <c r="E170" i="13"/>
  <c r="F170" i="13" s="1"/>
  <c r="F169" i="13"/>
  <c r="E169" i="13"/>
  <c r="E168" i="13"/>
  <c r="F168" i="13" s="1"/>
  <c r="F167" i="13"/>
  <c r="E167" i="13"/>
  <c r="F166" i="13"/>
  <c r="E166" i="13"/>
  <c r="E165" i="13"/>
  <c r="F165" i="13" s="1"/>
  <c r="F164" i="13"/>
  <c r="E164" i="13"/>
  <c r="F163" i="13"/>
  <c r="E163" i="13"/>
  <c r="E162" i="13"/>
  <c r="F162" i="13" s="1"/>
  <c r="E161" i="13"/>
  <c r="F161" i="13" s="1"/>
  <c r="E160" i="13"/>
  <c r="F160" i="13" s="1"/>
  <c r="E159" i="13"/>
  <c r="F159" i="13" s="1"/>
  <c r="F158" i="13"/>
  <c r="E158" i="13"/>
  <c r="F157" i="13"/>
  <c r="E157" i="13"/>
  <c r="F156" i="13"/>
  <c r="E156" i="13"/>
  <c r="E155" i="13"/>
  <c r="F155" i="13" s="1"/>
  <c r="F154" i="13"/>
  <c r="E154" i="13"/>
  <c r="F153" i="13"/>
  <c r="E153" i="13"/>
  <c r="F152" i="13"/>
  <c r="E152" i="13"/>
  <c r="E151" i="13"/>
  <c r="F151" i="13" s="1"/>
  <c r="E150" i="13"/>
  <c r="F150" i="13" s="1"/>
  <c r="E149" i="13"/>
  <c r="F149" i="13" s="1"/>
  <c r="E148" i="13"/>
  <c r="F148" i="13" s="1"/>
  <c r="F147" i="13"/>
  <c r="E147" i="13"/>
  <c r="F146" i="13"/>
  <c r="E146" i="13"/>
  <c r="E145" i="13"/>
  <c r="F145" i="13" s="1"/>
  <c r="F144" i="13"/>
  <c r="E144" i="13"/>
  <c r="F143" i="13"/>
  <c r="E143" i="13"/>
  <c r="F142" i="13"/>
  <c r="E142" i="13"/>
  <c r="F141" i="13"/>
  <c r="E141" i="13"/>
  <c r="E140" i="13"/>
  <c r="F140" i="13" s="1"/>
  <c r="F139" i="13"/>
  <c r="E139" i="13"/>
  <c r="F138" i="13"/>
  <c r="E138" i="13"/>
  <c r="E137" i="13"/>
  <c r="F137" i="13" s="1"/>
  <c r="F136" i="13"/>
  <c r="E136" i="13"/>
  <c r="E135" i="13"/>
  <c r="F135" i="13" s="1"/>
  <c r="F134" i="13"/>
  <c r="E134" i="13"/>
  <c r="F133" i="13"/>
  <c r="E133" i="13"/>
  <c r="E132" i="13"/>
  <c r="F132" i="13" s="1"/>
  <c r="F131" i="13"/>
  <c r="E131" i="13"/>
  <c r="E130" i="13"/>
  <c r="F130" i="13" s="1"/>
  <c r="E129" i="13"/>
  <c r="F129" i="13" s="1"/>
  <c r="F128" i="13"/>
  <c r="E128" i="13"/>
  <c r="E127" i="13"/>
  <c r="F127" i="13" s="1"/>
  <c r="F126" i="13"/>
  <c r="E126" i="13"/>
  <c r="E125" i="13"/>
  <c r="F125" i="13" s="1"/>
  <c r="F124" i="13"/>
  <c r="E124" i="13"/>
  <c r="F123" i="13"/>
  <c r="E123" i="13"/>
  <c r="E122" i="13"/>
  <c r="F122" i="13" s="1"/>
  <c r="F121" i="13"/>
  <c r="E121" i="13"/>
  <c r="E120" i="13"/>
  <c r="F120" i="13" s="1"/>
  <c r="F119" i="13"/>
  <c r="E119" i="13"/>
  <c r="E118" i="13"/>
  <c r="F118" i="13" s="1"/>
  <c r="F117" i="13"/>
  <c r="E117" i="13"/>
  <c r="F116" i="13"/>
  <c r="E116" i="13"/>
  <c r="E115" i="13"/>
  <c r="F115" i="13" s="1"/>
  <c r="F114" i="13"/>
  <c r="E114" i="13"/>
  <c r="F113" i="13"/>
  <c r="E113" i="13"/>
  <c r="E112" i="13"/>
  <c r="F112" i="13" s="1"/>
  <c r="E111" i="13"/>
  <c r="F111" i="13" s="1"/>
  <c r="E110" i="13"/>
  <c r="F110" i="13" s="1"/>
  <c r="F109" i="13"/>
  <c r="E109" i="13"/>
  <c r="E108" i="13"/>
  <c r="F108" i="13" s="1"/>
  <c r="E107" i="13"/>
  <c r="F107" i="13" s="1"/>
  <c r="F106" i="13"/>
  <c r="E106" i="13"/>
  <c r="E105" i="13"/>
  <c r="F105" i="13" s="1"/>
  <c r="F104" i="13"/>
  <c r="E104" i="13"/>
  <c r="F103" i="13"/>
  <c r="E103" i="13"/>
  <c r="E102" i="13"/>
  <c r="F102" i="13" s="1"/>
  <c r="F101" i="13"/>
  <c r="E101" i="13"/>
  <c r="E100" i="13"/>
  <c r="F100" i="13" s="1"/>
  <c r="E99" i="13"/>
  <c r="F99" i="13" s="1"/>
  <c r="E98" i="13"/>
  <c r="F98" i="13" s="1"/>
  <c r="F97" i="13"/>
  <c r="E97" i="13"/>
  <c r="F96" i="13"/>
  <c r="E96" i="13"/>
  <c r="E95" i="13"/>
  <c r="F95" i="13" s="1"/>
  <c r="F94" i="13"/>
  <c r="E94" i="13"/>
  <c r="F93" i="13"/>
  <c r="E93" i="13"/>
  <c r="E92" i="13"/>
  <c r="F92" i="13" s="1"/>
  <c r="E91" i="13"/>
  <c r="F91" i="13" s="1"/>
  <c r="E90" i="13"/>
  <c r="F90" i="13" s="1"/>
  <c r="F89" i="13"/>
  <c r="E89" i="13"/>
  <c r="E88" i="13"/>
  <c r="F88" i="13" s="1"/>
  <c r="E87" i="13"/>
  <c r="F87" i="13" s="1"/>
  <c r="F86" i="13"/>
  <c r="E86" i="13"/>
  <c r="E85" i="13"/>
  <c r="F85" i="13" s="1"/>
  <c r="F84" i="13"/>
  <c r="E84" i="13"/>
  <c r="F83" i="13"/>
  <c r="E83" i="13"/>
  <c r="F82" i="13"/>
  <c r="E82" i="13"/>
  <c r="F81" i="13"/>
  <c r="E81" i="13"/>
  <c r="E80" i="13"/>
  <c r="F80" i="13" s="1"/>
  <c r="F79" i="13"/>
  <c r="E79" i="13"/>
  <c r="F78" i="13"/>
  <c r="E78" i="13"/>
  <c r="E77" i="13"/>
  <c r="F77" i="13" s="1"/>
  <c r="F76" i="13"/>
  <c r="E76" i="13"/>
  <c r="E75" i="13"/>
  <c r="F75" i="13" s="1"/>
  <c r="F74" i="13"/>
  <c r="E74" i="13"/>
  <c r="F73" i="13"/>
  <c r="E73" i="13"/>
  <c r="E72" i="13"/>
  <c r="F72" i="13" s="1"/>
  <c r="E71" i="13"/>
  <c r="F71" i="13" s="1"/>
  <c r="E70" i="13"/>
  <c r="F70" i="13" s="1"/>
  <c r="F69" i="13"/>
  <c r="E69" i="13"/>
  <c r="F68" i="13"/>
  <c r="E68" i="13"/>
  <c r="E67" i="13"/>
  <c r="F67" i="13" s="1"/>
  <c r="F66" i="13"/>
  <c r="E66" i="13"/>
  <c r="E65" i="13"/>
  <c r="F65" i="13" s="1"/>
  <c r="F64" i="13"/>
  <c r="E64" i="13"/>
  <c r="F63" i="13"/>
  <c r="E63" i="13"/>
  <c r="E62" i="13"/>
  <c r="F62" i="13" s="1"/>
  <c r="E61" i="13"/>
  <c r="F61" i="13" s="1"/>
  <c r="E60" i="13"/>
  <c r="F60" i="13" s="1"/>
  <c r="F59" i="13"/>
  <c r="E59" i="13"/>
  <c r="F58" i="13"/>
  <c r="E58" i="13"/>
  <c r="E57" i="13"/>
  <c r="F57" i="13" s="1"/>
  <c r="F56" i="13"/>
  <c r="E56" i="13"/>
  <c r="E55" i="13"/>
  <c r="F55" i="13" s="1"/>
  <c r="F54" i="13"/>
  <c r="E54" i="13"/>
  <c r="F53" i="13"/>
  <c r="E53" i="13"/>
  <c r="F52" i="13"/>
  <c r="E52" i="13"/>
  <c r="E51" i="13"/>
  <c r="F51" i="13" s="1"/>
  <c r="E50" i="13"/>
  <c r="F50" i="13" s="1"/>
  <c r="E49" i="13"/>
  <c r="F49" i="13" s="1"/>
  <c r="F48" i="13"/>
  <c r="E48" i="13"/>
  <c r="F47" i="13"/>
  <c r="E47" i="13"/>
  <c r="F46" i="13"/>
  <c r="E46" i="13"/>
  <c r="E45" i="13"/>
  <c r="F45" i="13" s="1"/>
  <c r="F44" i="13"/>
  <c r="E44" i="13"/>
  <c r="F43" i="13"/>
  <c r="E43" i="13"/>
  <c r="E42" i="13"/>
  <c r="F42" i="13" s="1"/>
  <c r="F41" i="13"/>
  <c r="E41" i="13"/>
  <c r="E40" i="13"/>
  <c r="F40" i="13" s="1"/>
  <c r="F39" i="13"/>
  <c r="E39" i="13"/>
  <c r="E38" i="13"/>
  <c r="F38" i="13" s="1"/>
  <c r="F37" i="13"/>
  <c r="E37" i="13"/>
  <c r="F36" i="13"/>
  <c r="E36" i="13"/>
  <c r="E35" i="13"/>
  <c r="F35" i="13" s="1"/>
  <c r="F34" i="13"/>
  <c r="E34" i="13"/>
  <c r="F33" i="13"/>
  <c r="E33" i="13"/>
  <c r="E32" i="13"/>
  <c r="F32" i="13" s="1"/>
  <c r="E31" i="13"/>
  <c r="F31" i="13" s="1"/>
  <c r="E30" i="13"/>
  <c r="F30" i="13" s="1"/>
  <c r="E29" i="13"/>
  <c r="F29" i="13" s="1"/>
  <c r="F28" i="13"/>
  <c r="E28" i="13"/>
  <c r="F27" i="13"/>
  <c r="E27" i="13"/>
  <c r="F26" i="13"/>
  <c r="E26" i="13"/>
  <c r="E25" i="13"/>
  <c r="F25" i="13" s="1"/>
  <c r="F24" i="13"/>
  <c r="E24" i="13"/>
  <c r="F23" i="13"/>
  <c r="E23" i="13"/>
  <c r="E22" i="13"/>
  <c r="F22" i="13" s="1"/>
  <c r="F21" i="13"/>
  <c r="E21" i="13"/>
  <c r="E20" i="13"/>
  <c r="F20" i="13" s="1"/>
  <c r="E19" i="13"/>
  <c r="F19" i="13" s="1"/>
  <c r="E18" i="13"/>
  <c r="F18" i="13" s="1"/>
  <c r="F17" i="13"/>
  <c r="E17" i="13"/>
  <c r="F16" i="13"/>
  <c r="E16" i="13"/>
  <c r="E15" i="13"/>
  <c r="F15" i="13" s="1"/>
  <c r="F14" i="13"/>
  <c r="E14" i="13"/>
  <c r="F13" i="13"/>
  <c r="E13" i="13"/>
  <c r="E12" i="13"/>
  <c r="F12" i="13" s="1"/>
  <c r="E11" i="13"/>
  <c r="F11" i="13" s="1"/>
  <c r="E10" i="13"/>
  <c r="F10" i="13" s="1"/>
  <c r="F9" i="13"/>
  <c r="E9" i="13"/>
  <c r="F8" i="13"/>
  <c r="E8" i="13"/>
  <c r="E7" i="13"/>
  <c r="F7" i="13" s="1"/>
  <c r="F6" i="13"/>
  <c r="E6" i="13"/>
  <c r="E5" i="13"/>
  <c r="F5" i="13" s="1"/>
  <c r="F4" i="13"/>
  <c r="E4" i="13"/>
  <c r="F3" i="13"/>
  <c r="E3" i="13"/>
  <c r="E2" i="13"/>
  <c r="F2" i="13" s="1"/>
  <c r="J35" i="10"/>
  <c r="I35" i="10"/>
  <c r="J34" i="10"/>
  <c r="I33" i="10"/>
  <c r="J33" i="10" s="1"/>
  <c r="I32" i="10"/>
  <c r="J32" i="10" s="1"/>
  <c r="J31" i="10"/>
  <c r="I31" i="10"/>
  <c r="I30" i="10"/>
  <c r="J30" i="10" s="1"/>
  <c r="J29" i="10"/>
  <c r="I29" i="10"/>
  <c r="I28" i="10"/>
  <c r="J28" i="10" s="1"/>
  <c r="I27" i="10"/>
  <c r="J27" i="10" s="1"/>
  <c r="I26" i="10"/>
  <c r="J26" i="10" s="1"/>
  <c r="J25" i="10"/>
  <c r="J24" i="10"/>
  <c r="I24" i="10"/>
  <c r="I23" i="10"/>
  <c r="J23" i="10" s="1"/>
  <c r="J22" i="10"/>
  <c r="I22" i="10"/>
  <c r="I21" i="10"/>
  <c r="J21" i="10" s="1"/>
  <c r="I20" i="10"/>
  <c r="J20" i="10" s="1"/>
  <c r="J19" i="10"/>
  <c r="J18" i="10"/>
  <c r="I18" i="10"/>
  <c r="I17" i="10"/>
  <c r="J17" i="10" s="1"/>
  <c r="I16" i="10"/>
  <c r="J16" i="10" s="1"/>
  <c r="I15" i="10"/>
  <c r="J15" i="10" s="1"/>
  <c r="I14" i="10"/>
  <c r="J14" i="10" s="1"/>
  <c r="J13" i="10"/>
  <c r="I13" i="10"/>
  <c r="J12" i="10"/>
  <c r="I12" i="10"/>
  <c r="I11" i="10"/>
  <c r="J11" i="10" s="1"/>
  <c r="I10" i="10"/>
  <c r="J10" i="10" s="1"/>
  <c r="J9" i="10"/>
  <c r="I9" i="10"/>
  <c r="J8" i="10"/>
  <c r="I8" i="10"/>
  <c r="I7" i="10"/>
  <c r="J7" i="10" s="1"/>
  <c r="I6" i="10"/>
  <c r="J6" i="10" s="1"/>
  <c r="I5" i="10"/>
  <c r="J5" i="10" s="1"/>
  <c r="I4" i="10"/>
  <c r="J4" i="10" s="1"/>
  <c r="J3" i="10"/>
  <c r="I3" i="10"/>
  <c r="J2" i="10"/>
  <c r="I2" i="10"/>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22" i="7"/>
  <c r="B21" i="7"/>
  <c r="B20" i="7"/>
  <c r="B19" i="7"/>
  <c r="B18" i="7"/>
  <c r="B17" i="7"/>
  <c r="B16" i="7"/>
  <c r="B15" i="7"/>
  <c r="B14" i="7"/>
  <c r="B13" i="7"/>
  <c r="B12" i="7"/>
  <c r="B11" i="7"/>
  <c r="B10" i="7"/>
  <c r="B9" i="7"/>
  <c r="B8" i="7"/>
  <c r="B7" i="7"/>
  <c r="B6" i="7"/>
  <c r="B5" i="7"/>
  <c r="B4" i="7"/>
  <c r="B3" i="7"/>
  <c r="B2" i="7"/>
  <c r="K4" i="6"/>
  <c r="B4" i="6"/>
  <c r="K3" i="6"/>
  <c r="B3" i="6"/>
  <c r="P2" i="6"/>
  <c r="K2" i="6"/>
  <c r="B2" i="6"/>
  <c r="V4" i="5"/>
  <c r="U4" i="5"/>
  <c r="T4" i="5"/>
  <c r="S4" i="5"/>
  <c r="R4" i="5"/>
  <c r="L4" i="5"/>
  <c r="Q4" i="5" s="1"/>
  <c r="K4" i="5"/>
  <c r="B4" i="5"/>
  <c r="V3" i="5"/>
  <c r="U3" i="5"/>
  <c r="T3" i="5"/>
  <c r="S3" i="5"/>
  <c r="R3" i="5"/>
  <c r="Q3" i="5"/>
  <c r="L3" i="5"/>
  <c r="K3" i="5"/>
  <c r="B3" i="5"/>
  <c r="V2" i="5"/>
  <c r="U2" i="5"/>
  <c r="T2" i="5"/>
  <c r="S2" i="5"/>
  <c r="Q2" i="5"/>
  <c r="P2" i="5"/>
  <c r="O2" i="5"/>
  <c r="N2" i="5"/>
  <c r="M2" i="5"/>
  <c r="R2" i="5" s="1"/>
  <c r="L2" i="5"/>
  <c r="K2" i="5"/>
  <c r="B2" i="5"/>
  <c r="K58" i="4"/>
  <c r="L58" i="4" s="1"/>
  <c r="J58" i="4"/>
  <c r="I58" i="4"/>
  <c r="H58" i="4"/>
  <c r="G58" i="4"/>
  <c r="B58" i="4"/>
  <c r="L57" i="4"/>
  <c r="K57" i="4"/>
  <c r="J57" i="4"/>
  <c r="H57" i="4"/>
  <c r="G57" i="4"/>
  <c r="I57" i="4" s="1"/>
  <c r="B57" i="4"/>
  <c r="K56" i="4"/>
  <c r="L56" i="4" s="1"/>
  <c r="H56" i="4"/>
  <c r="J56" i="4" s="1"/>
  <c r="G56" i="4"/>
  <c r="I56" i="4" s="1"/>
  <c r="B56" i="4"/>
  <c r="K55" i="4"/>
  <c r="L55" i="4" s="1"/>
  <c r="G55" i="4"/>
  <c r="I55" i="4" s="1"/>
  <c r="H55" i="4" s="1"/>
  <c r="J55" i="4" s="1"/>
  <c r="B55" i="4"/>
  <c r="K54" i="4"/>
  <c r="L54" i="4" s="1"/>
  <c r="J54" i="4"/>
  <c r="I54" i="4"/>
  <c r="H54" i="4"/>
  <c r="G54" i="4"/>
  <c r="B54" i="4"/>
  <c r="K53" i="4"/>
  <c r="L53" i="4" s="1"/>
  <c r="G53" i="4"/>
  <c r="I53" i="4" s="1"/>
  <c r="H53" i="4" s="1"/>
  <c r="J53" i="4" s="1"/>
  <c r="B53" i="4"/>
  <c r="K52" i="4"/>
  <c r="L52" i="4" s="1"/>
  <c r="H52" i="4"/>
  <c r="J52" i="4" s="1"/>
  <c r="G52" i="4"/>
  <c r="I52" i="4" s="1"/>
  <c r="B52" i="4"/>
  <c r="K51" i="4"/>
  <c r="L51" i="4" s="1"/>
  <c r="I51" i="4"/>
  <c r="H51" i="4" s="1"/>
  <c r="J51" i="4" s="1"/>
  <c r="G51" i="4"/>
  <c r="B51" i="4"/>
  <c r="L50" i="4"/>
  <c r="K50" i="4"/>
  <c r="G50" i="4"/>
  <c r="I50" i="4" s="1"/>
  <c r="H50" i="4" s="1"/>
  <c r="J50" i="4" s="1"/>
  <c r="B50" i="4"/>
  <c r="L49" i="4"/>
  <c r="K49" i="4"/>
  <c r="I49" i="4"/>
  <c r="H49" i="4" s="1"/>
  <c r="J49" i="4" s="1"/>
  <c r="G49" i="4"/>
  <c r="B49" i="4"/>
  <c r="K48" i="4"/>
  <c r="L48" i="4" s="1"/>
  <c r="I48" i="4"/>
  <c r="H48" i="4" s="1"/>
  <c r="J48" i="4" s="1"/>
  <c r="G48" i="4"/>
  <c r="B48" i="4"/>
  <c r="K47" i="4"/>
  <c r="L47" i="4" s="1"/>
  <c r="G47" i="4"/>
  <c r="I47" i="4" s="1"/>
  <c r="H47" i="4" s="1"/>
  <c r="J47" i="4" s="1"/>
  <c r="B47" i="4"/>
  <c r="K46" i="4"/>
  <c r="L46" i="4" s="1"/>
  <c r="G46" i="4"/>
  <c r="I46" i="4" s="1"/>
  <c r="H46" i="4" s="1"/>
  <c r="J46" i="4" s="1"/>
  <c r="B46" i="4"/>
  <c r="L45" i="4"/>
  <c r="K45" i="4"/>
  <c r="G45" i="4"/>
  <c r="I45" i="4" s="1"/>
  <c r="H45" i="4" s="1"/>
  <c r="J45" i="4" s="1"/>
  <c r="B45" i="4"/>
  <c r="K44" i="4"/>
  <c r="L44" i="4" s="1"/>
  <c r="G44" i="4"/>
  <c r="I44" i="4" s="1"/>
  <c r="H44" i="4" s="1"/>
  <c r="J44" i="4" s="1"/>
  <c r="B44" i="4"/>
  <c r="K43" i="4"/>
  <c r="L43" i="4" s="1"/>
  <c r="J43" i="4"/>
  <c r="G43" i="4"/>
  <c r="I43" i="4" s="1"/>
  <c r="H43" i="4" s="1"/>
  <c r="B43" i="4"/>
  <c r="L42" i="4"/>
  <c r="K42" i="4"/>
  <c r="H42" i="4"/>
  <c r="J42" i="4" s="1"/>
  <c r="G42" i="4"/>
  <c r="I42" i="4" s="1"/>
  <c r="B42" i="4"/>
  <c r="L41" i="4"/>
  <c r="K41" i="4"/>
  <c r="I41" i="4"/>
  <c r="H41" i="4"/>
  <c r="J41" i="4" s="1"/>
  <c r="G41" i="4"/>
  <c r="B41" i="4"/>
  <c r="K40" i="4"/>
  <c r="L40" i="4" s="1"/>
  <c r="I40" i="4"/>
  <c r="H40" i="4"/>
  <c r="J40" i="4" s="1"/>
  <c r="G40" i="4"/>
  <c r="B40" i="4"/>
  <c r="L39" i="4"/>
  <c r="K39" i="4"/>
  <c r="G39" i="4"/>
  <c r="I39" i="4" s="1"/>
  <c r="H39" i="4" s="1"/>
  <c r="J39" i="4" s="1"/>
  <c r="B39" i="4"/>
  <c r="K38" i="4"/>
  <c r="L38" i="4" s="1"/>
  <c r="I38" i="4"/>
  <c r="H38" i="4" s="1"/>
  <c r="J38" i="4" s="1"/>
  <c r="G38" i="4"/>
  <c r="B38" i="4"/>
  <c r="L37" i="4"/>
  <c r="K37" i="4"/>
  <c r="G37" i="4"/>
  <c r="I37" i="4" s="1"/>
  <c r="H37" i="4" s="1"/>
  <c r="J37" i="4" s="1"/>
  <c r="B37" i="4"/>
  <c r="K36" i="4"/>
  <c r="L36" i="4" s="1"/>
  <c r="I36" i="4"/>
  <c r="H36" i="4" s="1"/>
  <c r="J36" i="4" s="1"/>
  <c r="G36" i="4"/>
  <c r="B36" i="4"/>
  <c r="K35" i="4"/>
  <c r="L35" i="4" s="1"/>
  <c r="G35" i="4"/>
  <c r="I35" i="4" s="1"/>
  <c r="H35" i="4" s="1"/>
  <c r="J35" i="4" s="1"/>
  <c r="B35" i="4"/>
  <c r="K34" i="4"/>
  <c r="L34" i="4" s="1"/>
  <c r="J34" i="4"/>
  <c r="I34" i="4"/>
  <c r="H34" i="4"/>
  <c r="G34" i="4"/>
  <c r="B34" i="4"/>
  <c r="K33" i="4"/>
  <c r="L33" i="4" s="1"/>
  <c r="G33" i="4"/>
  <c r="I33" i="4" s="1"/>
  <c r="H33" i="4" s="1"/>
  <c r="J33" i="4" s="1"/>
  <c r="B33" i="4"/>
  <c r="L32" i="4"/>
  <c r="K32" i="4"/>
  <c r="G32" i="4"/>
  <c r="I32" i="4" s="1"/>
  <c r="H32" i="4" s="1"/>
  <c r="J32" i="4" s="1"/>
  <c r="B32" i="4"/>
  <c r="K31" i="4"/>
  <c r="L31" i="4" s="1"/>
  <c r="I31" i="4"/>
  <c r="H31" i="4" s="1"/>
  <c r="J31" i="4" s="1"/>
  <c r="G31" i="4"/>
  <c r="B31" i="4"/>
  <c r="K30" i="4"/>
  <c r="L30" i="4" s="1"/>
  <c r="G30" i="4"/>
  <c r="I30" i="4" s="1"/>
  <c r="H30" i="4" s="1"/>
  <c r="J30" i="4" s="1"/>
  <c r="B30" i="4"/>
  <c r="L29" i="4"/>
  <c r="J29" i="4"/>
  <c r="H29" i="4"/>
  <c r="K29" i="4" s="1"/>
  <c r="G29" i="4"/>
  <c r="I29" i="4" s="1"/>
  <c r="B29" i="4"/>
  <c r="L28" i="4"/>
  <c r="K28" i="4"/>
  <c r="J28" i="4"/>
  <c r="I28" i="4"/>
  <c r="H28" i="4"/>
  <c r="G28" i="4"/>
  <c r="B28" i="4"/>
  <c r="H27" i="4"/>
  <c r="K27" i="4" s="1"/>
  <c r="L27" i="4" s="1"/>
  <c r="G27" i="4"/>
  <c r="J27" i="4" s="1"/>
  <c r="B27" i="4"/>
  <c r="K26" i="4"/>
  <c r="L26" i="4" s="1"/>
  <c r="J26" i="4"/>
  <c r="H26" i="4"/>
  <c r="G26" i="4"/>
  <c r="I26" i="4" s="1"/>
  <c r="B26" i="4"/>
  <c r="K25" i="4"/>
  <c r="L25" i="4" s="1"/>
  <c r="H25" i="4"/>
  <c r="G25" i="4"/>
  <c r="B25" i="4"/>
  <c r="H24" i="4"/>
  <c r="K24" i="4" s="1"/>
  <c r="L24" i="4" s="1"/>
  <c r="G24" i="4"/>
  <c r="I24" i="4" s="1"/>
  <c r="B24" i="4"/>
  <c r="I23" i="4"/>
  <c r="H23" i="4"/>
  <c r="K23" i="4" s="1"/>
  <c r="L23" i="4" s="1"/>
  <c r="G23" i="4"/>
  <c r="B23" i="4"/>
  <c r="K22" i="4"/>
  <c r="L22" i="4" s="1"/>
  <c r="I22" i="4"/>
  <c r="H22" i="4"/>
  <c r="G22" i="4"/>
  <c r="B22" i="4"/>
  <c r="K21" i="4"/>
  <c r="L21" i="4" s="1"/>
  <c r="H21" i="4"/>
  <c r="G21" i="4"/>
  <c r="I21" i="4" s="1"/>
  <c r="B21" i="4"/>
  <c r="K20" i="4"/>
  <c r="L20" i="4" s="1"/>
  <c r="I20" i="4"/>
  <c r="H20" i="4"/>
  <c r="G20" i="4"/>
  <c r="J20" i="4" s="1"/>
  <c r="B20" i="4"/>
  <c r="K19" i="4"/>
  <c r="L19" i="4" s="1"/>
  <c r="J19" i="4"/>
  <c r="I19" i="4"/>
  <c r="H19" i="4"/>
  <c r="G19" i="4"/>
  <c r="B19" i="4"/>
  <c r="L18" i="4"/>
  <c r="K18" i="4"/>
  <c r="H18" i="4"/>
  <c r="G18" i="4"/>
  <c r="J18" i="4" s="1"/>
  <c r="B18" i="4"/>
  <c r="K17" i="4"/>
  <c r="L17" i="4" s="1"/>
  <c r="H17" i="4"/>
  <c r="G17" i="4"/>
  <c r="I17" i="4" s="1"/>
  <c r="B17" i="4"/>
  <c r="L16" i="4"/>
  <c r="K16" i="4"/>
  <c r="J16" i="4"/>
  <c r="I16" i="4"/>
  <c r="H16" i="4"/>
  <c r="G16" i="4"/>
  <c r="B16" i="4"/>
  <c r="K15" i="4"/>
  <c r="L15" i="4" s="1"/>
  <c r="H15" i="4"/>
  <c r="G15" i="4"/>
  <c r="I15" i="4" s="1"/>
  <c r="B15" i="4"/>
  <c r="K14" i="4"/>
  <c r="L14" i="4" s="1"/>
  <c r="H14" i="4"/>
  <c r="G14" i="4"/>
  <c r="I14" i="4" s="1"/>
  <c r="B14" i="4"/>
  <c r="K13" i="4"/>
  <c r="L13" i="4" s="1"/>
  <c r="H13" i="4"/>
  <c r="G13" i="4"/>
  <c r="B13" i="4"/>
  <c r="K12" i="4"/>
  <c r="L12" i="4" s="1"/>
  <c r="J12" i="4"/>
  <c r="H12" i="4"/>
  <c r="G12" i="4"/>
  <c r="I12" i="4" s="1"/>
  <c r="B12" i="4"/>
  <c r="K11" i="4"/>
  <c r="L11" i="4" s="1"/>
  <c r="I11" i="4"/>
  <c r="H11" i="4" s="1"/>
  <c r="G11" i="4"/>
  <c r="B11" i="4"/>
  <c r="K10" i="4"/>
  <c r="L10" i="4" s="1"/>
  <c r="H10" i="4"/>
  <c r="G10" i="4"/>
  <c r="B10" i="4"/>
  <c r="H9" i="4"/>
  <c r="K9" i="4" s="1"/>
  <c r="L9" i="4" s="1"/>
  <c r="G9" i="4"/>
  <c r="J9" i="4" s="1"/>
  <c r="B9" i="4"/>
  <c r="H8" i="4"/>
  <c r="K8" i="4" s="1"/>
  <c r="L8" i="4" s="1"/>
  <c r="G8" i="4"/>
  <c r="B8" i="4"/>
  <c r="L7" i="4"/>
  <c r="I7" i="4"/>
  <c r="H7" i="4"/>
  <c r="K7" i="4" s="1"/>
  <c r="G7" i="4"/>
  <c r="J7" i="4" s="1"/>
  <c r="B7" i="4"/>
  <c r="J6" i="4"/>
  <c r="I6" i="4"/>
  <c r="H6" i="4"/>
  <c r="K6" i="4" s="1"/>
  <c r="L6" i="4" s="1"/>
  <c r="G6" i="4"/>
  <c r="B6" i="4"/>
  <c r="K5" i="4"/>
  <c r="L5" i="4" s="1"/>
  <c r="J5" i="4"/>
  <c r="H5" i="4"/>
  <c r="G5" i="4"/>
  <c r="I5" i="4" s="1"/>
  <c r="B5" i="4"/>
  <c r="H4" i="4"/>
  <c r="K4" i="4" s="1"/>
  <c r="L4" i="4" s="1"/>
  <c r="G4" i="4"/>
  <c r="B4" i="4"/>
  <c r="H3" i="4"/>
  <c r="K3" i="4" s="1"/>
  <c r="L3" i="4" s="1"/>
  <c r="G3" i="4"/>
  <c r="B3" i="4"/>
  <c r="I2" i="4"/>
  <c r="H2" i="4"/>
  <c r="K2" i="4" s="1"/>
  <c r="L2" i="4" s="1"/>
  <c r="G2" i="4"/>
  <c r="J2" i="4" s="1"/>
  <c r="B2" i="4"/>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L124" i="3"/>
  <c r="B124" i="3"/>
  <c r="L123" i="3"/>
  <c r="B123" i="3"/>
  <c r="L122" i="3"/>
  <c r="B122" i="3"/>
  <c r="L121" i="3"/>
  <c r="B121" i="3"/>
  <c r="L120" i="3"/>
  <c r="B120" i="3"/>
  <c r="L119" i="3"/>
  <c r="B119" i="3"/>
  <c r="L118" i="3"/>
  <c r="B118" i="3"/>
  <c r="L117" i="3"/>
  <c r="B117" i="3"/>
  <c r="L116" i="3"/>
  <c r="B116" i="3"/>
  <c r="L115" i="3"/>
  <c r="B115" i="3"/>
  <c r="L114" i="3"/>
  <c r="B114" i="3"/>
  <c r="L113" i="3"/>
  <c r="B113" i="3"/>
  <c r="L112" i="3"/>
  <c r="B112" i="3"/>
  <c r="L111" i="3"/>
  <c r="B111" i="3"/>
  <c r="L110" i="3"/>
  <c r="B110" i="3"/>
  <c r="L109" i="3"/>
  <c r="B109" i="3"/>
  <c r="L108" i="3"/>
  <c r="B108" i="3"/>
  <c r="L107" i="3"/>
  <c r="B107" i="3"/>
  <c r="L106" i="3"/>
  <c r="B106" i="3"/>
  <c r="L105" i="3"/>
  <c r="B105" i="3"/>
  <c r="L104" i="3"/>
  <c r="B104" i="3"/>
  <c r="L103" i="3"/>
  <c r="B103" i="3"/>
  <c r="L102" i="3"/>
  <c r="B102" i="3"/>
  <c r="L101" i="3"/>
  <c r="B101" i="3"/>
  <c r="L100" i="3"/>
  <c r="B100" i="3"/>
  <c r="L99" i="3"/>
  <c r="B99" i="3"/>
  <c r="L98" i="3"/>
  <c r="B98" i="3"/>
  <c r="L97" i="3"/>
  <c r="B97" i="3"/>
  <c r="L96" i="3"/>
  <c r="B96" i="3"/>
  <c r="L95" i="3"/>
  <c r="B95" i="3"/>
  <c r="L94" i="3"/>
  <c r="B94" i="3"/>
  <c r="L93" i="3"/>
  <c r="B93" i="3"/>
  <c r="L92" i="3"/>
  <c r="B92" i="3"/>
  <c r="L91" i="3"/>
  <c r="B91" i="3"/>
  <c r="L90" i="3"/>
  <c r="B90" i="3"/>
  <c r="L89" i="3"/>
  <c r="B89" i="3"/>
  <c r="L88" i="3"/>
  <c r="B88" i="3"/>
  <c r="L87" i="3"/>
  <c r="B87" i="3"/>
  <c r="L86" i="3"/>
  <c r="B86" i="3"/>
  <c r="L85" i="3"/>
  <c r="B85" i="3"/>
  <c r="L84" i="3"/>
  <c r="B84" i="3"/>
  <c r="L83" i="3"/>
  <c r="B83" i="3"/>
  <c r="L82" i="3"/>
  <c r="B82" i="3"/>
  <c r="L81" i="3"/>
  <c r="B81" i="3"/>
  <c r="L80" i="3"/>
  <c r="B80" i="3"/>
  <c r="L79" i="3"/>
  <c r="B79" i="3"/>
  <c r="L78" i="3"/>
  <c r="B78" i="3"/>
  <c r="L77" i="3"/>
  <c r="B77" i="3"/>
  <c r="L76" i="3"/>
  <c r="B76" i="3"/>
  <c r="L75" i="3"/>
  <c r="B75" i="3"/>
  <c r="L74" i="3"/>
  <c r="B74" i="3"/>
  <c r="L73" i="3"/>
  <c r="B73" i="3"/>
  <c r="L72" i="3"/>
  <c r="B72" i="3"/>
  <c r="L71" i="3"/>
  <c r="B71" i="3"/>
  <c r="L70" i="3"/>
  <c r="B70" i="3"/>
  <c r="L69" i="3"/>
  <c r="B69" i="3"/>
  <c r="L68" i="3"/>
  <c r="B68" i="3"/>
  <c r="L67" i="3"/>
  <c r="B67" i="3"/>
  <c r="L66" i="3"/>
  <c r="B66" i="3"/>
  <c r="L65" i="3"/>
  <c r="B65" i="3"/>
  <c r="L64" i="3"/>
  <c r="B64" i="3"/>
  <c r="L63" i="3"/>
  <c r="B63" i="3"/>
  <c r="L62" i="3"/>
  <c r="B62" i="3"/>
  <c r="L61" i="3"/>
  <c r="B61" i="3"/>
  <c r="L60" i="3"/>
  <c r="B60" i="3"/>
  <c r="L59" i="3"/>
  <c r="B59" i="3"/>
  <c r="L58" i="3"/>
  <c r="B58" i="3"/>
  <c r="L57" i="3"/>
  <c r="B57" i="3"/>
  <c r="L56" i="3"/>
  <c r="B56" i="3"/>
  <c r="L55" i="3"/>
  <c r="B55" i="3"/>
  <c r="L54" i="3"/>
  <c r="B54" i="3"/>
  <c r="L53" i="3"/>
  <c r="B53" i="3"/>
  <c r="L52" i="3"/>
  <c r="B52" i="3"/>
  <c r="L51" i="3"/>
  <c r="B51" i="3"/>
  <c r="L50" i="3"/>
  <c r="B50" i="3"/>
  <c r="L49" i="3"/>
  <c r="B49" i="3"/>
  <c r="L48" i="3"/>
  <c r="B48" i="3"/>
  <c r="L47" i="3"/>
  <c r="B47" i="3"/>
  <c r="L46" i="3"/>
  <c r="B46" i="3"/>
  <c r="L45" i="3"/>
  <c r="B45" i="3"/>
  <c r="L44" i="3"/>
  <c r="B44" i="3"/>
  <c r="L43" i="3"/>
  <c r="B43" i="3"/>
  <c r="L42" i="3"/>
  <c r="B42" i="3"/>
  <c r="L41" i="3"/>
  <c r="B41" i="3"/>
  <c r="L40" i="3"/>
  <c r="B40" i="3"/>
  <c r="L39" i="3"/>
  <c r="B39" i="3"/>
  <c r="L38" i="3"/>
  <c r="B38" i="3"/>
  <c r="L37" i="3"/>
  <c r="B37" i="3"/>
  <c r="L36" i="3"/>
  <c r="B36" i="3"/>
  <c r="L35" i="3"/>
  <c r="B35" i="3"/>
  <c r="L34" i="3"/>
  <c r="B34" i="3"/>
  <c r="L33" i="3"/>
  <c r="B33" i="3"/>
  <c r="L32" i="3"/>
  <c r="B32" i="3"/>
  <c r="L31" i="3"/>
  <c r="B31" i="3"/>
  <c r="L30" i="3"/>
  <c r="B30" i="3"/>
  <c r="L29" i="3"/>
  <c r="B29" i="3"/>
  <c r="L28" i="3"/>
  <c r="B28" i="3"/>
  <c r="L27" i="3"/>
  <c r="B27" i="3"/>
  <c r="L26" i="3"/>
  <c r="B26" i="3"/>
  <c r="L25" i="3"/>
  <c r="B25" i="3"/>
  <c r="L24" i="3"/>
  <c r="B24" i="3"/>
  <c r="L23" i="3"/>
  <c r="B23" i="3"/>
  <c r="L22" i="3"/>
  <c r="B22" i="3"/>
  <c r="L21" i="3"/>
  <c r="B21" i="3"/>
  <c r="L20" i="3"/>
  <c r="B20" i="3"/>
  <c r="L19" i="3"/>
  <c r="B19" i="3"/>
  <c r="L18" i="3"/>
  <c r="B18" i="3"/>
  <c r="L17" i="3"/>
  <c r="B17" i="3"/>
  <c r="L16" i="3"/>
  <c r="B16" i="3"/>
  <c r="L15" i="3"/>
  <c r="B15" i="3"/>
  <c r="L14" i="3"/>
  <c r="B14" i="3"/>
  <c r="L13" i="3"/>
  <c r="B13" i="3"/>
  <c r="L12" i="3"/>
  <c r="B12" i="3"/>
  <c r="L11" i="3"/>
  <c r="B11" i="3"/>
  <c r="L10" i="3"/>
  <c r="B10" i="3"/>
  <c r="L9" i="3"/>
  <c r="B9" i="3"/>
  <c r="L8" i="3"/>
  <c r="B8" i="3"/>
  <c r="L7" i="3"/>
  <c r="B7" i="3"/>
  <c r="L6" i="3"/>
  <c r="B6" i="3"/>
  <c r="L5" i="3"/>
  <c r="B5" i="3"/>
  <c r="L4" i="3"/>
  <c r="B4" i="3"/>
  <c r="L3" i="3"/>
  <c r="B3" i="3"/>
  <c r="L2" i="3"/>
  <c r="B2" i="3"/>
  <c r="D886" i="2"/>
  <c r="E886" i="2" s="1"/>
  <c r="E885" i="2"/>
  <c r="D885" i="2"/>
  <c r="D884" i="2"/>
  <c r="E884" i="2" s="1"/>
  <c r="D883" i="2"/>
  <c r="E883" i="2" s="1"/>
  <c r="D882" i="2"/>
  <c r="E882" i="2" s="1"/>
  <c r="D881" i="2"/>
  <c r="E881" i="2" s="1"/>
  <c r="E880" i="2"/>
  <c r="D880" i="2"/>
  <c r="D879" i="2"/>
  <c r="E879" i="2" s="1"/>
  <c r="E878" i="2"/>
  <c r="D878" i="2"/>
  <c r="D877" i="2"/>
  <c r="E877" i="2" s="1"/>
  <c r="D876" i="2"/>
  <c r="E876" i="2" s="1"/>
  <c r="D875" i="2"/>
  <c r="E875" i="2" s="1"/>
  <c r="D874" i="2"/>
  <c r="E874" i="2" s="1"/>
  <c r="D873" i="2"/>
  <c r="E873" i="2" s="1"/>
  <c r="D872" i="2"/>
  <c r="E872" i="2" s="1"/>
  <c r="D871" i="2"/>
  <c r="E871" i="2" s="1"/>
  <c r="D870" i="2"/>
  <c r="E870" i="2" s="1"/>
  <c r="D869" i="2"/>
  <c r="E869" i="2" s="1"/>
  <c r="D868" i="2"/>
  <c r="E868" i="2" s="1"/>
  <c r="D867" i="2"/>
  <c r="E867" i="2" s="1"/>
  <c r="D866" i="2"/>
  <c r="E866" i="2" s="1"/>
  <c r="D865" i="2"/>
  <c r="E865" i="2" s="1"/>
  <c r="D864" i="2"/>
  <c r="E864" i="2" s="1"/>
  <c r="D863" i="2"/>
  <c r="E863" i="2" s="1"/>
  <c r="D862" i="2"/>
  <c r="E862" i="2" s="1"/>
  <c r="D861" i="2"/>
  <c r="E861" i="2" s="1"/>
  <c r="D860" i="2"/>
  <c r="E860" i="2" s="1"/>
  <c r="D859" i="2"/>
  <c r="E859" i="2" s="1"/>
  <c r="D858" i="2"/>
  <c r="E858" i="2" s="1"/>
  <c r="D857" i="2"/>
  <c r="E857" i="2" s="1"/>
  <c r="D856" i="2"/>
  <c r="E856" i="2" s="1"/>
  <c r="D855" i="2"/>
  <c r="E855" i="2" s="1"/>
  <c r="D854" i="2"/>
  <c r="E854" i="2" s="1"/>
  <c r="D853" i="2"/>
  <c r="E853" i="2" s="1"/>
  <c r="D852" i="2"/>
  <c r="E852" i="2" s="1"/>
  <c r="D851" i="2"/>
  <c r="E851" i="2" s="1"/>
  <c r="D850" i="2"/>
  <c r="E850" i="2" s="1"/>
  <c r="E849" i="2"/>
  <c r="D849" i="2"/>
  <c r="D848" i="2"/>
  <c r="E848" i="2" s="1"/>
  <c r="D847" i="2"/>
  <c r="E847" i="2" s="1"/>
  <c r="D846" i="2"/>
  <c r="E846" i="2" s="1"/>
  <c r="D845" i="2"/>
  <c r="E845" i="2" s="1"/>
  <c r="D844" i="2"/>
  <c r="E844" i="2" s="1"/>
  <c r="D843" i="2"/>
  <c r="E843" i="2" s="1"/>
  <c r="D842" i="2"/>
  <c r="E842" i="2" s="1"/>
  <c r="D841" i="2"/>
  <c r="E841" i="2" s="1"/>
  <c r="D840" i="2"/>
  <c r="E840" i="2" s="1"/>
  <c r="E839" i="2"/>
  <c r="D839" i="2"/>
  <c r="D838" i="2"/>
  <c r="E838" i="2" s="1"/>
  <c r="D837" i="2"/>
  <c r="E837" i="2" s="1"/>
  <c r="D836" i="2"/>
  <c r="E836" i="2" s="1"/>
  <c r="D835" i="2"/>
  <c r="E835" i="2" s="1"/>
  <c r="E834" i="2"/>
  <c r="D834" i="2"/>
  <c r="D833" i="2"/>
  <c r="E833" i="2" s="1"/>
  <c r="D832" i="2"/>
  <c r="E832" i="2" s="1"/>
  <c r="D831" i="2"/>
  <c r="E831" i="2" s="1"/>
  <c r="D830" i="2"/>
  <c r="E830" i="2" s="1"/>
  <c r="D829" i="2"/>
  <c r="E829" i="2" s="1"/>
  <c r="D828" i="2"/>
  <c r="E828" i="2" s="1"/>
  <c r="D827" i="2"/>
  <c r="E827" i="2" s="1"/>
  <c r="D826" i="2"/>
  <c r="E826" i="2" s="1"/>
  <c r="D825" i="2"/>
  <c r="E825" i="2" s="1"/>
  <c r="D824" i="2"/>
  <c r="E824" i="2" s="1"/>
  <c r="D823" i="2"/>
  <c r="E823" i="2" s="1"/>
  <c r="D822" i="2"/>
  <c r="E822" i="2" s="1"/>
  <c r="D821" i="2"/>
  <c r="E821" i="2" s="1"/>
  <c r="D820" i="2"/>
  <c r="E820" i="2" s="1"/>
  <c r="D819" i="2"/>
  <c r="E819" i="2" s="1"/>
  <c r="D818" i="2"/>
  <c r="E818" i="2" s="1"/>
  <c r="D817" i="2"/>
  <c r="E817" i="2" s="1"/>
  <c r="D816" i="2"/>
  <c r="E816" i="2" s="1"/>
  <c r="D815" i="2"/>
  <c r="E815" i="2" s="1"/>
  <c r="D814" i="2"/>
  <c r="E814" i="2" s="1"/>
  <c r="E813" i="2"/>
  <c r="D813" i="2"/>
  <c r="D812" i="2"/>
  <c r="E812" i="2" s="1"/>
  <c r="D811" i="2"/>
  <c r="E811" i="2" s="1"/>
  <c r="D810" i="2"/>
  <c r="E810" i="2" s="1"/>
  <c r="E809" i="2"/>
  <c r="D809" i="2"/>
  <c r="D808" i="2"/>
  <c r="E808" i="2" s="1"/>
  <c r="D807" i="2"/>
  <c r="E807" i="2" s="1"/>
  <c r="D806" i="2"/>
  <c r="E806" i="2" s="1"/>
  <c r="D805" i="2"/>
  <c r="E805" i="2" s="1"/>
  <c r="D804" i="2"/>
  <c r="E804" i="2" s="1"/>
  <c r="D803" i="2"/>
  <c r="E803" i="2" s="1"/>
  <c r="D802" i="2"/>
  <c r="E802" i="2" s="1"/>
  <c r="D801" i="2"/>
  <c r="E801" i="2" s="1"/>
  <c r="D800" i="2"/>
  <c r="E800" i="2" s="1"/>
  <c r="D799" i="2"/>
  <c r="E799" i="2" s="1"/>
  <c r="D798" i="2"/>
  <c r="E798" i="2" s="1"/>
  <c r="D797" i="2"/>
  <c r="E797" i="2" s="1"/>
  <c r="D796" i="2"/>
  <c r="E796" i="2" s="1"/>
  <c r="D795" i="2"/>
  <c r="E795" i="2" s="1"/>
  <c r="D794" i="2"/>
  <c r="E794" i="2" s="1"/>
  <c r="D793" i="2"/>
  <c r="E793" i="2" s="1"/>
  <c r="D792" i="2"/>
  <c r="E792" i="2" s="1"/>
  <c r="D791" i="2"/>
  <c r="E791" i="2" s="1"/>
  <c r="E790" i="2"/>
  <c r="D790" i="2"/>
  <c r="D789" i="2"/>
  <c r="E789" i="2" s="1"/>
  <c r="D788" i="2"/>
  <c r="E788" i="2" s="1"/>
  <c r="D787" i="2"/>
  <c r="E787" i="2" s="1"/>
  <c r="E786" i="2"/>
  <c r="D786" i="2"/>
  <c r="E785" i="2"/>
  <c r="D785" i="2"/>
  <c r="D784" i="2"/>
  <c r="E784" i="2" s="1"/>
  <c r="D783" i="2"/>
  <c r="E783" i="2" s="1"/>
  <c r="D782" i="2"/>
  <c r="E782" i="2" s="1"/>
  <c r="D781" i="2"/>
  <c r="E781" i="2" s="1"/>
  <c r="D780" i="2"/>
  <c r="E780" i="2" s="1"/>
  <c r="E779" i="2"/>
  <c r="D779" i="2"/>
  <c r="D778" i="2"/>
  <c r="E778" i="2" s="1"/>
  <c r="D777" i="2"/>
  <c r="E777" i="2" s="1"/>
  <c r="D776" i="2"/>
  <c r="E776" i="2" s="1"/>
  <c r="D775" i="2"/>
  <c r="E775" i="2" s="1"/>
  <c r="D774" i="2"/>
  <c r="E774" i="2" s="1"/>
  <c r="D773" i="2"/>
  <c r="E773" i="2" s="1"/>
  <c r="D772" i="2"/>
  <c r="E772" i="2" s="1"/>
  <c r="D771" i="2"/>
  <c r="E771" i="2" s="1"/>
  <c r="D770" i="2"/>
  <c r="E770" i="2" s="1"/>
  <c r="E769" i="2"/>
  <c r="D769" i="2"/>
  <c r="D768" i="2"/>
  <c r="E768" i="2" s="1"/>
  <c r="D767" i="2"/>
  <c r="E767" i="2" s="1"/>
  <c r="D766" i="2"/>
  <c r="E766" i="2" s="1"/>
  <c r="D765" i="2"/>
  <c r="E765" i="2" s="1"/>
  <c r="D764" i="2"/>
  <c r="E764" i="2" s="1"/>
  <c r="D763" i="2"/>
  <c r="E763" i="2" s="1"/>
  <c r="D762" i="2"/>
  <c r="E762" i="2" s="1"/>
  <c r="D761" i="2"/>
  <c r="E761" i="2" s="1"/>
  <c r="D760" i="2"/>
  <c r="E760" i="2" s="1"/>
  <c r="D759" i="2"/>
  <c r="E759" i="2" s="1"/>
  <c r="D758" i="2"/>
  <c r="E758" i="2" s="1"/>
  <c r="D757" i="2"/>
  <c r="E757" i="2" s="1"/>
  <c r="D756" i="2"/>
  <c r="E756" i="2" s="1"/>
  <c r="D755" i="2"/>
  <c r="E755" i="2" s="1"/>
  <c r="D754" i="2"/>
  <c r="E754" i="2" s="1"/>
  <c r="D753" i="2"/>
  <c r="E753" i="2" s="1"/>
  <c r="D752" i="2"/>
  <c r="E752" i="2" s="1"/>
  <c r="E751" i="2"/>
  <c r="D751" i="2"/>
  <c r="D750" i="2"/>
  <c r="E750" i="2" s="1"/>
  <c r="D749" i="2"/>
  <c r="E749" i="2" s="1"/>
  <c r="D748" i="2"/>
  <c r="E748" i="2" s="1"/>
  <c r="D747" i="2"/>
  <c r="E747" i="2" s="1"/>
  <c r="D746" i="2"/>
  <c r="E746" i="2" s="1"/>
  <c r="D745" i="2"/>
  <c r="E745" i="2" s="1"/>
  <c r="D744" i="2"/>
  <c r="E744" i="2" s="1"/>
  <c r="D743" i="2"/>
  <c r="E743" i="2" s="1"/>
  <c r="D742" i="2"/>
  <c r="E742" i="2" s="1"/>
  <c r="D741" i="2"/>
  <c r="E741" i="2" s="1"/>
  <c r="D740" i="2"/>
  <c r="E740" i="2" s="1"/>
  <c r="D739" i="2"/>
  <c r="E739" i="2" s="1"/>
  <c r="D738" i="2"/>
  <c r="E738" i="2" s="1"/>
  <c r="D737" i="2"/>
  <c r="E737" i="2" s="1"/>
  <c r="D736" i="2"/>
  <c r="E736" i="2" s="1"/>
  <c r="D735" i="2"/>
  <c r="E735" i="2" s="1"/>
  <c r="D734" i="2"/>
  <c r="E734" i="2" s="1"/>
  <c r="D733" i="2"/>
  <c r="E733" i="2" s="1"/>
  <c r="D732" i="2"/>
  <c r="E732" i="2" s="1"/>
  <c r="D731" i="2"/>
  <c r="E731" i="2" s="1"/>
  <c r="D730" i="2"/>
  <c r="E730" i="2" s="1"/>
  <c r="D729" i="2"/>
  <c r="E729" i="2" s="1"/>
  <c r="E728" i="2"/>
  <c r="D728" i="2"/>
  <c r="D727" i="2"/>
  <c r="E727" i="2" s="1"/>
  <c r="D726" i="2"/>
  <c r="E726" i="2" s="1"/>
  <c r="D725" i="2"/>
  <c r="E725" i="2" s="1"/>
  <c r="D724" i="2"/>
  <c r="E724" i="2" s="1"/>
  <c r="D723" i="2"/>
  <c r="E723" i="2" s="1"/>
  <c r="E722" i="2"/>
  <c r="D722" i="2"/>
  <c r="D721" i="2"/>
  <c r="E721" i="2" s="1"/>
  <c r="D720" i="2"/>
  <c r="E720" i="2" s="1"/>
  <c r="E719" i="2"/>
  <c r="D719" i="2"/>
  <c r="D718" i="2"/>
  <c r="E718" i="2" s="1"/>
  <c r="D717" i="2"/>
  <c r="E717" i="2" s="1"/>
  <c r="D716" i="2"/>
  <c r="E716" i="2" s="1"/>
  <c r="D715" i="2"/>
  <c r="E715" i="2" s="1"/>
  <c r="D714" i="2"/>
  <c r="E714" i="2" s="1"/>
  <c r="D713" i="2"/>
  <c r="E713" i="2" s="1"/>
  <c r="D712" i="2"/>
  <c r="E712" i="2" s="1"/>
  <c r="D711" i="2"/>
  <c r="E711" i="2" s="1"/>
  <c r="D710" i="2"/>
  <c r="E710" i="2" s="1"/>
  <c r="E709" i="2"/>
  <c r="D709" i="2"/>
  <c r="D708" i="2"/>
  <c r="E708" i="2" s="1"/>
  <c r="D707" i="2"/>
  <c r="E707" i="2" s="1"/>
  <c r="D706" i="2"/>
  <c r="E706" i="2" s="1"/>
  <c r="D705" i="2"/>
  <c r="E705" i="2" s="1"/>
  <c r="E704" i="2"/>
  <c r="D704" i="2"/>
  <c r="D703" i="2"/>
  <c r="E703" i="2" s="1"/>
  <c r="D702" i="2"/>
  <c r="E702" i="2" s="1"/>
  <c r="D701" i="2"/>
  <c r="E701" i="2" s="1"/>
  <c r="D700" i="2"/>
  <c r="E700" i="2" s="1"/>
  <c r="D699" i="2"/>
  <c r="E699" i="2" s="1"/>
  <c r="D698" i="2"/>
  <c r="E698" i="2" s="1"/>
  <c r="D697" i="2"/>
  <c r="E697" i="2" s="1"/>
  <c r="D696" i="2"/>
  <c r="E696" i="2" s="1"/>
  <c r="D695" i="2"/>
  <c r="E695" i="2" s="1"/>
  <c r="D694" i="2"/>
  <c r="E694" i="2" s="1"/>
  <c r="D693" i="2"/>
  <c r="E693" i="2" s="1"/>
  <c r="D692" i="2"/>
  <c r="E692" i="2" s="1"/>
  <c r="D691" i="2"/>
  <c r="E691" i="2" s="1"/>
  <c r="D690" i="2"/>
  <c r="E690" i="2" s="1"/>
  <c r="D689" i="2"/>
  <c r="E689" i="2" s="1"/>
  <c r="D688" i="2"/>
  <c r="E688" i="2" s="1"/>
  <c r="D687" i="2"/>
  <c r="E687" i="2" s="1"/>
  <c r="D686" i="2"/>
  <c r="E686" i="2" s="1"/>
  <c r="D685" i="2"/>
  <c r="E685" i="2" s="1"/>
  <c r="D684" i="2"/>
  <c r="E684" i="2" s="1"/>
  <c r="D683" i="2"/>
  <c r="E683" i="2" s="1"/>
  <c r="D682" i="2"/>
  <c r="E682" i="2" s="1"/>
  <c r="D681" i="2"/>
  <c r="E681" i="2" s="1"/>
  <c r="E680" i="2"/>
  <c r="D680" i="2"/>
  <c r="D679" i="2"/>
  <c r="E679" i="2" s="1"/>
  <c r="D678" i="2"/>
  <c r="E678" i="2" s="1"/>
  <c r="D677" i="2"/>
  <c r="E677" i="2" s="1"/>
  <c r="E676" i="2"/>
  <c r="D676" i="2"/>
  <c r="D675" i="2"/>
  <c r="E675" i="2" s="1"/>
  <c r="D674" i="2"/>
  <c r="E674" i="2" s="1"/>
  <c r="D673" i="2"/>
  <c r="E673" i="2" s="1"/>
  <c r="D672" i="2"/>
  <c r="E672" i="2" s="1"/>
  <c r="D671" i="2"/>
  <c r="E671" i="2" s="1"/>
  <c r="D670" i="2"/>
  <c r="E670" i="2" s="1"/>
  <c r="D669" i="2"/>
  <c r="E669" i="2" s="1"/>
  <c r="D668" i="2"/>
  <c r="E668" i="2" s="1"/>
  <c r="D667" i="2"/>
  <c r="E667" i="2" s="1"/>
  <c r="E666" i="2"/>
  <c r="D666" i="2"/>
  <c r="D665" i="2"/>
  <c r="E665" i="2" s="1"/>
  <c r="D664" i="2"/>
  <c r="E664" i="2" s="1"/>
  <c r="D663" i="2"/>
  <c r="E663" i="2" s="1"/>
  <c r="D662" i="2"/>
  <c r="E662" i="2" s="1"/>
  <c r="D661" i="2"/>
  <c r="E661" i="2" s="1"/>
  <c r="E660" i="2"/>
  <c r="D660" i="2"/>
  <c r="D659" i="2"/>
  <c r="E659" i="2" s="1"/>
  <c r="D658" i="2"/>
  <c r="E658" i="2" s="1"/>
  <c r="D657" i="2"/>
  <c r="E657" i="2" s="1"/>
  <c r="D656" i="2"/>
  <c r="E656" i="2" s="1"/>
  <c r="D655" i="2"/>
  <c r="E655" i="2" s="1"/>
  <c r="D654" i="2"/>
  <c r="E654" i="2" s="1"/>
  <c r="D653" i="2"/>
  <c r="E653" i="2" s="1"/>
  <c r="D652" i="2"/>
  <c r="E652" i="2" s="1"/>
  <c r="D651" i="2"/>
  <c r="E651" i="2" s="1"/>
  <c r="D650" i="2"/>
  <c r="E650" i="2" s="1"/>
  <c r="D649" i="2"/>
  <c r="E649" i="2" s="1"/>
  <c r="D648" i="2"/>
  <c r="E648" i="2" s="1"/>
  <c r="D647" i="2"/>
  <c r="E647" i="2" s="1"/>
  <c r="D646" i="2"/>
  <c r="E646" i="2" s="1"/>
  <c r="D645" i="2"/>
  <c r="E645" i="2" s="1"/>
  <c r="D644" i="2"/>
  <c r="E644" i="2" s="1"/>
  <c r="D643" i="2"/>
  <c r="E643" i="2" s="1"/>
  <c r="D642" i="2"/>
  <c r="E642" i="2" s="1"/>
  <c r="D641" i="2"/>
  <c r="E641" i="2" s="1"/>
  <c r="D640" i="2"/>
  <c r="E640" i="2" s="1"/>
  <c r="E639" i="2"/>
  <c r="D639" i="2"/>
  <c r="D638" i="2"/>
  <c r="E638" i="2" s="1"/>
  <c r="D637" i="2"/>
  <c r="E637" i="2" s="1"/>
  <c r="D636" i="2"/>
  <c r="E636" i="2" s="1"/>
  <c r="D635" i="2"/>
  <c r="E635" i="2" s="1"/>
  <c r="E634" i="2"/>
  <c r="D634" i="2"/>
  <c r="D633" i="2"/>
  <c r="E633" i="2" s="1"/>
  <c r="D632" i="2"/>
  <c r="E632" i="2" s="1"/>
  <c r="D631" i="2"/>
  <c r="E631" i="2" s="1"/>
  <c r="D630" i="2"/>
  <c r="E630" i="2" s="1"/>
  <c r="D629" i="2"/>
  <c r="E629" i="2" s="1"/>
  <c r="D628" i="2"/>
  <c r="E628" i="2" s="1"/>
  <c r="D627" i="2"/>
  <c r="E627" i="2" s="1"/>
  <c r="D626" i="2"/>
  <c r="E626" i="2" s="1"/>
  <c r="D625" i="2"/>
  <c r="E625" i="2" s="1"/>
  <c r="D624" i="2"/>
  <c r="E624" i="2" s="1"/>
  <c r="D623" i="2"/>
  <c r="E623" i="2" s="1"/>
  <c r="D622" i="2"/>
  <c r="E622" i="2" s="1"/>
  <c r="D621" i="2"/>
  <c r="E621" i="2" s="1"/>
  <c r="D620" i="2"/>
  <c r="E620" i="2" s="1"/>
  <c r="D619" i="2"/>
  <c r="E619" i="2" s="1"/>
  <c r="D618" i="2"/>
  <c r="E618" i="2" s="1"/>
  <c r="D617" i="2"/>
  <c r="E617" i="2" s="1"/>
  <c r="D616" i="2"/>
  <c r="E616" i="2" s="1"/>
  <c r="D615" i="2"/>
  <c r="E615" i="2" s="1"/>
  <c r="D614" i="2"/>
  <c r="E614" i="2" s="1"/>
  <c r="D613" i="2"/>
  <c r="E613" i="2" s="1"/>
  <c r="D612" i="2"/>
  <c r="E612" i="2" s="1"/>
  <c r="D611" i="2"/>
  <c r="E611" i="2" s="1"/>
  <c r="E610" i="2"/>
  <c r="D610" i="2"/>
  <c r="E609" i="2"/>
  <c r="D609" i="2"/>
  <c r="D608" i="2"/>
  <c r="E608" i="2" s="1"/>
  <c r="D607" i="2"/>
  <c r="E607" i="2" s="1"/>
  <c r="D606" i="2"/>
  <c r="E606" i="2" s="1"/>
  <c r="D605" i="2"/>
  <c r="E605" i="2" s="1"/>
  <c r="D604" i="2"/>
  <c r="E604" i="2" s="1"/>
  <c r="D603" i="2"/>
  <c r="E603" i="2" s="1"/>
  <c r="D602" i="2"/>
  <c r="E602" i="2" s="1"/>
  <c r="D601" i="2"/>
  <c r="E601" i="2" s="1"/>
  <c r="D600" i="2"/>
  <c r="E600" i="2" s="1"/>
  <c r="D599" i="2"/>
  <c r="E599" i="2" s="1"/>
  <c r="D598" i="2"/>
  <c r="E598" i="2" s="1"/>
  <c r="D597" i="2"/>
  <c r="E597" i="2" s="1"/>
  <c r="D596" i="2"/>
  <c r="E596" i="2" s="1"/>
  <c r="D595" i="2"/>
  <c r="E595" i="2" s="1"/>
  <c r="D594" i="2"/>
  <c r="E594" i="2" s="1"/>
  <c r="D593" i="2"/>
  <c r="E593" i="2" s="1"/>
  <c r="D592" i="2"/>
  <c r="E592" i="2" s="1"/>
  <c r="D591" i="2"/>
  <c r="E591" i="2" s="1"/>
  <c r="D590" i="2"/>
  <c r="E590" i="2" s="1"/>
  <c r="D589" i="2"/>
  <c r="E589" i="2" s="1"/>
  <c r="D588" i="2"/>
  <c r="E588" i="2" s="1"/>
  <c r="D587" i="2"/>
  <c r="E587" i="2" s="1"/>
  <c r="E586" i="2"/>
  <c r="D586" i="2"/>
  <c r="D585" i="2"/>
  <c r="E585" i="2" s="1"/>
  <c r="D584" i="2"/>
  <c r="E584" i="2" s="1"/>
  <c r="D583" i="2"/>
  <c r="E583" i="2" s="1"/>
  <c r="D582" i="2"/>
  <c r="E582" i="2" s="1"/>
  <c r="D581" i="2"/>
  <c r="E581" i="2" s="1"/>
  <c r="D580" i="2"/>
  <c r="E580" i="2" s="1"/>
  <c r="E579" i="2"/>
  <c r="D579" i="2"/>
  <c r="D578" i="2"/>
  <c r="E578" i="2" s="1"/>
  <c r="D577" i="2"/>
  <c r="E577" i="2" s="1"/>
  <c r="D576" i="2"/>
  <c r="E576" i="2" s="1"/>
  <c r="D575" i="2"/>
  <c r="E575" i="2" s="1"/>
  <c r="D574" i="2"/>
  <c r="E574" i="2" s="1"/>
  <c r="D573" i="2"/>
  <c r="E573" i="2" s="1"/>
  <c r="D572" i="2"/>
  <c r="E572" i="2" s="1"/>
  <c r="D571" i="2"/>
  <c r="E571" i="2" s="1"/>
  <c r="D570" i="2"/>
  <c r="E570" i="2" s="1"/>
  <c r="D569" i="2"/>
  <c r="E569" i="2" s="1"/>
  <c r="D568" i="2"/>
  <c r="E568" i="2" s="1"/>
  <c r="D567" i="2"/>
  <c r="E567" i="2" s="1"/>
  <c r="E566" i="2"/>
  <c r="D566" i="2"/>
  <c r="E565" i="2"/>
  <c r="D565" i="2"/>
  <c r="D564" i="2"/>
  <c r="E564" i="2" s="1"/>
  <c r="D563" i="2"/>
  <c r="E563" i="2" s="1"/>
  <c r="D562" i="2"/>
  <c r="E562" i="2" s="1"/>
  <c r="D561" i="2"/>
  <c r="E561" i="2" s="1"/>
  <c r="D560" i="2"/>
  <c r="E560" i="2" s="1"/>
  <c r="D559" i="2"/>
  <c r="E559" i="2" s="1"/>
  <c r="D558" i="2"/>
  <c r="E558" i="2" s="1"/>
  <c r="D557" i="2"/>
  <c r="E557" i="2" s="1"/>
  <c r="D556" i="2"/>
  <c r="E556" i="2" s="1"/>
  <c r="D555" i="2"/>
  <c r="E555" i="2" s="1"/>
  <c r="D554" i="2"/>
  <c r="E554" i="2" s="1"/>
  <c r="D553" i="2"/>
  <c r="E553" i="2" s="1"/>
  <c r="D552" i="2"/>
  <c r="E552" i="2" s="1"/>
  <c r="D551" i="2"/>
  <c r="E551" i="2" s="1"/>
  <c r="E550" i="2"/>
  <c r="D550" i="2"/>
  <c r="D549" i="2"/>
  <c r="E549" i="2" s="1"/>
  <c r="E548" i="2"/>
  <c r="D548" i="2"/>
  <c r="D547" i="2"/>
  <c r="E547" i="2" s="1"/>
  <c r="E546" i="2"/>
  <c r="D546" i="2"/>
  <c r="D545" i="2"/>
  <c r="E545" i="2" s="1"/>
  <c r="D544" i="2"/>
  <c r="E544" i="2" s="1"/>
  <c r="D543" i="2"/>
  <c r="E543" i="2" s="1"/>
  <c r="D542" i="2"/>
  <c r="E542" i="2" s="1"/>
  <c r="D541" i="2"/>
  <c r="E541" i="2" s="1"/>
  <c r="D540" i="2"/>
  <c r="E540" i="2" s="1"/>
  <c r="D539" i="2"/>
  <c r="E539" i="2" s="1"/>
  <c r="D538" i="2"/>
  <c r="E538" i="2" s="1"/>
  <c r="D537" i="2"/>
  <c r="E537" i="2" s="1"/>
  <c r="D536" i="2"/>
  <c r="E536" i="2" s="1"/>
  <c r="D535" i="2"/>
  <c r="E535" i="2" s="1"/>
  <c r="D534" i="2"/>
  <c r="E534" i="2" s="1"/>
  <c r="D533" i="2"/>
  <c r="E533" i="2" s="1"/>
  <c r="D532" i="2"/>
  <c r="E532" i="2" s="1"/>
  <c r="D531" i="2"/>
  <c r="E531" i="2" s="1"/>
  <c r="D530" i="2"/>
  <c r="E530" i="2" s="1"/>
  <c r="D529" i="2"/>
  <c r="E529" i="2" s="1"/>
  <c r="D528" i="2"/>
  <c r="E528" i="2" s="1"/>
  <c r="D527" i="2"/>
  <c r="E527" i="2" s="1"/>
  <c r="D526" i="2"/>
  <c r="E526" i="2" s="1"/>
  <c r="D525" i="2"/>
  <c r="E525" i="2" s="1"/>
  <c r="D524" i="2"/>
  <c r="E524" i="2" s="1"/>
  <c r="E523" i="2"/>
  <c r="D523" i="2"/>
  <c r="E522" i="2"/>
  <c r="D522" i="2"/>
  <c r="D521" i="2"/>
  <c r="E521" i="2" s="1"/>
  <c r="D520" i="2"/>
  <c r="E520" i="2" s="1"/>
  <c r="E519" i="2"/>
  <c r="D519" i="2"/>
  <c r="D518" i="2"/>
  <c r="E518" i="2" s="1"/>
  <c r="D517" i="2"/>
  <c r="E517" i="2" s="1"/>
  <c r="D516" i="2"/>
  <c r="E516" i="2" s="1"/>
  <c r="D515" i="2"/>
  <c r="E515" i="2" s="1"/>
  <c r="D514" i="2"/>
  <c r="E514" i="2" s="1"/>
  <c r="D513" i="2"/>
  <c r="E513" i="2" s="1"/>
  <c r="D512" i="2"/>
  <c r="E512" i="2" s="1"/>
  <c r="D511" i="2"/>
  <c r="E511" i="2" s="1"/>
  <c r="D510" i="2"/>
  <c r="E510" i="2" s="1"/>
  <c r="D509" i="2"/>
  <c r="E509" i="2" s="1"/>
  <c r="E508" i="2"/>
  <c r="D508" i="2"/>
  <c r="D507" i="2"/>
  <c r="E507" i="2" s="1"/>
  <c r="D506" i="2"/>
  <c r="E506" i="2" s="1"/>
  <c r="D505" i="2"/>
  <c r="E505" i="2" s="1"/>
  <c r="D504" i="2"/>
  <c r="E504" i="2" s="1"/>
  <c r="D503" i="2"/>
  <c r="E503" i="2" s="1"/>
  <c r="D502" i="2"/>
  <c r="E502" i="2" s="1"/>
  <c r="D501" i="2"/>
  <c r="E501" i="2" s="1"/>
  <c r="D500" i="2"/>
  <c r="E500" i="2" s="1"/>
  <c r="E499" i="2"/>
  <c r="D499" i="2"/>
  <c r="D498" i="2"/>
  <c r="E498" i="2" s="1"/>
  <c r="D497" i="2"/>
  <c r="E497" i="2" s="1"/>
  <c r="D496" i="2"/>
  <c r="E496" i="2" s="1"/>
  <c r="D495" i="2"/>
  <c r="E495" i="2" s="1"/>
  <c r="D494" i="2"/>
  <c r="E494" i="2" s="1"/>
  <c r="D493" i="2"/>
  <c r="E493" i="2" s="1"/>
  <c r="D492" i="2"/>
  <c r="E492" i="2" s="1"/>
  <c r="D491" i="2"/>
  <c r="E491" i="2" s="1"/>
  <c r="D490" i="2"/>
  <c r="E490" i="2" s="1"/>
  <c r="D489" i="2"/>
  <c r="E489" i="2" s="1"/>
  <c r="D488" i="2"/>
  <c r="E488" i="2" s="1"/>
  <c r="D487" i="2"/>
  <c r="E487" i="2" s="1"/>
  <c r="D486" i="2"/>
  <c r="E486" i="2" s="1"/>
  <c r="D485" i="2"/>
  <c r="E485" i="2" s="1"/>
  <c r="D484" i="2"/>
  <c r="E484" i="2" s="1"/>
  <c r="D483" i="2"/>
  <c r="E483" i="2" s="1"/>
  <c r="D482" i="2"/>
  <c r="E482" i="2" s="1"/>
  <c r="D481" i="2"/>
  <c r="E481" i="2" s="1"/>
  <c r="D480" i="2"/>
  <c r="E480" i="2" s="1"/>
  <c r="D479" i="2"/>
  <c r="E479" i="2" s="1"/>
  <c r="D478" i="2"/>
  <c r="E478" i="2" s="1"/>
  <c r="D477" i="2"/>
  <c r="E477" i="2" s="1"/>
  <c r="D476" i="2"/>
  <c r="E476" i="2" s="1"/>
  <c r="D475" i="2"/>
  <c r="E475" i="2" s="1"/>
  <c r="D474" i="2"/>
  <c r="E474" i="2" s="1"/>
  <c r="D473" i="2"/>
  <c r="E473" i="2" s="1"/>
  <c r="D472" i="2"/>
  <c r="E472" i="2" s="1"/>
  <c r="D471" i="2"/>
  <c r="E471" i="2" s="1"/>
  <c r="D470" i="2"/>
  <c r="E470" i="2" s="1"/>
  <c r="D469" i="2"/>
  <c r="E469" i="2" s="1"/>
  <c r="D468" i="2"/>
  <c r="E468" i="2" s="1"/>
  <c r="D467" i="2"/>
  <c r="E467" i="2" s="1"/>
  <c r="D466" i="2"/>
  <c r="E466" i="2" s="1"/>
  <c r="D465" i="2"/>
  <c r="E465" i="2" s="1"/>
  <c r="D464" i="2"/>
  <c r="E464" i="2" s="1"/>
  <c r="E463" i="2"/>
  <c r="D463" i="2"/>
  <c r="D462" i="2"/>
  <c r="E462" i="2" s="1"/>
  <c r="D461" i="2"/>
  <c r="E461" i="2" s="1"/>
  <c r="D460" i="2"/>
  <c r="E460" i="2" s="1"/>
  <c r="D459" i="2"/>
  <c r="E459" i="2" s="1"/>
  <c r="E458" i="2"/>
  <c r="D458" i="2"/>
  <c r="D457" i="2"/>
  <c r="E457" i="2" s="1"/>
  <c r="D456" i="2"/>
  <c r="E456" i="2" s="1"/>
  <c r="E455" i="2"/>
  <c r="D455" i="2"/>
  <c r="D454" i="2"/>
  <c r="E454" i="2" s="1"/>
  <c r="D453" i="2"/>
  <c r="E453" i="2" s="1"/>
  <c r="D452" i="2"/>
  <c r="E452" i="2" s="1"/>
  <c r="D451" i="2"/>
  <c r="E451" i="2" s="1"/>
  <c r="E450" i="2"/>
  <c r="D450" i="2"/>
  <c r="E449" i="2"/>
  <c r="D449" i="2"/>
  <c r="D448" i="2"/>
  <c r="E448" i="2" s="1"/>
  <c r="D447" i="2"/>
  <c r="E447" i="2" s="1"/>
  <c r="D446" i="2"/>
  <c r="E446" i="2" s="1"/>
  <c r="D445" i="2"/>
  <c r="E445" i="2" s="1"/>
  <c r="D444" i="2"/>
  <c r="E444" i="2" s="1"/>
  <c r="D443" i="2"/>
  <c r="E443" i="2" s="1"/>
  <c r="D442" i="2"/>
  <c r="E442" i="2" s="1"/>
  <c r="D441" i="2"/>
  <c r="E441" i="2" s="1"/>
  <c r="D440" i="2"/>
  <c r="E440" i="2" s="1"/>
  <c r="D439" i="2"/>
  <c r="E439" i="2" s="1"/>
  <c r="D438" i="2"/>
  <c r="E438" i="2" s="1"/>
  <c r="D437" i="2"/>
  <c r="E437" i="2" s="1"/>
  <c r="D436" i="2"/>
  <c r="E436" i="2" s="1"/>
  <c r="D435" i="2"/>
  <c r="E435" i="2" s="1"/>
  <c r="E434" i="2"/>
  <c r="D434" i="2"/>
  <c r="D433" i="2"/>
  <c r="E433" i="2" s="1"/>
  <c r="D432" i="2"/>
  <c r="E432" i="2" s="1"/>
  <c r="D431" i="2"/>
  <c r="E431" i="2" s="1"/>
  <c r="D430" i="2"/>
  <c r="E430" i="2" s="1"/>
  <c r="D429" i="2"/>
  <c r="E429" i="2" s="1"/>
  <c r="D428" i="2"/>
  <c r="E428" i="2" s="1"/>
  <c r="D427" i="2"/>
  <c r="E427" i="2" s="1"/>
  <c r="D426" i="2"/>
  <c r="E426" i="2" s="1"/>
  <c r="D425" i="2"/>
  <c r="E425" i="2" s="1"/>
  <c r="D424" i="2"/>
  <c r="E424" i="2" s="1"/>
  <c r="D423" i="2"/>
  <c r="E423" i="2" s="1"/>
  <c r="D422" i="2"/>
  <c r="E422" i="2" s="1"/>
  <c r="D421" i="2"/>
  <c r="E421" i="2" s="1"/>
  <c r="D420" i="2"/>
  <c r="E420" i="2" s="1"/>
  <c r="E419" i="2"/>
  <c r="D419" i="2"/>
  <c r="E418" i="2"/>
  <c r="D418" i="2"/>
  <c r="D417" i="2"/>
  <c r="E417" i="2" s="1"/>
  <c r="D416" i="2"/>
  <c r="E416" i="2" s="1"/>
  <c r="D415" i="2"/>
  <c r="E415" i="2" s="1"/>
  <c r="D414" i="2"/>
  <c r="E414" i="2" s="1"/>
  <c r="D413" i="2"/>
  <c r="E413" i="2" s="1"/>
  <c r="D412" i="2"/>
  <c r="E412" i="2" s="1"/>
  <c r="D411" i="2"/>
  <c r="E411" i="2" s="1"/>
  <c r="D410" i="2"/>
  <c r="E410" i="2" s="1"/>
  <c r="D409" i="2"/>
  <c r="E409" i="2" s="1"/>
  <c r="D408" i="2"/>
  <c r="E408" i="2" s="1"/>
  <c r="D407" i="2"/>
  <c r="E407" i="2" s="1"/>
  <c r="D406" i="2"/>
  <c r="E406" i="2" s="1"/>
  <c r="D405" i="2"/>
  <c r="E405" i="2" s="1"/>
  <c r="D404" i="2"/>
  <c r="E404" i="2" s="1"/>
  <c r="D403" i="2"/>
  <c r="E403" i="2" s="1"/>
  <c r="D402" i="2"/>
  <c r="E402" i="2" s="1"/>
  <c r="D401" i="2"/>
  <c r="E401" i="2" s="1"/>
  <c r="D400" i="2"/>
  <c r="E400" i="2" s="1"/>
  <c r="D399" i="2"/>
  <c r="E399" i="2" s="1"/>
  <c r="D398" i="2"/>
  <c r="E398" i="2" s="1"/>
  <c r="D397" i="2"/>
  <c r="E397" i="2" s="1"/>
  <c r="D396" i="2"/>
  <c r="E396" i="2" s="1"/>
  <c r="D395" i="2"/>
  <c r="E395" i="2" s="1"/>
  <c r="D394" i="2"/>
  <c r="E394" i="2" s="1"/>
  <c r="D393" i="2"/>
  <c r="E393" i="2" s="1"/>
  <c r="D392" i="2"/>
  <c r="E392" i="2" s="1"/>
  <c r="D391" i="2"/>
  <c r="E391" i="2" s="1"/>
  <c r="D390" i="2"/>
  <c r="E390" i="2" s="1"/>
  <c r="D389" i="2"/>
  <c r="E389" i="2" s="1"/>
  <c r="D388" i="2"/>
  <c r="E388" i="2" s="1"/>
  <c r="D387" i="2"/>
  <c r="E387" i="2" s="1"/>
  <c r="E386" i="2"/>
  <c r="D386" i="2"/>
  <c r="D385" i="2"/>
  <c r="E385" i="2" s="1"/>
  <c r="D384" i="2"/>
  <c r="E384" i="2" s="1"/>
  <c r="D383" i="2"/>
  <c r="E383" i="2" s="1"/>
  <c r="D382" i="2"/>
  <c r="E382" i="2" s="1"/>
  <c r="D381" i="2"/>
  <c r="E381" i="2" s="1"/>
  <c r="D380" i="2"/>
  <c r="E380" i="2" s="1"/>
  <c r="D379" i="2"/>
  <c r="E379" i="2" s="1"/>
  <c r="D378" i="2"/>
  <c r="E378" i="2" s="1"/>
  <c r="D377" i="2"/>
  <c r="E377" i="2" s="1"/>
  <c r="E376" i="2"/>
  <c r="D376" i="2"/>
  <c r="D375" i="2"/>
  <c r="E375" i="2" s="1"/>
  <c r="D374" i="2"/>
  <c r="E374" i="2" s="1"/>
  <c r="D373" i="2"/>
  <c r="E373" i="2" s="1"/>
  <c r="D372" i="2"/>
  <c r="E372" i="2" s="1"/>
  <c r="E371" i="2"/>
  <c r="D371" i="2"/>
  <c r="D370" i="2"/>
  <c r="E370" i="2" s="1"/>
  <c r="E369" i="2"/>
  <c r="D369" i="2"/>
  <c r="D368" i="2"/>
  <c r="E368" i="2" s="1"/>
  <c r="D367" i="2"/>
  <c r="E367" i="2" s="1"/>
  <c r="E366" i="2"/>
  <c r="D366" i="2"/>
  <c r="D365" i="2"/>
  <c r="E365" i="2" s="1"/>
  <c r="D364" i="2"/>
  <c r="E364" i="2" s="1"/>
  <c r="D363" i="2"/>
  <c r="E363" i="2" s="1"/>
  <c r="D362" i="2"/>
  <c r="E362" i="2" s="1"/>
  <c r="D361" i="2"/>
  <c r="E361" i="2" s="1"/>
  <c r="D360" i="2"/>
  <c r="E360" i="2" s="1"/>
  <c r="D359" i="2"/>
  <c r="E359" i="2" s="1"/>
  <c r="D358" i="2"/>
  <c r="E358" i="2" s="1"/>
  <c r="D357" i="2"/>
  <c r="E357" i="2" s="1"/>
  <c r="D356" i="2"/>
  <c r="E356" i="2" s="1"/>
  <c r="D355" i="2"/>
  <c r="E355" i="2" s="1"/>
  <c r="D354" i="2"/>
  <c r="E354" i="2" s="1"/>
  <c r="D353" i="2"/>
  <c r="E353" i="2" s="1"/>
  <c r="D352" i="2"/>
  <c r="E352" i="2" s="1"/>
  <c r="D351" i="2"/>
  <c r="E351" i="2" s="1"/>
  <c r="E350" i="2"/>
  <c r="D350" i="2"/>
  <c r="D349" i="2"/>
  <c r="E349" i="2" s="1"/>
  <c r="D348" i="2"/>
  <c r="E348" i="2" s="1"/>
  <c r="D347" i="2"/>
  <c r="E347" i="2" s="1"/>
  <c r="D346" i="2"/>
  <c r="E346" i="2" s="1"/>
  <c r="D345" i="2"/>
  <c r="E345" i="2" s="1"/>
  <c r="E344" i="2"/>
  <c r="D344" i="2"/>
  <c r="D343" i="2"/>
  <c r="E343" i="2" s="1"/>
  <c r="D342" i="2"/>
  <c r="E342" i="2" s="1"/>
  <c r="D341" i="2"/>
  <c r="E341" i="2" s="1"/>
  <c r="D340" i="2"/>
  <c r="E340" i="2" s="1"/>
  <c r="E339" i="2"/>
  <c r="D339" i="2"/>
  <c r="D338" i="2"/>
  <c r="E338" i="2" s="1"/>
  <c r="D337" i="2"/>
  <c r="E337" i="2" s="1"/>
  <c r="E336" i="2"/>
  <c r="D336" i="2"/>
  <c r="D335" i="2"/>
  <c r="E335" i="2" s="1"/>
  <c r="D334" i="2"/>
  <c r="E334" i="2" s="1"/>
  <c r="D333" i="2"/>
  <c r="E333" i="2" s="1"/>
  <c r="D332" i="2"/>
  <c r="E332" i="2" s="1"/>
  <c r="D331" i="2"/>
  <c r="E331" i="2" s="1"/>
  <c r="D330" i="2"/>
  <c r="E330" i="2" s="1"/>
  <c r="D329" i="2"/>
  <c r="E329" i="2" s="1"/>
  <c r="D328" i="2"/>
  <c r="E328" i="2" s="1"/>
  <c r="D327" i="2"/>
  <c r="E327" i="2" s="1"/>
  <c r="D326" i="2"/>
  <c r="E326" i="2" s="1"/>
  <c r="D325" i="2"/>
  <c r="E325" i="2" s="1"/>
  <c r="D324" i="2"/>
  <c r="E324" i="2" s="1"/>
  <c r="D323" i="2"/>
  <c r="E323" i="2" s="1"/>
  <c r="D322" i="2"/>
  <c r="E322" i="2" s="1"/>
  <c r="D321" i="2"/>
  <c r="E321" i="2" s="1"/>
  <c r="D320" i="2"/>
  <c r="E320" i="2" s="1"/>
  <c r="D319" i="2"/>
  <c r="E319" i="2" s="1"/>
  <c r="D318" i="2"/>
  <c r="E318" i="2" s="1"/>
  <c r="D317" i="2"/>
  <c r="E317" i="2" s="1"/>
  <c r="D316" i="2"/>
  <c r="E316" i="2" s="1"/>
  <c r="D315" i="2"/>
  <c r="E315" i="2" s="1"/>
  <c r="D314" i="2"/>
  <c r="E314" i="2" s="1"/>
  <c r="D313" i="2"/>
  <c r="E313" i="2" s="1"/>
  <c r="D312" i="2"/>
  <c r="E312" i="2" s="1"/>
  <c r="D311" i="2"/>
  <c r="E311" i="2" s="1"/>
  <c r="D310" i="2"/>
  <c r="E310" i="2" s="1"/>
  <c r="E309" i="2"/>
  <c r="D309" i="2"/>
  <c r="D308" i="2"/>
  <c r="E308" i="2" s="1"/>
  <c r="D307" i="2"/>
  <c r="E307" i="2" s="1"/>
  <c r="D306" i="2"/>
  <c r="E306" i="2" s="1"/>
  <c r="D305" i="2"/>
  <c r="E305" i="2" s="1"/>
  <c r="E304" i="2"/>
  <c r="D304" i="2"/>
  <c r="D303" i="2"/>
  <c r="E303" i="2" s="1"/>
  <c r="D302" i="2"/>
  <c r="E302" i="2" s="1"/>
  <c r="D301" i="2"/>
  <c r="E301" i="2" s="1"/>
  <c r="D300" i="2"/>
  <c r="E300" i="2" s="1"/>
  <c r="D299" i="2"/>
  <c r="E299" i="2" s="1"/>
  <c r="D298" i="2"/>
  <c r="E298" i="2" s="1"/>
  <c r="D297" i="2"/>
  <c r="E297" i="2" s="1"/>
  <c r="D296" i="2"/>
  <c r="E296" i="2" s="1"/>
  <c r="D295" i="2"/>
  <c r="E295" i="2" s="1"/>
  <c r="D294" i="2"/>
  <c r="E294" i="2" s="1"/>
  <c r="D293" i="2"/>
  <c r="E293" i="2" s="1"/>
  <c r="E292" i="2"/>
  <c r="D292" i="2"/>
  <c r="D291" i="2"/>
  <c r="E291" i="2" s="1"/>
  <c r="D290" i="2"/>
  <c r="E290" i="2" s="1"/>
  <c r="E289" i="2"/>
  <c r="D289" i="2"/>
  <c r="D288" i="2"/>
  <c r="E288" i="2" s="1"/>
  <c r="D287" i="2"/>
  <c r="E287" i="2" s="1"/>
  <c r="D286" i="2"/>
  <c r="E286" i="2" s="1"/>
  <c r="D285" i="2"/>
  <c r="E285" i="2" s="1"/>
  <c r="D284" i="2"/>
  <c r="E284" i="2" s="1"/>
  <c r="D283" i="2"/>
  <c r="E283" i="2" s="1"/>
  <c r="D282" i="2"/>
  <c r="E282" i="2" s="1"/>
  <c r="E281" i="2"/>
  <c r="D281" i="2"/>
  <c r="D280" i="2"/>
  <c r="E280" i="2" s="1"/>
  <c r="D279" i="2"/>
  <c r="E279" i="2" s="1"/>
  <c r="D278" i="2"/>
  <c r="E278" i="2" s="1"/>
  <c r="D277" i="2"/>
  <c r="E277" i="2" s="1"/>
  <c r="E276" i="2"/>
  <c r="D276" i="2"/>
  <c r="D275" i="2"/>
  <c r="E275" i="2" s="1"/>
  <c r="D274" i="2"/>
  <c r="E274" i="2" s="1"/>
  <c r="D273" i="2"/>
  <c r="E273" i="2" s="1"/>
  <c r="D272" i="2"/>
  <c r="E272" i="2" s="1"/>
  <c r="D271" i="2"/>
  <c r="E271" i="2" s="1"/>
  <c r="D270" i="2"/>
  <c r="E270" i="2" s="1"/>
  <c r="D269" i="2"/>
  <c r="E269" i="2" s="1"/>
  <c r="D268" i="2"/>
  <c r="E268" i="2" s="1"/>
  <c r="D267" i="2"/>
  <c r="E267" i="2" s="1"/>
  <c r="D266" i="2"/>
  <c r="E266" i="2" s="1"/>
  <c r="D265" i="2"/>
  <c r="E265" i="2" s="1"/>
  <c r="D264" i="2"/>
  <c r="E264" i="2" s="1"/>
  <c r="D263" i="2"/>
  <c r="E263" i="2" s="1"/>
  <c r="D262" i="2"/>
  <c r="E262" i="2" s="1"/>
  <c r="D261" i="2"/>
  <c r="E261" i="2" s="1"/>
  <c r="D260" i="2"/>
  <c r="E260" i="2" s="1"/>
  <c r="D259" i="2"/>
  <c r="E259" i="2" s="1"/>
  <c r="D258" i="2"/>
  <c r="E258" i="2" s="1"/>
  <c r="D257" i="2"/>
  <c r="E257" i="2" s="1"/>
  <c r="D256" i="2"/>
  <c r="E256" i="2" s="1"/>
  <c r="D255" i="2"/>
  <c r="E255" i="2" s="1"/>
  <c r="D254" i="2"/>
  <c r="E254" i="2" s="1"/>
  <c r="D253" i="2"/>
  <c r="E253" i="2" s="1"/>
  <c r="D252" i="2"/>
  <c r="E252" i="2" s="1"/>
  <c r="D251" i="2"/>
  <c r="E251" i="2" s="1"/>
  <c r="E250" i="2"/>
  <c r="D250" i="2"/>
  <c r="D249" i="2"/>
  <c r="E249" i="2" s="1"/>
  <c r="D248" i="2"/>
  <c r="E248" i="2" s="1"/>
  <c r="D247" i="2"/>
  <c r="E247" i="2" s="1"/>
  <c r="D246" i="2"/>
  <c r="E246" i="2" s="1"/>
  <c r="D245" i="2"/>
  <c r="E245" i="2" s="1"/>
  <c r="D244" i="2"/>
  <c r="E244" i="2" s="1"/>
  <c r="D243" i="2"/>
  <c r="E243" i="2" s="1"/>
  <c r="D242" i="2"/>
  <c r="E242" i="2" s="1"/>
  <c r="D241" i="2"/>
  <c r="E241" i="2" s="1"/>
  <c r="D240" i="2"/>
  <c r="E240" i="2" s="1"/>
  <c r="D239" i="2"/>
  <c r="E239" i="2" s="1"/>
  <c r="D238" i="2"/>
  <c r="E238" i="2" s="1"/>
  <c r="D237" i="2"/>
  <c r="E237" i="2" s="1"/>
  <c r="D236" i="2"/>
  <c r="E236" i="2" s="1"/>
  <c r="D235" i="2"/>
  <c r="E235" i="2" s="1"/>
  <c r="D234" i="2"/>
  <c r="E234" i="2" s="1"/>
  <c r="D233" i="2"/>
  <c r="E233" i="2" s="1"/>
  <c r="D232" i="2"/>
  <c r="E232" i="2" s="1"/>
  <c r="E231" i="2"/>
  <c r="D231" i="2"/>
  <c r="D230" i="2"/>
  <c r="E230" i="2" s="1"/>
  <c r="D229" i="2"/>
  <c r="E229" i="2" s="1"/>
  <c r="D228" i="2"/>
  <c r="E228" i="2" s="1"/>
  <c r="D227" i="2"/>
  <c r="E227" i="2" s="1"/>
  <c r="D226" i="2"/>
  <c r="E226" i="2" s="1"/>
  <c r="D225" i="2"/>
  <c r="E225" i="2" s="1"/>
  <c r="D224" i="2"/>
  <c r="E224" i="2" s="1"/>
  <c r="D223" i="2"/>
  <c r="E223" i="2" s="1"/>
  <c r="D222" i="2"/>
  <c r="E222" i="2" s="1"/>
  <c r="D221" i="2"/>
  <c r="E221" i="2" s="1"/>
  <c r="D220" i="2"/>
  <c r="E220" i="2" s="1"/>
  <c r="D219" i="2"/>
  <c r="E219" i="2" s="1"/>
  <c r="D218" i="2"/>
  <c r="E218" i="2" s="1"/>
  <c r="D217" i="2"/>
  <c r="E217" i="2" s="1"/>
  <c r="D216" i="2"/>
  <c r="E216" i="2" s="1"/>
  <c r="D215" i="2"/>
  <c r="E215" i="2" s="1"/>
  <c r="E214" i="2"/>
  <c r="D214" i="2"/>
  <c r="D213" i="2"/>
  <c r="E213" i="2" s="1"/>
  <c r="D212" i="2"/>
  <c r="E212" i="2" s="1"/>
  <c r="D211" i="2"/>
  <c r="E211" i="2" s="1"/>
  <c r="D210" i="2"/>
  <c r="E210" i="2" s="1"/>
  <c r="D209" i="2"/>
  <c r="E209" i="2" s="1"/>
  <c r="D208" i="2"/>
  <c r="E208" i="2" s="1"/>
  <c r="D207" i="2"/>
  <c r="E207" i="2" s="1"/>
  <c r="D206" i="2"/>
  <c r="E206" i="2" s="1"/>
  <c r="D205" i="2"/>
  <c r="E205" i="2" s="1"/>
  <c r="D204" i="2"/>
  <c r="E204" i="2" s="1"/>
  <c r="D203" i="2"/>
  <c r="E203" i="2" s="1"/>
  <c r="D202" i="2"/>
  <c r="E202" i="2" s="1"/>
  <c r="D201" i="2"/>
  <c r="E201" i="2" s="1"/>
  <c r="E200" i="2"/>
  <c r="D200" i="2"/>
  <c r="D199" i="2"/>
  <c r="E199" i="2" s="1"/>
  <c r="D198" i="2"/>
  <c r="E198" i="2" s="1"/>
  <c r="D197" i="2"/>
  <c r="E197" i="2" s="1"/>
  <c r="D196" i="2"/>
  <c r="E196" i="2" s="1"/>
  <c r="D195" i="2"/>
  <c r="E195" i="2" s="1"/>
  <c r="D194" i="2"/>
  <c r="E194" i="2" s="1"/>
  <c r="D193" i="2"/>
  <c r="E193" i="2" s="1"/>
  <c r="D192" i="2"/>
  <c r="E192" i="2" s="1"/>
  <c r="D191" i="2"/>
  <c r="E191" i="2" s="1"/>
  <c r="D190" i="2"/>
  <c r="E190" i="2" s="1"/>
  <c r="D189" i="2"/>
  <c r="E189" i="2" s="1"/>
  <c r="D188" i="2"/>
  <c r="E188" i="2" s="1"/>
  <c r="D187" i="2"/>
  <c r="E187" i="2" s="1"/>
  <c r="D186" i="2"/>
  <c r="E186" i="2" s="1"/>
  <c r="D185" i="2"/>
  <c r="E185" i="2" s="1"/>
  <c r="E184" i="2"/>
  <c r="D184" i="2"/>
  <c r="D183" i="2"/>
  <c r="E183" i="2" s="1"/>
  <c r="D182" i="2"/>
  <c r="E182" i="2" s="1"/>
  <c r="D181" i="2"/>
  <c r="E181" i="2" s="1"/>
  <c r="D180" i="2"/>
  <c r="E180" i="2" s="1"/>
  <c r="D179" i="2"/>
  <c r="E179" i="2" s="1"/>
  <c r="D178" i="2"/>
  <c r="E178" i="2" s="1"/>
  <c r="D177" i="2"/>
  <c r="E177" i="2" s="1"/>
  <c r="D176" i="2"/>
  <c r="E176" i="2" s="1"/>
  <c r="D175" i="2"/>
  <c r="E175" i="2" s="1"/>
  <c r="D174" i="2"/>
  <c r="E174" i="2" s="1"/>
  <c r="D173" i="2"/>
  <c r="E173" i="2" s="1"/>
  <c r="D172" i="2"/>
  <c r="E172" i="2" s="1"/>
  <c r="D171" i="2"/>
  <c r="E171" i="2" s="1"/>
  <c r="D170" i="2"/>
  <c r="E170" i="2" s="1"/>
  <c r="E169" i="2"/>
  <c r="D169" i="2"/>
  <c r="D168" i="2"/>
  <c r="E168" i="2" s="1"/>
  <c r="D167" i="2"/>
  <c r="E167" i="2" s="1"/>
  <c r="D166" i="2"/>
  <c r="E166" i="2" s="1"/>
  <c r="D165" i="2"/>
  <c r="E165" i="2" s="1"/>
  <c r="D164" i="2"/>
  <c r="E164" i="2" s="1"/>
  <c r="D163" i="2"/>
  <c r="E163" i="2" s="1"/>
  <c r="D162" i="2"/>
  <c r="E162" i="2" s="1"/>
  <c r="D161" i="2"/>
  <c r="E161" i="2" s="1"/>
  <c r="E160" i="2"/>
  <c r="D160" i="2"/>
  <c r="E159" i="2"/>
  <c r="D159" i="2"/>
  <c r="D158" i="2"/>
  <c r="E158" i="2" s="1"/>
  <c r="D157" i="2"/>
  <c r="E157" i="2" s="1"/>
  <c r="D156" i="2"/>
  <c r="E156" i="2" s="1"/>
  <c r="D155" i="2"/>
  <c r="E155" i="2" s="1"/>
  <c r="D154" i="2"/>
  <c r="E154" i="2" s="1"/>
  <c r="D153" i="2"/>
  <c r="E153" i="2" s="1"/>
  <c r="D152" i="2"/>
  <c r="E152" i="2" s="1"/>
  <c r="D151" i="2"/>
  <c r="E151" i="2" s="1"/>
  <c r="D150" i="2"/>
  <c r="E150" i="2" s="1"/>
  <c r="D149" i="2"/>
  <c r="E149" i="2" s="1"/>
  <c r="D148" i="2"/>
  <c r="E148" i="2" s="1"/>
  <c r="D147" i="2"/>
  <c r="E147" i="2" s="1"/>
  <c r="D146" i="2"/>
  <c r="E146" i="2" s="1"/>
  <c r="D145" i="2"/>
  <c r="E145" i="2" s="1"/>
  <c r="D144" i="2"/>
  <c r="E144" i="2" s="1"/>
  <c r="D143" i="2"/>
  <c r="E143" i="2" s="1"/>
  <c r="D142" i="2"/>
  <c r="E142" i="2" s="1"/>
  <c r="D141" i="2"/>
  <c r="E141" i="2" s="1"/>
  <c r="D140" i="2"/>
  <c r="E140" i="2" s="1"/>
  <c r="D139" i="2"/>
  <c r="E139" i="2" s="1"/>
  <c r="D138" i="2"/>
  <c r="E138" i="2" s="1"/>
  <c r="D137" i="2"/>
  <c r="E137" i="2" s="1"/>
  <c r="D136" i="2"/>
  <c r="E136" i="2" s="1"/>
  <c r="D135" i="2"/>
  <c r="E135" i="2" s="1"/>
  <c r="E134" i="2"/>
  <c r="D134" i="2"/>
  <c r="D133" i="2"/>
  <c r="E133" i="2" s="1"/>
  <c r="D132" i="2"/>
  <c r="E132" i="2" s="1"/>
  <c r="D131" i="2"/>
  <c r="E131" i="2" s="1"/>
  <c r="D130" i="2"/>
  <c r="E130" i="2" s="1"/>
  <c r="D129" i="2"/>
  <c r="E129" i="2" s="1"/>
  <c r="D128" i="2"/>
  <c r="E128" i="2" s="1"/>
  <c r="D127" i="2"/>
  <c r="E127" i="2" s="1"/>
  <c r="D126" i="2"/>
  <c r="E126" i="2" s="1"/>
  <c r="D125" i="2"/>
  <c r="E125" i="2" s="1"/>
  <c r="D124" i="2"/>
  <c r="E124" i="2" s="1"/>
  <c r="D123" i="2"/>
  <c r="E123" i="2" s="1"/>
  <c r="D122" i="2"/>
  <c r="E122" i="2" s="1"/>
  <c r="D121" i="2"/>
  <c r="E121" i="2" s="1"/>
  <c r="D120" i="2"/>
  <c r="E120" i="2" s="1"/>
  <c r="E119" i="2"/>
  <c r="D119" i="2"/>
  <c r="D118" i="2"/>
  <c r="E118" i="2" s="1"/>
  <c r="D117" i="2"/>
  <c r="E117" i="2" s="1"/>
  <c r="D116" i="2"/>
  <c r="E116" i="2" s="1"/>
  <c r="D115" i="2"/>
  <c r="E115" i="2" s="1"/>
  <c r="D114" i="2"/>
  <c r="E114" i="2" s="1"/>
  <c r="E113" i="2"/>
  <c r="D113" i="2"/>
  <c r="D112" i="2"/>
  <c r="E112" i="2" s="1"/>
  <c r="D111" i="2"/>
  <c r="E111" i="2" s="1"/>
  <c r="D110" i="2"/>
  <c r="E110" i="2" s="1"/>
  <c r="D109" i="2"/>
  <c r="E109" i="2" s="1"/>
  <c r="D108" i="2"/>
  <c r="E108" i="2" s="1"/>
  <c r="D107" i="2"/>
  <c r="E107" i="2" s="1"/>
  <c r="D106" i="2"/>
  <c r="E106" i="2" s="1"/>
  <c r="D105" i="2"/>
  <c r="E105" i="2" s="1"/>
  <c r="D104" i="2"/>
  <c r="E104" i="2" s="1"/>
  <c r="D103" i="2"/>
  <c r="E103" i="2" s="1"/>
  <c r="D102" i="2"/>
  <c r="E102" i="2" s="1"/>
  <c r="D101" i="2"/>
  <c r="E101" i="2" s="1"/>
  <c r="D100" i="2"/>
  <c r="E100" i="2" s="1"/>
  <c r="E99" i="2"/>
  <c r="D99" i="2"/>
  <c r="D98" i="2"/>
  <c r="E98" i="2" s="1"/>
  <c r="D97" i="2"/>
  <c r="E97" i="2" s="1"/>
  <c r="D96" i="2"/>
  <c r="E96" i="2" s="1"/>
  <c r="D95" i="2"/>
  <c r="E95" i="2" s="1"/>
  <c r="D94" i="2"/>
  <c r="E94" i="2" s="1"/>
  <c r="D93" i="2"/>
  <c r="E93" i="2" s="1"/>
  <c r="D92" i="2"/>
  <c r="E92" i="2" s="1"/>
  <c r="D91" i="2"/>
  <c r="E91" i="2" s="1"/>
  <c r="D90" i="2"/>
  <c r="E90" i="2" s="1"/>
  <c r="D89" i="2"/>
  <c r="E89" i="2" s="1"/>
  <c r="D88" i="2"/>
  <c r="E88" i="2" s="1"/>
  <c r="D87" i="2"/>
  <c r="E87" i="2" s="1"/>
  <c r="D86" i="2"/>
  <c r="E86" i="2" s="1"/>
  <c r="D85" i="2"/>
  <c r="E85" i="2" s="1"/>
  <c r="D84" i="2"/>
  <c r="E84" i="2" s="1"/>
  <c r="D83" i="2"/>
  <c r="E83" i="2" s="1"/>
  <c r="D82" i="2"/>
  <c r="E82" i="2" s="1"/>
  <c r="D81" i="2"/>
  <c r="E81" i="2" s="1"/>
  <c r="E80" i="2"/>
  <c r="D80" i="2"/>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E50" i="2"/>
  <c r="D50" i="2"/>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E31" i="2"/>
  <c r="D31" i="2"/>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E14" i="2"/>
  <c r="D14" i="2"/>
  <c r="D13" i="2"/>
  <c r="E13" i="2" s="1"/>
  <c r="D12" i="2"/>
  <c r="E12" i="2" s="1"/>
  <c r="D11" i="2"/>
  <c r="E11" i="2" s="1"/>
  <c r="D10" i="2"/>
  <c r="E10" i="2" s="1"/>
  <c r="D9" i="2"/>
  <c r="E9" i="2" s="1"/>
  <c r="D8" i="2"/>
  <c r="E8" i="2" s="1"/>
  <c r="D7" i="2"/>
  <c r="E7" i="2" s="1"/>
  <c r="D6" i="2"/>
  <c r="E6" i="2" s="1"/>
  <c r="D5" i="2"/>
  <c r="E5" i="2" s="1"/>
  <c r="D4" i="2"/>
  <c r="E4" i="2" s="1"/>
  <c r="D3" i="2"/>
  <c r="E3" i="2" s="1"/>
  <c r="D2" i="2"/>
  <c r="E2" i="2" s="1"/>
  <c r="I9" i="4" l="1"/>
  <c r="J17" i="4"/>
  <c r="I8" i="4"/>
  <c r="J8" i="4"/>
  <c r="J14" i="4"/>
  <c r="J4" i="4"/>
  <c r="I4" i="4"/>
  <c r="I27" i="4"/>
  <c r="J3" i="4"/>
  <c r="I3" i="4"/>
  <c r="J25" i="4"/>
  <c r="I25" i="4"/>
  <c r="J15" i="4"/>
  <c r="I18" i="4"/>
  <c r="J13" i="4"/>
  <c r="I13" i="4"/>
  <c r="J10" i="4"/>
  <c r="I10" i="4"/>
</calcChain>
</file>

<file path=xl/sharedStrings.xml><?xml version="1.0" encoding="utf-8"?>
<sst xmlns="http://schemas.openxmlformats.org/spreadsheetml/2006/main" count="10861" uniqueCount="2895">
  <si>
    <t>範圍</t>
  </si>
  <si>
    <t>數量</t>
  </si>
  <si>
    <t>用途</t>
  </si>
  <si>
    <t>程式產生方式</t>
  </si>
  <si>
    <t>1-50</t>
  </si>
  <si>
    <t>戶抽詢問題＋戶抽訪問紀錄</t>
  </si>
  <si>
    <t>引用範本</t>
  </si>
  <si>
    <t>51-100</t>
  </si>
  <si>
    <t>備用</t>
  </si>
  <si>
    <t>101-1100</t>
  </si>
  <si>
    <t>問卷_不合理值</t>
  </si>
  <si>
    <t>套印檔</t>
  </si>
  <si>
    <t>1101-1400</t>
  </si>
  <si>
    <t>問卷_開放欄位</t>
  </si>
  <si>
    <t>1401-1700</t>
  </si>
  <si>
    <t>問卷_複選題(含題內互斥邏輯1601起)</t>
  </si>
  <si>
    <t>1701-2000</t>
  </si>
  <si>
    <t>問卷_跳題邏輯(含跨題間互斥)</t>
  </si>
  <si>
    <t>客製化撰寫</t>
  </si>
  <si>
    <t>2001-2300</t>
  </si>
  <si>
    <t>問卷_檢核項目清單</t>
  </si>
  <si>
    <t>2301-2500</t>
  </si>
  <si>
    <t>問卷_訪問紀錄</t>
  </si>
  <si>
    <t>變項名稱</t>
  </si>
  <si>
    <t>變項屬性</t>
  </si>
  <si>
    <t>寬度</t>
  </si>
  <si>
    <t>id</t>
  </si>
  <si>
    <t>字串</t>
  </si>
  <si>
    <t>no</t>
  </si>
  <si>
    <t>starttime</t>
  </si>
  <si>
    <t>數值</t>
  </si>
  <si>
    <t>endtime</t>
  </si>
  <si>
    <t>st1</t>
  </si>
  <si>
    <t>et1</t>
  </si>
  <si>
    <t>st2</t>
  </si>
  <si>
    <t>et2</t>
  </si>
  <si>
    <t>st3</t>
  </si>
  <si>
    <t>et3</t>
  </si>
  <si>
    <t>st4</t>
  </si>
  <si>
    <t>et4</t>
  </si>
  <si>
    <t>st5</t>
  </si>
  <si>
    <t>et5</t>
  </si>
  <si>
    <t>st6</t>
  </si>
  <si>
    <t>et6</t>
  </si>
  <si>
    <t>st7</t>
  </si>
  <si>
    <t>et7</t>
  </si>
  <si>
    <t>st8</t>
  </si>
  <si>
    <t>et8</t>
  </si>
  <si>
    <t>last</t>
  </si>
  <si>
    <t>vZA</t>
  </si>
  <si>
    <t>vZAo03</t>
  </si>
  <si>
    <t>vZA0</t>
  </si>
  <si>
    <t>vZA0_1</t>
  </si>
  <si>
    <t>vSF0</t>
  </si>
  <si>
    <t>vA1</t>
  </si>
  <si>
    <t>vA2</t>
  </si>
  <si>
    <t>vA3</t>
  </si>
  <si>
    <t>vA3o88</t>
  </si>
  <si>
    <t>vA4</t>
  </si>
  <si>
    <t>vA5city</t>
  </si>
  <si>
    <t>vA5city_oth</t>
  </si>
  <si>
    <t>vA5town</t>
  </si>
  <si>
    <t>vA6</t>
  </si>
  <si>
    <t>vA6o88</t>
  </si>
  <si>
    <t>vA7</t>
  </si>
  <si>
    <t>vA7o88</t>
  </si>
  <si>
    <t>vA8</t>
  </si>
  <si>
    <t>vA8o88</t>
  </si>
  <si>
    <t>vA9</t>
  </si>
  <si>
    <t>vA9o88</t>
  </si>
  <si>
    <t>vO1_1</t>
  </si>
  <si>
    <t>vO1_1o88</t>
  </si>
  <si>
    <t>vO1</t>
  </si>
  <si>
    <t>vO1o88</t>
  </si>
  <si>
    <t>vO2</t>
  </si>
  <si>
    <t>vO2o88</t>
  </si>
  <si>
    <t>vO3</t>
  </si>
  <si>
    <t>vO3o88</t>
  </si>
  <si>
    <t>vO4</t>
  </si>
  <si>
    <t>vD1</t>
  </si>
  <si>
    <t>vD2</t>
  </si>
  <si>
    <t>vD3</t>
  </si>
  <si>
    <t>vD4sD4</t>
  </si>
  <si>
    <t>vD4sD5</t>
  </si>
  <si>
    <t>vD4sD6</t>
  </si>
  <si>
    <t>vD4sD7</t>
  </si>
  <si>
    <t>vD4sD8</t>
  </si>
  <si>
    <t>vK1m01</t>
  </si>
  <si>
    <t>vK1m02</t>
  </si>
  <si>
    <t>vK1m03</t>
  </si>
  <si>
    <t>vK1m04</t>
  </si>
  <si>
    <t>vK1m05</t>
  </si>
  <si>
    <t>vK1m06</t>
  </si>
  <si>
    <t>vK1m07</t>
  </si>
  <si>
    <t>vK1m08</t>
  </si>
  <si>
    <t>vK1m09</t>
  </si>
  <si>
    <t>vK1m10</t>
  </si>
  <si>
    <t>vK1m11</t>
  </si>
  <si>
    <t>vK1m12</t>
  </si>
  <si>
    <t>vK1m13</t>
  </si>
  <si>
    <t>vK1m88</t>
  </si>
  <si>
    <t>vK1m90</t>
  </si>
  <si>
    <t>vK1o88</t>
  </si>
  <si>
    <t>vK2m01</t>
  </si>
  <si>
    <t>vK2m02</t>
  </si>
  <si>
    <t>vK2m03</t>
  </si>
  <si>
    <t>vK2m04</t>
  </si>
  <si>
    <t>vK2m05</t>
  </si>
  <si>
    <t>vK2m06</t>
  </si>
  <si>
    <t>vK2m07</t>
  </si>
  <si>
    <t>vK2m08</t>
  </si>
  <si>
    <t>vK2m09</t>
  </si>
  <si>
    <t>vK2m11</t>
  </si>
  <si>
    <t>vK2m12</t>
  </si>
  <si>
    <t>vK2m13</t>
  </si>
  <si>
    <t>vK2m88</t>
  </si>
  <si>
    <t>vK2m90</t>
  </si>
  <si>
    <t>vK2o88</t>
  </si>
  <si>
    <t>vE17</t>
  </si>
  <si>
    <t>vE17o88</t>
  </si>
  <si>
    <t>vKLI1</t>
  </si>
  <si>
    <t>vKLI2</t>
  </si>
  <si>
    <t>vKFB1</t>
  </si>
  <si>
    <t>vKFB2</t>
  </si>
  <si>
    <t>vKFB3m01</t>
  </si>
  <si>
    <t>vKFB3m02</t>
  </si>
  <si>
    <t>vKFB3m03</t>
  </si>
  <si>
    <t>vKFB3m04</t>
  </si>
  <si>
    <t>vKFB3m05</t>
  </si>
  <si>
    <t>vKFB3m06</t>
  </si>
  <si>
    <t>vKFB3m07</t>
  </si>
  <si>
    <t>vKFB3m08</t>
  </si>
  <si>
    <t>vKFB3m09</t>
  </si>
  <si>
    <t>vKFB3m10</t>
  </si>
  <si>
    <t>vKFB3m11</t>
  </si>
  <si>
    <t>vKFB3m12</t>
  </si>
  <si>
    <t>vKFB3m13</t>
  </si>
  <si>
    <t>vKFB3m14</t>
  </si>
  <si>
    <t>vKFB3m15</t>
  </si>
  <si>
    <t>vKFB3m16</t>
  </si>
  <si>
    <t>vKFB3m17</t>
  </si>
  <si>
    <t>vKFB3m88</t>
  </si>
  <si>
    <t>vKFB3o88</t>
  </si>
  <si>
    <t>vKFB4m01</t>
  </si>
  <si>
    <t>vKFB4m02</t>
  </si>
  <si>
    <t>vKFB4m03</t>
  </si>
  <si>
    <t>vKFB4m04</t>
  </si>
  <si>
    <t>vKFB4m05</t>
  </si>
  <si>
    <t>vKFB4m06</t>
  </si>
  <si>
    <t>vKFB4m07</t>
  </si>
  <si>
    <t>vKFB4m08</t>
  </si>
  <si>
    <t>vKFB4m09</t>
  </si>
  <si>
    <t>vKFB4m10</t>
  </si>
  <si>
    <t>vKFB4m11</t>
  </si>
  <si>
    <t>vKFB4m12</t>
  </si>
  <si>
    <t>vKFB4m13</t>
  </si>
  <si>
    <t>vKFB4m14</t>
  </si>
  <si>
    <t>vKFB4m15</t>
  </si>
  <si>
    <t>vKFB4m16</t>
  </si>
  <si>
    <t>vKFB4m17</t>
  </si>
  <si>
    <t>vKFB4m18</t>
  </si>
  <si>
    <t>vKFB4m88</t>
  </si>
  <si>
    <t>vKFB4o88</t>
  </si>
  <si>
    <t>vKIG1</t>
  </si>
  <si>
    <t>vKIG2</t>
  </si>
  <si>
    <t>vKIG3m01</t>
  </si>
  <si>
    <t>vKIG3m02</t>
  </si>
  <si>
    <t>vKIG3m03</t>
  </si>
  <si>
    <t>vKIG3m04</t>
  </si>
  <si>
    <t>vKIG3m05</t>
  </si>
  <si>
    <t>vKIG3m06</t>
  </si>
  <si>
    <t>vKIG3m07</t>
  </si>
  <si>
    <t>vKIG3m08</t>
  </si>
  <si>
    <t>vKIG3m09</t>
  </si>
  <si>
    <t>vKIG3m10</t>
  </si>
  <si>
    <t>vKIG3m11</t>
  </si>
  <si>
    <t>vKIG3m12</t>
  </si>
  <si>
    <t>vKIG3m13</t>
  </si>
  <si>
    <t>vKIG3m14</t>
  </si>
  <si>
    <t>vKIG3m15</t>
  </si>
  <si>
    <t>vKIG3m16</t>
  </si>
  <si>
    <t>vKIG3m17</t>
  </si>
  <si>
    <t>vKIG3m88</t>
  </si>
  <si>
    <t>vKIG3o88</t>
  </si>
  <si>
    <t>vKIG4m01</t>
  </si>
  <si>
    <t>vKIG4m02</t>
  </si>
  <si>
    <t>vKIG4m03</t>
  </si>
  <si>
    <t>vKIG4m04</t>
  </si>
  <si>
    <t>vKIG4m05</t>
  </si>
  <si>
    <t>vKIG4m06</t>
  </si>
  <si>
    <t>vKIG4m07</t>
  </si>
  <si>
    <t>vKIG4m08</t>
  </si>
  <si>
    <t>vKIG4m09</t>
  </si>
  <si>
    <t>vKIG4m10</t>
  </si>
  <si>
    <t>vKIG4m11</t>
  </si>
  <si>
    <t>vKIG4m12</t>
  </si>
  <si>
    <t>vKIG4m13</t>
  </si>
  <si>
    <t>vKIG4m14</t>
  </si>
  <si>
    <t>vKIG4m88</t>
  </si>
  <si>
    <t>vKIG4o88</t>
  </si>
  <si>
    <t>vKTT1</t>
  </si>
  <si>
    <t>vKTT2</t>
  </si>
  <si>
    <t>vKTT3m01</t>
  </si>
  <si>
    <t>vKTT3m02</t>
  </si>
  <si>
    <t>vKTT3m03</t>
  </si>
  <si>
    <t>vKTT3m04</t>
  </si>
  <si>
    <t>vKTT3m05</t>
  </si>
  <si>
    <t>vKTT3m06</t>
  </si>
  <si>
    <t>vKTT3m07</t>
  </si>
  <si>
    <t>vKTT3m08</t>
  </si>
  <si>
    <t>vKTT3m09</t>
  </si>
  <si>
    <t>vKTT3m10</t>
  </si>
  <si>
    <t>vKTT3m11</t>
  </si>
  <si>
    <t>vKTT3m12</t>
  </si>
  <si>
    <t>vKTT3m13</t>
  </si>
  <si>
    <t>vKTT3m14</t>
  </si>
  <si>
    <t>vKTT3m15</t>
  </si>
  <si>
    <t>vKTT3m16</t>
  </si>
  <si>
    <t>vKTT3m88</t>
  </si>
  <si>
    <t>vKTT3o88</t>
  </si>
  <si>
    <t>vKTT4m01</t>
  </si>
  <si>
    <t>vKTT4m02</t>
  </si>
  <si>
    <t>vKTT4m03</t>
  </si>
  <si>
    <t>vKTT4m04</t>
  </si>
  <si>
    <t>vKTT4m05</t>
  </si>
  <si>
    <t>vKTT4m06</t>
  </si>
  <si>
    <t>vKTT4m07</t>
  </si>
  <si>
    <t>vKTT4m08</t>
  </si>
  <si>
    <t>vKTT4m09</t>
  </si>
  <si>
    <t>vKTT4m10</t>
  </si>
  <si>
    <t>vKTT4m11</t>
  </si>
  <si>
    <t>vKTT4m12</t>
  </si>
  <si>
    <t>vKTT4m13</t>
  </si>
  <si>
    <t>vKTT4m14</t>
  </si>
  <si>
    <t>vKTT4m88</t>
  </si>
  <si>
    <t>vKTT4o88</t>
  </si>
  <si>
    <t>vKTT5m01</t>
  </si>
  <si>
    <t>vKTT5m02</t>
  </si>
  <si>
    <t>vKTT5m03</t>
  </si>
  <si>
    <t>vKTT5m04</t>
  </si>
  <si>
    <t>vKTT5m05</t>
  </si>
  <si>
    <t>vKTT5m06</t>
  </si>
  <si>
    <t>vKTT5m07</t>
  </si>
  <si>
    <t>vKTT5m08</t>
  </si>
  <si>
    <t>vKTT5m09</t>
  </si>
  <si>
    <t>vKTT5m10</t>
  </si>
  <si>
    <t>vKTT5m11</t>
  </si>
  <si>
    <t>vKTT5m12</t>
  </si>
  <si>
    <t>vKTT5m88</t>
  </si>
  <si>
    <t>vKTT5o88</t>
  </si>
  <si>
    <t>vP5_1</t>
  </si>
  <si>
    <t>vP5_2</t>
  </si>
  <si>
    <t>vK3m01</t>
  </si>
  <si>
    <t>vK3m02</t>
  </si>
  <si>
    <t>vK3m03</t>
  </si>
  <si>
    <t>vK3m04</t>
  </si>
  <si>
    <t>vK3m05</t>
  </si>
  <si>
    <t>vK3m06</t>
  </si>
  <si>
    <t>vK3m07</t>
  </si>
  <si>
    <t>vK3m08</t>
  </si>
  <si>
    <t>vK3m09</t>
  </si>
  <si>
    <t>vK3m88</t>
  </si>
  <si>
    <t>vK3m90</t>
  </si>
  <si>
    <t>vK3o88</t>
  </si>
  <si>
    <t>vE18</t>
  </si>
  <si>
    <t>vE18o88</t>
  </si>
  <si>
    <t>vKYT1</t>
  </si>
  <si>
    <t>vKYT2</t>
  </si>
  <si>
    <t>vE1</t>
  </si>
  <si>
    <t>vE2m01</t>
  </si>
  <si>
    <t>vE2m02</t>
  </si>
  <si>
    <t>vE2m03</t>
  </si>
  <si>
    <t>vE2m04</t>
  </si>
  <si>
    <t>vE2m88</t>
  </si>
  <si>
    <t>vE2o88</t>
  </si>
  <si>
    <t>vE4</t>
  </si>
  <si>
    <t>vCKE4</t>
  </si>
  <si>
    <t>vE5</t>
  </si>
  <si>
    <t>vE6</t>
  </si>
  <si>
    <t>vCKE5</t>
  </si>
  <si>
    <t>vE7</t>
  </si>
  <si>
    <t>vE8</t>
  </si>
  <si>
    <t>vE9</t>
  </si>
  <si>
    <t>vCKE8</t>
  </si>
  <si>
    <t>vE10</t>
  </si>
  <si>
    <t>vE11</t>
  </si>
  <si>
    <t>vE12</t>
  </si>
  <si>
    <t>vCKE11</t>
  </si>
  <si>
    <t>vE3_1</t>
  </si>
  <si>
    <t>vE3</t>
  </si>
  <si>
    <t>vE13m01</t>
  </si>
  <si>
    <t>vE13m02</t>
  </si>
  <si>
    <t>vE13m03</t>
  </si>
  <si>
    <t>vE13m04</t>
  </si>
  <si>
    <t>vE13m05</t>
  </si>
  <si>
    <t>vE13m06</t>
  </si>
  <si>
    <t>vE13m88</t>
  </si>
  <si>
    <t>vE13o88</t>
  </si>
  <si>
    <t>vE14</t>
  </si>
  <si>
    <t>vG7m01</t>
  </si>
  <si>
    <t>vG7m02</t>
  </si>
  <si>
    <t>vG7m03</t>
  </si>
  <si>
    <t>vG7m04</t>
  </si>
  <si>
    <t>vG7m05</t>
  </si>
  <si>
    <t>vG7m06</t>
  </si>
  <si>
    <t>vG7m07</t>
  </si>
  <si>
    <t>vG7m08</t>
  </si>
  <si>
    <t>vG7m09</t>
  </si>
  <si>
    <t>vG7m10</t>
  </si>
  <si>
    <t>vG7m11</t>
  </si>
  <si>
    <t>vG7m12</t>
  </si>
  <si>
    <t>vG7m88</t>
  </si>
  <si>
    <t>vG7m90</t>
  </si>
  <si>
    <t>vG7o88</t>
  </si>
  <si>
    <t>vG8m01</t>
  </si>
  <si>
    <t>vG8m02</t>
  </si>
  <si>
    <t>vG8m03</t>
  </si>
  <si>
    <t>vG8m04</t>
  </si>
  <si>
    <t>vG8m05</t>
  </si>
  <si>
    <t>vG8m06</t>
  </si>
  <si>
    <t>vG8m07</t>
  </si>
  <si>
    <t>vG8m08</t>
  </si>
  <si>
    <t>vG8m09</t>
  </si>
  <si>
    <t>vG8m10</t>
  </si>
  <si>
    <t>vG8m11</t>
  </si>
  <si>
    <t>vG8m12</t>
  </si>
  <si>
    <t>vG8m13</t>
  </si>
  <si>
    <t>vG8m14</t>
  </si>
  <si>
    <t>vG8m15</t>
  </si>
  <si>
    <t>vG8m16</t>
  </si>
  <si>
    <t>vG8m88</t>
  </si>
  <si>
    <t>vG8m90</t>
  </si>
  <si>
    <t>vG8o88</t>
  </si>
  <si>
    <t>vG9m01</t>
  </si>
  <si>
    <t>vG9m02</t>
  </si>
  <si>
    <t>vG9m03</t>
  </si>
  <si>
    <t>vG9m04</t>
  </si>
  <si>
    <t>vG9m05</t>
  </si>
  <si>
    <t>vG9m06</t>
  </si>
  <si>
    <t>vG9m07</t>
  </si>
  <si>
    <t>vG9m08</t>
  </si>
  <si>
    <t>vG9m09</t>
  </si>
  <si>
    <t>vG9m10</t>
  </si>
  <si>
    <t>vG9m11</t>
  </si>
  <si>
    <t>vG9m12</t>
  </si>
  <si>
    <t>vG9m13</t>
  </si>
  <si>
    <t>vG9m88</t>
  </si>
  <si>
    <t>vG9m90</t>
  </si>
  <si>
    <t>vG9o88</t>
  </si>
  <si>
    <t>vG10m01</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</si>
  <si>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</si>
  <si>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</si>
  <si>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</si>
  <si>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</si>
  <si>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</si>
  <si>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</si>
  <si>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</si>
  <si>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</si>
  <si>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</si>
  <si>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</si>
  <si>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</si>
  <si>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</si>
  <si>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</si>
  <si>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</si>
  <si>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</si>
  <si>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</si>
  <si>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</si>
  <si>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</si>
  <si>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</si>
  <si>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vG10m90</t>
  </si>
  <si>
    <t>vG10o88</t>
  </si>
  <si>
    <t>vG11m01</t>
  </si>
  <si>
    <t>vG11m02</t>
  </si>
  <si>
    <t>vG11m03</t>
  </si>
  <si>
    <t>vG11m04</t>
  </si>
  <si>
    <t>vG11m05</t>
  </si>
  <si>
    <t>vG11m88</t>
  </si>
  <si>
    <t>vG11m90</t>
  </si>
  <si>
    <t>vG11o88</t>
  </si>
  <si>
    <t>vG4</t>
  </si>
  <si>
    <t>vG5</t>
  </si>
  <si>
    <t>vB1</t>
  </si>
  <si>
    <t>vB2</t>
  </si>
  <si>
    <t>vB3</t>
  </si>
  <si>
    <t>vB4</t>
  </si>
  <si>
    <t>vB5</t>
  </si>
  <si>
    <t>vCKB5</t>
  </si>
  <si>
    <t>vB6</t>
  </si>
  <si>
    <t>vB7am01</t>
  </si>
  <si>
    <t>vB7am02</t>
  </si>
  <si>
    <t>vB7am03</t>
  </si>
  <si>
    <t>vB7am04</t>
  </si>
  <si>
    <t>vB7am05</t>
  </si>
  <si>
    <t>vB7am06</t>
  </si>
  <si>
    <t>vB7am07</t>
  </si>
  <si>
    <t>vB7am08</t>
  </si>
  <si>
    <t>vB7am09</t>
  </si>
  <si>
    <t>vB7am10</t>
  </si>
  <si>
    <t>vB7am11</t>
  </si>
  <si>
    <t>vB7am12</t>
  </si>
  <si>
    <t>vB7am13</t>
  </si>
  <si>
    <t>vB7am14</t>
  </si>
  <si>
    <t>vB7am15</t>
  </si>
  <si>
    <t>vB7am16</t>
  </si>
  <si>
    <t>vB7am17</t>
  </si>
  <si>
    <t>vB7am18</t>
  </si>
  <si>
    <t>vB7am19</t>
  </si>
  <si>
    <t>vB7am20</t>
  </si>
  <si>
    <t>vB7am21</t>
  </si>
  <si>
    <t>vB7am22</t>
  </si>
  <si>
    <t>vB7am23</t>
  </si>
  <si>
    <t>vB7am24</t>
  </si>
  <si>
    <t>vB7am25</t>
  </si>
  <si>
    <t>vB7am26</t>
  </si>
  <si>
    <t>vB7am27</t>
  </si>
  <si>
    <t>vB7am28</t>
  </si>
  <si>
    <t>vB7am29</t>
  </si>
  <si>
    <t>vB7am30</t>
  </si>
  <si>
    <t>vB7am31</t>
  </si>
  <si>
    <t>vB7am32</t>
  </si>
  <si>
    <t>vB7am33</t>
  </si>
  <si>
    <t>vB7am34</t>
  </si>
  <si>
    <t>vB7am35</t>
  </si>
  <si>
    <t>vB7am36</t>
  </si>
  <si>
    <t>vB7am37</t>
  </si>
  <si>
    <t>vB7am38</t>
  </si>
  <si>
    <t>vB7am39</t>
  </si>
  <si>
    <t>vB7am40</t>
  </si>
  <si>
    <t>vB7am41</t>
  </si>
  <si>
    <t>vB7am42</t>
  </si>
  <si>
    <t>vB7am43</t>
  </si>
  <si>
    <t>vB7am44</t>
  </si>
  <si>
    <t>vB7am45</t>
  </si>
  <si>
    <t>vB7am46</t>
  </si>
  <si>
    <t>vB7am47</t>
  </si>
  <si>
    <t>vB7am48</t>
  </si>
  <si>
    <t>vB7am49</t>
  </si>
  <si>
    <t>vB7am50</t>
  </si>
  <si>
    <t>vB7am51</t>
  </si>
  <si>
    <t>vB7am52</t>
  </si>
  <si>
    <t>vB7am53</t>
  </si>
  <si>
    <t>vB7am54</t>
  </si>
  <si>
    <t>vB7am88</t>
  </si>
  <si>
    <t>vB7ao88</t>
  </si>
  <si>
    <t>vB7</t>
  </si>
  <si>
    <t>vB7o88</t>
  </si>
  <si>
    <t>vB8m01</t>
  </si>
  <si>
    <t>vB8m02</t>
  </si>
  <si>
    <t>vB8m03</t>
  </si>
  <si>
    <t>vB8m04</t>
  </si>
  <si>
    <t>vB8m05</t>
  </si>
  <si>
    <t>vB8m06</t>
  </si>
  <si>
    <t>vB8m07</t>
  </si>
  <si>
    <t>vB8m08</t>
  </si>
  <si>
    <t>vB8m09</t>
  </si>
  <si>
    <t>vB8m10</t>
  </si>
  <si>
    <t>vB8m88</t>
  </si>
  <si>
    <t>vB8o88</t>
  </si>
  <si>
    <t>vI1</t>
  </si>
  <si>
    <t>vI2</t>
  </si>
  <si>
    <t>vI3</t>
  </si>
  <si>
    <t>vI4</t>
  </si>
  <si>
    <t>vCKI4</t>
  </si>
  <si>
    <t>vG1</t>
  </si>
  <si>
    <t>vG2</t>
  </si>
  <si>
    <t>vG3m01</t>
  </si>
  <si>
    <t>vG3m02</t>
  </si>
  <si>
    <t>vG3m03</t>
  </si>
  <si>
    <t>vG3m04</t>
  </si>
  <si>
    <t>vG3m05</t>
  </si>
  <si>
    <t>vG3m06</t>
  </si>
  <si>
    <t>vG3m07</t>
  </si>
  <si>
    <t>vG3m08</t>
  </si>
  <si>
    <t>vG3m09</t>
  </si>
  <si>
    <t>vG3m10</t>
  </si>
  <si>
    <t>vG3m11</t>
  </si>
  <si>
    <t>vG3m12</t>
  </si>
  <si>
    <t>vG3m13</t>
  </si>
  <si>
    <t>vG3m14</t>
  </si>
  <si>
    <t>vG3m15</t>
  </si>
  <si>
    <t>vG3m16</t>
  </si>
  <si>
    <t>vG3m18</t>
  </si>
  <si>
    <t>vG3m19</t>
  </si>
  <si>
    <t>vG3m20</t>
  </si>
  <si>
    <t>vG3m21</t>
  </si>
  <si>
    <t>vG3m22</t>
  </si>
  <si>
    <t>vG3m23</t>
  </si>
  <si>
    <t>vG3m24</t>
  </si>
  <si>
    <t>vG3m25</t>
  </si>
  <si>
    <t>vG3m26</t>
  </si>
  <si>
    <t>vG3m27</t>
  </si>
  <si>
    <t>vG3m28</t>
  </si>
  <si>
    <t>vG3m29</t>
  </si>
  <si>
    <t>vG3m30</t>
  </si>
  <si>
    <t>vG3m31</t>
  </si>
  <si>
    <t>vG3m32</t>
  </si>
  <si>
    <t>vG3m33</t>
  </si>
  <si>
    <t>vG3m88</t>
  </si>
  <si>
    <t>vG3o88</t>
  </si>
  <si>
    <t>vF0</t>
  </si>
  <si>
    <t>vF1</t>
  </si>
  <si>
    <t>vF2</t>
  </si>
  <si>
    <t>vF3</t>
  </si>
  <si>
    <t>vF4</t>
  </si>
  <si>
    <t>vF5m01</t>
  </si>
  <si>
    <t>vF5m02</t>
  </si>
  <si>
    <t>vF5m03</t>
  </si>
  <si>
    <t>vF5m04</t>
  </si>
  <si>
    <t>vF5m05</t>
  </si>
  <si>
    <t>vF5m06</t>
  </si>
  <si>
    <t>vF5m07</t>
  </si>
  <si>
    <t>vF5m08</t>
  </si>
  <si>
    <t>vF5m88</t>
  </si>
  <si>
    <t>vF5o88</t>
  </si>
  <si>
    <t>vC1</t>
  </si>
  <si>
    <t>vC2</t>
  </si>
  <si>
    <t>vC3m01</t>
  </si>
  <si>
    <t>vC3m02</t>
  </si>
  <si>
    <t>vC3m03</t>
  </si>
  <si>
    <t>vC3m04</t>
  </si>
  <si>
    <t>vC3m05</t>
  </si>
  <si>
    <t>vC3m06</t>
  </si>
  <si>
    <t>vC3m07</t>
  </si>
  <si>
    <t>vC3m08</t>
  </si>
  <si>
    <t>vC3m09</t>
  </si>
  <si>
    <t>vC3m10</t>
  </si>
  <si>
    <t>vC3m11</t>
  </si>
  <si>
    <t>vC3m88</t>
  </si>
  <si>
    <t>vC3o88</t>
  </si>
  <si>
    <t>vJ4_1</t>
  </si>
  <si>
    <t>vJ4_2</t>
  </si>
  <si>
    <t>vJ4_3</t>
  </si>
  <si>
    <t>vJ4_4</t>
  </si>
  <si>
    <t>vJ4_5</t>
  </si>
  <si>
    <t>vJB1m01</t>
  </si>
  <si>
    <t>vJB1m02</t>
  </si>
  <si>
    <t>vJB1m03</t>
  </si>
  <si>
    <t>vJB1m04</t>
  </si>
  <si>
    <t>vJB1m05</t>
  </si>
  <si>
    <t>vJB1m06</t>
  </si>
  <si>
    <t>vJB1m07</t>
  </si>
  <si>
    <t>vJB1m08</t>
  </si>
  <si>
    <t>vJB1m09</t>
  </si>
  <si>
    <t>vJB1m10</t>
  </si>
  <si>
    <t>vJB1m11</t>
  </si>
  <si>
    <t>vJB1m88</t>
  </si>
  <si>
    <t>vJB1m90</t>
  </si>
  <si>
    <t>vJB1o88</t>
  </si>
  <si>
    <t>vJB2m01</t>
  </si>
  <si>
    <t>vJB2m02</t>
  </si>
  <si>
    <t>vJB2m03</t>
  </si>
  <si>
    <t>vJB2m04</t>
  </si>
  <si>
    <t>vJB2m05</t>
  </si>
  <si>
    <t>vJB2m06</t>
  </si>
  <si>
    <t>vJB2m07</t>
  </si>
  <si>
    <t>vJB2m88</t>
  </si>
  <si>
    <t>vJB2m90</t>
  </si>
  <si>
    <t>vJB2o88</t>
  </si>
  <si>
    <t>vH1</t>
  </si>
  <si>
    <t>vH2</t>
  </si>
  <si>
    <t>vH3</t>
  </si>
  <si>
    <t>vH4</t>
  </si>
  <si>
    <t>vH5</t>
  </si>
  <si>
    <t>vH6</t>
  </si>
  <si>
    <t>vH7</t>
  </si>
  <si>
    <t>vH7_1</t>
  </si>
  <si>
    <t>vH7_2</t>
  </si>
  <si>
    <t>vH7_3</t>
  </si>
  <si>
    <t>vCKH7</t>
  </si>
  <si>
    <t>vCKH7_1</t>
  </si>
  <si>
    <t>vCKH7_2</t>
  </si>
  <si>
    <t>vCKH7_3</t>
  </si>
  <si>
    <t>vH8</t>
  </si>
  <si>
    <t>vM1g1</t>
  </si>
  <si>
    <t>vM1g2</t>
  </si>
  <si>
    <t>vM2m01</t>
  </si>
  <si>
    <t>vM2m02</t>
  </si>
  <si>
    <t>vM2m03</t>
  </si>
  <si>
    <t>vM2m04</t>
  </si>
  <si>
    <t>vM2m05</t>
  </si>
  <si>
    <t>vM2m06</t>
  </si>
  <si>
    <t>vM2m07</t>
  </si>
  <si>
    <t>vM2m08</t>
  </si>
  <si>
    <t>vM2m09</t>
  </si>
  <si>
    <t>vM2m10</t>
  </si>
  <si>
    <t>vM2m11</t>
  </si>
  <si>
    <t>vM2m12</t>
  </si>
  <si>
    <t>vM2m13</t>
  </si>
  <si>
    <t>vM2m14</t>
  </si>
  <si>
    <t>vM2m15</t>
  </si>
  <si>
    <t>vM2m16</t>
  </si>
  <si>
    <t>vM2m88</t>
  </si>
  <si>
    <t>vM2o88</t>
  </si>
  <si>
    <t>vM3m01</t>
  </si>
  <si>
    <t>vM3m02</t>
  </si>
  <si>
    <t>vM3m03</t>
  </si>
  <si>
    <t>vM3m04</t>
  </si>
  <si>
    <t>vM3m05</t>
  </si>
  <si>
    <t>vM3m06</t>
  </si>
  <si>
    <t>vM3m07</t>
  </si>
  <si>
    <t>vM3m08</t>
  </si>
  <si>
    <t>vM3m09</t>
  </si>
  <si>
    <t>vM3m10</t>
  </si>
  <si>
    <t>vM3m11</t>
  </si>
  <si>
    <t>vM3m12</t>
  </si>
  <si>
    <t>vM3m13</t>
  </si>
  <si>
    <t>vM3m88</t>
  </si>
  <si>
    <t>vM3o88</t>
  </si>
  <si>
    <t>vM4sM4</t>
  </si>
  <si>
    <t>vM4sM5</t>
  </si>
  <si>
    <t>vM4sM6</t>
  </si>
  <si>
    <t>vN1sN1</t>
  </si>
  <si>
    <t>vN1sN2</t>
  </si>
  <si>
    <t>vN1sN3</t>
  </si>
  <si>
    <t>vN1sN4</t>
  </si>
  <si>
    <t>vN1sN5</t>
  </si>
  <si>
    <t>vN6sN6</t>
  </si>
  <si>
    <t>vN6sN7</t>
  </si>
  <si>
    <t>vN6sN8</t>
  </si>
  <si>
    <t>vN6sN9</t>
  </si>
  <si>
    <t>vN6sN10</t>
  </si>
  <si>
    <t>vN11sN11</t>
  </si>
  <si>
    <t>vN11sN12</t>
  </si>
  <si>
    <t>vN11sN13</t>
  </si>
  <si>
    <t>vN11sN14</t>
  </si>
  <si>
    <t>vN11sN15</t>
  </si>
  <si>
    <t>vN11sN16</t>
  </si>
  <si>
    <t>vN17</t>
  </si>
  <si>
    <t>vN18sN18</t>
  </si>
  <si>
    <t>vN18sN19</t>
  </si>
  <si>
    <t>vN18sN20</t>
  </si>
  <si>
    <t>vN21sN21</t>
  </si>
  <si>
    <t>vN21sN22</t>
  </si>
  <si>
    <t>vN23</t>
  </si>
  <si>
    <t>vN24</t>
  </si>
  <si>
    <t>vN25</t>
  </si>
  <si>
    <t>vN26</t>
  </si>
  <si>
    <t>vN27</t>
  </si>
  <si>
    <t>vN28</t>
  </si>
  <si>
    <t>vN29</t>
  </si>
  <si>
    <t>vN30</t>
  </si>
  <si>
    <t>vN31</t>
  </si>
  <si>
    <t>vN32</t>
  </si>
  <si>
    <t>vO5</t>
  </si>
  <si>
    <t>vN33sN33</t>
  </si>
  <si>
    <t>vN33sN34</t>
  </si>
  <si>
    <t>vN35sN35</t>
  </si>
  <si>
    <t>vN35sN36</t>
  </si>
  <si>
    <t>vN35sN37</t>
  </si>
  <si>
    <t>vN35sN38</t>
  </si>
  <si>
    <t>vQa</t>
  </si>
  <si>
    <t>vQ1</t>
  </si>
  <si>
    <t>vQ2</t>
  </si>
  <si>
    <t>vQ3</t>
  </si>
  <si>
    <t>vQ4</t>
  </si>
  <si>
    <t>vQ5</t>
  </si>
  <si>
    <t>vQ6</t>
  </si>
  <si>
    <t>vQ7</t>
  </si>
  <si>
    <t>vQ8</t>
  </si>
  <si>
    <t>vQ9</t>
  </si>
  <si>
    <t>vQ10</t>
  </si>
  <si>
    <t>vCKQ10</t>
  </si>
  <si>
    <t>vQ11</t>
  </si>
  <si>
    <t>vQ12</t>
  </si>
  <si>
    <t>vQ13</t>
  </si>
  <si>
    <t>vQ14</t>
  </si>
  <si>
    <t>vQ15</t>
  </si>
  <si>
    <t>vQ16</t>
  </si>
  <si>
    <t>vQ17</t>
  </si>
  <si>
    <t>vQ18</t>
  </si>
  <si>
    <t>vQ19</t>
  </si>
  <si>
    <t>vQ20m01</t>
  </si>
  <si>
    <t>vQ20m02</t>
  </si>
  <si>
    <t>vQ20m03</t>
  </si>
  <si>
    <t>vQ20m04</t>
  </si>
  <si>
    <t>vQ20m05</t>
  </si>
  <si>
    <t>vQ20m06</t>
  </si>
  <si>
    <t>vQ20m88</t>
  </si>
  <si>
    <t>vQ20m90</t>
  </si>
  <si>
    <t>vQ20o88</t>
  </si>
  <si>
    <t>vCKQ20A</t>
  </si>
  <si>
    <t>vCKQ20B</t>
  </si>
  <si>
    <t>vQ24g1</t>
  </si>
  <si>
    <t>vQ24g2</t>
  </si>
  <si>
    <t>vCKQ24</t>
  </si>
  <si>
    <t>vQ25m01</t>
  </si>
  <si>
    <t>vQ25m02</t>
  </si>
  <si>
    <t>vQ25m03</t>
  </si>
  <si>
    <t>vQ25m04</t>
  </si>
  <si>
    <t>vQ25m05</t>
  </si>
  <si>
    <t>vQ25m06</t>
  </si>
  <si>
    <t>vQ25m07</t>
  </si>
  <si>
    <t>vQ25m08</t>
  </si>
  <si>
    <t>vQ25m09</t>
  </si>
  <si>
    <t>vQ25m10</t>
  </si>
  <si>
    <t>vQ25m11</t>
  </si>
  <si>
    <t>vQ25m12</t>
  </si>
  <si>
    <t>vQ25m13</t>
  </si>
  <si>
    <t>vQ25m14</t>
  </si>
  <si>
    <t>vQ25m15</t>
  </si>
  <si>
    <t>vQ25m16</t>
  </si>
  <si>
    <t>vQ25m17</t>
  </si>
  <si>
    <t>vQ25m18</t>
  </si>
  <si>
    <t>vQ25m19</t>
  </si>
  <si>
    <t>vQ25m20</t>
  </si>
  <si>
    <t>vQ25m21</t>
  </si>
  <si>
    <t>vQ25m22</t>
  </si>
  <si>
    <t>vQ25m23</t>
  </si>
  <si>
    <t>vQ25m24</t>
  </si>
  <si>
    <t>vQ25m25</t>
  </si>
  <si>
    <t>vQ25m26</t>
  </si>
  <si>
    <t>vQ25m27</t>
  </si>
  <si>
    <t>vQ25m28</t>
  </si>
  <si>
    <t>vQ25m29</t>
  </si>
  <si>
    <t>vQ25m30</t>
  </si>
  <si>
    <t>vQ25m31</t>
  </si>
  <si>
    <t>vQ25m88</t>
  </si>
  <si>
    <t>vQ25o88</t>
  </si>
  <si>
    <t>vQ21g1</t>
  </si>
  <si>
    <t>vQ21g2</t>
  </si>
  <si>
    <t>vCKQ21</t>
  </si>
  <si>
    <t>vQ22m01</t>
  </si>
  <si>
    <t>vQ22m02</t>
  </si>
  <si>
    <t>vQ22m03</t>
  </si>
  <si>
    <t>vQ22m04</t>
  </si>
  <si>
    <t>vQ22m05</t>
  </si>
  <si>
    <t>vQ22m06</t>
  </si>
  <si>
    <t>vQ22m07</t>
  </si>
  <si>
    <t>vQ22m08</t>
  </si>
  <si>
    <t>vQ22m09</t>
  </si>
  <si>
    <t>vQ22m10</t>
  </si>
  <si>
    <t>vQ22m11</t>
  </si>
  <si>
    <t>vQ22m12</t>
  </si>
  <si>
    <t>vQ22m13</t>
  </si>
  <si>
    <t>vQ22m14</t>
  </si>
  <si>
    <t>vQ22m15</t>
  </si>
  <si>
    <t>vQ22m16</t>
  </si>
  <si>
    <t>vQ22m17</t>
  </si>
  <si>
    <t>vQ22m18</t>
  </si>
  <si>
    <t>vQ22m19</t>
  </si>
  <si>
    <t>vQ22m20</t>
  </si>
  <si>
    <t>vQ22m21</t>
  </si>
  <si>
    <t>vQ22m22</t>
  </si>
  <si>
    <t>vQ22m23</t>
  </si>
  <si>
    <t>vQ22m24</t>
  </si>
  <si>
    <t>vQ22m25</t>
  </si>
  <si>
    <t>vQ22m26</t>
  </si>
  <si>
    <t>vQ22m27</t>
  </si>
  <si>
    <t>vQ22m28</t>
  </si>
  <si>
    <t>vQ22m29</t>
  </si>
  <si>
    <t>vQ22m30</t>
  </si>
  <si>
    <t>vQ22m31</t>
  </si>
  <si>
    <t>vQ22m32</t>
  </si>
  <si>
    <t>vQ22m33</t>
  </si>
  <si>
    <t>vQ22m34</t>
  </si>
  <si>
    <t>vQ22m35</t>
  </si>
  <si>
    <t>vQ22m36</t>
  </si>
  <si>
    <t>vQ22m37</t>
  </si>
  <si>
    <t>vQ22m38</t>
  </si>
  <si>
    <t>vQ22m39</t>
  </si>
  <si>
    <t>vQ22m40</t>
  </si>
  <si>
    <t>vQ22m88</t>
  </si>
  <si>
    <t>vQ22o88</t>
  </si>
  <si>
    <t>vQ23m01</t>
  </si>
  <si>
    <t>vQ23m02</t>
  </si>
  <si>
    <t>vQ23m03</t>
  </si>
  <si>
    <t>vQ23m04</t>
  </si>
  <si>
    <t>vQ23m05</t>
  </si>
  <si>
    <t>vQ23m06</t>
  </si>
  <si>
    <t>vQ23m07</t>
  </si>
  <si>
    <t>vQ23m08</t>
  </si>
  <si>
    <t>vQ23m09</t>
  </si>
  <si>
    <t>vQ23m10</t>
  </si>
  <si>
    <t>vQ23m11</t>
  </si>
  <si>
    <t>vQ23m12</t>
  </si>
  <si>
    <t>vQ23m13</t>
  </si>
  <si>
    <t>vQ23m14</t>
  </si>
  <si>
    <t>vQ23m15</t>
  </si>
  <si>
    <t>vQ23m16</t>
  </si>
  <si>
    <t>vQ23m17</t>
  </si>
  <si>
    <t>vQ23m18</t>
  </si>
  <si>
    <t>vQ23m19</t>
  </si>
  <si>
    <t>vQ23m20</t>
  </si>
  <si>
    <t>vQ23m21</t>
  </si>
  <si>
    <t>vQ23m22</t>
  </si>
  <si>
    <t>vQ23m23</t>
  </si>
  <si>
    <t>vQ23m24</t>
  </si>
  <si>
    <t>vQ23m25</t>
  </si>
  <si>
    <t>vQ23m26</t>
  </si>
  <si>
    <t>vQ23m27</t>
  </si>
  <si>
    <t>vQ23m88</t>
  </si>
  <si>
    <t>vQ23o88</t>
  </si>
  <si>
    <t>vQ26Ag1</t>
  </si>
  <si>
    <t>vQ26Ag2</t>
  </si>
  <si>
    <t>vCKQ26A</t>
  </si>
  <si>
    <t>vQ26m01</t>
  </si>
  <si>
    <t>vQ26m02</t>
  </si>
  <si>
    <t>vQ26m03</t>
  </si>
  <si>
    <t>vQ26m04</t>
  </si>
  <si>
    <t>vQ26m05</t>
  </si>
  <si>
    <t>vQ26m06</t>
  </si>
  <si>
    <t>vQ26m07</t>
  </si>
  <si>
    <t>vQ26m08</t>
  </si>
  <si>
    <t>vQ26m09</t>
  </si>
  <si>
    <t>vQ26m10</t>
  </si>
  <si>
    <t>vQ26m11</t>
  </si>
  <si>
    <t>vQ26m12</t>
  </si>
  <si>
    <t>vQ26m13</t>
  </si>
  <si>
    <t>vQ26m14</t>
  </si>
  <si>
    <t>vQ26m15</t>
  </si>
  <si>
    <t>vQ26m16</t>
  </si>
  <si>
    <t>vQ26m17</t>
  </si>
  <si>
    <t>vQ26m18</t>
  </si>
  <si>
    <t>vQ26m19</t>
  </si>
  <si>
    <t>vQ26m20</t>
  </si>
  <si>
    <t>vQ26m21</t>
  </si>
  <si>
    <t>vQ26m22</t>
  </si>
  <si>
    <t>vQ26m23</t>
  </si>
  <si>
    <t>vQ26m24</t>
  </si>
  <si>
    <t>vQ26m25</t>
  </si>
  <si>
    <t>vQ26m26</t>
  </si>
  <si>
    <t>vQ26m27</t>
  </si>
  <si>
    <t>vQ26m28</t>
  </si>
  <si>
    <t>vQ26m29</t>
  </si>
  <si>
    <t>vQ26m88</t>
  </si>
  <si>
    <t>vQ26o88</t>
  </si>
  <si>
    <t>vQ27m01</t>
  </si>
  <si>
    <t>vQ27m02</t>
  </si>
  <si>
    <t>vQ27m03</t>
  </si>
  <si>
    <t>vQ27m04</t>
  </si>
  <si>
    <t>vQ27m05</t>
  </si>
  <si>
    <t>vQ27m06</t>
  </si>
  <si>
    <t>vQ27m07</t>
  </si>
  <si>
    <t>vQ27m88</t>
  </si>
  <si>
    <t>vQ27o88</t>
  </si>
  <si>
    <t>vP3_4</t>
  </si>
  <si>
    <t>vCKP3_4</t>
  </si>
  <si>
    <t>vP3_5</t>
  </si>
  <si>
    <t>vP3_6</t>
  </si>
  <si>
    <t>vP5_3R</t>
  </si>
  <si>
    <t>vP5_4R</t>
  </si>
  <si>
    <t>vP5_5</t>
  </si>
  <si>
    <t>vQ28</t>
  </si>
  <si>
    <t>vQ30m01</t>
  </si>
  <si>
    <t>vQ30m02</t>
  </si>
  <si>
    <t>vQ30m03</t>
  </si>
  <si>
    <t>vQ30m04</t>
  </si>
  <si>
    <t>vQ30m05</t>
  </si>
  <si>
    <t>vQ30m06</t>
  </si>
  <si>
    <t>vQ30m07</t>
  </si>
  <si>
    <t>vQ30m08</t>
  </si>
  <si>
    <t>vQ30m90</t>
  </si>
  <si>
    <t>vQ31m01</t>
  </si>
  <si>
    <t>vQ31m02</t>
  </si>
  <si>
    <t>vQ31m03</t>
  </si>
  <si>
    <t>vQ31m04</t>
  </si>
  <si>
    <t>vQ31m05</t>
  </si>
  <si>
    <t>vQ31m06</t>
  </si>
  <si>
    <t>vQ31m07</t>
  </si>
  <si>
    <t>vQ31m08</t>
  </si>
  <si>
    <t>vQ31m90</t>
  </si>
  <si>
    <t>vQ32sQ32</t>
  </si>
  <si>
    <t>vQ32sQ33</t>
  </si>
  <si>
    <t>vQ32sQ34</t>
  </si>
  <si>
    <t>vQ58s58</t>
  </si>
  <si>
    <t>vQ58s59</t>
  </si>
  <si>
    <t>vQ58s60</t>
  </si>
  <si>
    <t>vQ58s61</t>
  </si>
  <si>
    <t>vQ46</t>
  </si>
  <si>
    <t>vP3_2</t>
  </si>
  <si>
    <t>vP3_3</t>
  </si>
  <si>
    <t>vP2_1</t>
  </si>
  <si>
    <t>vP2_2</t>
  </si>
  <si>
    <t>vP2_3</t>
  </si>
  <si>
    <t>vP2_4</t>
  </si>
  <si>
    <t>vP2_5</t>
  </si>
  <si>
    <t>vP2_6</t>
  </si>
  <si>
    <t>vQ43</t>
  </si>
  <si>
    <t>vQ44</t>
  </si>
  <si>
    <t>vQ44o88</t>
  </si>
  <si>
    <t>vQ45</t>
  </si>
  <si>
    <t>vQ45o88</t>
  </si>
  <si>
    <t>vQ47</t>
  </si>
  <si>
    <t>vQ48</t>
  </si>
  <si>
    <t>vQ62</t>
  </si>
  <si>
    <t>vQ49</t>
  </si>
  <si>
    <t>vQ50</t>
  </si>
  <si>
    <t>vQ51</t>
  </si>
  <si>
    <t>vQ51o88</t>
  </si>
  <si>
    <t>vQ52</t>
  </si>
  <si>
    <t>vQ53</t>
  </si>
  <si>
    <t>vQ53o88</t>
  </si>
  <si>
    <t>vP3_1</t>
  </si>
  <si>
    <t>vQ54</t>
  </si>
  <si>
    <t>vQ54o88</t>
  </si>
  <si>
    <t>vP5_6</t>
  </si>
  <si>
    <t>vQ55</t>
  </si>
  <si>
    <t>vQ56</t>
  </si>
  <si>
    <t>vQ57</t>
  </si>
  <si>
    <t>vZ2_1g1</t>
  </si>
  <si>
    <t>vZ2_1g2</t>
  </si>
  <si>
    <t>vZ2_2</t>
  </si>
  <si>
    <t>vZE1</t>
  </si>
  <si>
    <t>vZE1o03</t>
  </si>
  <si>
    <t>vZE1o04</t>
  </si>
  <si>
    <t>vCkZE1</t>
  </si>
  <si>
    <t>vZE2m01</t>
  </si>
  <si>
    <t>vZE2m02</t>
  </si>
  <si>
    <t>vZE2m03</t>
  </si>
  <si>
    <t>vZE2_1</t>
  </si>
  <si>
    <t>vZE2_2</t>
  </si>
  <si>
    <t>vZE2_3</t>
  </si>
  <si>
    <t>vvckend</t>
  </si>
  <si>
    <t>m</t>
  </si>
  <si>
    <t>p</t>
  </si>
  <si>
    <t>var</t>
  </si>
  <si>
    <t>可輸入小數點</t>
  </si>
  <si>
    <t>in_or_not</t>
  </si>
  <si>
    <t>r1</t>
  </si>
  <si>
    <t>r2</t>
  </si>
  <si>
    <t>r3</t>
  </si>
  <si>
    <t>r4</t>
  </si>
  <si>
    <t>range</t>
  </si>
  <si>
    <t>是否複選</t>
  </si>
  <si>
    <t>題號</t>
  </si>
  <si>
    <t>題號變項名稱</t>
  </si>
  <si>
    <t>選項數值</t>
  </si>
  <si>
    <t>var2_new</t>
  </si>
  <si>
    <t>range_new</t>
  </si>
  <si>
    <t>n</t>
  </si>
  <si>
    <t>v45o06</t>
  </si>
  <si>
    <t>v71_2s1</t>
  </si>
  <si>
    <t>v71_2s2</t>
  </si>
  <si>
    <t>v71_2s3</t>
  </si>
  <si>
    <t>v71_2s4</t>
  </si>
  <si>
    <t>選項編號_起</t>
  </si>
  <si>
    <t>選項編號_迄</t>
  </si>
  <si>
    <t>選項數量</t>
  </si>
  <si>
    <t>不可選擇數量</t>
  </si>
  <si>
    <t>全部無反應選項</t>
  </si>
  <si>
    <t>互斥選項</t>
  </si>
  <si>
    <t>迴圈進行次數</t>
  </si>
  <si>
    <t>無反應選項1</t>
  </si>
  <si>
    <t>無反應選項2</t>
  </si>
  <si>
    <t>無反應選項3</t>
  </si>
  <si>
    <t>無反應選項4</t>
  </si>
  <si>
    <t>無反應選項5</t>
  </si>
  <si>
    <t>程式1</t>
  </si>
  <si>
    <t>程式2</t>
  </si>
  <si>
    <t>程式3</t>
  </si>
  <si>
    <t>程式4</t>
  </si>
  <si>
    <t>程式5</t>
  </si>
  <si>
    <t>加總程式</t>
  </si>
  <si>
    <t>01</t>
  </si>
  <si>
    <t>07</t>
  </si>
  <si>
    <t>=0</t>
  </si>
  <si>
    <t>96</t>
  </si>
  <si>
    <t>7</t>
  </si>
  <si>
    <t>互斥選項編號_起</t>
  </si>
  <si>
    <t>互斥選項編號_迄</t>
  </si>
  <si>
    <t>類型</t>
  </si>
  <si>
    <t>非連續互斥選項</t>
  </si>
  <si>
    <t>1</t>
  </si>
  <si>
    <t>6</t>
  </si>
  <si>
    <t xml:space="preserve">使用方式： 將「複選題」工作表中有定義「互斥選項」者貼入此工作表
</t>
  </si>
  <si>
    <t>分組</t>
  </si>
  <si>
    <t>v45m01</t>
  </si>
  <si>
    <t>v45m02</t>
  </si>
  <si>
    <t>v45m03</t>
  </si>
  <si>
    <t>v45m04</t>
  </si>
  <si>
    <t>v45m05</t>
  </si>
  <si>
    <t>v45m06</t>
  </si>
  <si>
    <t>v45m07</t>
  </si>
  <si>
    <t>v46m01</t>
  </si>
  <si>
    <t>v46m02</t>
  </si>
  <si>
    <t>v46m03</t>
  </si>
  <si>
    <t>v46m04</t>
  </si>
  <si>
    <t>v46m05</t>
  </si>
  <si>
    <t>v46m06</t>
  </si>
  <si>
    <t>v46m07</t>
  </si>
  <si>
    <t>v48m01</t>
  </si>
  <si>
    <t>v48m02</t>
  </si>
  <si>
    <t>v48m03</t>
  </si>
  <si>
    <t>v48m04</t>
  </si>
  <si>
    <t>v48m05</t>
  </si>
  <si>
    <t>v48m06</t>
  </si>
  <si>
    <t>v48m07</t>
  </si>
  <si>
    <t>鄉鎮市區</t>
  </si>
  <si>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</si>
  <si>
    <t>條件</t>
  </si>
  <si>
    <t>應答</t>
  </si>
  <si>
    <t>不應答</t>
  </si>
  <si>
    <t>限制</t>
  </si>
  <si>
    <t>vA1 in 997,998</t>
  </si>
  <si>
    <t>vA4 in 1,97,98</t>
  </si>
  <si>
    <t>vA5city,vA5town</t>
  </si>
  <si>
    <t>vO1 in 1,2,3,4,5,88</t>
  </si>
  <si>
    <t>vO1 in 1,2,3,4,5,88 &amp; vO3 in 3,4,5,6,1,88</t>
  </si>
  <si>
    <t>vD1 in 1,2</t>
  </si>
  <si>
    <t>vD4sD4,vD4sD5,vD4sD6,vD4sD7,vD4sD8</t>
  </si>
  <si>
    <t>(vK1m01 in 1 | vK2m13 in 1)</t>
  </si>
  <si>
    <t>(vK1m02 in 1 | vK2m01 in 1)</t>
  </si>
  <si>
    <t>vKFB3m01,vKFB3m02,vKFB3m03,vKFB3m04,vKFB3m05,vKFB3m06,vKFB3m07,vKFB3m08,vKFB3m09,vKFB3m10,vKFB3m11,vKFB3m12,vKFB3m13,vKFB3m14,vKFB3m15,vKFB3m16,vKFB3m17,vKFB3m88</t>
  </si>
  <si>
    <t>vKFB4m01,vKFB4m02,vKFB4m03,vKFB4m04,vKFB4m05,vKFB4m06,vKFB4m07,vKFB4m08,vKFB4m09,vKFB4m10,vKFB4m11,vKFB4m12,vKFB4m13,vKFB4m14,vKFB4m15,vKFB4m16,vKFB4m17,vKFB4m18,vKFB4m88</t>
  </si>
  <si>
    <t>(vK1m03 in 1 | vK2m02 in 1)</t>
  </si>
  <si>
    <t>vKIG3m01,vKIG3m02,vKIG3m03,vKIG3m04,vKIG3m05,vKIG3m06,vKIG3m07,vKIG3m08,vKIG3m09,vKIG3m10,vKIG3m11,vKIG3m12,vKIG3m13,vKIG3m14,vKIG3m15,vKIG3m16,vKIG3m17,vKIG3m88</t>
  </si>
  <si>
    <t>vKIG4m01,vKIG4m02,vKIG4m03,vKIG4m04,vKIG4m05,vKIG4m06,vKIG4m07,vKIG4m08,vKIG4m09,vKIG4m10,vKIG4m11,vKIG4m12,vKIG4m13,vKIG4m14,vKIG4m88</t>
  </si>
  <si>
    <t>(vK1m11 in 1 | vK2m07 in 1)</t>
  </si>
  <si>
    <t>vKTT3m01,vKTT3m02,vKTT3m03,vKTT3m04,vKTT3m05,vKTT3m06,vKTT3m07,vKTT3m08,vKTT3m09,vKTT3m10,vKTT3m11,vKTT3m12,vKTT3m13,vKTT3m14,vKTT3m15,vKTT3m16,vKTT3m88</t>
  </si>
  <si>
    <t>vKTT4m01,vKTT4m02,vKTT4m03,vKTT4m04,vKTT4m05,vKTT4m06,vKTT4m07,vKTT4m08,vKTT4m09,vKTT4m10,vKTT4m11,vKTT4m12,vKTT4m13,vKTT4m14,vKTT4m88</t>
  </si>
  <si>
    <t>vKTT5m01,vKTT5m02,vKTT5m03,vKTT5m04,vKTT5m05,vKTT5m06,vKTT5m07,vKTT5m08,vKTT5m09,vKTT5m10,vKTT5m11,vKTT5m12,vKTT5m88</t>
  </si>
  <si>
    <t>(vK1m13 in 1 | vK2m11 in 1)</t>
  </si>
  <si>
    <t>vK3m01 in 1</t>
  </si>
  <si>
    <t>vE1 in 1</t>
  </si>
  <si>
    <t>vE2m01,vE2m02,vE2m03,vE2m04,vE2m88</t>
  </si>
  <si>
    <t>(vE2m01 in 1 | vE17 in 1 | vE18 in 1)</t>
  </si>
  <si>
    <t>(vO1_1 in 1,2,3,4,88 | vO1 in 1,2,3,4,5,12,13,14,88)</t>
  </si>
  <si>
    <t>(vE2m02 in 1 | vE17 in 2 | vE18 in 2)</t>
  </si>
  <si>
    <t>(vE2m03 in 1 | vE17 in 3 | vE18 in 3)</t>
  </si>
  <si>
    <t>vE13m01,vE13m02,vE13m03,vE13m04,vE13m05,vE13m06,vE13m88</t>
  </si>
  <si>
    <t>vG7m01,vG7m02,vG7m03,vG7m04,vG7m05,vG7m06,vG7m07,vG7m08,vG7m09,vG7m10,vG7m11,vG7m12,vG7m88,vG7m90</t>
  </si>
  <si>
    <t>vG8m01,vG8m02,vG8m03,vG8m04,vG8m05,vG8m06,vG8m07,vG8m08,vG8m09,vG8m10,vG8m11,vG8m12,vG8m13,vG8m14,vG8m15,vG8m16,vG8m88,vG8m90</t>
  </si>
  <si>
    <t>vG9m01,vG9m02,vG9m03,vG9m04,vG9m05,vG9m06,vG9m07,vG9m08,vG9m09,vG9m10,vG9m11,vG9m12,vG9m13,vG9m88,vG9m90</t>
  </si>
  <si>
    <t>vG10m01,vG10m02,vG10m03,vG10m04,vG10m05,vG10m06,vG10m07,vG10m08,vG10m09,vG10m10,vG10m11,vG10m12,vG10m13,vG10m14,vG10m15,vG10m16,vG10m17,vG10m18,vG10m19,vG10m88,vG10m90</t>
  </si>
  <si>
    <t>vG11m01,vG11m02,vG11m03,vG11m04,vG11m05,vG11m88,vG11m90</t>
  </si>
  <si>
    <t>vB1 in 0</t>
  </si>
  <si>
    <t>vB3 in 0</t>
  </si>
  <si>
    <t>vB5 in 0</t>
  </si>
  <si>
    <t>vI1 in 0</t>
  </si>
  <si>
    <t>vI3 in 0</t>
  </si>
  <si>
    <t>vA9 in 1</t>
  </si>
  <si>
    <t>(vA9 in 1 | vG1 in 0)</t>
  </si>
  <si>
    <t>vG3m01,vG3m02,vG3m03,vG3m04,vG3m05,vG3m06,vG3m07,vG3m08,vG3m09,vG3m10,vG3m11,vG3m12,vG3m13,vG3m14,vG3m15,vG3m16,vG3m18,vG3m19,vG3m20,vG3m21,vG3m22,vG3m23,vG3m24,vG3m25,vG3m26,vG3m27,vG3m28,vG3m29,vG3m30,vG3m31,vG3m32,vG3m33,vG3m88</t>
  </si>
  <si>
    <t>vF0 in 1,89</t>
  </si>
  <si>
    <t>vF0 in 2,89</t>
  </si>
  <si>
    <t>vF0 in 90,97,98</t>
  </si>
  <si>
    <t>vF5m01,vF5m02,vF5m03,vF5m04,vF5m05,vF5m06,vF5m07,vF5m08,vF5m88</t>
  </si>
  <si>
    <t>vC1 in 0</t>
  </si>
  <si>
    <t>vC3m01,vC3m02,vC3m03,vC3m04,vC3m05,vC3m06,vC3m07,vC3m08,vC3m09,vC3m10,vC3m11,vC3m88</t>
  </si>
  <si>
    <t>vJB1m01,vJB1m02,vJB1m03,vJB1m04,vJB1m05,vJB1m06,vJB1m07,vJB1m08,vJB1m09,vJB1m10,vJB1m11,vJB1m88,vJB1m90</t>
  </si>
  <si>
    <t>vJB2m01,vJB2m02,vJB2m03,vJB2m04,vJB2m05,vJB2m06,vJB2m07,vJB2m88,vJB2m90</t>
  </si>
  <si>
    <t>vH1 in 997,998</t>
  </si>
  <si>
    <t>(vH1 in 0 | vH2 in 1)</t>
  </si>
  <si>
    <t>vH4 in 997,998</t>
  </si>
  <si>
    <t>(vH4 in 0 | vH5 in 1)</t>
  </si>
  <si>
    <t>(vQ5 in 2,97,98 | vK2m90 in 1)</t>
  </si>
  <si>
    <t>(vQ5 in 2,97,98 | vK3m90 in 1)</t>
  </si>
  <si>
    <t>(vQ5 in 2,97,98 | vK1m90 in 1)</t>
  </si>
  <si>
    <t>vQ5 in 2 &amp; vQ10 in 1</t>
  </si>
  <si>
    <t>(vQ10 in 2,97,98 | vK2m90 in 1 | vQ6 in 1)</t>
  </si>
  <si>
    <t>(vQ10 in 2,97,98 | vK3m90 in 1 | vQ7 in 1)</t>
  </si>
  <si>
    <t>(vQ10 in 2,97,98 | vK1m90 in 1 | vQ8 in 1)</t>
  </si>
  <si>
    <t>(vQ15 in 2,97,98 | vK2m90 in 1)</t>
  </si>
  <si>
    <t>(vQ15 in 2,97,98 | vK3m90 in 1)</t>
  </si>
  <si>
    <t>(vQ15 in 2,97,98 | vK1m90 in 1)</t>
  </si>
  <si>
    <t>vQ5 in 2 &amp; vQ20m02 in 1 | vQ20m03 in 1 | vQ20m04 in 1 | vQ20m05 in 1</t>
  </si>
  <si>
    <t>vQ5 in 2 &amp; vQ20m01 in 1 &amp; vB1 in 0 &amp; vB3 in 0</t>
  </si>
  <si>
    <t>vQ20m01 in 1</t>
  </si>
  <si>
    <t>vQ25m01,vQ25m02,vQ25m03,vQ25m04,vQ25m05,vQ25m06,vQ25m07,vQ25m08,vQ25m09,vQ25m10,vQ25m11,vQ25m12,vQ25m13,vQ25m14,vQ25m15,vQ25m16,vQ25m17,vQ25m18,vQ25m19,vQ25m20,vQ25m21,vQ25m22,vQ25m23,vQ25m24,vQ25m25,vQ25m26,vQ25m27,vQ25m28,vQ25m29,vQ25m30,vQ25m31,vQ25m88</t>
  </si>
  <si>
    <t>vQ20m02 in 1</t>
  </si>
  <si>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</si>
  <si>
    <t>vQ20m03 in 1</t>
  </si>
  <si>
    <t>vQ23m01,vQ23m02,vQ23m03,vQ23m04,vQ23m05,vQ23m06,vQ23m07,vQ23m08,vQ23m09,vQ23m10,vQ23m11,vQ23m12,vQ23m13,vQ23m14,vQ23m15,vQ23m16,vQ23m17,vQ23m18,vQ23m19,vQ23m20,vQ23m21,vQ23m22,vQ23m23,vQ23m24,vQ23m25,vQ23m26,vQ23m27,vQ23m88</t>
  </si>
  <si>
    <t>vQ20m04 in 1</t>
  </si>
  <si>
    <t>vQ26m01,vQ26m02,vQ26m03,vQ26m04,vQ26m05,vQ26m06,vQ26m07,vQ26m08,vQ26m09,vQ26m10,vQ26m11,vQ26m12,vQ26m13,vQ26m14,vQ26m15,vQ26m16,vQ26m17,vQ26m18,vQ26m19,vQ26m20,vQ26m21,vQ26m22,vQ26m23,vQ26m24,vQ26m25,vQ26m26,vQ26m27,vQ26m28,vQ26m29,vQ26m88</t>
  </si>
  <si>
    <t>vQ5 in 2 &amp; vP3_4 in 2,3,4</t>
  </si>
  <si>
    <t>(vK2m90 in 1 | vQ5 in 2)</t>
  </si>
  <si>
    <t>vQ30m01,vQ30m02,vQ30m03,vQ30m04,vQ30m05,vQ30m06,vQ30m07,vQ30m08,vQ30m90</t>
  </si>
  <si>
    <t>vQ49 in 2,97,98</t>
  </si>
  <si>
    <t>(vQ49 in 1 | vQ50 in 1)</t>
  </si>
  <si>
    <t>vQ51 in 1,2,3,4,5,6,7,8,9,10,11,12,13,14,15,16,17,18,19,20,21,22,23,24,25,26,27,28,29,30,31,32,33,34,35,36,37,38,39,40,41,42,43,44,45,46,47,48,49,50,51,52,53,54,55,56,57,58,59,60,61,62,63,64,65,66,67,68,69,70,71,72,73,74,75,76,77,78,79,80,81,82,83,84,85,86,87,88</t>
  </si>
  <si>
    <t>vD1 in 3</t>
  </si>
  <si>
    <t>vZE2m01 in 1 | vZE2m02 in 1</t>
  </si>
  <si>
    <t>vZE2m01 in 1</t>
  </si>
  <si>
    <t>vZE2m02 in 1</t>
  </si>
  <si>
    <t>真實跳答碼</t>
  </si>
  <si>
    <t>syntax</t>
  </si>
  <si>
    <t>1,2359</t>
  </si>
  <si>
    <t>9797</t>
  </si>
  <si>
    <t>9898</t>
  </si>
  <si>
    <t>99996</t>
  </si>
  <si>
    <t>這邊的程式碼要貼到"96程式"裡</t>
  </si>
  <si>
    <t>vE5sE5</t>
  </si>
  <si>
    <t>0,2359</t>
  </si>
  <si>
    <t>vE5sE6</t>
  </si>
  <si>
    <t>vE8sE8</t>
  </si>
  <si>
    <t>vE8sE9</t>
  </si>
  <si>
    <t>vE11sE11</t>
  </si>
  <si>
    <t>vE11sE12</t>
  </si>
  <si>
    <t>0,100000</t>
  </si>
  <si>
    <t>999991</t>
  </si>
  <si>
    <t>99997,99998</t>
  </si>
  <si>
    <t>9999996</t>
  </si>
  <si>
    <t>0,990</t>
  </si>
  <si>
    <t>991</t>
  </si>
  <si>
    <t>997,998</t>
  </si>
  <si>
    <t>9996</t>
  </si>
  <si>
    <t>0,500</t>
  </si>
  <si>
    <t>1,5000</t>
  </si>
  <si>
    <t>9991</t>
  </si>
  <si>
    <t>9997,9998</t>
  </si>
  <si>
    <t>999996</t>
  </si>
  <si>
    <t>0,140</t>
  </si>
  <si>
    <t>995</t>
  </si>
  <si>
    <t>vO4B</t>
  </si>
  <si>
    <t>小數點</t>
  </si>
  <si>
    <t>變項說明</t>
  </si>
  <si>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</si>
  <si>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</si>
  <si>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</si>
  <si>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</si>
  <si>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</si>
  <si>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</si>
  <si>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vZA1</t>
  </si>
  <si>
    <t>ZA1 請問您或您家人有沒有收到我們寄來的訪函？【訪員請出示訪函、信封】</t>
  </si>
  <si>
    <t>vZA1o05</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</si>
  <si>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</si>
  <si>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</si>
  <si>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</si>
  <si>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</si>
  <si>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</si>
  <si>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</si>
  <si>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</si>
  <si>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</si>
  <si>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</si>
  <si>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</si>
  <si>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</si>
  <si>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vR9_1</t>
  </si>
  <si>
    <t>R9_1 【中止訪問】 請訪員先確認地址是否正確。地址確認正確後， 請向受訪者說：「您的姓名、年次與性別跟我們登記的資料不符合，我們會聯繫中心協辦人員確認，謝謝您。」</t>
  </si>
  <si>
    <t>vR2</t>
  </si>
  <si>
    <t>R2 那請問您的正確姓名是什麼呢？ 原姓名貼題：${A:name} 如受訪者姓名改動較大，請訪員確認一下原因，以確保受訪者真的為本次追蹤調查的受訪者。</t>
  </si>
  <si>
    <t>A1 請問您是民國哪一年出生的？(出生年以身分證上的為主) 訪員注意：若不知道出生年，請依生肖及現在大約幾歲，再由提示卡A生肖表查詢出生年。</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</si>
  <si>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</si>
  <si>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</si>
  <si>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</si>
  <si>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</si>
  <si>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</si>
  <si>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</si>
  <si>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</si>
  <si>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</si>
  <si>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</si>
  <si>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A3 請問您在哪一個縣市出生？ 訪員注意：若為國外出生，則請在（88）其他欄位中填寫「該國家名稱」。</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</si>
  <si>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</si>
  <si>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</si>
  <si>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</si>
  <si>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</si>
  <si>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</si>
  <si>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</si>
  <si>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A4 請問您現在的居住地是不是戶籍地呢？</t>
  </si>
  <si>
    <t>A5 那請問您的戶籍所在地是哪個縣市、哪個鄉鎮市區呢？(以身分證上的為主)</t>
  </si>
  <si>
    <t>A5 那請問您的戶籍所在地是哪個縣市、哪個鄉鎮市區呢？(以身分證上的為主) (29) 其他</t>
  </si>
  <si>
    <t>A6 請問您父親是台灣閩南人、台灣客家人、大陸各省市、台灣原住民還是其他人？(卡1) 訪員注意：籍貫以父親的爸爸為主。 例如：若父親的爸爸是台灣閩南人、媽媽是台灣客家人，應勾選「（01</t>
  </si>
  <si>
    <t>A7 請問您母親是台灣閩南人、台灣客家人、大陸各省市、台灣原住民還是其他人？(卡1) 訪員注意：籍貫以母親的爸爸為主。 例如：若母親的爸爸是台灣閩南人、媽媽是台灣客家人，應勾選「（01</t>
  </si>
  <si>
    <t>A8 請問您目前的婚姻狀況是什麼？(卡2) 追蹤樣本：${A:marry} 訪員注意：若追蹤樣本受訪者回答(01)單身且從沒結過婚，但2023年訪問時婚姻狀況為已婚、離婚、喪偶或分居，請委婉追問實際婚姻狀�</t>
  </si>
  <si>
    <t>A9 請問您的教育程度是什麼？包含肄業、就學中。 追蹤樣本：${A:edu}</t>
  </si>
  <si>
    <t>A9 請問您的教育程度是什麼？包含肄業、就學中。 追蹤樣本：${A:edu} (88) 其他，請說明</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</si>
  <si>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</si>
  <si>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</si>
  <si>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</si>
  <si>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</si>
  <si>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</si>
  <si>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</si>
  <si>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</si>
  <si>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B7a 請問您經常看哪幾台電視新聞？(可複選) (卡3) 訪員注意：同色選項表示該電視台有系列頻道，請再確認是哪一台，例如：答「TVBS」，請辨別是TVBS新聞台還是TVBS。  (01) TVBS新聞台 (55台，24小時</t>
  </si>
  <si>
    <t>B7a 請問您經常看哪幾台電視新聞？(可複選) (卡3) 訪員注意：同色選項表示該電視台有系列頻道，請再確認是哪一台，例如：答「TVBS」，請辨別是TVBS新聞台還是TVBS。  (02) TVBS(56台)</t>
  </si>
  <si>
    <t>B7a 請問您經常看哪幾台電視新聞？(可複選) (卡3) 訪員注意：同色選項表示該電視台有系列頻道，請再確認是哪一台，例如：答「TVBS」，請辨別是TVBS新聞台還是TVBS。  (03) 三立新聞台 (24小時新聞</t>
  </si>
  <si>
    <t>B7a 請問您經常看哪幾台電視新聞？(可複選) (卡3) 訪員注意：同色選項表示該電視台有系列頻道，請再確認是哪一台，例如：答「TVBS」，請辨別是TVBS新聞台還是TVBS。  (04) 三立台灣台</t>
  </si>
  <si>
    <t>B7a 請問您經常看哪幾台電視新聞？(可複選) (卡3) 訪員注意：同色選項表示該電視台有系列頻道，請再確認是哪一台，例如：答「TVBS」，請辨別是TVBS新聞台還是TVBS。  (05) 三立財經台 (iNEWS)</t>
  </si>
  <si>
    <t>B7a 請問您經常看哪幾台電視新聞？(可複選) (卡3) 訪員注意：同色選項表示該電視台有系列頻道，請再確認是哪一台，例如：答「TVBS」，請辨別是TVBS新聞台還是TVBS。  (06) 八大第一台</t>
  </si>
  <si>
    <t>B7a 請問您經常看哪幾台電視新聞？(可複選) (卡3) 訪員注意：同色選項表示該電視台有系列頻道，請再確認是哪一台，例如：答「TVBS」，請辨別是TVBS新聞台還是TVBS。  (07) 中視新聞台 (24小時新聞</t>
  </si>
  <si>
    <t>B7a 請問您經常看哪幾台電視新聞？(可複選) (卡3) 訪員注意：同色選項表示該電視台有系列頻道，請再確認是哪一台，例如：答「TVBS」，請辨別是TVBS新聞台還是TVBS。  (08) 中視</t>
  </si>
  <si>
    <t>B7a 請問您經常看哪幾台電視新聞？(可複選) (卡3) 訪員注意：同色選項表示該電視台有系列頻道，請再確認是哪一台，例如：答「TVBS」，請辨別是TVBS新聞台還是TVBS。  (09) 中視菁采台</t>
  </si>
  <si>
    <t>B7a 請問您經常看哪幾台電視新聞？(可複選) (卡3) 訪員注意：同色選項表示該電視台有系列頻道，請再確認是哪一台，例如：答「TVBS」，請辨別是TVBS新聞台還是TVBS。  (10) 中視經典台</t>
  </si>
  <si>
    <t>B7a 請問您經常看哪幾台電視新聞？(可複選) (卡3) 訪員注意：同色選項表示該電視台有系列頻道，請再確認是哪一台，例如：答「TVBS」，請辨別是TVBS新聞台還是TVBS。  (11) 公視</t>
  </si>
  <si>
    <t>B7a 請問您經常看哪幾台電視新聞？(可複選) (卡3) 訪員注意：同色選項表示該電視台有系列頻道，請再確認是哪一台，例如：答「TVBS」，請辨別是TVBS新聞台還是TVBS。  (12) 公視3台</t>
  </si>
  <si>
    <t>B7a 請問您經常看哪幾台電視新聞？(可複選) (卡3) 訪員注意：同色選項表示該電視台有系列頻道，請再確認是哪一台，例如：答「TVBS」，請辨別是TVBS新聞台還是TVBS。  (13) 公視台語台</t>
  </si>
  <si>
    <t>B7a 請問您經常看哪幾台電視新聞？(可複選) (卡3) 訪員注意：同色選項表示該電視台有系列頻道，請再確認是哪一台，例如：答「TVBS」，請辨別是TVBS新聞台還是TVBS。  (14) 台視新聞台 (24小時新聞</t>
  </si>
  <si>
    <t>B7a 請問您經常看哪幾台電視新聞？(可複選) (卡3) 訪員注意：同色選項表示該電視台有系列頻道，請再確認是哪一台，例如：答「TVBS」，請辨別是TVBS新聞台還是TVBS。  (15) 台視</t>
  </si>
  <si>
    <t>B7a 請問您經常看哪幾台電視新聞？(可複選) (卡3) 訪員注意：同色選項表示該電視台有系列頻道，請再確認是哪一台，例如：答「TVBS」，請辨別是TVBS新聞台還是TVBS。  (16) 台視財經台</t>
  </si>
  <si>
    <t>B7a 請問您經常看哪幾台電視新聞？(可複選) (卡3) 訪員注意：同色選項表示該電視台有系列頻道，請再確認是哪一台，例如：答「TVBS」，請辨別是TVBS新聞台還是TVBS。  (17) 民視新聞台 (24小時新聞</t>
  </si>
  <si>
    <t>B7a 請問您經常看哪幾台電視新聞？(可複選) (卡3) 訪員注意：同色選項表示該電視台有系列頻道，請再確認是哪一台，例如：答「TVBS」，請辨別是TVBS新聞台還是TVBS。  (18) 民視</t>
  </si>
  <si>
    <t>B7a 請問您經常看哪幾台電視新聞？(可複選) (卡3) 訪員注意：同色選項表示該電視台有系列頻道，請再確認是哪一台，例如：答「TVBS」，請辨別是TVBS新聞台還是TVBS。  (19) 民視台灣台</t>
  </si>
  <si>
    <t>B7a 請問您經常看哪幾台電視新聞？(可複選) (卡3) 訪員注意：同色選項表示該電視台有系列頻道，請再確認是哪一台，例如：答「TVBS」，請辨別是TVBS新聞台還是TVBS。  (20) 民視第一台</t>
  </si>
  <si>
    <t>B7a 請問您經常看哪幾台電視新聞？(可複選) (卡3) 訪員注意：同色選項表示該電視台有系列頻道，請再確認是哪一台，例如：答「TVBS」，請辨別是TVBS新聞台還是TVBS。  (21) 年代新聞</t>
  </si>
  <si>
    <t>B7a 請問您經常看哪幾台電視新聞？(可複選) (卡3) 訪員注意：同色選項表示該電視台有系列頻道，請再確認是哪一台，例如：答「TVBS」，請辨別是TVBS新聞台還是TVBS。  (22) 東森財經新聞</t>
  </si>
  <si>
    <t>B7a 請問您經常看哪幾台電視新聞？(可複選) (卡3) 訪員注意：同色選項表示該電視台有系列頻道，請再確認是哪一台，例如：答「TVBS」，請辨別是TVBS新聞台還是TVBS。  (23) 東森新聞</t>
  </si>
  <si>
    <t>B7a 請問您經常看哪幾台電視新聞？(可複選) (卡3) 訪員注意：同色選項表示該電視台有系列頻道，請再確認是哪一台，例如：答「TVBS」，請辨別是TVBS新聞台還是TVBS。  (24) 非凡新聞 (24小時新聞台</t>
  </si>
  <si>
    <t>B7a 請問您經常看哪幾台電視新聞？(可複選) (卡3) 訪員注意：同色選項表示該電視台有系列頻道，請再確認是哪一台，例如：答「TVBS」，請辨別是TVBS新聞台還是TVBS。  (25) 非凡商業台</t>
  </si>
  <si>
    <t>B7a 請問您經常看哪幾台電視新聞？(可複選) (卡3) 訪員注意：同色選項表示該電視台有系列頻道，請再確認是哪一台，例如：答「TVBS」，請辨別是TVBS新聞台還是TVBS。  (26) 客家電視台</t>
  </si>
  <si>
    <t>B7a 請問您經常看哪幾台電視新聞？(可複選) (卡3) 訪員注意：同色選項表示該電視台有系列頻道，請再確認是哪一台，例如：答「TVBS」，請辨別是TVBS新聞台還是TVBS。  (27) 原住民族電視台</t>
  </si>
  <si>
    <t>B7a 請問您經常看哪幾台電視新聞？(可複選) (卡3) 訪員注意：同色選項表示該電視台有系列頻道，請再確認是哪一台，例如：答「TVBS」，請辨別是TVBS新聞台還是TVBS。  (28) 壹電視新聞</t>
  </si>
  <si>
    <t>B7a 請問您經常看哪幾台電視新聞？(可複選) (卡3) 訪員注意：同色選項表示該電視台有系列頻道，請再確認是哪一台，例如：答「TVBS」，請辨別是TVBS新聞台還是TVBS。  (29) 華視新聞資訊台 (24小時</t>
  </si>
  <si>
    <t>B7a 請問您經常看哪幾台電視新聞？(可複選) (卡3) 訪員注意：同色選項表示該電視台有系列頻道，請再確認是哪一台，例如：答「TVBS」，請辨別是TVBS新聞台還是TVBS。  (30) 華視</t>
  </si>
  <si>
    <t>B7a 請問您經常看哪幾台電視新聞？(可複選) (卡3) 訪員注意：同色選項表示該電視台有系列頻道，請再確認是哪一台，例如：答「TVBS」，請辨別是TVBS新聞台還是TVBS。  (31) 新唐人亞太台</t>
  </si>
  <si>
    <t>B7a 請問您經常看哪幾台電視新聞？(可複選) (卡3) 訪員注意：同色選項表示該電視台有系列頻道，請再確認是哪一台，例如：答「TVBS」，請辨別是TVBS新聞台還是TVBS。  (32) 靖天資訊台</t>
  </si>
  <si>
    <t>B7a 請問您經常看哪幾台電視新聞？(可複選) (卡3) 訪員注意：同色選項表示該電視台有系列頻道，請再確認是哪一台，例如：答「TVBS」，請辨別是TVBS新聞台還是TVBS。  (33) 寰宇新聞台 (24小時新聞</t>
  </si>
  <si>
    <t>B7a 請問您經常看哪幾台電視新聞？(可複選) (卡3) 訪員注意：同色選項表示該電視台有系列頻道，請再確認是哪一台，例如：答「TVBS」，請辨別是TVBS新聞台還是TVBS。  (34) 寰宇新聞台灣台 (24小時</t>
  </si>
  <si>
    <t>B7a 請問您經常看哪幾台電視新聞？(可複選) (卡3) 訪員注意：同色選項表示該電視台有系列頻道，請再確認是哪一台，例如：答「TVBS」，請辨別是TVBS新聞台還是TVBS。  (35) 寰宇財經台</t>
  </si>
  <si>
    <t>B7a 請問您經常看哪幾台電視新聞？(可複選) (卡3) 訪員注意：同色選項表示該電視台有系列頻道，請再確認是哪一台，例如：答「TVBS」，請辨別是TVBS新聞台還是TVBS。  (36) BBC世界新聞台</t>
  </si>
  <si>
    <t>B7a 請問您經常看哪幾台電視新聞？(可複選) (卡3) 訪員注意：同色選項表示該電視台有系列頻道，請再確認是哪一台，例如：答「TVBS」，請辨別是TVBS新聞台還是TVBS。  (37) Channel News Asia</t>
  </si>
  <si>
    <t>B7a 請問您經常看哪幾台電視新聞？(可複選) (卡3) 訪員注意：同色選項表示該電視台有系列頻道，請再確認是哪一台，例如：答「TVBS」，請辨別是TVBS新聞台還是TVBS。  (38) CNBC Asia</t>
  </si>
  <si>
    <t>B7a 請問您經常看哪幾台電視新聞？(可複選) (卡3) 訪員注意：同色選項表示該電視台有系列頻道，請再確認是哪一台，例如：答「TVBS」，請辨別是TVBS新聞台還是TVBS。  (39) CNN</t>
  </si>
  <si>
    <t>B7a 請問您經常看哪幾台電視新聞？(可複選) (卡3) 訪員注意：同色選項表示該電視台有系列頻道，請再確認是哪一台，例如：答「TVBS」，請辨別是TVBS新聞台還是TVBS。  (40) NHK</t>
  </si>
  <si>
    <t>B7a 請問您經常看哪幾台電視新聞？(可複選) (卡3) 訪員注意：同色選項表示該電視台有系列頻道，請再確認是哪一台，例如：答「TVBS」，請辨別是TVBS新聞台還是TVBS。  (41) TFC</t>
  </si>
  <si>
    <t>B7a 請問您經常看哪幾台電視新聞？(可複選) (卡3) 訪員注意：同色選項表示該電視台有系列頻道，請再確認是哪一台，例如：答「TVBS」，請辨別是TVBS新聞台還是TVBS。  (42) TV5MONDE</t>
  </si>
  <si>
    <t>B7a 請問您經常看哪幾台電視新聞？(可複選) (卡3) 訪員注意：同色選項表示該電視台有系列頻道，請再確認是哪一台，例如：答「TVBS」，請辨別是TVBS新聞台還是TVBS。  (43) VTV4台</t>
  </si>
  <si>
    <t>B7a 請問您經常看哪幾台電視新聞？(可複選) (卡3) 訪員注意：同色選項表示該電視台有系列頻道，請再確認是哪一台，例如：答「TVBS」，請辨別是TVBS新聞台還是TVBS。  (44) 半島英語新聞台</t>
  </si>
  <si>
    <t>B7a 請問您經常看哪幾台電視新聞？(可複選) (卡3) 訪員注意：同色選項表示該電視台有系列頻道，請再確認是哪一台，例如：答「TVBS」，請辨別是TVBS新聞台還是TVBS。  (45) 阿里郎電視台Arirang TV</t>
  </si>
  <si>
    <t>B7a 請問您經常看哪幾台電視新聞？(可複選) (卡3) 訪員注意：同色選項表示該電視台有系列頻道，請再確認是哪一台，例如：答「TVBS」，請辨別是TVBS新聞台還是TVBS。  (46) 彭博財經頻道Bloomberg TV</t>
  </si>
  <si>
    <t>B7a 請問您經常看哪幾台電視新聞？(可複選) (卡3) 訪員注意：同色選項表示該電視台有系列頻道，請再確認是哪一台，例如：答「TVBS」，請辨別是TVBS新聞台還是TVBS。  (47) 德國之聲電視台</t>
  </si>
  <si>
    <t>B7a 請問您經常看哪幾台電視新聞？(可複選) (卡3) 訪員注意：同色選項表示該電視台有系列頻道，請再確認是哪一台，例如：答「TVBS」，請辨別是TVBS新聞台還是TVBS。  (48) 歐洲新聞台Euronews</t>
  </si>
  <si>
    <t>B7a 請問您經常看哪幾台電視新聞？(可複選) (卡3) 訪員注意：同色選項表示該電視台有系列頻道，請再確認是哪一台，例如：答「TVBS」，請辨別是TVBS新聞台還是TVBS。  (49) AMC</t>
  </si>
  <si>
    <t>B7a 請問您經常看哪幾台電視新聞？(可複選) (卡3) 訪員注意：同色選項表示該電視台有系列頻道，請再確認是哪一台，例如：答「TVBS」，請辨別是TVBS新聞台還是TVBS。  (50) 人間衛視</t>
  </si>
  <si>
    <t>B7a 請問您經常看哪幾台電視新聞？(可複選) (卡3) 訪員注意：同色選項表示該電視台有系列頻道，請再確認是哪一台，例如：答「TVBS」，請辨別是TVBS新聞台還是TVBS。  (51) 大愛</t>
  </si>
  <si>
    <t>B7a 請問您經常看哪幾台電視新聞？(可複選) (卡3) 訪員注意：同色選項表示該電視台有系列頻道，請再確認是哪一台，例如：答「TVBS」，請辨別是TVBS新聞台還是TVBS。  (52) 大愛二台</t>
  </si>
  <si>
    <t>B7a 請問您經常看哪幾台電視新聞？(可複選) (卡3) 訪員注意：同色選項表示該電視台有系列頻道，請再確認是哪一台，例如：答「TVBS」，請辨別是TVBS新聞台還是TVBS。  (53) 好消息</t>
  </si>
  <si>
    <t>B7a 請問您經常看哪幾台電視新聞？(可複選) (卡3) 訪員注意：同色選項表示該電視台有系列頻道，請再確認是哪一台，例如：答「TVBS」，請辨別是TVBS新聞台還是TVBS。  (54) 緯來體育台</t>
  </si>
  <si>
    <t>B7a 請問您經常看哪幾台電視新聞？(可複選) (卡3) 訪員注意：同色選項表示該電視台有系列頻道，請再確認是哪一台，例如：答「TVBS」，請辨別是TVBS新聞台還是TVBS。  (88) 其他，請說明</t>
  </si>
  <si>
    <t>B7 您最常看哪一台電視新聞？(卡3) 若會看不同台的電視新聞，請用受訪者一天「看最久」的那台來回答。</t>
  </si>
  <si>
    <t>B7 您最常看哪一台電視新聞？(卡3) 若會看不同台的電視新聞，請用受訪者一天「看最久」的那台來回答。 (88) 其他，請說明</t>
  </si>
  <si>
    <t>B8 最近一個月您經常看下列哪幾種類型的電視節目？(可複選)(卡4) 訪員注意： 1.括號內只是舉例，若有符合括號內其中一項就可以選。 2.若有看特定電視節目但不知道要選哪類，則請在（88）其�</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</si>
  <si>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</si>
  <si>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</si>
  <si>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C3 您聽廣播經常聽或經常聽到以下哪幾種類型的節目？(可複選)(卡5) 訪員注意： 1.括號內只是舉例，若有符合括號內其中一項就可以選。 2.若有聽特定廣播節目但不知道要選哪類，則請在（88）�</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</si>
  <si>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</si>
  <si>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</si>
  <si>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</si>
  <si>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</si>
  <si>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</si>
  <si>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</si>
  <si>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</si>
  <si>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</si>
  <si>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</si>
  <si>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</si>
  <si>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</si>
  <si>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</si>
  <si>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E2 請問您平常是透過哪些方式上網？ (可複選，請訪員逐一唸出選項確認) (卡6)  (01) 手機</t>
  </si>
  <si>
    <t>E2 請問您平常是透過哪些方式上網？ (可複選，請訪員逐一唸出選項確認) (卡6)  (02) 平板</t>
  </si>
  <si>
    <t>E2 請問您平常是透過哪些方式上網？ (可複選，請訪員逐一唸出選項確認) (卡6)  (03) 電腦（包括桌機與筆電）</t>
  </si>
  <si>
    <t>E2 請問您平常是透過哪些方式上網？ (可複選，請訪員逐一唸出選項確認) (卡6)  (04) 智慧型電視/連網電視</t>
  </si>
  <si>
    <t>E2 請問您平常是透過哪些方式上網？ (可複選，請訪員逐一唸出選項確認) (卡6)  (88) 其他，請說明：</t>
  </si>
  <si>
    <t>E17 請問您平常主要是透過哪種方式使用LINE？(卡6-1)</t>
  </si>
  <si>
    <t>E17 請問您平常主要是透過哪種方式使用LINE？(卡6-1) (88) 其他，請說明：</t>
  </si>
  <si>
    <t>E18 請問您平常主要是透過哪種方式使用YouTube？(卡6-1)</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</si>
  <si>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</si>
  <si>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</si>
  <si>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</si>
  <si>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</si>
  <si>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</si>
  <si>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</si>
  <si>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</si>
  <si>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</si>
  <si>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</si>
  <si>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</si>
  <si>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E13 請問您上網的原因是什麼呢，包括用手機、平板或電腦等所有可上網裝置都算？(可複選) (卡7) 訪員注意：提示卡選項括號內只是舉例，若有符合括號內其中一項就可以選。  (01) 維繫友誼與他�</t>
  </si>
  <si>
    <t>E13 請問您上網的原因是什麼呢，包括用手機、平板或電腦等所有可上網裝置都算？(可複選) (卡7) 訪員注意：提示卡選項括號內只是舉例，若有符合括號內其中一項就可以選。  (02) 娛樂消遣*</t>
  </si>
  <si>
    <t>E13 請問您上網的原因是什麼呢，包括用手機、平板或電腦等所有可上網裝置都算？(可複選) (卡7) 訪員注意：提示卡選項括號內只是舉例，若有符合括號內其中一項就可以選。  (03) 獲得時事/新聞</t>
  </si>
  <si>
    <t>E13 請問您上網的原因是什麼呢，包括用手機、平板或電腦等所有可上網裝置都算？(可複選) (卡7) 訪員注意：提示卡選項括號內只是舉例，若有符合括號內其中一項就可以選。  (04) 獲得生活休閒�</t>
  </si>
  <si>
    <t>E13 請問您上網的原因是什麼呢，包括用手機、平板或電腦等所有可上網裝置都算？(可複選) (卡7) 訪員注意：提示卡選項括號內只是舉例，若有符合括號內其中一項就可以選。  (05) 理財消費購物*</t>
  </si>
  <si>
    <t>E13 請問您上網的原因是什麼呢，包括用手機、平板或電腦等所有可上網裝置都算？(可複選) (卡7) 訪員注意：提示卡選項括號內只是舉例，若有符合括號內其中一項就可以選。  (06) 工作或學習*</t>
  </si>
  <si>
    <t>E13 請問您上網的原因是什麼呢，包括用手機、平板或電腦等所有可上網裝置都算？(可複選) (卡7) 訪員注意：提示卡選項括號內只是舉例，若有符合括號內其中一項就可以選。  (88) 其他，請說明</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</si>
  <si>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</si>
  <si>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</si>
  <si>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</si>
  <si>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</si>
  <si>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</si>
  <si>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</si>
  <si>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</si>
  <si>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</si>
  <si>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</si>
  <si>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</si>
  <si>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</si>
  <si>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</si>
  <si>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</si>
  <si>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</si>
  <si>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</si>
  <si>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</si>
  <si>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</si>
  <si>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</si>
  <si>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</si>
  <si>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</si>
  <si>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</si>
  <si>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</si>
  <si>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</si>
  <si>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</si>
  <si>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</si>
  <si>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</si>
  <si>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</si>
  <si>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</si>
  <si>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</si>
  <si>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</si>
  <si>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</si>
  <si>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</si>
  <si>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</si>
  <si>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</si>
  <si>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</si>
  <si>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</si>
  <si>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</si>
  <si>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</si>
  <si>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</si>
  <si>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</si>
  <si>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</si>
  <si>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</si>
  <si>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</si>
  <si>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</si>
  <si>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</si>
  <si>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</si>
  <si>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</si>
  <si>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</si>
  <si>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</si>
  <si>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</si>
  <si>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</si>
  <si>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</si>
  <si>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</si>
  <si>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</si>
  <si>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</si>
  <si>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</si>
  <si>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</si>
  <si>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</si>
  <si>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</si>
  <si>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</si>
  <si>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</si>
  <si>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</si>
  <si>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</si>
  <si>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</si>
  <si>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</si>
  <si>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</si>
  <si>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</si>
  <si>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F5 您看雜誌(包含紙本和網路雜誌)經常看下列哪幾種內容？(可複選)(卡13) 訪員注意： 1.括號內只是舉例，若有符合括號內其中一項就可以選。 2.若有看特定雜誌但不知道要選哪類，則請在（88）�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</si>
  <si>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</si>
  <si>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</si>
  <si>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G3 請問您經常看哪幾份紙本報紙？(可複選) (卡14)  (01) 自由時報</t>
  </si>
  <si>
    <t>G3 請問您經常看哪幾份紙本報紙？(可複選) (卡14)  (02) 聯合報</t>
  </si>
  <si>
    <t>G3 請問您經常看哪幾份紙本報紙？(可複選) (卡14)  (03) 中國時報</t>
  </si>
  <si>
    <t>G3 請問您經常看哪幾份紙本報紙？(可複選) (卡14)  (04) 經濟日報</t>
  </si>
  <si>
    <t>G3 請問您經常看哪幾份紙本報紙？(可複選) (卡14)  (05) 工商時報</t>
  </si>
  <si>
    <t>G3 請問您經常看哪幾份紙本報紙？(可複選) (卡14)  (06) 更生日報（花蓮、臺東縣）</t>
  </si>
  <si>
    <t>G3 請問您經常看哪幾份紙本報紙？(可複選) (卡14)  (07) 人間福報</t>
  </si>
  <si>
    <t>G3 請問您經常看哪幾份紙本報紙？(可複選) (卡14)  (08) 大紀元時報</t>
  </si>
  <si>
    <t>G3 請問您經常看哪幾份紙本報紙？(可複選) (卡14)  (09) 中華日報（臺南市）</t>
  </si>
  <si>
    <t>G3 請問您經常看哪幾份紙本報紙？(可複選) (卡14)  (10) 國語日報</t>
  </si>
  <si>
    <t>G3 請問您經常看哪幾份紙本報紙？(可複選) (卡14)  (11) 旺報</t>
  </si>
  <si>
    <t>G3 請問您經常看哪幾份紙本報紙？(可複選) (卡14)  (12) 臺灣時報（高雄市）</t>
  </si>
  <si>
    <t>G3 請問您經常看哪幾份紙本報紙？(可複選) (卡14)  (13) 青年日報</t>
  </si>
  <si>
    <t>G3 請問您經常看哪幾份紙本報紙？(可複選) (卡14)  (14) Taipei Times</t>
  </si>
  <si>
    <t>G3 請問您經常看哪幾份紙本報紙？(可複選) (卡14)  (15) 電子時報</t>
  </si>
  <si>
    <t>G3 請問您經常看哪幾份紙本報紙？(可複選) (卡14)  (16) Taiwan News</t>
  </si>
  <si>
    <t>G3 請問您經常看哪幾份紙本報紙？(可複選) (卡14)  (18) 台灣新生報</t>
  </si>
  <si>
    <t>G3 請問您經常看哪幾份紙本報紙？(可複選) (卡14)  (19) China Post</t>
  </si>
  <si>
    <t>G3 請問您經常看哪幾份紙本報紙？(可複選) (卡14)  (20) 馬祖日報</t>
  </si>
  <si>
    <t>G3 請問您經常看哪幾份紙本報紙？(可複選) (卡14)  (21) 金門日報</t>
  </si>
  <si>
    <t>G3 請問您經常看哪幾份紙本報紙？(可複選) (卡14)  (22) 民眾日報（高雄市）</t>
  </si>
  <si>
    <t>G3 請問您經常看哪幾份紙本報紙？(可複選) (卡14)  (23) 台中時報（臺中市）</t>
  </si>
  <si>
    <t>G3 請問您經常看哪幾份紙本報紙？(可複選) (卡14)  (24) 巨報（嘉義縣、嘉義市）</t>
  </si>
  <si>
    <t>G3 請問您經常看哪幾份紙本報紙？(可複選) (卡14)  (25) 台灣教會公報</t>
  </si>
  <si>
    <t>G3 請問您經常看哪幾份紙本報紙？(可複選) (卡14)  (26) 基督教論壇報</t>
  </si>
  <si>
    <t>G3 請問您經常看哪幾份紙本報紙？(可複選) (卡14)  (27) 天主教週報</t>
  </si>
  <si>
    <t>G3 請問您經常看哪幾份紙本報紙？(可複選) (卡14)  (28) 前鋒招標日報</t>
  </si>
  <si>
    <t>G3 請問您經常看哪幾份紙本報紙？(可複選) (卡14)  (29) 國語週刊</t>
  </si>
  <si>
    <t>G3 請問您經常看哪幾份紙本報紙？(可複選) (卡14)  (30) 台灣立報</t>
  </si>
  <si>
    <t>G3 請問您經常看哪幾份紙本報紙？(可複選) (卡14)  (31) 都會時報</t>
  </si>
  <si>
    <t>G3 請問您經常看哪幾份紙本報紙？(可複選) (卡14)  (32) The Affairs週刊編集</t>
  </si>
  <si>
    <t>G3 請問您經常看哪幾份紙本報紙？(可複選) (卡14)  (33) 真晨報</t>
  </si>
  <si>
    <t>G3 請問您經常看哪幾份紙本報紙？(可複選) (卡14)  (88) 其他，請說明</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</si>
  <si>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</si>
  <si>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</si>
  <si>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</si>
  <si>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</si>
  <si>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</si>
  <si>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</si>
  <si>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</si>
  <si>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</si>
  <si>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</si>
  <si>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</si>
  <si>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G7 【訪員讀題完畢後，請將平板轉給受訪者選擇，並由訪員協助點選】 您在前面題目(G6題)回答：您會透過社群媒體、入口網站及整合新聞網站來看網路新聞。 請問您經常透過哪一些社群媒體、�</t>
  </si>
  <si>
    <t>G8 【訪員讀題完畢後，請將平板轉給受訪者選擇，並由訪員協助點選】 您在前面題目(G6題)回答：您會透過電視台的網站來看網路新聞。 那請問您經常透過哪一些電視台的網站來看網路新聞？不�</t>
  </si>
  <si>
    <t>G9 【訪員讀題完畢後，請將平板轉給受訪者選擇，並由訪員協助點選】 您在前面題目(G6題)回答：您會透過電子報網站來看網路新聞。 那請問您經常透過哪一些電子報網站來看網路新聞？(可複選</t>
  </si>
  <si>
    <t>G10 【訪員讀題完畢後，請將平板轉給受訪者選擇，並由訪員協助點選】 您在前面題目(G6題)回答：您會透過獨立媒體及通訊社網站來看網路新聞。 那請問您經常透過哪一些獨立媒體及通訊社網站</t>
  </si>
  <si>
    <t>G11 【訪員讀題完畢後，請將平板轉給受訪者選擇，並由訪員協助點選】 您在前面題目(G6題)回答：您會透過國際媒體的網站來看網路新聞。 那再請問您經常透過哪一些國際媒體的網站來看網路新</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</si>
  <si>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</si>
  <si>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</si>
  <si>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</si>
  <si>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</si>
  <si>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</si>
  <si>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</si>
  <si>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</si>
  <si>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</si>
  <si>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</si>
  <si>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</si>
  <si>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</si>
  <si>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</si>
  <si>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</si>
  <si>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H1 接下來，想要請教您有關「平常與人接觸程度」的題目。 請問您平常一天會固定「面對面」接觸且認識的人有幾位？ 包括互相點頭、打招呼、講話，對方與您認識才算，認識指的是彼此叫得�</t>
  </si>
  <si>
    <t>H2 那比較接近下面哪個答案？</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</si>
  <si>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</si>
  <si>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</si>
  <si>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H5 那比較接近下面哪個答案？</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</si>
  <si>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</si>
  <si>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</si>
  <si>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</si>
  <si>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</si>
  <si>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</si>
  <si>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CKH7 【請注意】 受訪者會面對面同時也會透過網路接觸且認識的有${Q:H7}人， 不應超過之前答平常一天會固定面對面接觸且認識的${Q:H1}人， 也不應超過透過網路接觸且認識的 ${Q:H4}人， 請按「上</t>
  </si>
  <si>
    <t>CKH7_1 【請注意】 受訪者會面對面同時也會透過網路接觸且認識的有${Q:H7_1}人， 不應超過之前答平常一天會固定面對面接觸且認識的${Q:H1}人， 也不應超過透過網路接觸且認識的${Q:H5}， 請按「上</t>
  </si>
  <si>
    <t>CKH7_2 【請注意】 受訪者會面對面同時也會透過網路接觸且認識的有${Q:H7_2}人， 不應超過之前答平常一天會固定面對面接觸且認識的${Q:H2}， 也不應超過透過網路接觸且認識的${Q:H4}人， 請按「上</t>
  </si>
  <si>
    <t>CKH7_3 【請注意】 受訪者會面對面同時也會透過網路接觸且認識的有${Q:H7_3}人， 不應超過之前答平常一天會固定面對面接觸且認識的${Q:H2}， 也不應超過透過網路接觸且認識的${Q:H5}， 請按「上一</t>
  </si>
  <si>
    <t>H8 請問您會經常一起討論「個人」的重要問題或分享心事(台語：講心內話)的人，有幾位？ 訪員注意： 1.若為區間請取「中間值」後四捨五入，例如：10~15人，填「13」人。 2.請填寫整數，若超過</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</si>
  <si>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</si>
  <si>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</si>
  <si>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</si>
  <si>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</si>
  <si>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</si>
  <si>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</si>
  <si>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</si>
  <si>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</si>
  <si>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</si>
  <si>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</si>
  <si>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</si>
  <si>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</si>
  <si>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</si>
  <si>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</si>
  <si>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</si>
  <si>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</si>
  <si>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</si>
  <si>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</si>
  <si>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</si>
  <si>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</si>
  <si>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</si>
  <si>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</si>
  <si>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</si>
  <si>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</si>
  <si>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</si>
  <si>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</si>
  <si>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</si>
  <si>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</si>
  <si>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</si>
  <si>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</si>
  <si>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</si>
  <si>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</si>
  <si>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</si>
  <si>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</si>
  <si>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</si>
  <si>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</si>
  <si>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</si>
  <si>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</si>
  <si>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</si>
  <si>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</si>
  <si>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</si>
  <si>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</si>
  <si>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</si>
  <si>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</si>
  <si>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</si>
  <si>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</si>
  <si>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</si>
  <si>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</si>
  <si>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</si>
  <si>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</si>
  <si>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</si>
  <si>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</si>
  <si>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</si>
  <si>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</si>
  <si>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</si>
  <si>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</si>
  <si>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</si>
  <si>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</si>
  <si>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</si>
  <si>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</si>
  <si>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</si>
  <si>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</si>
  <si>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</si>
  <si>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</si>
  <si>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</si>
  <si>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</si>
  <si>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</si>
  <si>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</si>
  <si>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</si>
  <si>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</si>
  <si>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</si>
  <si>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</si>
  <si>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</si>
  <si>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</si>
  <si>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</si>
  <si>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</si>
  <si>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</si>
  <si>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</si>
  <si>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</si>
  <si>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</si>
  <si>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</si>
  <si>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</si>
  <si>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</si>
  <si>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</si>
  <si>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</si>
  <si>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</si>
  <si>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K1 請問您最近一個月有沒有使用下列即時通訊軟體？不論是透過手機、平板或電腦都算，要使用APP或網頁版才算。(可複選)(卡23) 受訪者上網情形：${Q:CKE1} 訪員注意： 1.「即時通訊軟體」指的是�</t>
  </si>
  <si>
    <t>vCKK1</t>
  </si>
  <si>
    <t>CKK1 【請注意】請訪員出示提示卡23，並向受訪者確認： 您剛剛您剛剛(E1)回答不會上網， 但即時通訊軟體種類(K1)有使用【${Q:K1}】，請問是否正確？ 這樣也算是上網，請點選修改答案，回到E1題�</t>
  </si>
  <si>
    <t>K2 請問您最近一個月有沒有使用下列社群媒體？(可複選)(卡24) 訪員注意： 1.「社群媒體」指的是提供多種讓用戶互動的方式(公開)，像是看朋友的動態、自己PO文、按讚、留言等平台。例如：臉�</t>
  </si>
  <si>
    <t>vK2m10</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</si>
  <si>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</si>
  <si>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</si>
  <si>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</si>
  <si>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</si>
  <si>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</si>
  <si>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</si>
  <si>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</si>
  <si>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</si>
  <si>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</si>
  <si>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</si>
  <si>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K3 請問您最近一個月有沒有使用下列影音平台？(可複選)(卡25) 受訪者上網情形：${Q:CKE1} 訪員注意： 1.若是在LINE上看到YouTube影片，有點開YouTube網頁或APP才算有使用。 2.不論是透過手機、平板或�</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</si>
  <si>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</si>
  <si>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</si>
  <si>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</si>
  <si>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</si>
  <si>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</si>
  <si>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</si>
  <si>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</si>
  <si>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</si>
  <si>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</si>
  <si>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</si>
  <si>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</si>
  <si>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</si>
  <si>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</si>
  <si>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</si>
  <si>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</si>
  <si>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</si>
  <si>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</si>
  <si>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</si>
  <si>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</si>
  <si>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</si>
  <si>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</si>
  <si>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</si>
  <si>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</si>
  <si>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</si>
  <si>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</si>
  <si>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</si>
  <si>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</si>
  <si>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</si>
  <si>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</si>
  <si>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</si>
  <si>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</si>
  <si>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</si>
  <si>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</si>
  <si>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</si>
  <si>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</si>
  <si>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</si>
  <si>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</si>
  <si>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</si>
  <si>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</si>
  <si>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</si>
  <si>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</si>
  <si>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</si>
  <si>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</si>
  <si>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</si>
  <si>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</si>
  <si>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</si>
  <si>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</si>
  <si>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</si>
  <si>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</si>
  <si>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</si>
  <si>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</si>
  <si>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</si>
  <si>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</si>
  <si>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</si>
  <si>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</si>
  <si>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</si>
  <si>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</si>
  <si>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</si>
  <si>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</si>
  <si>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</si>
  <si>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</si>
  <si>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</si>
  <si>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</si>
  <si>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</si>
  <si>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</si>
  <si>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</si>
  <si>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</si>
  <si>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</si>
  <si>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</si>
  <si>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</si>
  <si>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</si>
  <si>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</si>
  <si>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</si>
  <si>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</si>
  <si>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</si>
  <si>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</si>
  <si>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</si>
  <si>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</si>
  <si>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</si>
  <si>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</si>
  <si>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</si>
  <si>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</si>
  <si>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</si>
  <si>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</si>
  <si>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</si>
  <si>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</si>
  <si>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</si>
  <si>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</si>
  <si>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</si>
  <si>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</si>
  <si>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</si>
  <si>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</si>
  <si>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</si>
  <si>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</si>
  <si>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</si>
  <si>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</si>
  <si>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</si>
  <si>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</si>
  <si>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</si>
  <si>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</si>
  <si>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</si>
  <si>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</si>
  <si>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</si>
  <si>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</si>
  <si>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</si>
  <si>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</si>
  <si>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</si>
  <si>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</si>
  <si>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</si>
  <si>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</si>
  <si>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</si>
  <si>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</si>
  <si>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</si>
  <si>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</si>
  <si>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</si>
  <si>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</si>
  <si>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</si>
  <si>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</si>
  <si>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</si>
  <si>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</si>
  <si>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</si>
  <si>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</si>
  <si>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</si>
  <si>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</si>
  <si>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</si>
  <si>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</si>
  <si>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</si>
  <si>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</si>
  <si>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</si>
  <si>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</si>
  <si>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</si>
  <si>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</si>
  <si>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</si>
  <si>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</si>
  <si>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</si>
  <si>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</si>
  <si>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</si>
  <si>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</si>
  <si>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</si>
  <si>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</si>
  <si>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</si>
  <si>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</si>
  <si>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</si>
  <si>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</si>
  <si>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</si>
  <si>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</si>
  <si>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</si>
  <si>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</si>
  <si>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</si>
  <si>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</si>
  <si>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</si>
  <si>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</si>
  <si>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</si>
  <si>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</si>
  <si>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</si>
  <si>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</si>
  <si>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</si>
  <si>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</si>
  <si>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</si>
  <si>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</si>
  <si>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</si>
  <si>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</si>
  <si>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</si>
  <si>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</si>
  <si>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</si>
  <si>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</si>
  <si>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</si>
  <si>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</si>
  <si>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</si>
  <si>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</si>
  <si>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</si>
  <si>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</si>
  <si>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</si>
  <si>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</si>
  <si>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</si>
  <si>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</si>
  <si>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</si>
  <si>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</si>
  <si>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</si>
  <si>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</si>
  <si>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</si>
  <si>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</si>
  <si>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</si>
  <si>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</si>
  <si>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</si>
  <si>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</si>
  <si>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</si>
  <si>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</si>
  <si>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</si>
  <si>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</si>
  <si>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</si>
  <si>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</si>
  <si>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</si>
  <si>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</si>
  <si>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</si>
  <si>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</si>
  <si>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</si>
  <si>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</si>
  <si>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</si>
  <si>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</si>
  <si>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</si>
  <si>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</si>
  <si>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</si>
  <si>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</si>
  <si>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</si>
  <si>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</si>
  <si>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</si>
  <si>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</si>
  <si>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</si>
  <si>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</si>
  <si>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</si>
  <si>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</si>
  <si>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</si>
  <si>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</si>
  <si>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</si>
  <si>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</si>
  <si>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</si>
  <si>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</si>
  <si>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</si>
  <si>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</si>
  <si>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</si>
  <si>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</si>
  <si>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</si>
  <si>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</si>
  <si>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</si>
  <si>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</si>
  <si>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</si>
  <si>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</si>
  <si>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</si>
  <si>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</si>
  <si>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</si>
  <si>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</si>
  <si>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</si>
  <si>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</si>
  <si>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</si>
  <si>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</si>
  <si>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</si>
  <si>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</si>
  <si>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</si>
  <si>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</si>
  <si>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</si>
  <si>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</si>
  <si>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</si>
  <si>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</si>
  <si>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</si>
  <si>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</si>
  <si>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</si>
  <si>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</si>
  <si>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</si>
  <si>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</si>
  <si>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</si>
  <si>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</si>
  <si>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</si>
  <si>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</si>
  <si>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</si>
  <si>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</si>
  <si>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</si>
  <si>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</si>
  <si>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</si>
  <si>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</si>
  <si>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</si>
  <si>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</si>
  <si>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</si>
  <si>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</si>
  <si>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</si>
  <si>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</si>
  <si>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</si>
  <si>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</si>
  <si>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</si>
  <si>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</si>
  <si>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</si>
  <si>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</si>
  <si>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</si>
  <si>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</si>
  <si>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</si>
  <si>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</si>
  <si>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</si>
  <si>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</si>
  <si>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</si>
  <si>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</si>
  <si>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</si>
  <si>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</si>
  <si>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</si>
  <si>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</si>
  <si>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</si>
  <si>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</si>
  <si>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</si>
  <si>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</si>
  <si>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</si>
  <si>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</si>
  <si>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</si>
  <si>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</si>
  <si>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</si>
  <si>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</si>
  <si>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</si>
  <si>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</si>
  <si>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</si>
  <si>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</si>
  <si>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</si>
  <si>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</si>
  <si>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</si>
  <si>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</si>
  <si>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</si>
  <si>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</si>
  <si>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</si>
  <si>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</si>
  <si>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</si>
  <si>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</si>
  <si>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</si>
  <si>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</si>
  <si>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</si>
  <si>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</si>
  <si>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</si>
  <si>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</si>
  <si>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</si>
  <si>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</si>
  <si>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</si>
  <si>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</si>
  <si>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</si>
  <si>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</si>
  <si>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</si>
  <si>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</si>
  <si>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</si>
  <si>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</si>
  <si>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</si>
  <si>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</si>
  <si>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</si>
  <si>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</si>
  <si>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</si>
  <si>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</si>
  <si>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</si>
  <si>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</si>
  <si>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</si>
  <si>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</si>
  <si>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</si>
  <si>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</si>
  <si>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</si>
  <si>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</si>
  <si>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</si>
  <si>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</si>
  <si>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</si>
  <si>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</si>
  <si>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</si>
  <si>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</si>
  <si>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</si>
  <si>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</si>
  <si>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</si>
  <si>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</si>
  <si>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</si>
  <si>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</si>
  <si>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</si>
  <si>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</si>
  <si>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</si>
  <si>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</si>
  <si>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</si>
  <si>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</si>
  <si>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</si>
  <si>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</si>
  <si>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</si>
  <si>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</si>
  <si>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</si>
  <si>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</si>
  <si>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</si>
  <si>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</si>
  <si>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</si>
  <si>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</si>
  <si>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</si>
  <si>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</si>
  <si>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</si>
  <si>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</si>
  <si>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</si>
  <si>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</si>
  <si>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</si>
  <si>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</si>
  <si>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</si>
  <si>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</si>
  <si>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</si>
  <si>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</si>
  <si>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</si>
  <si>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</si>
  <si>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</si>
  <si>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</si>
  <si>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</si>
  <si>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</si>
  <si>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</si>
  <si>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</si>
  <si>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</si>
  <si>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</si>
  <si>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</si>
  <si>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</si>
  <si>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</si>
  <si>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</si>
  <si>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</si>
  <si>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</si>
  <si>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</si>
  <si>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</si>
  <si>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</si>
  <si>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</si>
  <si>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</si>
  <si>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</si>
  <si>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</si>
  <si>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</si>
  <si>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</si>
  <si>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</si>
  <si>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</si>
  <si>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</si>
  <si>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</si>
  <si>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</si>
  <si>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</si>
  <si>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</si>
  <si>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</si>
  <si>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</si>
  <si>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</si>
  <si>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</si>
  <si>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</si>
  <si>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</si>
  <si>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</si>
  <si>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</si>
  <si>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</si>
  <si>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</si>
  <si>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</si>
  <si>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</si>
  <si>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</si>
  <si>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</si>
  <si>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</si>
  <si>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</si>
  <si>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</si>
  <si>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</si>
  <si>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</si>
  <si>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</si>
  <si>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</si>
  <si>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</si>
  <si>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</si>
  <si>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</si>
  <si>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</si>
  <si>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</si>
  <si>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</si>
  <si>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</si>
  <si>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</si>
  <si>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</si>
  <si>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</si>
  <si>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</si>
  <si>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</si>
  <si>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</si>
  <si>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</si>
  <si>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</si>
  <si>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</si>
  <si>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M1 請問您每星期大概會玩幾個小時的電玩遊戲也包含手機上的小遊戲？ 訪員注意： *「電玩遊戲」是指要用電腦、手機、平板或遊戲機才可以玩的遊戲，不論需不需要連上網路都算。 *電玩遊戲�</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</si>
  <si>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</si>
  <si>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</si>
  <si>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</si>
  <si>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</si>
  <si>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</si>
  <si>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</si>
  <si>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</si>
  <si>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</si>
  <si>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</si>
  <si>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</si>
  <si>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</si>
  <si>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</si>
  <si>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</si>
  <si>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</si>
  <si>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</si>
  <si>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</si>
  <si>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</si>
  <si>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</si>
  <si>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</si>
  <si>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</si>
  <si>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</si>
  <si>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</si>
  <si>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</si>
  <si>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</si>
  <si>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</si>
  <si>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</si>
  <si>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</si>
  <si>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</si>
  <si>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</si>
  <si>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</si>
  <si>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</si>
  <si>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</si>
  <si>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</si>
  <si>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</si>
  <si>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</si>
  <si>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</si>
  <si>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</si>
  <si>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</si>
  <si>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</si>
  <si>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</si>
  <si>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</si>
  <si>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</si>
  <si>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</si>
  <si>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</si>
  <si>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</si>
  <si>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</si>
  <si>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</si>
  <si>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</si>
  <si>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</si>
  <si>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</si>
  <si>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</si>
  <si>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</si>
  <si>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</si>
  <si>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</si>
  <si>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</si>
  <si>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</si>
  <si>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</si>
  <si>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</si>
  <si>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</si>
  <si>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</si>
  <si>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</si>
  <si>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</si>
  <si>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</si>
  <si>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</si>
  <si>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</si>
  <si>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</si>
  <si>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</si>
  <si>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</si>
  <si>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</si>
  <si>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</si>
  <si>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</si>
  <si>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</si>
  <si>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</si>
  <si>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</si>
  <si>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</si>
  <si>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</si>
  <si>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</si>
  <si>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</si>
  <si>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</si>
  <si>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</si>
  <si>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</si>
  <si>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</si>
  <si>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</si>
  <si>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</si>
  <si>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</si>
  <si>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</si>
  <si>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</si>
  <si>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</si>
  <si>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</si>
  <si>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</si>
  <si>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</si>
  <si>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</si>
  <si>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</si>
  <si>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</si>
  <si>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</si>
  <si>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</si>
  <si>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</si>
  <si>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</si>
  <si>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</si>
  <si>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</si>
  <si>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</si>
  <si>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</si>
  <si>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</si>
  <si>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</si>
  <si>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</si>
  <si>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</si>
  <si>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</si>
  <si>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</si>
  <si>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</si>
  <si>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</si>
  <si>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</si>
  <si>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</si>
  <si>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</si>
  <si>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</si>
  <si>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</si>
  <si>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</si>
  <si>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</si>
  <si>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</si>
  <si>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</si>
  <si>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</si>
  <si>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</si>
  <si>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</si>
  <si>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</si>
  <si>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</si>
  <si>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</si>
  <si>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</si>
  <si>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</si>
  <si>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</si>
  <si>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</si>
  <si>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</si>
  <si>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</si>
  <si>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</si>
  <si>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</si>
  <si>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</si>
  <si>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</si>
  <si>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</si>
  <si>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</si>
  <si>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</si>
  <si>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</si>
  <si>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</si>
  <si>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</si>
  <si>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</si>
  <si>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</si>
  <si>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</si>
  <si>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</si>
  <si>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</si>
  <si>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</si>
  <si>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</si>
  <si>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</si>
  <si>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</si>
  <si>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</si>
  <si>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</si>
  <si>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</si>
  <si>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</si>
  <si>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</si>
  <si>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</si>
  <si>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</si>
  <si>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</si>
  <si>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</si>
  <si>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</si>
  <si>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</si>
  <si>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</si>
  <si>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</si>
  <si>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</si>
  <si>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</si>
  <si>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</si>
  <si>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</si>
  <si>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</si>
  <si>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</si>
  <si>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</si>
  <si>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N1 接下來我會用一些句子描述人，請問您覺得這些描述跟現在的您像不像？(卡48) N1 外向熱情</t>
  </si>
  <si>
    <t>N1 接下來我會用一些句子描述人，請問您覺得這些描述跟現在的您像不像？(卡48) N2 拘謹內向</t>
  </si>
  <si>
    <t>N1 接下來我會用一些句子描述人，請問您覺得這些描述跟現在的您像不像？(卡48) N3 溫暖有同情心</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</si>
  <si>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</si>
  <si>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</si>
  <si>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</si>
  <si>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</si>
  <si>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</si>
  <si>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</si>
  <si>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</si>
  <si>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</si>
  <si>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</si>
  <si>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</si>
  <si>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</si>
  <si>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</si>
  <si>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</si>
  <si>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N11 請問您同不同意下列說法？(卡49) N11 避免與他人發生直接衝突，因為他們將來可能對您會有幫助。</t>
  </si>
  <si>
    <t>N11 請問您同不同意下列說法？(卡49) N12 別人常常把您跟名人相提並論。</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</si>
  <si>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</si>
  <si>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</si>
  <si>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</si>
  <si>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</si>
  <si>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</si>
  <si>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</si>
  <si>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</si>
  <si>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</si>
  <si>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</si>
  <si>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N18 請問您同不同意下列說法？(卡49) N18 當您遇到困難時，您能找到信賴的人幫您解決問題。</t>
  </si>
  <si>
    <t>N18 請問您同不同意下列說法？(卡49) N19 當您有私密的問題時，有人可以讓您放心的聊一聊。</t>
  </si>
  <si>
    <t>vN20</t>
  </si>
  <si>
    <t>N20 請問您同不同意下面的說法：當您覺得孤單時，您可以找到其他人說話？(卡49)</t>
  </si>
  <si>
    <t>N21 請問您同不同意下列說法？(卡49) N21 經由和別人的來往，會讓您想要嘗試新事物*</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</si>
  <si>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</si>
  <si>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</si>
  <si>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</si>
  <si>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</si>
  <si>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</si>
  <si>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</si>
  <si>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</si>
  <si>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N26 整體而言，您對於您的生活滿不滿意？(卡50)</t>
  </si>
  <si>
    <t>N27 整體而言，您對於您的工作滿不滿意？(卡50)</t>
  </si>
  <si>
    <t>N28 整體而言，您對於您的社交生活滿不滿意？(卡50)</t>
  </si>
  <si>
    <t>N29 整體而言，您對自己目前的健康狀況滿不滿意？(卡50)</t>
  </si>
  <si>
    <t>N30 整體而言，您對自己滿不滿意？(卡50)</t>
  </si>
  <si>
    <t>N31 整體而言，您覺得目前的日子過得快不快樂？(卡51)</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</si>
  <si>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</si>
  <si>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</si>
  <si>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</si>
  <si>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</si>
  <si>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</si>
  <si>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</si>
  <si>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</si>
  <si>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</si>
  <si>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</si>
  <si>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</si>
  <si>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</si>
  <si>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</si>
  <si>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</si>
  <si>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</si>
  <si>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</si>
  <si>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</si>
  <si>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</si>
  <si>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</si>
  <si>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</si>
  <si>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O1 請問您現在有沒有在工作？(卡56) 訪員注意：擔任志工（未支薪）不算有工作。</t>
  </si>
  <si>
    <t>O1 請問您現在有沒有在工作？(卡56) 訪員注意：擔任志工（未支薪）不算有工作。 (88) 其他，請說明</t>
  </si>
  <si>
    <t>O2 請問您的行業：(卡57) 訪員注意：以受訪者的選擇為主，但如受訪者的答案未能被歸類，請參考提示卡57-1的行業分類表。</t>
  </si>
  <si>
    <t>O2 請問您的行業：(卡57) 訪員注意：以受訪者的選擇為主，但如受訪者的答案未能被歸類，請參考提示卡57-1的行業分類表。 (88) 其他，請說明</t>
  </si>
  <si>
    <t>O3 請問您現在的工作屬於哪一類？(卡58)</t>
  </si>
  <si>
    <t>O3 請問您現在的工作屬於哪一類？(卡58) (88) 其他，請說明</t>
  </si>
  <si>
    <t>vO4A</t>
  </si>
  <si>
    <t>O4A 請問在工作上，您有沒有管理別人？</t>
  </si>
  <si>
    <t>O4B 那請問您管理多少人？ 訪員注意：超過5000人請填9991</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</si>
  <si>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</si>
  <si>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</si>
  <si>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</si>
  <si>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</si>
  <si>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</si>
  <si>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ZE2 請問您願不願意未來再次接受我們的訪問？(可複選)(請訪員拿出追蹤同意書說明，若受訪者願意接受追蹤，且留下聯絡方式，請提供商品卡100元給受訪者。) 【訪員特別注意】 1.請拿出追蹤同�</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</si>
  <si>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</si>
  <si>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</si>
  <si>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</si>
  <si>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</si>
  <si>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</si>
  <si>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</si>
  <si>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</si>
  <si>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ZE2_2 請問您的手機號碼？ 【訪員特別注意】若受訪者不願意提供手機號碼，請向其說明：「我們只進行學術調查，不會有商業推銷的行為。您每次協助填寫完問卷後，我們會提供一份商品卡給您</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</si>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</sst>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theme="1"/>
      <name val="微軟正黑體"/>
      <family val="2"/>
      <charset val="136"/>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2">
    <xf numFmtId="0" fontId="0" fillId="0" borderId="0" xfId="0"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4" borderId="0" xfId="0" applyFill="1" applyAlignment="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right" vertical="center"/>
    </xf>
    <xf numFmtId="0" fontId="5" fillId="0" borderId="0" xfId="0" applyFont="1" applyAlignment="1">
      <alignment vertical="center"/>
    </xf>
    <xf numFmtId="0" fontId="0" fillId="0" borderId="0" xfId="0" applyAlignment="1"/>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9"/>
  <sheetViews>
    <sheetView workbookViewId="0">
      <selection activeCell="D8" sqref="D8"/>
    </sheetView>
  </sheetViews>
  <sheetFormatPr defaultColWidth="8.875" defaultRowHeight="15.75" x14ac:dyDescent="0.25"/>
  <cols>
    <col min="1" max="1" width="15.5" style="17" customWidth="1"/>
    <col min="2" max="2" width="7.75" style="17" customWidth="1"/>
    <col min="3" max="3" width="41.25" style="17" customWidth="1"/>
    <col min="4" max="4" width="36.5" style="17" customWidth="1"/>
    <col min="5" max="5" width="8.875" style="17" customWidth="1"/>
    <col min="6" max="16384" width="8.875" style="17"/>
  </cols>
  <sheetData>
    <row r="1" spans="1:4" x14ac:dyDescent="0.25">
      <c r="A1" s="17" t="s">
        <v>0</v>
      </c>
      <c r="B1" s="17" t="s">
        <v>1</v>
      </c>
      <c r="C1" s="17" t="s">
        <v>2</v>
      </c>
      <c r="D1" s="17" t="s">
        <v>3</v>
      </c>
    </row>
    <row r="2" spans="1:4" x14ac:dyDescent="0.25">
      <c r="A2" s="17" t="s">
        <v>4</v>
      </c>
      <c r="B2" s="19">
        <v>50</v>
      </c>
      <c r="C2" s="17" t="s">
        <v>5</v>
      </c>
      <c r="D2" s="17" t="s">
        <v>6</v>
      </c>
    </row>
    <row r="3" spans="1:4" x14ac:dyDescent="0.25">
      <c r="A3" s="17" t="s">
        <v>7</v>
      </c>
      <c r="B3" s="19">
        <v>50</v>
      </c>
      <c r="C3" s="17" t="s">
        <v>8</v>
      </c>
    </row>
    <row r="4" spans="1:4" x14ac:dyDescent="0.25">
      <c r="A4" s="17" t="s">
        <v>9</v>
      </c>
      <c r="B4" s="19">
        <v>1000</v>
      </c>
      <c r="C4" s="17" t="s">
        <v>10</v>
      </c>
      <c r="D4" s="17" t="s">
        <v>11</v>
      </c>
    </row>
    <row r="5" spans="1:4" x14ac:dyDescent="0.25">
      <c r="A5" s="18" t="s">
        <v>12</v>
      </c>
      <c r="B5" s="19">
        <v>200</v>
      </c>
      <c r="C5" s="17" t="s">
        <v>13</v>
      </c>
      <c r="D5" s="17" t="s">
        <v>11</v>
      </c>
    </row>
    <row r="6" spans="1:4" x14ac:dyDescent="0.25">
      <c r="A6" s="17" t="s">
        <v>14</v>
      </c>
      <c r="B6" s="17">
        <v>300</v>
      </c>
      <c r="C6" s="17" t="s">
        <v>15</v>
      </c>
      <c r="D6" s="17" t="s">
        <v>11</v>
      </c>
    </row>
    <row r="7" spans="1:4" x14ac:dyDescent="0.25">
      <c r="A7" s="17" t="s">
        <v>16</v>
      </c>
      <c r="B7" s="17">
        <v>300</v>
      </c>
      <c r="C7" s="17" t="s">
        <v>17</v>
      </c>
      <c r="D7" s="17" t="s">
        <v>18</v>
      </c>
    </row>
    <row r="8" spans="1:4" x14ac:dyDescent="0.25">
      <c r="A8" s="17" t="s">
        <v>19</v>
      </c>
      <c r="B8" s="17">
        <v>300</v>
      </c>
      <c r="C8" s="17" t="s">
        <v>20</v>
      </c>
      <c r="D8" s="17" t="s">
        <v>18</v>
      </c>
    </row>
    <row r="9" spans="1:4" x14ac:dyDescent="0.25">
      <c r="A9" s="17" t="s">
        <v>21</v>
      </c>
      <c r="B9" s="17">
        <v>200</v>
      </c>
      <c r="C9" s="17" t="s">
        <v>22</v>
      </c>
      <c r="D9" s="17" t="s">
        <v>6</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86"/>
  <sheetViews>
    <sheetView zoomScale="110" zoomScaleNormal="110" workbookViewId="0">
      <selection activeCell="E15" sqref="E15"/>
    </sheetView>
  </sheetViews>
  <sheetFormatPr defaultRowHeight="16.5" x14ac:dyDescent="0.25"/>
  <cols>
    <col min="1" max="1" width="14.375" style="1" customWidth="1"/>
    <col min="2" max="3" width="8.875" style="1" customWidth="1"/>
    <col min="5" max="5" width="17.125" style="21" customWidth="1"/>
  </cols>
  <sheetData>
    <row r="1" spans="1:5" x14ac:dyDescent="0.25">
      <c r="A1" s="1" t="s">
        <v>23</v>
      </c>
      <c r="B1" s="1" t="s">
        <v>24</v>
      </c>
      <c r="C1" s="1" t="s">
        <v>25</v>
      </c>
    </row>
    <row r="2" spans="1:5" x14ac:dyDescent="0.25">
      <c r="A2" s="1" t="s">
        <v>26</v>
      </c>
      <c r="B2" s="1" t="s">
        <v>27</v>
      </c>
      <c r="C2" s="1">
        <v>20</v>
      </c>
      <c r="D2" s="1" t="str">
        <f t="shared" ref="D2:D65" si="0">IF(B2="數值","F","A")</f>
        <v>A</v>
      </c>
      <c r="E2" s="1" t="str">
        <f t="shared" ref="E2:E65" si="1">A2&amp;" "&amp;D2&amp;C2</f>
        <v>id A20</v>
      </c>
    </row>
    <row r="3" spans="1:5" x14ac:dyDescent="0.25">
      <c r="A3" s="1" t="s">
        <v>28</v>
      </c>
      <c r="B3" s="1" t="s">
        <v>27</v>
      </c>
      <c r="C3" s="1">
        <v>8</v>
      </c>
      <c r="D3" s="1" t="str">
        <f t="shared" si="0"/>
        <v>A</v>
      </c>
      <c r="E3" s="1" t="str">
        <f t="shared" si="1"/>
        <v>no A8</v>
      </c>
    </row>
    <row r="4" spans="1:5" x14ac:dyDescent="0.25">
      <c r="A4" s="1" t="s">
        <v>29</v>
      </c>
      <c r="B4" s="1" t="s">
        <v>30</v>
      </c>
      <c r="C4" s="1">
        <v>14</v>
      </c>
      <c r="D4" s="1" t="str">
        <f t="shared" si="0"/>
        <v>F</v>
      </c>
      <c r="E4" s="1" t="str">
        <f t="shared" si="1"/>
        <v>starttime F14</v>
      </c>
    </row>
    <row r="5" spans="1:5" x14ac:dyDescent="0.25">
      <c r="A5" s="1" t="s">
        <v>31</v>
      </c>
      <c r="B5" s="1" t="s">
        <v>30</v>
      </c>
      <c r="C5" s="1">
        <v>14</v>
      </c>
      <c r="D5" s="1" t="str">
        <f t="shared" si="0"/>
        <v>F</v>
      </c>
      <c r="E5" s="1" t="str">
        <f t="shared" si="1"/>
        <v>endtime F14</v>
      </c>
    </row>
    <row r="6" spans="1:5" x14ac:dyDescent="0.25">
      <c r="A6" s="1" t="s">
        <v>32</v>
      </c>
      <c r="B6" s="1" t="s">
        <v>30</v>
      </c>
      <c r="C6" s="1">
        <v>14</v>
      </c>
      <c r="D6" s="1" t="str">
        <f t="shared" si="0"/>
        <v>F</v>
      </c>
      <c r="E6" s="1" t="str">
        <f t="shared" si="1"/>
        <v>st1 F14</v>
      </c>
    </row>
    <row r="7" spans="1:5" x14ac:dyDescent="0.25">
      <c r="A7" s="1" t="s">
        <v>33</v>
      </c>
      <c r="B7" s="1" t="s">
        <v>30</v>
      </c>
      <c r="C7" s="1">
        <v>14</v>
      </c>
      <c r="D7" s="1" t="str">
        <f t="shared" si="0"/>
        <v>F</v>
      </c>
      <c r="E7" s="1" t="str">
        <f t="shared" si="1"/>
        <v>et1 F14</v>
      </c>
    </row>
    <row r="8" spans="1:5" x14ac:dyDescent="0.25">
      <c r="A8" s="1" t="s">
        <v>34</v>
      </c>
      <c r="B8" s="1" t="s">
        <v>30</v>
      </c>
      <c r="C8" s="1">
        <v>14</v>
      </c>
      <c r="D8" s="1" t="str">
        <f t="shared" si="0"/>
        <v>F</v>
      </c>
      <c r="E8" s="1" t="str">
        <f t="shared" si="1"/>
        <v>st2 F14</v>
      </c>
    </row>
    <row r="9" spans="1:5" x14ac:dyDescent="0.25">
      <c r="A9" s="1" t="s">
        <v>35</v>
      </c>
      <c r="B9" s="1" t="s">
        <v>30</v>
      </c>
      <c r="C9" s="1">
        <v>14</v>
      </c>
      <c r="D9" s="1" t="str">
        <f t="shared" si="0"/>
        <v>F</v>
      </c>
      <c r="E9" s="1" t="str">
        <f t="shared" si="1"/>
        <v>et2 F14</v>
      </c>
    </row>
    <row r="10" spans="1:5" x14ac:dyDescent="0.25">
      <c r="A10" s="1" t="s">
        <v>36</v>
      </c>
      <c r="B10" s="1" t="s">
        <v>30</v>
      </c>
      <c r="C10" s="1">
        <v>14</v>
      </c>
      <c r="D10" s="1" t="str">
        <f t="shared" si="0"/>
        <v>F</v>
      </c>
      <c r="E10" s="1" t="str">
        <f t="shared" si="1"/>
        <v>st3 F14</v>
      </c>
    </row>
    <row r="11" spans="1:5" x14ac:dyDescent="0.25">
      <c r="A11" s="1" t="s">
        <v>37</v>
      </c>
      <c r="B11" s="1" t="s">
        <v>30</v>
      </c>
      <c r="C11" s="1">
        <v>14</v>
      </c>
      <c r="D11" s="1" t="str">
        <f t="shared" si="0"/>
        <v>F</v>
      </c>
      <c r="E11" s="1" t="str">
        <f t="shared" si="1"/>
        <v>et3 F14</v>
      </c>
    </row>
    <row r="12" spans="1:5" x14ac:dyDescent="0.25">
      <c r="A12" s="1" t="s">
        <v>38</v>
      </c>
      <c r="B12" s="1" t="s">
        <v>30</v>
      </c>
      <c r="C12" s="1">
        <v>14</v>
      </c>
      <c r="D12" s="1" t="str">
        <f t="shared" si="0"/>
        <v>F</v>
      </c>
      <c r="E12" s="1" t="str">
        <f t="shared" si="1"/>
        <v>st4 F14</v>
      </c>
    </row>
    <row r="13" spans="1:5" x14ac:dyDescent="0.25">
      <c r="A13" s="1" t="s">
        <v>39</v>
      </c>
      <c r="B13" s="1" t="s">
        <v>30</v>
      </c>
      <c r="C13" s="1">
        <v>14</v>
      </c>
      <c r="D13" s="1" t="str">
        <f t="shared" si="0"/>
        <v>F</v>
      </c>
      <c r="E13" s="1" t="str">
        <f t="shared" si="1"/>
        <v>et4 F14</v>
      </c>
    </row>
    <row r="14" spans="1:5" x14ac:dyDescent="0.25">
      <c r="A14" s="1" t="s">
        <v>40</v>
      </c>
      <c r="B14" s="1" t="s">
        <v>30</v>
      </c>
      <c r="C14" s="1">
        <v>14</v>
      </c>
      <c r="D14" s="1" t="str">
        <f t="shared" si="0"/>
        <v>F</v>
      </c>
      <c r="E14" s="1" t="str">
        <f t="shared" si="1"/>
        <v>st5 F14</v>
      </c>
    </row>
    <row r="15" spans="1:5" x14ac:dyDescent="0.25">
      <c r="A15" s="1" t="s">
        <v>41</v>
      </c>
      <c r="B15" s="1" t="s">
        <v>30</v>
      </c>
      <c r="C15" s="1">
        <v>14</v>
      </c>
      <c r="D15" s="1" t="str">
        <f t="shared" si="0"/>
        <v>F</v>
      </c>
      <c r="E15" s="1" t="str">
        <f t="shared" si="1"/>
        <v>et5 F14</v>
      </c>
    </row>
    <row r="16" spans="1:5" x14ac:dyDescent="0.25">
      <c r="A16" s="1" t="s">
        <v>42</v>
      </c>
      <c r="B16" s="1" t="s">
        <v>30</v>
      </c>
      <c r="C16" s="1">
        <v>14</v>
      </c>
      <c r="D16" s="1" t="str">
        <f t="shared" si="0"/>
        <v>F</v>
      </c>
      <c r="E16" s="1" t="str">
        <f t="shared" si="1"/>
        <v>st6 F14</v>
      </c>
    </row>
    <row r="17" spans="1:5" x14ac:dyDescent="0.25">
      <c r="A17" s="1" t="s">
        <v>43</v>
      </c>
      <c r="B17" s="1" t="s">
        <v>30</v>
      </c>
      <c r="C17" s="1">
        <v>14</v>
      </c>
      <c r="D17" s="1" t="str">
        <f t="shared" si="0"/>
        <v>F</v>
      </c>
      <c r="E17" s="1" t="str">
        <f t="shared" si="1"/>
        <v>et6 F14</v>
      </c>
    </row>
    <row r="18" spans="1:5" x14ac:dyDescent="0.25">
      <c r="A18" s="1" t="s">
        <v>44</v>
      </c>
      <c r="B18" s="1" t="s">
        <v>30</v>
      </c>
      <c r="C18" s="1">
        <v>14</v>
      </c>
      <c r="D18" s="1" t="str">
        <f t="shared" si="0"/>
        <v>F</v>
      </c>
      <c r="E18" s="1" t="str">
        <f t="shared" si="1"/>
        <v>st7 F14</v>
      </c>
    </row>
    <row r="19" spans="1:5" x14ac:dyDescent="0.25">
      <c r="A19" s="1" t="s">
        <v>45</v>
      </c>
      <c r="B19" s="1" t="s">
        <v>30</v>
      </c>
      <c r="C19" s="1">
        <v>14</v>
      </c>
      <c r="D19" s="1" t="str">
        <f t="shared" si="0"/>
        <v>F</v>
      </c>
      <c r="E19" s="1" t="str">
        <f t="shared" si="1"/>
        <v>et7 F14</v>
      </c>
    </row>
    <row r="20" spans="1:5" x14ac:dyDescent="0.25">
      <c r="A20" s="1" t="s">
        <v>46</v>
      </c>
      <c r="B20" s="1" t="s">
        <v>30</v>
      </c>
      <c r="C20" s="1">
        <v>14</v>
      </c>
      <c r="D20" s="1" t="str">
        <f t="shared" si="0"/>
        <v>F</v>
      </c>
      <c r="E20" s="1" t="str">
        <f t="shared" si="1"/>
        <v>st8 F14</v>
      </c>
    </row>
    <row r="21" spans="1:5" x14ac:dyDescent="0.25">
      <c r="A21" s="1" t="s">
        <v>47</v>
      </c>
      <c r="B21" s="1" t="s">
        <v>30</v>
      </c>
      <c r="C21" s="1">
        <v>14</v>
      </c>
      <c r="D21" s="1" t="str">
        <f t="shared" si="0"/>
        <v>F</v>
      </c>
      <c r="E21" s="1" t="str">
        <f t="shared" si="1"/>
        <v>et8 F14</v>
      </c>
    </row>
    <row r="22" spans="1:5" x14ac:dyDescent="0.25">
      <c r="A22" s="1" t="s">
        <v>48</v>
      </c>
      <c r="B22" s="1" t="s">
        <v>30</v>
      </c>
      <c r="C22" s="1">
        <v>5</v>
      </c>
      <c r="D22" s="1" t="str">
        <f t="shared" si="0"/>
        <v>F</v>
      </c>
      <c r="E22" s="1" t="str">
        <f t="shared" si="1"/>
        <v>last F5</v>
      </c>
    </row>
    <row r="23" spans="1:5" x14ac:dyDescent="0.25">
      <c r="A23" s="1" t="s">
        <v>49</v>
      </c>
      <c r="B23" s="1" t="s">
        <v>30</v>
      </c>
      <c r="C23" s="1">
        <v>2</v>
      </c>
      <c r="D23" s="1" t="str">
        <f t="shared" si="0"/>
        <v>F</v>
      </c>
      <c r="E23" s="1" t="str">
        <f t="shared" si="1"/>
        <v>vZA F2</v>
      </c>
    </row>
    <row r="24" spans="1:5" x14ac:dyDescent="0.25">
      <c r="A24" s="1" t="s">
        <v>50</v>
      </c>
      <c r="B24" s="1" t="s">
        <v>27</v>
      </c>
      <c r="C24" s="1">
        <v>150</v>
      </c>
      <c r="D24" s="1" t="str">
        <f t="shared" si="0"/>
        <v>A</v>
      </c>
      <c r="E24" s="1" t="str">
        <f t="shared" si="1"/>
        <v>vZAo03 A150</v>
      </c>
    </row>
    <row r="25" spans="1:5" x14ac:dyDescent="0.25">
      <c r="A25" s="1" t="s">
        <v>51</v>
      </c>
      <c r="B25" s="1" t="s">
        <v>30</v>
      </c>
      <c r="C25" s="1">
        <v>2</v>
      </c>
      <c r="D25" s="1" t="str">
        <f t="shared" si="0"/>
        <v>F</v>
      </c>
      <c r="E25" s="1" t="str">
        <f t="shared" si="1"/>
        <v>vZA0 F2</v>
      </c>
    </row>
    <row r="26" spans="1:5" x14ac:dyDescent="0.25">
      <c r="A26" s="1" t="s">
        <v>52</v>
      </c>
      <c r="B26" s="1" t="s">
        <v>30</v>
      </c>
      <c r="C26" s="1">
        <v>2</v>
      </c>
      <c r="D26" s="1" t="str">
        <f t="shared" si="0"/>
        <v>F</v>
      </c>
      <c r="E26" s="1" t="str">
        <f t="shared" si="1"/>
        <v>vZA0_1 F2</v>
      </c>
    </row>
    <row r="27" spans="1:5" x14ac:dyDescent="0.25">
      <c r="A27" s="1" t="s">
        <v>53</v>
      </c>
      <c r="B27" s="1" t="s">
        <v>30</v>
      </c>
      <c r="C27" s="1">
        <v>2</v>
      </c>
      <c r="D27" s="1" t="str">
        <f t="shared" si="0"/>
        <v>F</v>
      </c>
      <c r="E27" s="1" t="str">
        <f t="shared" si="1"/>
        <v>vSF0 F2</v>
      </c>
    </row>
    <row r="28" spans="1:5" x14ac:dyDescent="0.25">
      <c r="A28" s="1" t="s">
        <v>54</v>
      </c>
      <c r="B28" s="1" t="s">
        <v>30</v>
      </c>
      <c r="C28" s="1">
        <v>4</v>
      </c>
      <c r="D28" s="1" t="str">
        <f t="shared" si="0"/>
        <v>F</v>
      </c>
      <c r="E28" s="1" t="str">
        <f t="shared" si="1"/>
        <v>vA1 F4</v>
      </c>
    </row>
    <row r="29" spans="1:5" x14ac:dyDescent="0.25">
      <c r="A29" s="1" t="s">
        <v>55</v>
      </c>
      <c r="B29" s="1" t="s">
        <v>30</v>
      </c>
      <c r="C29" s="1">
        <v>2</v>
      </c>
      <c r="D29" s="1" t="str">
        <f t="shared" si="0"/>
        <v>F</v>
      </c>
      <c r="E29" s="1" t="str">
        <f t="shared" si="1"/>
        <v>vA2 F2</v>
      </c>
    </row>
    <row r="30" spans="1:5" x14ac:dyDescent="0.25">
      <c r="A30" s="1" t="s">
        <v>56</v>
      </c>
      <c r="B30" s="1" t="s">
        <v>30</v>
      </c>
      <c r="C30" s="1">
        <v>2</v>
      </c>
      <c r="D30" s="1" t="str">
        <f t="shared" si="0"/>
        <v>F</v>
      </c>
      <c r="E30" s="1" t="str">
        <f t="shared" si="1"/>
        <v>vA3 F2</v>
      </c>
    </row>
    <row r="31" spans="1:5" x14ac:dyDescent="0.25">
      <c r="A31" s="1" t="s">
        <v>57</v>
      </c>
      <c r="B31" s="1" t="s">
        <v>27</v>
      </c>
      <c r="C31" s="1">
        <v>150</v>
      </c>
      <c r="D31" s="1" t="str">
        <f t="shared" si="0"/>
        <v>A</v>
      </c>
      <c r="E31" s="1" t="str">
        <f t="shared" si="1"/>
        <v>vA3o88 A150</v>
      </c>
    </row>
    <row r="32" spans="1:5" x14ac:dyDescent="0.25">
      <c r="A32" s="1" t="s">
        <v>58</v>
      </c>
      <c r="B32" s="1" t="s">
        <v>30</v>
      </c>
      <c r="C32" s="1">
        <v>2</v>
      </c>
      <c r="D32" s="1" t="str">
        <f t="shared" si="0"/>
        <v>F</v>
      </c>
      <c r="E32" s="1" t="str">
        <f t="shared" si="1"/>
        <v>vA4 F2</v>
      </c>
    </row>
    <row r="33" spans="1:5" x14ac:dyDescent="0.25">
      <c r="A33" s="1" t="s">
        <v>59</v>
      </c>
      <c r="B33" s="1" t="s">
        <v>30</v>
      </c>
      <c r="C33" s="1">
        <v>2</v>
      </c>
      <c r="D33" s="1" t="str">
        <f t="shared" si="0"/>
        <v>F</v>
      </c>
      <c r="E33" s="1" t="str">
        <f t="shared" si="1"/>
        <v>vA5city F2</v>
      </c>
    </row>
    <row r="34" spans="1:5" x14ac:dyDescent="0.25">
      <c r="A34" s="1" t="s">
        <v>60</v>
      </c>
      <c r="B34" s="1" t="s">
        <v>27</v>
      </c>
      <c r="C34" s="1">
        <v>150</v>
      </c>
      <c r="D34" s="1" t="str">
        <f t="shared" si="0"/>
        <v>A</v>
      </c>
      <c r="E34" s="1" t="str">
        <f t="shared" si="1"/>
        <v>vA5city_oth A150</v>
      </c>
    </row>
    <row r="35" spans="1:5" x14ac:dyDescent="0.25">
      <c r="A35" s="1" t="s">
        <v>61</v>
      </c>
      <c r="B35" s="1" t="s">
        <v>30</v>
      </c>
      <c r="C35" s="1">
        <v>4</v>
      </c>
      <c r="D35" s="1" t="str">
        <f t="shared" si="0"/>
        <v>F</v>
      </c>
      <c r="E35" s="1" t="str">
        <f t="shared" si="1"/>
        <v>vA5town F4</v>
      </c>
    </row>
    <row r="36" spans="1:5" x14ac:dyDescent="0.25">
      <c r="A36" s="1" t="s">
        <v>62</v>
      </c>
      <c r="B36" s="1" t="s">
        <v>30</v>
      </c>
      <c r="C36" s="1">
        <v>2</v>
      </c>
      <c r="D36" s="1" t="str">
        <f t="shared" si="0"/>
        <v>F</v>
      </c>
      <c r="E36" s="1" t="str">
        <f t="shared" si="1"/>
        <v>vA6 F2</v>
      </c>
    </row>
    <row r="37" spans="1:5" x14ac:dyDescent="0.25">
      <c r="A37" s="1" t="s">
        <v>63</v>
      </c>
      <c r="B37" s="1" t="s">
        <v>27</v>
      </c>
      <c r="C37" s="1">
        <v>150</v>
      </c>
      <c r="D37" s="1" t="str">
        <f t="shared" si="0"/>
        <v>A</v>
      </c>
      <c r="E37" s="1" t="str">
        <f t="shared" si="1"/>
        <v>vA6o88 A150</v>
      </c>
    </row>
    <row r="38" spans="1:5" x14ac:dyDescent="0.25">
      <c r="A38" s="1" t="s">
        <v>64</v>
      </c>
      <c r="B38" s="1" t="s">
        <v>30</v>
      </c>
      <c r="C38" s="1">
        <v>2</v>
      </c>
      <c r="D38" s="1" t="str">
        <f t="shared" si="0"/>
        <v>F</v>
      </c>
      <c r="E38" s="1" t="str">
        <f t="shared" si="1"/>
        <v>vA7 F2</v>
      </c>
    </row>
    <row r="39" spans="1:5" x14ac:dyDescent="0.25">
      <c r="A39" s="1" t="s">
        <v>65</v>
      </c>
      <c r="B39" s="1" t="s">
        <v>27</v>
      </c>
      <c r="C39" s="1">
        <v>150</v>
      </c>
      <c r="D39" s="1" t="str">
        <f t="shared" si="0"/>
        <v>A</v>
      </c>
      <c r="E39" s="1" t="str">
        <f t="shared" si="1"/>
        <v>vA7o88 A150</v>
      </c>
    </row>
    <row r="40" spans="1:5" x14ac:dyDescent="0.25">
      <c r="A40" s="1" t="s">
        <v>66</v>
      </c>
      <c r="B40" s="1" t="s">
        <v>30</v>
      </c>
      <c r="C40" s="1">
        <v>2</v>
      </c>
      <c r="D40" s="1" t="str">
        <f t="shared" si="0"/>
        <v>F</v>
      </c>
      <c r="E40" s="1" t="str">
        <f t="shared" si="1"/>
        <v>vA8 F2</v>
      </c>
    </row>
    <row r="41" spans="1:5" x14ac:dyDescent="0.25">
      <c r="A41" s="1" t="s">
        <v>67</v>
      </c>
      <c r="B41" s="1" t="s">
        <v>27</v>
      </c>
      <c r="C41" s="1">
        <v>150</v>
      </c>
      <c r="D41" s="1" t="str">
        <f t="shared" si="0"/>
        <v>A</v>
      </c>
      <c r="E41" s="1" t="str">
        <f t="shared" si="1"/>
        <v>vA8o88 A150</v>
      </c>
    </row>
    <row r="42" spans="1:5" x14ac:dyDescent="0.25">
      <c r="A42" s="1" t="s">
        <v>68</v>
      </c>
      <c r="B42" s="1" t="s">
        <v>30</v>
      </c>
      <c r="C42" s="1">
        <v>2</v>
      </c>
      <c r="D42" s="1" t="str">
        <f t="shared" si="0"/>
        <v>F</v>
      </c>
      <c r="E42" s="1" t="str">
        <f t="shared" si="1"/>
        <v>vA9 F2</v>
      </c>
    </row>
    <row r="43" spans="1:5" x14ac:dyDescent="0.25">
      <c r="A43" s="1" t="s">
        <v>69</v>
      </c>
      <c r="B43" s="1" t="s">
        <v>27</v>
      </c>
      <c r="C43" s="1">
        <v>150</v>
      </c>
      <c r="D43" s="1" t="str">
        <f t="shared" si="0"/>
        <v>A</v>
      </c>
      <c r="E43" s="1" t="str">
        <f t="shared" si="1"/>
        <v>vA9o88 A150</v>
      </c>
    </row>
    <row r="44" spans="1:5" x14ac:dyDescent="0.25">
      <c r="A44" s="1" t="s">
        <v>70</v>
      </c>
      <c r="B44" s="1" t="s">
        <v>30</v>
      </c>
      <c r="C44" s="1">
        <v>2</v>
      </c>
      <c r="D44" s="1" t="str">
        <f t="shared" si="0"/>
        <v>F</v>
      </c>
      <c r="E44" s="1" t="str">
        <f t="shared" si="1"/>
        <v>vO1_1 F2</v>
      </c>
    </row>
    <row r="45" spans="1:5" x14ac:dyDescent="0.25">
      <c r="A45" s="1" t="s">
        <v>71</v>
      </c>
      <c r="B45" s="1" t="s">
        <v>27</v>
      </c>
      <c r="C45" s="1">
        <v>150</v>
      </c>
      <c r="D45" s="1" t="str">
        <f t="shared" si="0"/>
        <v>A</v>
      </c>
      <c r="E45" s="1" t="str">
        <f t="shared" si="1"/>
        <v>vO1_1o88 A150</v>
      </c>
    </row>
    <row r="46" spans="1:5" x14ac:dyDescent="0.25">
      <c r="A46" s="1" t="s">
        <v>72</v>
      </c>
      <c r="B46" s="1" t="s">
        <v>30</v>
      </c>
      <c r="C46" s="1">
        <v>2</v>
      </c>
      <c r="D46" s="1" t="str">
        <f t="shared" si="0"/>
        <v>F</v>
      </c>
      <c r="E46" s="1" t="str">
        <f t="shared" si="1"/>
        <v>vO1 F2</v>
      </c>
    </row>
    <row r="47" spans="1:5" x14ac:dyDescent="0.25">
      <c r="A47" s="1" t="s">
        <v>73</v>
      </c>
      <c r="B47" s="1" t="s">
        <v>27</v>
      </c>
      <c r="C47" s="1">
        <v>150</v>
      </c>
      <c r="D47" s="1" t="str">
        <f t="shared" si="0"/>
        <v>A</v>
      </c>
      <c r="E47" s="1" t="str">
        <f t="shared" si="1"/>
        <v>vO1o88 A150</v>
      </c>
    </row>
    <row r="48" spans="1:5" x14ac:dyDescent="0.25">
      <c r="A48" s="1" t="s">
        <v>74</v>
      </c>
      <c r="B48" s="1" t="s">
        <v>30</v>
      </c>
      <c r="C48" s="1">
        <v>2</v>
      </c>
      <c r="D48" s="1" t="str">
        <f t="shared" si="0"/>
        <v>F</v>
      </c>
      <c r="E48" s="1" t="str">
        <f t="shared" si="1"/>
        <v>vO2 F2</v>
      </c>
    </row>
    <row r="49" spans="1:5" x14ac:dyDescent="0.25">
      <c r="A49" s="1" t="s">
        <v>75</v>
      </c>
      <c r="B49" s="1" t="s">
        <v>27</v>
      </c>
      <c r="C49" s="1">
        <v>150</v>
      </c>
      <c r="D49" s="1" t="str">
        <f t="shared" si="0"/>
        <v>A</v>
      </c>
      <c r="E49" s="1" t="str">
        <f t="shared" si="1"/>
        <v>vO2o88 A150</v>
      </c>
    </row>
    <row r="50" spans="1:5" x14ac:dyDescent="0.25">
      <c r="A50" s="1" t="s">
        <v>76</v>
      </c>
      <c r="B50" s="1" t="s">
        <v>30</v>
      </c>
      <c r="C50" s="1">
        <v>2</v>
      </c>
      <c r="D50" s="1" t="str">
        <f t="shared" si="0"/>
        <v>F</v>
      </c>
      <c r="E50" s="1" t="str">
        <f t="shared" si="1"/>
        <v>vO3 F2</v>
      </c>
    </row>
    <row r="51" spans="1:5" x14ac:dyDescent="0.25">
      <c r="A51" s="1" t="s">
        <v>77</v>
      </c>
      <c r="B51" s="1" t="s">
        <v>27</v>
      </c>
      <c r="C51" s="1">
        <v>150</v>
      </c>
      <c r="D51" s="1" t="str">
        <f t="shared" si="0"/>
        <v>A</v>
      </c>
      <c r="E51" s="1" t="str">
        <f t="shared" si="1"/>
        <v>vO3o88 A150</v>
      </c>
    </row>
    <row r="52" spans="1:5" x14ac:dyDescent="0.25">
      <c r="A52" s="1" t="s">
        <v>78</v>
      </c>
      <c r="B52" s="1" t="s">
        <v>30</v>
      </c>
      <c r="C52" s="1">
        <v>5</v>
      </c>
      <c r="D52" s="1" t="str">
        <f t="shared" si="0"/>
        <v>F</v>
      </c>
      <c r="E52" s="1" t="str">
        <f t="shared" si="1"/>
        <v>vO4 F5</v>
      </c>
    </row>
    <row r="53" spans="1:5" x14ac:dyDescent="0.25">
      <c r="A53" s="1" t="s">
        <v>79</v>
      </c>
      <c r="B53" s="1" t="s">
        <v>30</v>
      </c>
      <c r="C53" s="1">
        <v>2</v>
      </c>
      <c r="D53" s="1" t="str">
        <f t="shared" si="0"/>
        <v>F</v>
      </c>
      <c r="E53" s="1" t="str">
        <f t="shared" si="1"/>
        <v>vD1 F2</v>
      </c>
    </row>
    <row r="54" spans="1:5" x14ac:dyDescent="0.25">
      <c r="A54" s="1" t="s">
        <v>80</v>
      </c>
      <c r="B54" s="1" t="s">
        <v>30</v>
      </c>
      <c r="C54" s="1">
        <v>4</v>
      </c>
      <c r="D54" s="1" t="str">
        <f t="shared" si="0"/>
        <v>F</v>
      </c>
      <c r="E54" s="1" t="str">
        <f t="shared" si="1"/>
        <v>vD2 F4</v>
      </c>
    </row>
    <row r="55" spans="1:5" x14ac:dyDescent="0.25">
      <c r="A55" s="1" t="s">
        <v>81</v>
      </c>
      <c r="B55" s="1" t="s">
        <v>30</v>
      </c>
      <c r="C55" s="1">
        <v>5</v>
      </c>
      <c r="D55" s="1" t="str">
        <f t="shared" si="0"/>
        <v>F</v>
      </c>
      <c r="E55" s="1" t="str">
        <f t="shared" si="1"/>
        <v>vD3 F5</v>
      </c>
    </row>
    <row r="56" spans="1:5" x14ac:dyDescent="0.25">
      <c r="A56" s="1" t="s">
        <v>82</v>
      </c>
      <c r="B56" s="1" t="s">
        <v>30</v>
      </c>
      <c r="C56" s="1">
        <v>2</v>
      </c>
      <c r="D56" s="1" t="str">
        <f t="shared" si="0"/>
        <v>F</v>
      </c>
      <c r="E56" s="1" t="str">
        <f t="shared" si="1"/>
        <v>vD4sD4 F2</v>
      </c>
    </row>
    <row r="57" spans="1:5" x14ac:dyDescent="0.25">
      <c r="A57" s="1" t="s">
        <v>83</v>
      </c>
      <c r="B57" s="1" t="s">
        <v>30</v>
      </c>
      <c r="C57" s="1">
        <v>2</v>
      </c>
      <c r="D57" s="1" t="str">
        <f t="shared" si="0"/>
        <v>F</v>
      </c>
      <c r="E57" s="1" t="str">
        <f t="shared" si="1"/>
        <v>vD4sD5 F2</v>
      </c>
    </row>
    <row r="58" spans="1:5" x14ac:dyDescent="0.25">
      <c r="A58" s="1" t="s">
        <v>84</v>
      </c>
      <c r="B58" s="1" t="s">
        <v>30</v>
      </c>
      <c r="C58" s="1">
        <v>2</v>
      </c>
      <c r="D58" s="1" t="str">
        <f t="shared" si="0"/>
        <v>F</v>
      </c>
      <c r="E58" s="1" t="str">
        <f t="shared" si="1"/>
        <v>vD4sD6 F2</v>
      </c>
    </row>
    <row r="59" spans="1:5" x14ac:dyDescent="0.25">
      <c r="A59" s="1" t="s">
        <v>85</v>
      </c>
      <c r="B59" s="1" t="s">
        <v>30</v>
      </c>
      <c r="C59" s="1">
        <v>2</v>
      </c>
      <c r="D59" s="1" t="str">
        <f t="shared" si="0"/>
        <v>F</v>
      </c>
      <c r="E59" s="1" t="str">
        <f t="shared" si="1"/>
        <v>vD4sD7 F2</v>
      </c>
    </row>
    <row r="60" spans="1:5" x14ac:dyDescent="0.25">
      <c r="A60" s="1" t="s">
        <v>86</v>
      </c>
      <c r="B60" s="1" t="s">
        <v>30</v>
      </c>
      <c r="C60" s="1">
        <v>2</v>
      </c>
      <c r="D60" s="1" t="str">
        <f t="shared" si="0"/>
        <v>F</v>
      </c>
      <c r="E60" s="1" t="str">
        <f t="shared" si="1"/>
        <v>vD4sD8 F2</v>
      </c>
    </row>
    <row r="61" spans="1:5" x14ac:dyDescent="0.25">
      <c r="A61" s="1" t="s">
        <v>87</v>
      </c>
      <c r="B61" s="1" t="s">
        <v>30</v>
      </c>
      <c r="C61" s="1">
        <v>2</v>
      </c>
      <c r="D61" s="1" t="str">
        <f t="shared" si="0"/>
        <v>F</v>
      </c>
      <c r="E61" s="1" t="str">
        <f t="shared" si="1"/>
        <v>vK1m01 F2</v>
      </c>
    </row>
    <row r="62" spans="1:5" x14ac:dyDescent="0.25">
      <c r="A62" s="1" t="s">
        <v>88</v>
      </c>
      <c r="B62" s="1" t="s">
        <v>30</v>
      </c>
      <c r="C62" s="1">
        <v>2</v>
      </c>
      <c r="D62" s="1" t="str">
        <f t="shared" si="0"/>
        <v>F</v>
      </c>
      <c r="E62" s="1" t="str">
        <f t="shared" si="1"/>
        <v>vK1m02 F2</v>
      </c>
    </row>
    <row r="63" spans="1:5" x14ac:dyDescent="0.25">
      <c r="A63" s="1" t="s">
        <v>89</v>
      </c>
      <c r="B63" s="1" t="s">
        <v>30</v>
      </c>
      <c r="C63" s="1">
        <v>2</v>
      </c>
      <c r="D63" s="1" t="str">
        <f t="shared" si="0"/>
        <v>F</v>
      </c>
      <c r="E63" s="1" t="str">
        <f t="shared" si="1"/>
        <v>vK1m03 F2</v>
      </c>
    </row>
    <row r="64" spans="1:5" x14ac:dyDescent="0.25">
      <c r="A64" s="1" t="s">
        <v>90</v>
      </c>
      <c r="B64" s="1" t="s">
        <v>30</v>
      </c>
      <c r="C64" s="1">
        <v>2</v>
      </c>
      <c r="D64" s="1" t="str">
        <f t="shared" si="0"/>
        <v>F</v>
      </c>
      <c r="E64" s="1" t="str">
        <f t="shared" si="1"/>
        <v>vK1m04 F2</v>
      </c>
    </row>
    <row r="65" spans="1:5" x14ac:dyDescent="0.25">
      <c r="A65" s="1" t="s">
        <v>91</v>
      </c>
      <c r="B65" s="1" t="s">
        <v>30</v>
      </c>
      <c r="C65" s="1">
        <v>2</v>
      </c>
      <c r="D65" s="1" t="str">
        <f t="shared" si="0"/>
        <v>F</v>
      </c>
      <c r="E65" s="1" t="str">
        <f t="shared" si="1"/>
        <v>vK1m05 F2</v>
      </c>
    </row>
    <row r="66" spans="1:5" x14ac:dyDescent="0.25">
      <c r="A66" s="1" t="s">
        <v>92</v>
      </c>
      <c r="B66" s="1" t="s">
        <v>30</v>
      </c>
      <c r="C66" s="1">
        <v>2</v>
      </c>
      <c r="D66" s="1" t="str">
        <f t="shared" ref="D66:D129" si="2">IF(B66="數值","F","A")</f>
        <v>F</v>
      </c>
      <c r="E66" s="1" t="str">
        <f t="shared" ref="E66:E129" si="3">A66&amp;" "&amp;D66&amp;C66</f>
        <v>vK1m06 F2</v>
      </c>
    </row>
    <row r="67" spans="1:5" x14ac:dyDescent="0.25">
      <c r="A67" s="1" t="s">
        <v>93</v>
      </c>
      <c r="B67" s="1" t="s">
        <v>30</v>
      </c>
      <c r="C67" s="1">
        <v>2</v>
      </c>
      <c r="D67" s="1" t="str">
        <f t="shared" si="2"/>
        <v>F</v>
      </c>
      <c r="E67" s="1" t="str">
        <f t="shared" si="3"/>
        <v>vK1m07 F2</v>
      </c>
    </row>
    <row r="68" spans="1:5" x14ac:dyDescent="0.25">
      <c r="A68" s="1" t="s">
        <v>94</v>
      </c>
      <c r="B68" s="1" t="s">
        <v>30</v>
      </c>
      <c r="C68" s="1">
        <v>2</v>
      </c>
      <c r="D68" s="1" t="str">
        <f t="shared" si="2"/>
        <v>F</v>
      </c>
      <c r="E68" s="1" t="str">
        <f t="shared" si="3"/>
        <v>vK1m08 F2</v>
      </c>
    </row>
    <row r="69" spans="1:5" x14ac:dyDescent="0.25">
      <c r="A69" s="1" t="s">
        <v>95</v>
      </c>
      <c r="B69" s="1" t="s">
        <v>30</v>
      </c>
      <c r="C69" s="1">
        <v>2</v>
      </c>
      <c r="D69" s="1" t="str">
        <f t="shared" si="2"/>
        <v>F</v>
      </c>
      <c r="E69" s="1" t="str">
        <f t="shared" si="3"/>
        <v>vK1m09 F2</v>
      </c>
    </row>
    <row r="70" spans="1:5" x14ac:dyDescent="0.25">
      <c r="A70" s="1" t="s">
        <v>96</v>
      </c>
      <c r="B70" s="1" t="s">
        <v>30</v>
      </c>
      <c r="C70" s="1">
        <v>2</v>
      </c>
      <c r="D70" s="1" t="str">
        <f t="shared" si="2"/>
        <v>F</v>
      </c>
      <c r="E70" s="1" t="str">
        <f t="shared" si="3"/>
        <v>vK1m10 F2</v>
      </c>
    </row>
    <row r="71" spans="1:5" x14ac:dyDescent="0.25">
      <c r="A71" s="1" t="s">
        <v>97</v>
      </c>
      <c r="B71" s="1" t="s">
        <v>30</v>
      </c>
      <c r="C71" s="1">
        <v>2</v>
      </c>
      <c r="D71" s="1" t="str">
        <f t="shared" si="2"/>
        <v>F</v>
      </c>
      <c r="E71" s="1" t="str">
        <f t="shared" si="3"/>
        <v>vK1m11 F2</v>
      </c>
    </row>
    <row r="72" spans="1:5" x14ac:dyDescent="0.25">
      <c r="A72" s="1" t="s">
        <v>98</v>
      </c>
      <c r="B72" s="1" t="s">
        <v>30</v>
      </c>
      <c r="C72" s="1">
        <v>2</v>
      </c>
      <c r="D72" s="1" t="str">
        <f t="shared" si="2"/>
        <v>F</v>
      </c>
      <c r="E72" s="1" t="str">
        <f t="shared" si="3"/>
        <v>vK1m12 F2</v>
      </c>
    </row>
    <row r="73" spans="1:5" x14ac:dyDescent="0.25">
      <c r="A73" s="1" t="s">
        <v>99</v>
      </c>
      <c r="B73" s="1" t="s">
        <v>30</v>
      </c>
      <c r="C73" s="1">
        <v>2</v>
      </c>
      <c r="D73" s="1" t="str">
        <f t="shared" si="2"/>
        <v>F</v>
      </c>
      <c r="E73" s="1" t="str">
        <f t="shared" si="3"/>
        <v>vK1m13 F2</v>
      </c>
    </row>
    <row r="74" spans="1:5" x14ac:dyDescent="0.25">
      <c r="A74" s="1" t="s">
        <v>100</v>
      </c>
      <c r="B74" s="1" t="s">
        <v>30</v>
      </c>
      <c r="C74" s="1">
        <v>2</v>
      </c>
      <c r="D74" s="1" t="str">
        <f t="shared" si="2"/>
        <v>F</v>
      </c>
      <c r="E74" s="1" t="str">
        <f t="shared" si="3"/>
        <v>vK1m88 F2</v>
      </c>
    </row>
    <row r="75" spans="1:5" x14ac:dyDescent="0.25">
      <c r="A75" s="1" t="s">
        <v>101</v>
      </c>
      <c r="B75" s="1" t="s">
        <v>30</v>
      </c>
      <c r="C75" s="1">
        <v>2</v>
      </c>
      <c r="D75" s="1" t="str">
        <f t="shared" si="2"/>
        <v>F</v>
      </c>
      <c r="E75" s="1" t="str">
        <f t="shared" si="3"/>
        <v>vK1m90 F2</v>
      </c>
    </row>
    <row r="76" spans="1:5" x14ac:dyDescent="0.25">
      <c r="A76" s="1" t="s">
        <v>102</v>
      </c>
      <c r="B76" s="1" t="s">
        <v>27</v>
      </c>
      <c r="C76" s="1">
        <v>150</v>
      </c>
      <c r="D76" s="1" t="str">
        <f t="shared" si="2"/>
        <v>A</v>
      </c>
      <c r="E76" s="1" t="str">
        <f t="shared" si="3"/>
        <v>vK1o88 A150</v>
      </c>
    </row>
    <row r="77" spans="1:5" x14ac:dyDescent="0.25">
      <c r="A77" s="1" t="s">
        <v>103</v>
      </c>
      <c r="B77" s="1" t="s">
        <v>30</v>
      </c>
      <c r="C77" s="1">
        <v>2</v>
      </c>
      <c r="D77" s="1" t="str">
        <f t="shared" si="2"/>
        <v>F</v>
      </c>
      <c r="E77" s="1" t="str">
        <f t="shared" si="3"/>
        <v>vK2m01 F2</v>
      </c>
    </row>
    <row r="78" spans="1:5" x14ac:dyDescent="0.25">
      <c r="A78" s="1" t="s">
        <v>104</v>
      </c>
      <c r="B78" s="1" t="s">
        <v>30</v>
      </c>
      <c r="C78" s="1">
        <v>2</v>
      </c>
      <c r="D78" s="1" t="str">
        <f t="shared" si="2"/>
        <v>F</v>
      </c>
      <c r="E78" s="1" t="str">
        <f t="shared" si="3"/>
        <v>vK2m02 F2</v>
      </c>
    </row>
    <row r="79" spans="1:5" x14ac:dyDescent="0.25">
      <c r="A79" s="1" t="s">
        <v>105</v>
      </c>
      <c r="B79" s="1" t="s">
        <v>30</v>
      </c>
      <c r="C79" s="1">
        <v>2</v>
      </c>
      <c r="D79" s="1" t="str">
        <f t="shared" si="2"/>
        <v>F</v>
      </c>
      <c r="E79" s="1" t="str">
        <f t="shared" si="3"/>
        <v>vK2m03 F2</v>
      </c>
    </row>
    <row r="80" spans="1:5" x14ac:dyDescent="0.25">
      <c r="A80" s="1" t="s">
        <v>106</v>
      </c>
      <c r="B80" s="1" t="s">
        <v>30</v>
      </c>
      <c r="C80" s="1">
        <v>2</v>
      </c>
      <c r="D80" s="1" t="str">
        <f t="shared" si="2"/>
        <v>F</v>
      </c>
      <c r="E80" s="1" t="str">
        <f t="shared" si="3"/>
        <v>vK2m04 F2</v>
      </c>
    </row>
    <row r="81" spans="1:5" x14ac:dyDescent="0.25">
      <c r="A81" s="1" t="s">
        <v>107</v>
      </c>
      <c r="B81" s="1" t="s">
        <v>30</v>
      </c>
      <c r="C81" s="1">
        <v>2</v>
      </c>
      <c r="D81" s="1" t="str">
        <f t="shared" si="2"/>
        <v>F</v>
      </c>
      <c r="E81" s="1" t="str">
        <f t="shared" si="3"/>
        <v>vK2m05 F2</v>
      </c>
    </row>
    <row r="82" spans="1:5" x14ac:dyDescent="0.25">
      <c r="A82" s="1" t="s">
        <v>108</v>
      </c>
      <c r="B82" s="1" t="s">
        <v>30</v>
      </c>
      <c r="C82" s="1">
        <v>2</v>
      </c>
      <c r="D82" s="1" t="str">
        <f t="shared" si="2"/>
        <v>F</v>
      </c>
      <c r="E82" s="1" t="str">
        <f t="shared" si="3"/>
        <v>vK2m06 F2</v>
      </c>
    </row>
    <row r="83" spans="1:5" x14ac:dyDescent="0.25">
      <c r="A83" s="1" t="s">
        <v>109</v>
      </c>
      <c r="B83" s="1" t="s">
        <v>30</v>
      </c>
      <c r="C83" s="1">
        <v>2</v>
      </c>
      <c r="D83" s="1" t="str">
        <f t="shared" si="2"/>
        <v>F</v>
      </c>
      <c r="E83" s="1" t="str">
        <f t="shared" si="3"/>
        <v>vK2m07 F2</v>
      </c>
    </row>
    <row r="84" spans="1:5" x14ac:dyDescent="0.25">
      <c r="A84" s="1" t="s">
        <v>110</v>
      </c>
      <c r="B84" s="1" t="s">
        <v>30</v>
      </c>
      <c r="C84" s="1">
        <v>2</v>
      </c>
      <c r="D84" s="1" t="str">
        <f t="shared" si="2"/>
        <v>F</v>
      </c>
      <c r="E84" s="1" t="str">
        <f t="shared" si="3"/>
        <v>vK2m08 F2</v>
      </c>
    </row>
    <row r="85" spans="1:5" x14ac:dyDescent="0.25">
      <c r="A85" s="1" t="s">
        <v>111</v>
      </c>
      <c r="B85" s="1" t="s">
        <v>30</v>
      </c>
      <c r="C85" s="1">
        <v>2</v>
      </c>
      <c r="D85" s="1" t="str">
        <f t="shared" si="2"/>
        <v>F</v>
      </c>
      <c r="E85" s="1" t="str">
        <f t="shared" si="3"/>
        <v>vK2m09 F2</v>
      </c>
    </row>
    <row r="86" spans="1:5" x14ac:dyDescent="0.25">
      <c r="A86" s="1" t="s">
        <v>112</v>
      </c>
      <c r="B86" s="1" t="s">
        <v>30</v>
      </c>
      <c r="C86" s="1">
        <v>2</v>
      </c>
      <c r="D86" s="1" t="str">
        <f t="shared" si="2"/>
        <v>F</v>
      </c>
      <c r="E86" s="1" t="str">
        <f t="shared" si="3"/>
        <v>vK2m11 F2</v>
      </c>
    </row>
    <row r="87" spans="1:5" x14ac:dyDescent="0.25">
      <c r="A87" s="1" t="s">
        <v>113</v>
      </c>
      <c r="B87" s="1" t="s">
        <v>30</v>
      </c>
      <c r="C87" s="1">
        <v>2</v>
      </c>
      <c r="D87" s="1" t="str">
        <f t="shared" si="2"/>
        <v>F</v>
      </c>
      <c r="E87" s="1" t="str">
        <f t="shared" si="3"/>
        <v>vK2m12 F2</v>
      </c>
    </row>
    <row r="88" spans="1:5" x14ac:dyDescent="0.25">
      <c r="A88" s="1" t="s">
        <v>114</v>
      </c>
      <c r="B88" s="1" t="s">
        <v>30</v>
      </c>
      <c r="C88" s="1">
        <v>2</v>
      </c>
      <c r="D88" s="1" t="str">
        <f t="shared" si="2"/>
        <v>F</v>
      </c>
      <c r="E88" s="1" t="str">
        <f t="shared" si="3"/>
        <v>vK2m13 F2</v>
      </c>
    </row>
    <row r="89" spans="1:5" x14ac:dyDescent="0.25">
      <c r="A89" s="1" t="s">
        <v>115</v>
      </c>
      <c r="B89" s="1" t="s">
        <v>30</v>
      </c>
      <c r="C89" s="1">
        <v>2</v>
      </c>
      <c r="D89" s="1" t="str">
        <f t="shared" si="2"/>
        <v>F</v>
      </c>
      <c r="E89" s="1" t="str">
        <f t="shared" si="3"/>
        <v>vK2m88 F2</v>
      </c>
    </row>
    <row r="90" spans="1:5" x14ac:dyDescent="0.25">
      <c r="A90" s="1" t="s">
        <v>116</v>
      </c>
      <c r="B90" s="1" t="s">
        <v>30</v>
      </c>
      <c r="C90" s="1">
        <v>2</v>
      </c>
      <c r="D90" s="1" t="str">
        <f t="shared" si="2"/>
        <v>F</v>
      </c>
      <c r="E90" s="1" t="str">
        <f t="shared" si="3"/>
        <v>vK2m90 F2</v>
      </c>
    </row>
    <row r="91" spans="1:5" x14ac:dyDescent="0.25">
      <c r="A91" s="1" t="s">
        <v>117</v>
      </c>
      <c r="B91" s="1" t="s">
        <v>27</v>
      </c>
      <c r="C91" s="1">
        <v>150</v>
      </c>
      <c r="D91" s="1" t="str">
        <f t="shared" si="2"/>
        <v>A</v>
      </c>
      <c r="E91" s="1" t="str">
        <f t="shared" si="3"/>
        <v>vK2o88 A150</v>
      </c>
    </row>
    <row r="92" spans="1:5" x14ac:dyDescent="0.25">
      <c r="A92" s="1" t="s">
        <v>118</v>
      </c>
      <c r="B92" s="1" t="s">
        <v>30</v>
      </c>
      <c r="C92" s="1">
        <v>2</v>
      </c>
      <c r="D92" s="1" t="str">
        <f t="shared" si="2"/>
        <v>F</v>
      </c>
      <c r="E92" s="1" t="str">
        <f t="shared" si="3"/>
        <v>vE17 F2</v>
      </c>
    </row>
    <row r="93" spans="1:5" x14ac:dyDescent="0.25">
      <c r="A93" s="1" t="s">
        <v>119</v>
      </c>
      <c r="B93" s="1" t="s">
        <v>27</v>
      </c>
      <c r="C93" s="1">
        <v>150</v>
      </c>
      <c r="D93" s="1" t="str">
        <f t="shared" si="2"/>
        <v>A</v>
      </c>
      <c r="E93" s="1" t="str">
        <f t="shared" si="3"/>
        <v>vE17o88 A150</v>
      </c>
    </row>
    <row r="94" spans="1:5" x14ac:dyDescent="0.25">
      <c r="A94" s="1" t="s">
        <v>120</v>
      </c>
      <c r="B94" s="1" t="s">
        <v>30</v>
      </c>
      <c r="C94" s="1">
        <v>4</v>
      </c>
      <c r="D94" s="1" t="str">
        <f t="shared" si="2"/>
        <v>F</v>
      </c>
      <c r="E94" s="1" t="str">
        <f t="shared" si="3"/>
        <v>vKLI1 F4</v>
      </c>
    </row>
    <row r="95" spans="1:5" x14ac:dyDescent="0.25">
      <c r="A95" s="1" t="s">
        <v>121</v>
      </c>
      <c r="B95" s="1" t="s">
        <v>30</v>
      </c>
      <c r="C95" s="1">
        <v>5</v>
      </c>
      <c r="D95" s="1" t="str">
        <f t="shared" si="2"/>
        <v>F</v>
      </c>
      <c r="E95" s="1" t="str">
        <f t="shared" si="3"/>
        <v>vKLI2 F5</v>
      </c>
    </row>
    <row r="96" spans="1:5" x14ac:dyDescent="0.25">
      <c r="A96" s="1" t="s">
        <v>122</v>
      </c>
      <c r="B96" s="1" t="s">
        <v>30</v>
      </c>
      <c r="C96" s="1">
        <v>4</v>
      </c>
      <c r="D96" s="1" t="str">
        <f t="shared" si="2"/>
        <v>F</v>
      </c>
      <c r="E96" s="1" t="str">
        <f t="shared" si="3"/>
        <v>vKFB1 F4</v>
      </c>
    </row>
    <row r="97" spans="1:5" x14ac:dyDescent="0.25">
      <c r="A97" s="1" t="s">
        <v>123</v>
      </c>
      <c r="B97" s="1" t="s">
        <v>30</v>
      </c>
      <c r="C97" s="1">
        <v>5</v>
      </c>
      <c r="D97" s="1" t="str">
        <f t="shared" si="2"/>
        <v>F</v>
      </c>
      <c r="E97" s="1" t="str">
        <f t="shared" si="3"/>
        <v>vKFB2 F5</v>
      </c>
    </row>
    <row r="98" spans="1:5" x14ac:dyDescent="0.25">
      <c r="A98" s="1" t="s">
        <v>124</v>
      </c>
      <c r="B98" s="1" t="s">
        <v>30</v>
      </c>
      <c r="C98" s="1">
        <v>2</v>
      </c>
      <c r="D98" s="1" t="str">
        <f t="shared" si="2"/>
        <v>F</v>
      </c>
      <c r="E98" s="1" t="str">
        <f t="shared" si="3"/>
        <v>vKFB3m01 F2</v>
      </c>
    </row>
    <row r="99" spans="1:5" x14ac:dyDescent="0.25">
      <c r="A99" s="1" t="s">
        <v>125</v>
      </c>
      <c r="B99" s="1" t="s">
        <v>30</v>
      </c>
      <c r="C99" s="1">
        <v>2</v>
      </c>
      <c r="D99" s="1" t="str">
        <f t="shared" si="2"/>
        <v>F</v>
      </c>
      <c r="E99" s="1" t="str">
        <f t="shared" si="3"/>
        <v>vKFB3m02 F2</v>
      </c>
    </row>
    <row r="100" spans="1:5" x14ac:dyDescent="0.25">
      <c r="A100" s="1" t="s">
        <v>126</v>
      </c>
      <c r="B100" s="1" t="s">
        <v>30</v>
      </c>
      <c r="C100" s="1">
        <v>2</v>
      </c>
      <c r="D100" s="1" t="str">
        <f t="shared" si="2"/>
        <v>F</v>
      </c>
      <c r="E100" s="1" t="str">
        <f t="shared" si="3"/>
        <v>vKFB3m03 F2</v>
      </c>
    </row>
    <row r="101" spans="1:5" x14ac:dyDescent="0.25">
      <c r="A101" s="1" t="s">
        <v>127</v>
      </c>
      <c r="B101" s="1" t="s">
        <v>30</v>
      </c>
      <c r="C101" s="1">
        <v>2</v>
      </c>
      <c r="D101" s="1" t="str">
        <f t="shared" si="2"/>
        <v>F</v>
      </c>
      <c r="E101" s="1" t="str">
        <f t="shared" si="3"/>
        <v>vKFB3m04 F2</v>
      </c>
    </row>
    <row r="102" spans="1:5" x14ac:dyDescent="0.25">
      <c r="A102" s="1" t="s">
        <v>128</v>
      </c>
      <c r="B102" s="1" t="s">
        <v>30</v>
      </c>
      <c r="C102" s="1">
        <v>2</v>
      </c>
      <c r="D102" s="1" t="str">
        <f t="shared" si="2"/>
        <v>F</v>
      </c>
      <c r="E102" s="1" t="str">
        <f t="shared" si="3"/>
        <v>vKFB3m05 F2</v>
      </c>
    </row>
    <row r="103" spans="1:5" x14ac:dyDescent="0.25">
      <c r="A103" s="1" t="s">
        <v>129</v>
      </c>
      <c r="B103" s="1" t="s">
        <v>30</v>
      </c>
      <c r="C103" s="1">
        <v>2</v>
      </c>
      <c r="D103" s="1" t="str">
        <f t="shared" si="2"/>
        <v>F</v>
      </c>
      <c r="E103" s="1" t="str">
        <f t="shared" si="3"/>
        <v>vKFB3m06 F2</v>
      </c>
    </row>
    <row r="104" spans="1:5" x14ac:dyDescent="0.25">
      <c r="A104" s="1" t="s">
        <v>130</v>
      </c>
      <c r="B104" s="1" t="s">
        <v>30</v>
      </c>
      <c r="C104" s="1">
        <v>2</v>
      </c>
      <c r="D104" s="1" t="str">
        <f t="shared" si="2"/>
        <v>F</v>
      </c>
      <c r="E104" s="1" t="str">
        <f t="shared" si="3"/>
        <v>vKFB3m07 F2</v>
      </c>
    </row>
    <row r="105" spans="1:5" x14ac:dyDescent="0.25">
      <c r="A105" s="1" t="s">
        <v>131</v>
      </c>
      <c r="B105" s="1" t="s">
        <v>30</v>
      </c>
      <c r="C105" s="1">
        <v>2</v>
      </c>
      <c r="D105" s="1" t="str">
        <f t="shared" si="2"/>
        <v>F</v>
      </c>
      <c r="E105" s="1" t="str">
        <f t="shared" si="3"/>
        <v>vKFB3m08 F2</v>
      </c>
    </row>
    <row r="106" spans="1:5" x14ac:dyDescent="0.25">
      <c r="A106" s="1" t="s">
        <v>132</v>
      </c>
      <c r="B106" s="1" t="s">
        <v>30</v>
      </c>
      <c r="C106" s="1">
        <v>2</v>
      </c>
      <c r="D106" s="1" t="str">
        <f t="shared" si="2"/>
        <v>F</v>
      </c>
      <c r="E106" s="1" t="str">
        <f t="shared" si="3"/>
        <v>vKFB3m09 F2</v>
      </c>
    </row>
    <row r="107" spans="1:5" x14ac:dyDescent="0.25">
      <c r="A107" s="1" t="s">
        <v>133</v>
      </c>
      <c r="B107" s="1" t="s">
        <v>30</v>
      </c>
      <c r="C107" s="1">
        <v>2</v>
      </c>
      <c r="D107" s="1" t="str">
        <f t="shared" si="2"/>
        <v>F</v>
      </c>
      <c r="E107" s="1" t="str">
        <f t="shared" si="3"/>
        <v>vKFB3m10 F2</v>
      </c>
    </row>
    <row r="108" spans="1:5" x14ac:dyDescent="0.25">
      <c r="A108" s="1" t="s">
        <v>134</v>
      </c>
      <c r="B108" s="1" t="s">
        <v>30</v>
      </c>
      <c r="C108" s="1">
        <v>2</v>
      </c>
      <c r="D108" s="1" t="str">
        <f t="shared" si="2"/>
        <v>F</v>
      </c>
      <c r="E108" s="1" t="str">
        <f t="shared" si="3"/>
        <v>vKFB3m11 F2</v>
      </c>
    </row>
    <row r="109" spans="1:5" x14ac:dyDescent="0.25">
      <c r="A109" s="1" t="s">
        <v>135</v>
      </c>
      <c r="B109" s="1" t="s">
        <v>30</v>
      </c>
      <c r="C109" s="1">
        <v>2</v>
      </c>
      <c r="D109" s="1" t="str">
        <f t="shared" si="2"/>
        <v>F</v>
      </c>
      <c r="E109" s="1" t="str">
        <f t="shared" si="3"/>
        <v>vKFB3m12 F2</v>
      </c>
    </row>
    <row r="110" spans="1:5" x14ac:dyDescent="0.25">
      <c r="A110" s="1" t="s">
        <v>136</v>
      </c>
      <c r="B110" s="1" t="s">
        <v>30</v>
      </c>
      <c r="C110" s="1">
        <v>2</v>
      </c>
      <c r="D110" s="1" t="str">
        <f t="shared" si="2"/>
        <v>F</v>
      </c>
      <c r="E110" s="1" t="str">
        <f t="shared" si="3"/>
        <v>vKFB3m13 F2</v>
      </c>
    </row>
    <row r="111" spans="1:5" x14ac:dyDescent="0.25">
      <c r="A111" s="1" t="s">
        <v>137</v>
      </c>
      <c r="B111" s="1" t="s">
        <v>30</v>
      </c>
      <c r="C111" s="1">
        <v>2</v>
      </c>
      <c r="D111" s="1" t="str">
        <f t="shared" si="2"/>
        <v>F</v>
      </c>
      <c r="E111" s="1" t="str">
        <f t="shared" si="3"/>
        <v>vKFB3m14 F2</v>
      </c>
    </row>
    <row r="112" spans="1:5" x14ac:dyDescent="0.25">
      <c r="A112" s="1" t="s">
        <v>138</v>
      </c>
      <c r="B112" s="1" t="s">
        <v>30</v>
      </c>
      <c r="C112" s="1">
        <v>2</v>
      </c>
      <c r="D112" s="1" t="str">
        <f t="shared" si="2"/>
        <v>F</v>
      </c>
      <c r="E112" s="1" t="str">
        <f t="shared" si="3"/>
        <v>vKFB3m15 F2</v>
      </c>
    </row>
    <row r="113" spans="1:5" x14ac:dyDescent="0.25">
      <c r="A113" s="1" t="s">
        <v>139</v>
      </c>
      <c r="B113" s="1" t="s">
        <v>30</v>
      </c>
      <c r="C113" s="1">
        <v>2</v>
      </c>
      <c r="D113" s="1" t="str">
        <f t="shared" si="2"/>
        <v>F</v>
      </c>
      <c r="E113" s="1" t="str">
        <f t="shared" si="3"/>
        <v>vKFB3m16 F2</v>
      </c>
    </row>
    <row r="114" spans="1:5" x14ac:dyDescent="0.25">
      <c r="A114" s="1" t="s">
        <v>140</v>
      </c>
      <c r="B114" s="1" t="s">
        <v>30</v>
      </c>
      <c r="C114" s="1">
        <v>2</v>
      </c>
      <c r="D114" s="1" t="str">
        <f t="shared" si="2"/>
        <v>F</v>
      </c>
      <c r="E114" s="1" t="str">
        <f t="shared" si="3"/>
        <v>vKFB3m17 F2</v>
      </c>
    </row>
    <row r="115" spans="1:5" x14ac:dyDescent="0.25">
      <c r="A115" s="1" t="s">
        <v>141</v>
      </c>
      <c r="B115" s="1" t="s">
        <v>30</v>
      </c>
      <c r="C115" s="1">
        <v>2</v>
      </c>
      <c r="D115" s="1" t="str">
        <f t="shared" si="2"/>
        <v>F</v>
      </c>
      <c r="E115" s="1" t="str">
        <f t="shared" si="3"/>
        <v>vKFB3m88 F2</v>
      </c>
    </row>
    <row r="116" spans="1:5" x14ac:dyDescent="0.25">
      <c r="A116" s="1" t="s">
        <v>142</v>
      </c>
      <c r="B116" s="1" t="s">
        <v>27</v>
      </c>
      <c r="C116" s="1">
        <v>150</v>
      </c>
      <c r="D116" s="1" t="str">
        <f t="shared" si="2"/>
        <v>A</v>
      </c>
      <c r="E116" s="1" t="str">
        <f t="shared" si="3"/>
        <v>vKFB3o88 A150</v>
      </c>
    </row>
    <row r="117" spans="1:5" x14ac:dyDescent="0.25">
      <c r="A117" s="1" t="s">
        <v>143</v>
      </c>
      <c r="B117" s="1" t="s">
        <v>30</v>
      </c>
      <c r="C117" s="1">
        <v>2</v>
      </c>
      <c r="D117" s="1" t="str">
        <f t="shared" si="2"/>
        <v>F</v>
      </c>
      <c r="E117" s="1" t="str">
        <f t="shared" si="3"/>
        <v>vKFB4m01 F2</v>
      </c>
    </row>
    <row r="118" spans="1:5" x14ac:dyDescent="0.25">
      <c r="A118" s="1" t="s">
        <v>144</v>
      </c>
      <c r="B118" s="1" t="s">
        <v>30</v>
      </c>
      <c r="C118" s="1">
        <v>2</v>
      </c>
      <c r="D118" s="1" t="str">
        <f t="shared" si="2"/>
        <v>F</v>
      </c>
      <c r="E118" s="1" t="str">
        <f t="shared" si="3"/>
        <v>vKFB4m02 F2</v>
      </c>
    </row>
    <row r="119" spans="1:5" x14ac:dyDescent="0.25">
      <c r="A119" s="1" t="s">
        <v>145</v>
      </c>
      <c r="B119" s="1" t="s">
        <v>30</v>
      </c>
      <c r="C119" s="1">
        <v>2</v>
      </c>
      <c r="D119" s="1" t="str">
        <f t="shared" si="2"/>
        <v>F</v>
      </c>
      <c r="E119" s="1" t="str">
        <f t="shared" si="3"/>
        <v>vKFB4m03 F2</v>
      </c>
    </row>
    <row r="120" spans="1:5" x14ac:dyDescent="0.25">
      <c r="A120" s="1" t="s">
        <v>146</v>
      </c>
      <c r="B120" s="1" t="s">
        <v>30</v>
      </c>
      <c r="C120" s="1">
        <v>2</v>
      </c>
      <c r="D120" s="1" t="str">
        <f t="shared" si="2"/>
        <v>F</v>
      </c>
      <c r="E120" s="1" t="str">
        <f t="shared" si="3"/>
        <v>vKFB4m04 F2</v>
      </c>
    </row>
    <row r="121" spans="1:5" x14ac:dyDescent="0.25">
      <c r="A121" s="1" t="s">
        <v>147</v>
      </c>
      <c r="B121" s="1" t="s">
        <v>30</v>
      </c>
      <c r="C121" s="1">
        <v>2</v>
      </c>
      <c r="D121" s="1" t="str">
        <f t="shared" si="2"/>
        <v>F</v>
      </c>
      <c r="E121" s="1" t="str">
        <f t="shared" si="3"/>
        <v>vKFB4m05 F2</v>
      </c>
    </row>
    <row r="122" spans="1:5" x14ac:dyDescent="0.25">
      <c r="A122" s="1" t="s">
        <v>148</v>
      </c>
      <c r="B122" s="1" t="s">
        <v>30</v>
      </c>
      <c r="C122" s="1">
        <v>2</v>
      </c>
      <c r="D122" s="1" t="str">
        <f t="shared" si="2"/>
        <v>F</v>
      </c>
      <c r="E122" s="1" t="str">
        <f t="shared" si="3"/>
        <v>vKFB4m06 F2</v>
      </c>
    </row>
    <row r="123" spans="1:5" x14ac:dyDescent="0.25">
      <c r="A123" s="1" t="s">
        <v>149</v>
      </c>
      <c r="B123" s="1" t="s">
        <v>30</v>
      </c>
      <c r="C123" s="1">
        <v>2</v>
      </c>
      <c r="D123" s="1" t="str">
        <f t="shared" si="2"/>
        <v>F</v>
      </c>
      <c r="E123" s="1" t="str">
        <f t="shared" si="3"/>
        <v>vKFB4m07 F2</v>
      </c>
    </row>
    <row r="124" spans="1:5" x14ac:dyDescent="0.25">
      <c r="A124" s="1" t="s">
        <v>150</v>
      </c>
      <c r="B124" s="1" t="s">
        <v>30</v>
      </c>
      <c r="C124" s="1">
        <v>2</v>
      </c>
      <c r="D124" s="1" t="str">
        <f t="shared" si="2"/>
        <v>F</v>
      </c>
      <c r="E124" s="1" t="str">
        <f t="shared" si="3"/>
        <v>vKFB4m08 F2</v>
      </c>
    </row>
    <row r="125" spans="1:5" x14ac:dyDescent="0.25">
      <c r="A125" s="1" t="s">
        <v>151</v>
      </c>
      <c r="B125" s="1" t="s">
        <v>30</v>
      </c>
      <c r="C125" s="1">
        <v>2</v>
      </c>
      <c r="D125" s="1" t="str">
        <f t="shared" si="2"/>
        <v>F</v>
      </c>
      <c r="E125" s="1" t="str">
        <f t="shared" si="3"/>
        <v>vKFB4m09 F2</v>
      </c>
    </row>
    <row r="126" spans="1:5" x14ac:dyDescent="0.25">
      <c r="A126" s="1" t="s">
        <v>152</v>
      </c>
      <c r="B126" s="1" t="s">
        <v>30</v>
      </c>
      <c r="C126" s="1">
        <v>2</v>
      </c>
      <c r="D126" s="1" t="str">
        <f t="shared" si="2"/>
        <v>F</v>
      </c>
      <c r="E126" s="1" t="str">
        <f t="shared" si="3"/>
        <v>vKFB4m10 F2</v>
      </c>
    </row>
    <row r="127" spans="1:5" x14ac:dyDescent="0.25">
      <c r="A127" s="1" t="s">
        <v>153</v>
      </c>
      <c r="B127" s="1" t="s">
        <v>30</v>
      </c>
      <c r="C127" s="1">
        <v>2</v>
      </c>
      <c r="D127" s="1" t="str">
        <f t="shared" si="2"/>
        <v>F</v>
      </c>
      <c r="E127" s="1" t="str">
        <f t="shared" si="3"/>
        <v>vKFB4m11 F2</v>
      </c>
    </row>
    <row r="128" spans="1:5" x14ac:dyDescent="0.25">
      <c r="A128" s="1" t="s">
        <v>154</v>
      </c>
      <c r="B128" s="1" t="s">
        <v>30</v>
      </c>
      <c r="C128" s="1">
        <v>2</v>
      </c>
      <c r="D128" s="1" t="str">
        <f t="shared" si="2"/>
        <v>F</v>
      </c>
      <c r="E128" s="1" t="str">
        <f t="shared" si="3"/>
        <v>vKFB4m12 F2</v>
      </c>
    </row>
    <row r="129" spans="1:5" x14ac:dyDescent="0.25">
      <c r="A129" s="1" t="s">
        <v>155</v>
      </c>
      <c r="B129" s="1" t="s">
        <v>30</v>
      </c>
      <c r="C129" s="1">
        <v>2</v>
      </c>
      <c r="D129" s="1" t="str">
        <f t="shared" si="2"/>
        <v>F</v>
      </c>
      <c r="E129" s="1" t="str">
        <f t="shared" si="3"/>
        <v>vKFB4m13 F2</v>
      </c>
    </row>
    <row r="130" spans="1:5" x14ac:dyDescent="0.25">
      <c r="A130" s="1" t="s">
        <v>156</v>
      </c>
      <c r="B130" s="1" t="s">
        <v>30</v>
      </c>
      <c r="C130" s="1">
        <v>2</v>
      </c>
      <c r="D130" s="1" t="str">
        <f t="shared" ref="D130:D193" si="4">IF(B130="數值","F","A")</f>
        <v>F</v>
      </c>
      <c r="E130" s="1" t="str">
        <f t="shared" ref="E130:E193" si="5">A130&amp;" "&amp;D130&amp;C130</f>
        <v>vKFB4m14 F2</v>
      </c>
    </row>
    <row r="131" spans="1:5" x14ac:dyDescent="0.25">
      <c r="A131" s="1" t="s">
        <v>157</v>
      </c>
      <c r="B131" s="1" t="s">
        <v>30</v>
      </c>
      <c r="C131" s="1">
        <v>2</v>
      </c>
      <c r="D131" s="1" t="str">
        <f t="shared" si="4"/>
        <v>F</v>
      </c>
      <c r="E131" s="1" t="str">
        <f t="shared" si="5"/>
        <v>vKFB4m15 F2</v>
      </c>
    </row>
    <row r="132" spans="1:5" x14ac:dyDescent="0.25">
      <c r="A132" s="1" t="s">
        <v>158</v>
      </c>
      <c r="B132" s="1" t="s">
        <v>30</v>
      </c>
      <c r="C132" s="1">
        <v>2</v>
      </c>
      <c r="D132" s="1" t="str">
        <f t="shared" si="4"/>
        <v>F</v>
      </c>
      <c r="E132" s="1" t="str">
        <f t="shared" si="5"/>
        <v>vKFB4m16 F2</v>
      </c>
    </row>
    <row r="133" spans="1:5" x14ac:dyDescent="0.25">
      <c r="A133" s="1" t="s">
        <v>159</v>
      </c>
      <c r="B133" s="1" t="s">
        <v>30</v>
      </c>
      <c r="C133" s="1">
        <v>2</v>
      </c>
      <c r="D133" s="1" t="str">
        <f t="shared" si="4"/>
        <v>F</v>
      </c>
      <c r="E133" s="1" t="str">
        <f t="shared" si="5"/>
        <v>vKFB4m17 F2</v>
      </c>
    </row>
    <row r="134" spans="1:5" x14ac:dyDescent="0.25">
      <c r="A134" s="1" t="s">
        <v>160</v>
      </c>
      <c r="B134" s="1" t="s">
        <v>30</v>
      </c>
      <c r="C134" s="1">
        <v>2</v>
      </c>
      <c r="D134" s="1" t="str">
        <f t="shared" si="4"/>
        <v>F</v>
      </c>
      <c r="E134" s="1" t="str">
        <f t="shared" si="5"/>
        <v>vKFB4m18 F2</v>
      </c>
    </row>
    <row r="135" spans="1:5" x14ac:dyDescent="0.25">
      <c r="A135" s="1" t="s">
        <v>161</v>
      </c>
      <c r="B135" s="1" t="s">
        <v>30</v>
      </c>
      <c r="C135" s="1">
        <v>2</v>
      </c>
      <c r="D135" s="1" t="str">
        <f t="shared" si="4"/>
        <v>F</v>
      </c>
      <c r="E135" s="1" t="str">
        <f t="shared" si="5"/>
        <v>vKFB4m88 F2</v>
      </c>
    </row>
    <row r="136" spans="1:5" x14ac:dyDescent="0.25">
      <c r="A136" s="1" t="s">
        <v>162</v>
      </c>
      <c r="B136" s="1" t="s">
        <v>27</v>
      </c>
      <c r="C136" s="1">
        <v>150</v>
      </c>
      <c r="D136" s="1" t="str">
        <f t="shared" si="4"/>
        <v>A</v>
      </c>
      <c r="E136" s="1" t="str">
        <f t="shared" si="5"/>
        <v>vKFB4o88 A150</v>
      </c>
    </row>
    <row r="137" spans="1:5" x14ac:dyDescent="0.25">
      <c r="A137" s="1" t="s">
        <v>163</v>
      </c>
      <c r="B137" s="1" t="s">
        <v>30</v>
      </c>
      <c r="C137" s="1">
        <v>4</v>
      </c>
      <c r="D137" s="1" t="str">
        <f t="shared" si="4"/>
        <v>F</v>
      </c>
      <c r="E137" s="1" t="str">
        <f t="shared" si="5"/>
        <v>vKIG1 F4</v>
      </c>
    </row>
    <row r="138" spans="1:5" x14ac:dyDescent="0.25">
      <c r="A138" s="1" t="s">
        <v>164</v>
      </c>
      <c r="B138" s="1" t="s">
        <v>30</v>
      </c>
      <c r="C138" s="1">
        <v>5</v>
      </c>
      <c r="D138" s="1" t="str">
        <f t="shared" si="4"/>
        <v>F</v>
      </c>
      <c r="E138" s="1" t="str">
        <f t="shared" si="5"/>
        <v>vKIG2 F5</v>
      </c>
    </row>
    <row r="139" spans="1:5" x14ac:dyDescent="0.25">
      <c r="A139" s="1" t="s">
        <v>165</v>
      </c>
      <c r="B139" s="1" t="s">
        <v>30</v>
      </c>
      <c r="C139" s="1">
        <v>2</v>
      </c>
      <c r="D139" s="1" t="str">
        <f t="shared" si="4"/>
        <v>F</v>
      </c>
      <c r="E139" s="1" t="str">
        <f t="shared" si="5"/>
        <v>vKIG3m01 F2</v>
      </c>
    </row>
    <row r="140" spans="1:5" x14ac:dyDescent="0.25">
      <c r="A140" s="1" t="s">
        <v>166</v>
      </c>
      <c r="B140" s="1" t="s">
        <v>30</v>
      </c>
      <c r="C140" s="1">
        <v>2</v>
      </c>
      <c r="D140" s="1" t="str">
        <f t="shared" si="4"/>
        <v>F</v>
      </c>
      <c r="E140" s="1" t="str">
        <f t="shared" si="5"/>
        <v>vKIG3m02 F2</v>
      </c>
    </row>
    <row r="141" spans="1:5" x14ac:dyDescent="0.25">
      <c r="A141" s="1" t="s">
        <v>167</v>
      </c>
      <c r="B141" s="1" t="s">
        <v>30</v>
      </c>
      <c r="C141" s="1">
        <v>2</v>
      </c>
      <c r="D141" s="1" t="str">
        <f t="shared" si="4"/>
        <v>F</v>
      </c>
      <c r="E141" s="1" t="str">
        <f t="shared" si="5"/>
        <v>vKIG3m03 F2</v>
      </c>
    </row>
    <row r="142" spans="1:5" x14ac:dyDescent="0.25">
      <c r="A142" s="1" t="s">
        <v>168</v>
      </c>
      <c r="B142" s="1" t="s">
        <v>30</v>
      </c>
      <c r="C142" s="1">
        <v>2</v>
      </c>
      <c r="D142" s="1" t="str">
        <f t="shared" si="4"/>
        <v>F</v>
      </c>
      <c r="E142" s="1" t="str">
        <f t="shared" si="5"/>
        <v>vKIG3m04 F2</v>
      </c>
    </row>
    <row r="143" spans="1:5" x14ac:dyDescent="0.25">
      <c r="A143" s="1" t="s">
        <v>169</v>
      </c>
      <c r="B143" s="1" t="s">
        <v>30</v>
      </c>
      <c r="C143" s="1">
        <v>2</v>
      </c>
      <c r="D143" s="1" t="str">
        <f t="shared" si="4"/>
        <v>F</v>
      </c>
      <c r="E143" s="1" t="str">
        <f t="shared" si="5"/>
        <v>vKIG3m05 F2</v>
      </c>
    </row>
    <row r="144" spans="1:5" x14ac:dyDescent="0.25">
      <c r="A144" s="1" t="s">
        <v>170</v>
      </c>
      <c r="B144" s="1" t="s">
        <v>30</v>
      </c>
      <c r="C144" s="1">
        <v>2</v>
      </c>
      <c r="D144" s="1" t="str">
        <f t="shared" si="4"/>
        <v>F</v>
      </c>
      <c r="E144" s="1" t="str">
        <f t="shared" si="5"/>
        <v>vKIG3m06 F2</v>
      </c>
    </row>
    <row r="145" spans="1:5" x14ac:dyDescent="0.25">
      <c r="A145" s="1" t="s">
        <v>171</v>
      </c>
      <c r="B145" s="1" t="s">
        <v>30</v>
      </c>
      <c r="C145" s="1">
        <v>2</v>
      </c>
      <c r="D145" s="1" t="str">
        <f t="shared" si="4"/>
        <v>F</v>
      </c>
      <c r="E145" s="1" t="str">
        <f t="shared" si="5"/>
        <v>vKIG3m07 F2</v>
      </c>
    </row>
    <row r="146" spans="1:5" x14ac:dyDescent="0.25">
      <c r="A146" s="1" t="s">
        <v>172</v>
      </c>
      <c r="B146" s="1" t="s">
        <v>30</v>
      </c>
      <c r="C146" s="1">
        <v>2</v>
      </c>
      <c r="D146" s="1" t="str">
        <f t="shared" si="4"/>
        <v>F</v>
      </c>
      <c r="E146" s="1" t="str">
        <f t="shared" si="5"/>
        <v>vKIG3m08 F2</v>
      </c>
    </row>
    <row r="147" spans="1:5" x14ac:dyDescent="0.25">
      <c r="A147" s="1" t="s">
        <v>173</v>
      </c>
      <c r="B147" s="1" t="s">
        <v>30</v>
      </c>
      <c r="C147" s="1">
        <v>2</v>
      </c>
      <c r="D147" s="1" t="str">
        <f t="shared" si="4"/>
        <v>F</v>
      </c>
      <c r="E147" s="1" t="str">
        <f t="shared" si="5"/>
        <v>vKIG3m09 F2</v>
      </c>
    </row>
    <row r="148" spans="1:5" x14ac:dyDescent="0.25">
      <c r="A148" s="1" t="s">
        <v>174</v>
      </c>
      <c r="B148" s="1" t="s">
        <v>30</v>
      </c>
      <c r="C148" s="1">
        <v>2</v>
      </c>
      <c r="D148" s="1" t="str">
        <f t="shared" si="4"/>
        <v>F</v>
      </c>
      <c r="E148" s="1" t="str">
        <f t="shared" si="5"/>
        <v>vKIG3m10 F2</v>
      </c>
    </row>
    <row r="149" spans="1:5" x14ac:dyDescent="0.25">
      <c r="A149" s="1" t="s">
        <v>175</v>
      </c>
      <c r="B149" s="1" t="s">
        <v>30</v>
      </c>
      <c r="C149" s="1">
        <v>2</v>
      </c>
      <c r="D149" s="1" t="str">
        <f t="shared" si="4"/>
        <v>F</v>
      </c>
      <c r="E149" s="1" t="str">
        <f t="shared" si="5"/>
        <v>vKIG3m11 F2</v>
      </c>
    </row>
    <row r="150" spans="1:5" x14ac:dyDescent="0.25">
      <c r="A150" s="1" t="s">
        <v>176</v>
      </c>
      <c r="B150" s="1" t="s">
        <v>30</v>
      </c>
      <c r="C150" s="1">
        <v>2</v>
      </c>
      <c r="D150" s="1" t="str">
        <f t="shared" si="4"/>
        <v>F</v>
      </c>
      <c r="E150" s="1" t="str">
        <f t="shared" si="5"/>
        <v>vKIG3m12 F2</v>
      </c>
    </row>
    <row r="151" spans="1:5" x14ac:dyDescent="0.25">
      <c r="A151" s="1" t="s">
        <v>177</v>
      </c>
      <c r="B151" s="1" t="s">
        <v>30</v>
      </c>
      <c r="C151" s="1">
        <v>2</v>
      </c>
      <c r="D151" s="1" t="str">
        <f t="shared" si="4"/>
        <v>F</v>
      </c>
      <c r="E151" s="1" t="str">
        <f t="shared" si="5"/>
        <v>vKIG3m13 F2</v>
      </c>
    </row>
    <row r="152" spans="1:5" x14ac:dyDescent="0.25">
      <c r="A152" s="1" t="s">
        <v>178</v>
      </c>
      <c r="B152" s="1" t="s">
        <v>30</v>
      </c>
      <c r="C152" s="1">
        <v>2</v>
      </c>
      <c r="D152" s="1" t="str">
        <f t="shared" si="4"/>
        <v>F</v>
      </c>
      <c r="E152" s="1" t="str">
        <f t="shared" si="5"/>
        <v>vKIG3m14 F2</v>
      </c>
    </row>
    <row r="153" spans="1:5" x14ac:dyDescent="0.25">
      <c r="A153" s="1" t="s">
        <v>179</v>
      </c>
      <c r="B153" s="1" t="s">
        <v>30</v>
      </c>
      <c r="C153" s="1">
        <v>2</v>
      </c>
      <c r="D153" s="1" t="str">
        <f t="shared" si="4"/>
        <v>F</v>
      </c>
      <c r="E153" s="1" t="str">
        <f t="shared" si="5"/>
        <v>vKIG3m15 F2</v>
      </c>
    </row>
    <row r="154" spans="1:5" x14ac:dyDescent="0.25">
      <c r="A154" s="1" t="s">
        <v>180</v>
      </c>
      <c r="B154" s="1" t="s">
        <v>30</v>
      </c>
      <c r="C154" s="1">
        <v>2</v>
      </c>
      <c r="D154" s="1" t="str">
        <f t="shared" si="4"/>
        <v>F</v>
      </c>
      <c r="E154" s="1" t="str">
        <f t="shared" si="5"/>
        <v>vKIG3m16 F2</v>
      </c>
    </row>
    <row r="155" spans="1:5" x14ac:dyDescent="0.25">
      <c r="A155" s="1" t="s">
        <v>181</v>
      </c>
      <c r="B155" s="1" t="s">
        <v>30</v>
      </c>
      <c r="C155" s="1">
        <v>2</v>
      </c>
      <c r="D155" s="1" t="str">
        <f t="shared" si="4"/>
        <v>F</v>
      </c>
      <c r="E155" s="1" t="str">
        <f t="shared" si="5"/>
        <v>vKIG3m17 F2</v>
      </c>
    </row>
    <row r="156" spans="1:5" x14ac:dyDescent="0.25">
      <c r="A156" s="1" t="s">
        <v>182</v>
      </c>
      <c r="B156" s="1" t="s">
        <v>30</v>
      </c>
      <c r="C156" s="1">
        <v>2</v>
      </c>
      <c r="D156" s="1" t="str">
        <f t="shared" si="4"/>
        <v>F</v>
      </c>
      <c r="E156" s="1" t="str">
        <f t="shared" si="5"/>
        <v>vKIG3m88 F2</v>
      </c>
    </row>
    <row r="157" spans="1:5" x14ac:dyDescent="0.25">
      <c r="A157" s="1" t="s">
        <v>183</v>
      </c>
      <c r="B157" s="1" t="s">
        <v>27</v>
      </c>
      <c r="C157" s="1">
        <v>150</v>
      </c>
      <c r="D157" s="1" t="str">
        <f t="shared" si="4"/>
        <v>A</v>
      </c>
      <c r="E157" s="1" t="str">
        <f t="shared" si="5"/>
        <v>vKIG3o88 A150</v>
      </c>
    </row>
    <row r="158" spans="1:5" x14ac:dyDescent="0.25">
      <c r="A158" s="1" t="s">
        <v>184</v>
      </c>
      <c r="B158" s="1" t="s">
        <v>30</v>
      </c>
      <c r="C158" s="1">
        <v>2</v>
      </c>
      <c r="D158" s="1" t="str">
        <f t="shared" si="4"/>
        <v>F</v>
      </c>
      <c r="E158" s="1" t="str">
        <f t="shared" si="5"/>
        <v>vKIG4m01 F2</v>
      </c>
    </row>
    <row r="159" spans="1:5" x14ac:dyDescent="0.25">
      <c r="A159" s="1" t="s">
        <v>185</v>
      </c>
      <c r="B159" s="1" t="s">
        <v>30</v>
      </c>
      <c r="C159" s="1">
        <v>2</v>
      </c>
      <c r="D159" s="1" t="str">
        <f t="shared" si="4"/>
        <v>F</v>
      </c>
      <c r="E159" s="1" t="str">
        <f t="shared" si="5"/>
        <v>vKIG4m02 F2</v>
      </c>
    </row>
    <row r="160" spans="1:5" x14ac:dyDescent="0.25">
      <c r="A160" s="1" t="s">
        <v>186</v>
      </c>
      <c r="B160" s="1" t="s">
        <v>30</v>
      </c>
      <c r="C160" s="1">
        <v>2</v>
      </c>
      <c r="D160" s="1" t="str">
        <f t="shared" si="4"/>
        <v>F</v>
      </c>
      <c r="E160" s="1" t="str">
        <f t="shared" si="5"/>
        <v>vKIG4m03 F2</v>
      </c>
    </row>
    <row r="161" spans="1:5" x14ac:dyDescent="0.25">
      <c r="A161" s="1" t="s">
        <v>187</v>
      </c>
      <c r="B161" s="1" t="s">
        <v>30</v>
      </c>
      <c r="C161" s="1">
        <v>2</v>
      </c>
      <c r="D161" s="1" t="str">
        <f t="shared" si="4"/>
        <v>F</v>
      </c>
      <c r="E161" s="1" t="str">
        <f t="shared" si="5"/>
        <v>vKIG4m04 F2</v>
      </c>
    </row>
    <row r="162" spans="1:5" x14ac:dyDescent="0.25">
      <c r="A162" s="1" t="s">
        <v>188</v>
      </c>
      <c r="B162" s="1" t="s">
        <v>30</v>
      </c>
      <c r="C162" s="1">
        <v>2</v>
      </c>
      <c r="D162" s="1" t="str">
        <f t="shared" si="4"/>
        <v>F</v>
      </c>
      <c r="E162" s="1" t="str">
        <f t="shared" si="5"/>
        <v>vKIG4m05 F2</v>
      </c>
    </row>
    <row r="163" spans="1:5" x14ac:dyDescent="0.25">
      <c r="A163" s="1" t="s">
        <v>189</v>
      </c>
      <c r="B163" s="1" t="s">
        <v>30</v>
      </c>
      <c r="C163" s="1">
        <v>2</v>
      </c>
      <c r="D163" s="1" t="str">
        <f t="shared" si="4"/>
        <v>F</v>
      </c>
      <c r="E163" s="1" t="str">
        <f t="shared" si="5"/>
        <v>vKIG4m06 F2</v>
      </c>
    </row>
    <row r="164" spans="1:5" x14ac:dyDescent="0.25">
      <c r="A164" s="1" t="s">
        <v>190</v>
      </c>
      <c r="B164" s="1" t="s">
        <v>30</v>
      </c>
      <c r="C164" s="1">
        <v>2</v>
      </c>
      <c r="D164" s="1" t="str">
        <f t="shared" si="4"/>
        <v>F</v>
      </c>
      <c r="E164" s="1" t="str">
        <f t="shared" si="5"/>
        <v>vKIG4m07 F2</v>
      </c>
    </row>
    <row r="165" spans="1:5" x14ac:dyDescent="0.25">
      <c r="A165" s="1" t="s">
        <v>191</v>
      </c>
      <c r="B165" s="1" t="s">
        <v>30</v>
      </c>
      <c r="C165" s="1">
        <v>2</v>
      </c>
      <c r="D165" s="1" t="str">
        <f t="shared" si="4"/>
        <v>F</v>
      </c>
      <c r="E165" s="1" t="str">
        <f t="shared" si="5"/>
        <v>vKIG4m08 F2</v>
      </c>
    </row>
    <row r="166" spans="1:5" x14ac:dyDescent="0.25">
      <c r="A166" s="1" t="s">
        <v>192</v>
      </c>
      <c r="B166" s="1" t="s">
        <v>30</v>
      </c>
      <c r="C166" s="1">
        <v>2</v>
      </c>
      <c r="D166" s="1" t="str">
        <f t="shared" si="4"/>
        <v>F</v>
      </c>
      <c r="E166" s="1" t="str">
        <f t="shared" si="5"/>
        <v>vKIG4m09 F2</v>
      </c>
    </row>
    <row r="167" spans="1:5" x14ac:dyDescent="0.25">
      <c r="A167" s="1" t="s">
        <v>193</v>
      </c>
      <c r="B167" s="1" t="s">
        <v>30</v>
      </c>
      <c r="C167" s="1">
        <v>2</v>
      </c>
      <c r="D167" s="1" t="str">
        <f t="shared" si="4"/>
        <v>F</v>
      </c>
      <c r="E167" s="1" t="str">
        <f t="shared" si="5"/>
        <v>vKIG4m10 F2</v>
      </c>
    </row>
    <row r="168" spans="1:5" x14ac:dyDescent="0.25">
      <c r="A168" s="1" t="s">
        <v>194</v>
      </c>
      <c r="B168" s="1" t="s">
        <v>30</v>
      </c>
      <c r="C168" s="1">
        <v>2</v>
      </c>
      <c r="D168" s="1" t="str">
        <f t="shared" si="4"/>
        <v>F</v>
      </c>
      <c r="E168" s="1" t="str">
        <f t="shared" si="5"/>
        <v>vKIG4m11 F2</v>
      </c>
    </row>
    <row r="169" spans="1:5" x14ac:dyDescent="0.25">
      <c r="A169" s="1" t="s">
        <v>195</v>
      </c>
      <c r="B169" s="1" t="s">
        <v>30</v>
      </c>
      <c r="C169" s="1">
        <v>2</v>
      </c>
      <c r="D169" s="1" t="str">
        <f t="shared" si="4"/>
        <v>F</v>
      </c>
      <c r="E169" s="1" t="str">
        <f t="shared" si="5"/>
        <v>vKIG4m12 F2</v>
      </c>
    </row>
    <row r="170" spans="1:5" x14ac:dyDescent="0.25">
      <c r="A170" s="1" t="s">
        <v>196</v>
      </c>
      <c r="B170" s="1" t="s">
        <v>30</v>
      </c>
      <c r="C170" s="1">
        <v>2</v>
      </c>
      <c r="D170" s="1" t="str">
        <f t="shared" si="4"/>
        <v>F</v>
      </c>
      <c r="E170" s="1" t="str">
        <f t="shared" si="5"/>
        <v>vKIG4m13 F2</v>
      </c>
    </row>
    <row r="171" spans="1:5" x14ac:dyDescent="0.25">
      <c r="A171" s="1" t="s">
        <v>197</v>
      </c>
      <c r="B171" s="1" t="s">
        <v>30</v>
      </c>
      <c r="C171" s="1">
        <v>2</v>
      </c>
      <c r="D171" s="1" t="str">
        <f t="shared" si="4"/>
        <v>F</v>
      </c>
      <c r="E171" s="1" t="str">
        <f t="shared" si="5"/>
        <v>vKIG4m14 F2</v>
      </c>
    </row>
    <row r="172" spans="1:5" x14ac:dyDescent="0.25">
      <c r="A172" s="1" t="s">
        <v>198</v>
      </c>
      <c r="B172" s="1" t="s">
        <v>30</v>
      </c>
      <c r="C172" s="1">
        <v>2</v>
      </c>
      <c r="D172" s="1" t="str">
        <f t="shared" si="4"/>
        <v>F</v>
      </c>
      <c r="E172" s="1" t="str">
        <f t="shared" si="5"/>
        <v>vKIG4m88 F2</v>
      </c>
    </row>
    <row r="173" spans="1:5" x14ac:dyDescent="0.25">
      <c r="A173" s="1" t="s">
        <v>199</v>
      </c>
      <c r="B173" s="1" t="s">
        <v>27</v>
      </c>
      <c r="C173" s="1">
        <v>150</v>
      </c>
      <c r="D173" s="1" t="str">
        <f t="shared" si="4"/>
        <v>A</v>
      </c>
      <c r="E173" s="1" t="str">
        <f t="shared" si="5"/>
        <v>vKIG4o88 A150</v>
      </c>
    </row>
    <row r="174" spans="1:5" x14ac:dyDescent="0.25">
      <c r="A174" s="1" t="s">
        <v>200</v>
      </c>
      <c r="B174" s="1" t="s">
        <v>30</v>
      </c>
      <c r="C174" s="1">
        <v>4</v>
      </c>
      <c r="D174" s="1" t="str">
        <f t="shared" si="4"/>
        <v>F</v>
      </c>
      <c r="E174" s="1" t="str">
        <f t="shared" si="5"/>
        <v>vKTT1 F4</v>
      </c>
    </row>
    <row r="175" spans="1:5" x14ac:dyDescent="0.25">
      <c r="A175" s="1" t="s">
        <v>201</v>
      </c>
      <c r="B175" s="1" t="s">
        <v>30</v>
      </c>
      <c r="C175" s="1">
        <v>5</v>
      </c>
      <c r="D175" s="1" t="str">
        <f t="shared" si="4"/>
        <v>F</v>
      </c>
      <c r="E175" s="1" t="str">
        <f t="shared" si="5"/>
        <v>vKTT2 F5</v>
      </c>
    </row>
    <row r="176" spans="1:5" x14ac:dyDescent="0.25">
      <c r="A176" s="1" t="s">
        <v>202</v>
      </c>
      <c r="B176" s="1" t="s">
        <v>30</v>
      </c>
      <c r="C176" s="1">
        <v>2</v>
      </c>
      <c r="D176" s="1" t="str">
        <f t="shared" si="4"/>
        <v>F</v>
      </c>
      <c r="E176" s="1" t="str">
        <f t="shared" si="5"/>
        <v>vKTT3m01 F2</v>
      </c>
    </row>
    <row r="177" spans="1:5" x14ac:dyDescent="0.25">
      <c r="A177" s="1" t="s">
        <v>203</v>
      </c>
      <c r="B177" s="1" t="s">
        <v>30</v>
      </c>
      <c r="C177" s="1">
        <v>2</v>
      </c>
      <c r="D177" s="1" t="str">
        <f t="shared" si="4"/>
        <v>F</v>
      </c>
      <c r="E177" s="1" t="str">
        <f t="shared" si="5"/>
        <v>vKTT3m02 F2</v>
      </c>
    </row>
    <row r="178" spans="1:5" x14ac:dyDescent="0.25">
      <c r="A178" s="1" t="s">
        <v>204</v>
      </c>
      <c r="B178" s="1" t="s">
        <v>30</v>
      </c>
      <c r="C178" s="1">
        <v>2</v>
      </c>
      <c r="D178" s="1" t="str">
        <f t="shared" si="4"/>
        <v>F</v>
      </c>
      <c r="E178" s="1" t="str">
        <f t="shared" si="5"/>
        <v>vKTT3m03 F2</v>
      </c>
    </row>
    <row r="179" spans="1:5" x14ac:dyDescent="0.25">
      <c r="A179" s="1" t="s">
        <v>205</v>
      </c>
      <c r="B179" s="1" t="s">
        <v>30</v>
      </c>
      <c r="C179" s="1">
        <v>2</v>
      </c>
      <c r="D179" s="1" t="str">
        <f t="shared" si="4"/>
        <v>F</v>
      </c>
      <c r="E179" s="1" t="str">
        <f t="shared" si="5"/>
        <v>vKTT3m04 F2</v>
      </c>
    </row>
    <row r="180" spans="1:5" x14ac:dyDescent="0.25">
      <c r="A180" s="1" t="s">
        <v>206</v>
      </c>
      <c r="B180" s="1" t="s">
        <v>30</v>
      </c>
      <c r="C180" s="1">
        <v>2</v>
      </c>
      <c r="D180" s="1" t="str">
        <f t="shared" si="4"/>
        <v>F</v>
      </c>
      <c r="E180" s="1" t="str">
        <f t="shared" si="5"/>
        <v>vKTT3m05 F2</v>
      </c>
    </row>
    <row r="181" spans="1:5" x14ac:dyDescent="0.25">
      <c r="A181" s="1" t="s">
        <v>207</v>
      </c>
      <c r="B181" s="1" t="s">
        <v>30</v>
      </c>
      <c r="C181" s="1">
        <v>2</v>
      </c>
      <c r="D181" s="1" t="str">
        <f t="shared" si="4"/>
        <v>F</v>
      </c>
      <c r="E181" s="1" t="str">
        <f t="shared" si="5"/>
        <v>vKTT3m06 F2</v>
      </c>
    </row>
    <row r="182" spans="1:5" x14ac:dyDescent="0.25">
      <c r="A182" s="1" t="s">
        <v>208</v>
      </c>
      <c r="B182" s="1" t="s">
        <v>30</v>
      </c>
      <c r="C182" s="1">
        <v>2</v>
      </c>
      <c r="D182" s="1" t="str">
        <f t="shared" si="4"/>
        <v>F</v>
      </c>
      <c r="E182" s="1" t="str">
        <f t="shared" si="5"/>
        <v>vKTT3m07 F2</v>
      </c>
    </row>
    <row r="183" spans="1:5" x14ac:dyDescent="0.25">
      <c r="A183" s="1" t="s">
        <v>209</v>
      </c>
      <c r="B183" s="1" t="s">
        <v>30</v>
      </c>
      <c r="C183" s="1">
        <v>2</v>
      </c>
      <c r="D183" s="1" t="str">
        <f t="shared" si="4"/>
        <v>F</v>
      </c>
      <c r="E183" s="1" t="str">
        <f t="shared" si="5"/>
        <v>vKTT3m08 F2</v>
      </c>
    </row>
    <row r="184" spans="1:5" x14ac:dyDescent="0.25">
      <c r="A184" s="1" t="s">
        <v>210</v>
      </c>
      <c r="B184" s="1" t="s">
        <v>30</v>
      </c>
      <c r="C184" s="1">
        <v>2</v>
      </c>
      <c r="D184" s="1" t="str">
        <f t="shared" si="4"/>
        <v>F</v>
      </c>
      <c r="E184" s="1" t="str">
        <f t="shared" si="5"/>
        <v>vKTT3m09 F2</v>
      </c>
    </row>
    <row r="185" spans="1:5" x14ac:dyDescent="0.25">
      <c r="A185" s="1" t="s">
        <v>211</v>
      </c>
      <c r="B185" s="1" t="s">
        <v>30</v>
      </c>
      <c r="C185" s="1">
        <v>2</v>
      </c>
      <c r="D185" s="1" t="str">
        <f t="shared" si="4"/>
        <v>F</v>
      </c>
      <c r="E185" s="1" t="str">
        <f t="shared" si="5"/>
        <v>vKTT3m10 F2</v>
      </c>
    </row>
    <row r="186" spans="1:5" x14ac:dyDescent="0.25">
      <c r="A186" s="1" t="s">
        <v>212</v>
      </c>
      <c r="B186" s="1" t="s">
        <v>30</v>
      </c>
      <c r="C186" s="1">
        <v>2</v>
      </c>
      <c r="D186" s="1" t="str">
        <f t="shared" si="4"/>
        <v>F</v>
      </c>
      <c r="E186" s="1" t="str">
        <f t="shared" si="5"/>
        <v>vKTT3m11 F2</v>
      </c>
    </row>
    <row r="187" spans="1:5" x14ac:dyDescent="0.25">
      <c r="A187" s="1" t="s">
        <v>213</v>
      </c>
      <c r="B187" s="1" t="s">
        <v>30</v>
      </c>
      <c r="C187" s="1">
        <v>2</v>
      </c>
      <c r="D187" s="1" t="str">
        <f t="shared" si="4"/>
        <v>F</v>
      </c>
      <c r="E187" s="1" t="str">
        <f t="shared" si="5"/>
        <v>vKTT3m12 F2</v>
      </c>
    </row>
    <row r="188" spans="1:5" x14ac:dyDescent="0.25">
      <c r="A188" s="1" t="s">
        <v>214</v>
      </c>
      <c r="B188" s="1" t="s">
        <v>30</v>
      </c>
      <c r="C188" s="1">
        <v>2</v>
      </c>
      <c r="D188" s="1" t="str">
        <f t="shared" si="4"/>
        <v>F</v>
      </c>
      <c r="E188" s="1" t="str">
        <f t="shared" si="5"/>
        <v>vKTT3m13 F2</v>
      </c>
    </row>
    <row r="189" spans="1:5" x14ac:dyDescent="0.25">
      <c r="A189" s="1" t="s">
        <v>215</v>
      </c>
      <c r="B189" s="1" t="s">
        <v>30</v>
      </c>
      <c r="C189" s="1">
        <v>2</v>
      </c>
      <c r="D189" s="1" t="str">
        <f t="shared" si="4"/>
        <v>F</v>
      </c>
      <c r="E189" s="1" t="str">
        <f t="shared" si="5"/>
        <v>vKTT3m14 F2</v>
      </c>
    </row>
    <row r="190" spans="1:5" x14ac:dyDescent="0.25">
      <c r="A190" s="1" t="s">
        <v>216</v>
      </c>
      <c r="B190" s="1" t="s">
        <v>30</v>
      </c>
      <c r="C190" s="1">
        <v>2</v>
      </c>
      <c r="D190" s="1" t="str">
        <f t="shared" si="4"/>
        <v>F</v>
      </c>
      <c r="E190" s="1" t="str">
        <f t="shared" si="5"/>
        <v>vKTT3m15 F2</v>
      </c>
    </row>
    <row r="191" spans="1:5" x14ac:dyDescent="0.25">
      <c r="A191" s="1" t="s">
        <v>217</v>
      </c>
      <c r="B191" s="1" t="s">
        <v>30</v>
      </c>
      <c r="C191" s="1">
        <v>2</v>
      </c>
      <c r="D191" s="1" t="str">
        <f t="shared" si="4"/>
        <v>F</v>
      </c>
      <c r="E191" s="1" t="str">
        <f t="shared" si="5"/>
        <v>vKTT3m16 F2</v>
      </c>
    </row>
    <row r="192" spans="1:5" x14ac:dyDescent="0.25">
      <c r="A192" s="1" t="s">
        <v>218</v>
      </c>
      <c r="B192" s="1" t="s">
        <v>30</v>
      </c>
      <c r="C192" s="1">
        <v>2</v>
      </c>
      <c r="D192" s="1" t="str">
        <f t="shared" si="4"/>
        <v>F</v>
      </c>
      <c r="E192" s="1" t="str">
        <f t="shared" si="5"/>
        <v>vKTT3m88 F2</v>
      </c>
    </row>
    <row r="193" spans="1:5" x14ac:dyDescent="0.25">
      <c r="A193" s="1" t="s">
        <v>219</v>
      </c>
      <c r="B193" s="1" t="s">
        <v>27</v>
      </c>
      <c r="C193" s="1">
        <v>150</v>
      </c>
      <c r="D193" s="1" t="str">
        <f t="shared" si="4"/>
        <v>A</v>
      </c>
      <c r="E193" s="1" t="str">
        <f t="shared" si="5"/>
        <v>vKTT3o88 A150</v>
      </c>
    </row>
    <row r="194" spans="1:5" x14ac:dyDescent="0.25">
      <c r="A194" s="1" t="s">
        <v>220</v>
      </c>
      <c r="B194" s="1" t="s">
        <v>30</v>
      </c>
      <c r="C194" s="1">
        <v>2</v>
      </c>
      <c r="D194" s="1" t="str">
        <f t="shared" ref="D194:D257" si="6">IF(B194="數值","F","A")</f>
        <v>F</v>
      </c>
      <c r="E194" s="1" t="str">
        <f t="shared" ref="E194:E257" si="7">A194&amp;" "&amp;D194&amp;C194</f>
        <v>vKTT4m01 F2</v>
      </c>
    </row>
    <row r="195" spans="1:5" x14ac:dyDescent="0.25">
      <c r="A195" s="1" t="s">
        <v>221</v>
      </c>
      <c r="B195" s="1" t="s">
        <v>30</v>
      </c>
      <c r="C195" s="1">
        <v>2</v>
      </c>
      <c r="D195" s="1" t="str">
        <f t="shared" si="6"/>
        <v>F</v>
      </c>
      <c r="E195" s="1" t="str">
        <f t="shared" si="7"/>
        <v>vKTT4m02 F2</v>
      </c>
    </row>
    <row r="196" spans="1:5" x14ac:dyDescent="0.25">
      <c r="A196" s="1" t="s">
        <v>222</v>
      </c>
      <c r="B196" s="1" t="s">
        <v>30</v>
      </c>
      <c r="C196" s="1">
        <v>2</v>
      </c>
      <c r="D196" s="1" t="str">
        <f t="shared" si="6"/>
        <v>F</v>
      </c>
      <c r="E196" s="1" t="str">
        <f t="shared" si="7"/>
        <v>vKTT4m03 F2</v>
      </c>
    </row>
    <row r="197" spans="1:5" x14ac:dyDescent="0.25">
      <c r="A197" s="1" t="s">
        <v>223</v>
      </c>
      <c r="B197" s="1" t="s">
        <v>30</v>
      </c>
      <c r="C197" s="1">
        <v>2</v>
      </c>
      <c r="D197" s="1" t="str">
        <f t="shared" si="6"/>
        <v>F</v>
      </c>
      <c r="E197" s="1" t="str">
        <f t="shared" si="7"/>
        <v>vKTT4m04 F2</v>
      </c>
    </row>
    <row r="198" spans="1:5" x14ac:dyDescent="0.25">
      <c r="A198" s="1" t="s">
        <v>224</v>
      </c>
      <c r="B198" s="1" t="s">
        <v>30</v>
      </c>
      <c r="C198" s="1">
        <v>2</v>
      </c>
      <c r="D198" s="1" t="str">
        <f t="shared" si="6"/>
        <v>F</v>
      </c>
      <c r="E198" s="1" t="str">
        <f t="shared" si="7"/>
        <v>vKTT4m05 F2</v>
      </c>
    </row>
    <row r="199" spans="1:5" x14ac:dyDescent="0.25">
      <c r="A199" s="1" t="s">
        <v>225</v>
      </c>
      <c r="B199" s="1" t="s">
        <v>30</v>
      </c>
      <c r="C199" s="1">
        <v>2</v>
      </c>
      <c r="D199" s="1" t="str">
        <f t="shared" si="6"/>
        <v>F</v>
      </c>
      <c r="E199" s="1" t="str">
        <f t="shared" si="7"/>
        <v>vKTT4m06 F2</v>
      </c>
    </row>
    <row r="200" spans="1:5" x14ac:dyDescent="0.25">
      <c r="A200" s="1" t="s">
        <v>226</v>
      </c>
      <c r="B200" s="1" t="s">
        <v>30</v>
      </c>
      <c r="C200" s="1">
        <v>2</v>
      </c>
      <c r="D200" s="1" t="str">
        <f t="shared" si="6"/>
        <v>F</v>
      </c>
      <c r="E200" s="1" t="str">
        <f t="shared" si="7"/>
        <v>vKTT4m07 F2</v>
      </c>
    </row>
    <row r="201" spans="1:5" x14ac:dyDescent="0.25">
      <c r="A201" s="1" t="s">
        <v>227</v>
      </c>
      <c r="B201" s="1" t="s">
        <v>30</v>
      </c>
      <c r="C201" s="1">
        <v>2</v>
      </c>
      <c r="D201" s="1" t="str">
        <f t="shared" si="6"/>
        <v>F</v>
      </c>
      <c r="E201" s="1" t="str">
        <f t="shared" si="7"/>
        <v>vKTT4m08 F2</v>
      </c>
    </row>
    <row r="202" spans="1:5" x14ac:dyDescent="0.25">
      <c r="A202" s="1" t="s">
        <v>228</v>
      </c>
      <c r="B202" s="1" t="s">
        <v>30</v>
      </c>
      <c r="C202" s="1">
        <v>2</v>
      </c>
      <c r="D202" s="1" t="str">
        <f t="shared" si="6"/>
        <v>F</v>
      </c>
      <c r="E202" s="1" t="str">
        <f t="shared" si="7"/>
        <v>vKTT4m09 F2</v>
      </c>
    </row>
    <row r="203" spans="1:5" x14ac:dyDescent="0.25">
      <c r="A203" s="1" t="s">
        <v>229</v>
      </c>
      <c r="B203" s="1" t="s">
        <v>30</v>
      </c>
      <c r="C203" s="1">
        <v>2</v>
      </c>
      <c r="D203" s="1" t="str">
        <f t="shared" si="6"/>
        <v>F</v>
      </c>
      <c r="E203" s="1" t="str">
        <f t="shared" si="7"/>
        <v>vKTT4m10 F2</v>
      </c>
    </row>
    <row r="204" spans="1:5" x14ac:dyDescent="0.25">
      <c r="A204" s="1" t="s">
        <v>230</v>
      </c>
      <c r="B204" s="1" t="s">
        <v>30</v>
      </c>
      <c r="C204" s="1">
        <v>2</v>
      </c>
      <c r="D204" s="1" t="str">
        <f t="shared" si="6"/>
        <v>F</v>
      </c>
      <c r="E204" s="1" t="str">
        <f t="shared" si="7"/>
        <v>vKTT4m11 F2</v>
      </c>
    </row>
    <row r="205" spans="1:5" x14ac:dyDescent="0.25">
      <c r="A205" s="1" t="s">
        <v>231</v>
      </c>
      <c r="B205" s="1" t="s">
        <v>30</v>
      </c>
      <c r="C205" s="1">
        <v>2</v>
      </c>
      <c r="D205" s="1" t="str">
        <f t="shared" si="6"/>
        <v>F</v>
      </c>
      <c r="E205" s="1" t="str">
        <f t="shared" si="7"/>
        <v>vKTT4m12 F2</v>
      </c>
    </row>
    <row r="206" spans="1:5" x14ac:dyDescent="0.25">
      <c r="A206" s="1" t="s">
        <v>232</v>
      </c>
      <c r="B206" s="1" t="s">
        <v>30</v>
      </c>
      <c r="C206" s="1">
        <v>2</v>
      </c>
      <c r="D206" s="1" t="str">
        <f t="shared" si="6"/>
        <v>F</v>
      </c>
      <c r="E206" s="1" t="str">
        <f t="shared" si="7"/>
        <v>vKTT4m13 F2</v>
      </c>
    </row>
    <row r="207" spans="1:5" x14ac:dyDescent="0.25">
      <c r="A207" s="1" t="s">
        <v>233</v>
      </c>
      <c r="B207" s="1" t="s">
        <v>30</v>
      </c>
      <c r="C207" s="1">
        <v>2</v>
      </c>
      <c r="D207" s="1" t="str">
        <f t="shared" si="6"/>
        <v>F</v>
      </c>
      <c r="E207" s="1" t="str">
        <f t="shared" si="7"/>
        <v>vKTT4m14 F2</v>
      </c>
    </row>
    <row r="208" spans="1:5" x14ac:dyDescent="0.25">
      <c r="A208" s="1" t="s">
        <v>234</v>
      </c>
      <c r="B208" s="1" t="s">
        <v>30</v>
      </c>
      <c r="C208" s="1">
        <v>2</v>
      </c>
      <c r="D208" s="1" t="str">
        <f t="shared" si="6"/>
        <v>F</v>
      </c>
      <c r="E208" s="1" t="str">
        <f t="shared" si="7"/>
        <v>vKTT4m88 F2</v>
      </c>
    </row>
    <row r="209" spans="1:5" x14ac:dyDescent="0.25">
      <c r="A209" s="1" t="s">
        <v>235</v>
      </c>
      <c r="B209" s="1" t="s">
        <v>27</v>
      </c>
      <c r="C209" s="1">
        <v>150</v>
      </c>
      <c r="D209" s="1" t="str">
        <f t="shared" si="6"/>
        <v>A</v>
      </c>
      <c r="E209" s="1" t="str">
        <f t="shared" si="7"/>
        <v>vKTT4o88 A150</v>
      </c>
    </row>
    <row r="210" spans="1:5" x14ac:dyDescent="0.25">
      <c r="A210" s="1" t="s">
        <v>236</v>
      </c>
      <c r="B210" s="1" t="s">
        <v>30</v>
      </c>
      <c r="C210" s="1">
        <v>2</v>
      </c>
      <c r="D210" s="1" t="str">
        <f t="shared" si="6"/>
        <v>F</v>
      </c>
      <c r="E210" s="1" t="str">
        <f t="shared" si="7"/>
        <v>vKTT5m01 F2</v>
      </c>
    </row>
    <row r="211" spans="1:5" x14ac:dyDescent="0.25">
      <c r="A211" s="1" t="s">
        <v>237</v>
      </c>
      <c r="B211" s="1" t="s">
        <v>30</v>
      </c>
      <c r="C211" s="1">
        <v>2</v>
      </c>
      <c r="D211" s="1" t="str">
        <f t="shared" si="6"/>
        <v>F</v>
      </c>
      <c r="E211" s="1" t="str">
        <f t="shared" si="7"/>
        <v>vKTT5m02 F2</v>
      </c>
    </row>
    <row r="212" spans="1:5" x14ac:dyDescent="0.25">
      <c r="A212" s="1" t="s">
        <v>238</v>
      </c>
      <c r="B212" s="1" t="s">
        <v>30</v>
      </c>
      <c r="C212" s="1">
        <v>2</v>
      </c>
      <c r="D212" s="1" t="str">
        <f t="shared" si="6"/>
        <v>F</v>
      </c>
      <c r="E212" s="1" t="str">
        <f t="shared" si="7"/>
        <v>vKTT5m03 F2</v>
      </c>
    </row>
    <row r="213" spans="1:5" x14ac:dyDescent="0.25">
      <c r="A213" s="1" t="s">
        <v>239</v>
      </c>
      <c r="B213" s="1" t="s">
        <v>30</v>
      </c>
      <c r="C213" s="1">
        <v>2</v>
      </c>
      <c r="D213" s="1" t="str">
        <f t="shared" si="6"/>
        <v>F</v>
      </c>
      <c r="E213" s="1" t="str">
        <f t="shared" si="7"/>
        <v>vKTT5m04 F2</v>
      </c>
    </row>
    <row r="214" spans="1:5" x14ac:dyDescent="0.25">
      <c r="A214" s="1" t="s">
        <v>240</v>
      </c>
      <c r="B214" s="1" t="s">
        <v>30</v>
      </c>
      <c r="C214" s="1">
        <v>2</v>
      </c>
      <c r="D214" s="1" t="str">
        <f t="shared" si="6"/>
        <v>F</v>
      </c>
      <c r="E214" s="1" t="str">
        <f t="shared" si="7"/>
        <v>vKTT5m05 F2</v>
      </c>
    </row>
    <row r="215" spans="1:5" x14ac:dyDescent="0.25">
      <c r="A215" s="1" t="s">
        <v>241</v>
      </c>
      <c r="B215" s="1" t="s">
        <v>30</v>
      </c>
      <c r="C215" s="1">
        <v>2</v>
      </c>
      <c r="D215" s="1" t="str">
        <f t="shared" si="6"/>
        <v>F</v>
      </c>
      <c r="E215" s="1" t="str">
        <f t="shared" si="7"/>
        <v>vKTT5m06 F2</v>
      </c>
    </row>
    <row r="216" spans="1:5" x14ac:dyDescent="0.25">
      <c r="A216" s="1" t="s">
        <v>242</v>
      </c>
      <c r="B216" s="1" t="s">
        <v>30</v>
      </c>
      <c r="C216" s="1">
        <v>2</v>
      </c>
      <c r="D216" s="1" t="str">
        <f t="shared" si="6"/>
        <v>F</v>
      </c>
      <c r="E216" s="1" t="str">
        <f t="shared" si="7"/>
        <v>vKTT5m07 F2</v>
      </c>
    </row>
    <row r="217" spans="1:5" x14ac:dyDescent="0.25">
      <c r="A217" s="1" t="s">
        <v>243</v>
      </c>
      <c r="B217" s="1" t="s">
        <v>30</v>
      </c>
      <c r="C217" s="1">
        <v>2</v>
      </c>
      <c r="D217" s="1" t="str">
        <f t="shared" si="6"/>
        <v>F</v>
      </c>
      <c r="E217" s="1" t="str">
        <f t="shared" si="7"/>
        <v>vKTT5m08 F2</v>
      </c>
    </row>
    <row r="218" spans="1:5" x14ac:dyDescent="0.25">
      <c r="A218" s="1" t="s">
        <v>244</v>
      </c>
      <c r="B218" s="1" t="s">
        <v>30</v>
      </c>
      <c r="C218" s="1">
        <v>2</v>
      </c>
      <c r="D218" s="1" t="str">
        <f t="shared" si="6"/>
        <v>F</v>
      </c>
      <c r="E218" s="1" t="str">
        <f t="shared" si="7"/>
        <v>vKTT5m09 F2</v>
      </c>
    </row>
    <row r="219" spans="1:5" x14ac:dyDescent="0.25">
      <c r="A219" s="1" t="s">
        <v>245</v>
      </c>
      <c r="B219" s="1" t="s">
        <v>30</v>
      </c>
      <c r="C219" s="1">
        <v>2</v>
      </c>
      <c r="D219" s="1" t="str">
        <f t="shared" si="6"/>
        <v>F</v>
      </c>
      <c r="E219" s="1" t="str">
        <f t="shared" si="7"/>
        <v>vKTT5m10 F2</v>
      </c>
    </row>
    <row r="220" spans="1:5" x14ac:dyDescent="0.25">
      <c r="A220" s="1" t="s">
        <v>246</v>
      </c>
      <c r="B220" s="1" t="s">
        <v>30</v>
      </c>
      <c r="C220" s="1">
        <v>2</v>
      </c>
      <c r="D220" s="1" t="str">
        <f t="shared" si="6"/>
        <v>F</v>
      </c>
      <c r="E220" s="1" t="str">
        <f t="shared" si="7"/>
        <v>vKTT5m11 F2</v>
      </c>
    </row>
    <row r="221" spans="1:5" x14ac:dyDescent="0.25">
      <c r="A221" s="1" t="s">
        <v>247</v>
      </c>
      <c r="B221" s="1" t="s">
        <v>30</v>
      </c>
      <c r="C221" s="1">
        <v>2</v>
      </c>
      <c r="D221" s="1" t="str">
        <f t="shared" si="6"/>
        <v>F</v>
      </c>
      <c r="E221" s="1" t="str">
        <f t="shared" si="7"/>
        <v>vKTT5m12 F2</v>
      </c>
    </row>
    <row r="222" spans="1:5" x14ac:dyDescent="0.25">
      <c r="A222" s="1" t="s">
        <v>248</v>
      </c>
      <c r="B222" s="1" t="s">
        <v>30</v>
      </c>
      <c r="C222" s="1">
        <v>2</v>
      </c>
      <c r="D222" s="1" t="str">
        <f t="shared" si="6"/>
        <v>F</v>
      </c>
      <c r="E222" s="1" t="str">
        <f t="shared" si="7"/>
        <v>vKTT5m88 F2</v>
      </c>
    </row>
    <row r="223" spans="1:5" x14ac:dyDescent="0.25">
      <c r="A223" s="1" t="s">
        <v>249</v>
      </c>
      <c r="B223" s="1" t="s">
        <v>27</v>
      </c>
      <c r="C223" s="1">
        <v>150</v>
      </c>
      <c r="D223" s="1" t="str">
        <f t="shared" si="6"/>
        <v>A</v>
      </c>
      <c r="E223" s="1" t="str">
        <f t="shared" si="7"/>
        <v>vKTT5o88 A150</v>
      </c>
    </row>
    <row r="224" spans="1:5" x14ac:dyDescent="0.25">
      <c r="A224" s="1" t="s">
        <v>250</v>
      </c>
      <c r="B224" s="1" t="s">
        <v>30</v>
      </c>
      <c r="C224" s="1">
        <v>4</v>
      </c>
      <c r="D224" s="1" t="str">
        <f t="shared" si="6"/>
        <v>F</v>
      </c>
      <c r="E224" s="1" t="str">
        <f t="shared" si="7"/>
        <v>vP5_1 F4</v>
      </c>
    </row>
    <row r="225" spans="1:5" x14ac:dyDescent="0.25">
      <c r="A225" s="1" t="s">
        <v>251</v>
      </c>
      <c r="B225" s="1" t="s">
        <v>30</v>
      </c>
      <c r="C225" s="1">
        <v>5</v>
      </c>
      <c r="D225" s="1" t="str">
        <f t="shared" si="6"/>
        <v>F</v>
      </c>
      <c r="E225" s="1" t="str">
        <f t="shared" si="7"/>
        <v>vP5_2 F5</v>
      </c>
    </row>
    <row r="226" spans="1:5" x14ac:dyDescent="0.25">
      <c r="A226" s="1" t="s">
        <v>252</v>
      </c>
      <c r="B226" s="1" t="s">
        <v>30</v>
      </c>
      <c r="C226" s="1">
        <v>2</v>
      </c>
      <c r="D226" s="1" t="str">
        <f t="shared" si="6"/>
        <v>F</v>
      </c>
      <c r="E226" s="1" t="str">
        <f t="shared" si="7"/>
        <v>vK3m01 F2</v>
      </c>
    </row>
    <row r="227" spans="1:5" x14ac:dyDescent="0.25">
      <c r="A227" s="1" t="s">
        <v>253</v>
      </c>
      <c r="B227" s="1" t="s">
        <v>30</v>
      </c>
      <c r="C227" s="1">
        <v>2</v>
      </c>
      <c r="D227" s="1" t="str">
        <f t="shared" si="6"/>
        <v>F</v>
      </c>
      <c r="E227" s="1" t="str">
        <f t="shared" si="7"/>
        <v>vK3m02 F2</v>
      </c>
    </row>
    <row r="228" spans="1:5" x14ac:dyDescent="0.25">
      <c r="A228" s="1" t="s">
        <v>254</v>
      </c>
      <c r="B228" s="1" t="s">
        <v>30</v>
      </c>
      <c r="C228" s="1">
        <v>2</v>
      </c>
      <c r="D228" s="1" t="str">
        <f t="shared" si="6"/>
        <v>F</v>
      </c>
      <c r="E228" s="1" t="str">
        <f t="shared" si="7"/>
        <v>vK3m03 F2</v>
      </c>
    </row>
    <row r="229" spans="1:5" x14ac:dyDescent="0.25">
      <c r="A229" s="1" t="s">
        <v>255</v>
      </c>
      <c r="B229" s="1" t="s">
        <v>30</v>
      </c>
      <c r="C229" s="1">
        <v>2</v>
      </c>
      <c r="D229" s="1" t="str">
        <f t="shared" si="6"/>
        <v>F</v>
      </c>
      <c r="E229" s="1" t="str">
        <f t="shared" si="7"/>
        <v>vK3m04 F2</v>
      </c>
    </row>
    <row r="230" spans="1:5" x14ac:dyDescent="0.25">
      <c r="A230" s="1" t="s">
        <v>256</v>
      </c>
      <c r="B230" s="1" t="s">
        <v>30</v>
      </c>
      <c r="C230" s="1">
        <v>2</v>
      </c>
      <c r="D230" s="1" t="str">
        <f t="shared" si="6"/>
        <v>F</v>
      </c>
      <c r="E230" s="1" t="str">
        <f t="shared" si="7"/>
        <v>vK3m05 F2</v>
      </c>
    </row>
    <row r="231" spans="1:5" x14ac:dyDescent="0.25">
      <c r="A231" s="1" t="s">
        <v>257</v>
      </c>
      <c r="B231" s="1" t="s">
        <v>30</v>
      </c>
      <c r="C231" s="1">
        <v>2</v>
      </c>
      <c r="D231" s="1" t="str">
        <f t="shared" si="6"/>
        <v>F</v>
      </c>
      <c r="E231" s="1" t="str">
        <f t="shared" si="7"/>
        <v>vK3m06 F2</v>
      </c>
    </row>
    <row r="232" spans="1:5" x14ac:dyDescent="0.25">
      <c r="A232" s="1" t="s">
        <v>258</v>
      </c>
      <c r="B232" s="1" t="s">
        <v>30</v>
      </c>
      <c r="C232" s="1">
        <v>2</v>
      </c>
      <c r="D232" s="1" t="str">
        <f t="shared" si="6"/>
        <v>F</v>
      </c>
      <c r="E232" s="1" t="str">
        <f t="shared" si="7"/>
        <v>vK3m07 F2</v>
      </c>
    </row>
    <row r="233" spans="1:5" x14ac:dyDescent="0.25">
      <c r="A233" s="1" t="s">
        <v>259</v>
      </c>
      <c r="B233" s="1" t="s">
        <v>30</v>
      </c>
      <c r="C233" s="1">
        <v>2</v>
      </c>
      <c r="D233" s="1" t="str">
        <f t="shared" si="6"/>
        <v>F</v>
      </c>
      <c r="E233" s="1" t="str">
        <f t="shared" si="7"/>
        <v>vK3m08 F2</v>
      </c>
    </row>
    <row r="234" spans="1:5" x14ac:dyDescent="0.25">
      <c r="A234" s="1" t="s">
        <v>260</v>
      </c>
      <c r="B234" s="1" t="s">
        <v>30</v>
      </c>
      <c r="C234" s="1">
        <v>2</v>
      </c>
      <c r="D234" s="1" t="str">
        <f t="shared" si="6"/>
        <v>F</v>
      </c>
      <c r="E234" s="1" t="str">
        <f t="shared" si="7"/>
        <v>vK3m09 F2</v>
      </c>
    </row>
    <row r="235" spans="1:5" x14ac:dyDescent="0.25">
      <c r="A235" s="1" t="s">
        <v>261</v>
      </c>
      <c r="B235" s="1" t="s">
        <v>30</v>
      </c>
      <c r="C235" s="1">
        <v>2</v>
      </c>
      <c r="D235" s="1" t="str">
        <f t="shared" si="6"/>
        <v>F</v>
      </c>
      <c r="E235" s="1" t="str">
        <f t="shared" si="7"/>
        <v>vK3m88 F2</v>
      </c>
    </row>
    <row r="236" spans="1:5" x14ac:dyDescent="0.25">
      <c r="A236" s="1" t="s">
        <v>262</v>
      </c>
      <c r="B236" s="1" t="s">
        <v>30</v>
      </c>
      <c r="C236" s="1">
        <v>2</v>
      </c>
      <c r="D236" s="1" t="str">
        <f t="shared" si="6"/>
        <v>F</v>
      </c>
      <c r="E236" s="1" t="str">
        <f t="shared" si="7"/>
        <v>vK3m90 F2</v>
      </c>
    </row>
    <row r="237" spans="1:5" x14ac:dyDescent="0.25">
      <c r="A237" s="1" t="s">
        <v>263</v>
      </c>
      <c r="B237" s="1" t="s">
        <v>27</v>
      </c>
      <c r="C237" s="1">
        <v>150</v>
      </c>
      <c r="D237" s="1" t="str">
        <f t="shared" si="6"/>
        <v>A</v>
      </c>
      <c r="E237" s="1" t="str">
        <f t="shared" si="7"/>
        <v>vK3o88 A150</v>
      </c>
    </row>
    <row r="238" spans="1:5" x14ac:dyDescent="0.25">
      <c r="A238" s="1" t="s">
        <v>264</v>
      </c>
      <c r="B238" s="1" t="s">
        <v>30</v>
      </c>
      <c r="C238" s="1">
        <v>2</v>
      </c>
      <c r="D238" s="1" t="str">
        <f t="shared" si="6"/>
        <v>F</v>
      </c>
      <c r="E238" s="1" t="str">
        <f t="shared" si="7"/>
        <v>vE18 F2</v>
      </c>
    </row>
    <row r="239" spans="1:5" x14ac:dyDescent="0.25">
      <c r="A239" s="1" t="s">
        <v>265</v>
      </c>
      <c r="B239" s="1" t="s">
        <v>27</v>
      </c>
      <c r="C239" s="1">
        <v>150</v>
      </c>
      <c r="D239" s="1" t="str">
        <f t="shared" si="6"/>
        <v>A</v>
      </c>
      <c r="E239" s="1" t="str">
        <f t="shared" si="7"/>
        <v>vE18o88 A150</v>
      </c>
    </row>
    <row r="240" spans="1:5" x14ac:dyDescent="0.25">
      <c r="A240" s="1" t="s">
        <v>266</v>
      </c>
      <c r="B240" s="1" t="s">
        <v>30</v>
      </c>
      <c r="C240" s="1">
        <v>4</v>
      </c>
      <c r="D240" s="1" t="str">
        <f t="shared" si="6"/>
        <v>F</v>
      </c>
      <c r="E240" s="1" t="str">
        <f t="shared" si="7"/>
        <v>vKYT1 F4</v>
      </c>
    </row>
    <row r="241" spans="1:5" x14ac:dyDescent="0.25">
      <c r="A241" s="1" t="s">
        <v>267</v>
      </c>
      <c r="B241" s="1" t="s">
        <v>30</v>
      </c>
      <c r="C241" s="1">
        <v>5</v>
      </c>
      <c r="D241" s="1" t="str">
        <f t="shared" si="6"/>
        <v>F</v>
      </c>
      <c r="E241" s="1" t="str">
        <f t="shared" si="7"/>
        <v>vKYT2 F5</v>
      </c>
    </row>
    <row r="242" spans="1:5" x14ac:dyDescent="0.25">
      <c r="A242" s="1" t="s">
        <v>268</v>
      </c>
      <c r="B242" s="1" t="s">
        <v>30</v>
      </c>
      <c r="C242" s="1">
        <v>2</v>
      </c>
      <c r="D242" s="1" t="str">
        <f t="shared" si="6"/>
        <v>F</v>
      </c>
      <c r="E242" s="1" t="str">
        <f t="shared" si="7"/>
        <v>vE1 F2</v>
      </c>
    </row>
    <row r="243" spans="1:5" x14ac:dyDescent="0.25">
      <c r="A243" s="1" t="s">
        <v>269</v>
      </c>
      <c r="B243" s="1" t="s">
        <v>30</v>
      </c>
      <c r="C243" s="1">
        <v>2</v>
      </c>
      <c r="D243" s="1" t="str">
        <f t="shared" si="6"/>
        <v>F</v>
      </c>
      <c r="E243" s="1" t="str">
        <f t="shared" si="7"/>
        <v>vE2m01 F2</v>
      </c>
    </row>
    <row r="244" spans="1:5" x14ac:dyDescent="0.25">
      <c r="A244" s="1" t="s">
        <v>270</v>
      </c>
      <c r="B244" s="1" t="s">
        <v>30</v>
      </c>
      <c r="C244" s="1">
        <v>2</v>
      </c>
      <c r="D244" s="1" t="str">
        <f t="shared" si="6"/>
        <v>F</v>
      </c>
      <c r="E244" s="1" t="str">
        <f t="shared" si="7"/>
        <v>vE2m02 F2</v>
      </c>
    </row>
    <row r="245" spans="1:5" x14ac:dyDescent="0.25">
      <c r="A245" s="1" t="s">
        <v>271</v>
      </c>
      <c r="B245" s="1" t="s">
        <v>30</v>
      </c>
      <c r="C245" s="1">
        <v>2</v>
      </c>
      <c r="D245" s="1" t="str">
        <f t="shared" si="6"/>
        <v>F</v>
      </c>
      <c r="E245" s="1" t="str">
        <f t="shared" si="7"/>
        <v>vE2m03 F2</v>
      </c>
    </row>
    <row r="246" spans="1:5" x14ac:dyDescent="0.25">
      <c r="A246" s="1" t="s">
        <v>272</v>
      </c>
      <c r="B246" s="1" t="s">
        <v>30</v>
      </c>
      <c r="C246" s="1">
        <v>2</v>
      </c>
      <c r="D246" s="1" t="str">
        <f t="shared" si="6"/>
        <v>F</v>
      </c>
      <c r="E246" s="1" t="str">
        <f t="shared" si="7"/>
        <v>vE2m04 F2</v>
      </c>
    </row>
    <row r="247" spans="1:5" x14ac:dyDescent="0.25">
      <c r="A247" s="1" t="s">
        <v>273</v>
      </c>
      <c r="B247" s="1" t="s">
        <v>30</v>
      </c>
      <c r="C247" s="1">
        <v>2</v>
      </c>
      <c r="D247" s="1" t="str">
        <f t="shared" si="6"/>
        <v>F</v>
      </c>
      <c r="E247" s="1" t="str">
        <f t="shared" si="7"/>
        <v>vE2m88 F2</v>
      </c>
    </row>
    <row r="248" spans="1:5" x14ac:dyDescent="0.25">
      <c r="A248" s="1" t="s">
        <v>274</v>
      </c>
      <c r="B248" s="1" t="s">
        <v>27</v>
      </c>
      <c r="C248" s="1">
        <v>150</v>
      </c>
      <c r="D248" s="1" t="str">
        <f t="shared" si="6"/>
        <v>A</v>
      </c>
      <c r="E248" s="1" t="str">
        <f t="shared" si="7"/>
        <v>vE2o88 A150</v>
      </c>
    </row>
    <row r="249" spans="1:5" x14ac:dyDescent="0.25">
      <c r="A249" s="1" t="s">
        <v>275</v>
      </c>
      <c r="B249" s="1" t="s">
        <v>30</v>
      </c>
      <c r="C249" s="1">
        <v>4</v>
      </c>
      <c r="D249" s="1" t="str">
        <f t="shared" si="6"/>
        <v>F</v>
      </c>
      <c r="E249" s="1" t="str">
        <f t="shared" si="7"/>
        <v>vE4 F4</v>
      </c>
    </row>
    <row r="250" spans="1:5" x14ac:dyDescent="0.25">
      <c r="A250" s="1" t="s">
        <v>276</v>
      </c>
      <c r="B250" s="1" t="s">
        <v>30</v>
      </c>
      <c r="C250" s="1">
        <v>2</v>
      </c>
      <c r="D250" s="1" t="str">
        <f t="shared" si="6"/>
        <v>F</v>
      </c>
      <c r="E250" s="1" t="str">
        <f t="shared" si="7"/>
        <v>vCKE4 F2</v>
      </c>
    </row>
    <row r="251" spans="1:5" x14ac:dyDescent="0.25">
      <c r="A251" s="1" t="s">
        <v>277</v>
      </c>
      <c r="B251" s="1" t="s">
        <v>30</v>
      </c>
      <c r="C251" s="1">
        <v>5</v>
      </c>
      <c r="D251" s="1" t="str">
        <f t="shared" si="6"/>
        <v>F</v>
      </c>
      <c r="E251" s="1" t="str">
        <f t="shared" si="7"/>
        <v>vE5 F5</v>
      </c>
    </row>
    <row r="252" spans="1:5" x14ac:dyDescent="0.25">
      <c r="A252" s="1" t="s">
        <v>278</v>
      </c>
      <c r="B252" s="1" t="s">
        <v>30</v>
      </c>
      <c r="C252" s="1">
        <v>5</v>
      </c>
      <c r="D252" s="1" t="str">
        <f t="shared" si="6"/>
        <v>F</v>
      </c>
      <c r="E252" s="1" t="str">
        <f t="shared" si="7"/>
        <v>vE6 F5</v>
      </c>
    </row>
    <row r="253" spans="1:5" x14ac:dyDescent="0.25">
      <c r="A253" s="1" t="s">
        <v>279</v>
      </c>
      <c r="B253" s="1" t="s">
        <v>30</v>
      </c>
      <c r="C253" s="1">
        <v>2</v>
      </c>
      <c r="D253" s="1" t="str">
        <f t="shared" si="6"/>
        <v>F</v>
      </c>
      <c r="E253" s="1" t="str">
        <f t="shared" si="7"/>
        <v>vCKE5 F2</v>
      </c>
    </row>
    <row r="254" spans="1:5" x14ac:dyDescent="0.25">
      <c r="A254" s="1" t="s">
        <v>280</v>
      </c>
      <c r="B254" s="1" t="s">
        <v>30</v>
      </c>
      <c r="C254" s="1">
        <v>4</v>
      </c>
      <c r="D254" s="1" t="str">
        <f t="shared" si="6"/>
        <v>F</v>
      </c>
      <c r="E254" s="1" t="str">
        <f t="shared" si="7"/>
        <v>vE7 F4</v>
      </c>
    </row>
    <row r="255" spans="1:5" x14ac:dyDescent="0.25">
      <c r="A255" s="1" t="s">
        <v>281</v>
      </c>
      <c r="B255" s="1" t="s">
        <v>30</v>
      </c>
      <c r="C255" s="1">
        <v>5</v>
      </c>
      <c r="D255" s="1" t="str">
        <f t="shared" si="6"/>
        <v>F</v>
      </c>
      <c r="E255" s="1" t="str">
        <f t="shared" si="7"/>
        <v>vE8 F5</v>
      </c>
    </row>
    <row r="256" spans="1:5" x14ac:dyDescent="0.25">
      <c r="A256" s="1" t="s">
        <v>282</v>
      </c>
      <c r="B256" s="1" t="s">
        <v>30</v>
      </c>
      <c r="C256" s="1">
        <v>5</v>
      </c>
      <c r="D256" s="1" t="str">
        <f t="shared" si="6"/>
        <v>F</v>
      </c>
      <c r="E256" s="1" t="str">
        <f t="shared" si="7"/>
        <v>vE9 F5</v>
      </c>
    </row>
    <row r="257" spans="1:5" x14ac:dyDescent="0.25">
      <c r="A257" s="1" t="s">
        <v>283</v>
      </c>
      <c r="B257" s="1" t="s">
        <v>30</v>
      </c>
      <c r="C257" s="1">
        <v>2</v>
      </c>
      <c r="D257" s="1" t="str">
        <f t="shared" si="6"/>
        <v>F</v>
      </c>
      <c r="E257" s="1" t="str">
        <f t="shared" si="7"/>
        <v>vCKE8 F2</v>
      </c>
    </row>
    <row r="258" spans="1:5" x14ac:dyDescent="0.25">
      <c r="A258" s="1" t="s">
        <v>284</v>
      </c>
      <c r="B258" s="1" t="s">
        <v>30</v>
      </c>
      <c r="C258" s="1">
        <v>4</v>
      </c>
      <c r="D258" s="1" t="str">
        <f t="shared" ref="D258:D321" si="8">IF(B258="數值","F","A")</f>
        <v>F</v>
      </c>
      <c r="E258" s="1" t="str">
        <f t="shared" ref="E258:E321" si="9">A258&amp;" "&amp;D258&amp;C258</f>
        <v>vE10 F4</v>
      </c>
    </row>
    <row r="259" spans="1:5" x14ac:dyDescent="0.25">
      <c r="A259" s="1" t="s">
        <v>285</v>
      </c>
      <c r="B259" s="1" t="s">
        <v>30</v>
      </c>
      <c r="C259" s="1">
        <v>5</v>
      </c>
      <c r="D259" s="1" t="str">
        <f t="shared" si="8"/>
        <v>F</v>
      </c>
      <c r="E259" s="1" t="str">
        <f t="shared" si="9"/>
        <v>vE11 F5</v>
      </c>
    </row>
    <row r="260" spans="1:5" x14ac:dyDescent="0.25">
      <c r="A260" s="1" t="s">
        <v>286</v>
      </c>
      <c r="B260" s="1" t="s">
        <v>30</v>
      </c>
      <c r="C260" s="1">
        <v>5</v>
      </c>
      <c r="D260" s="1" t="str">
        <f t="shared" si="8"/>
        <v>F</v>
      </c>
      <c r="E260" s="1" t="str">
        <f t="shared" si="9"/>
        <v>vE12 F5</v>
      </c>
    </row>
    <row r="261" spans="1:5" x14ac:dyDescent="0.25">
      <c r="A261" s="1" t="s">
        <v>287</v>
      </c>
      <c r="B261" s="1" t="s">
        <v>30</v>
      </c>
      <c r="C261" s="1">
        <v>2</v>
      </c>
      <c r="D261" s="1" t="str">
        <f t="shared" si="8"/>
        <v>F</v>
      </c>
      <c r="E261" s="1" t="str">
        <f t="shared" si="9"/>
        <v>vCKE11 F2</v>
      </c>
    </row>
    <row r="262" spans="1:5" x14ac:dyDescent="0.25">
      <c r="A262" s="1" t="s">
        <v>288</v>
      </c>
      <c r="B262" s="1" t="s">
        <v>27</v>
      </c>
      <c r="C262" s="1">
        <v>6000</v>
      </c>
      <c r="D262" s="1" t="str">
        <f t="shared" si="8"/>
        <v>A</v>
      </c>
      <c r="E262" s="1" t="str">
        <f t="shared" si="9"/>
        <v>vE3_1 A6000</v>
      </c>
    </row>
    <row r="263" spans="1:5" x14ac:dyDescent="0.25">
      <c r="A263" s="1" t="s">
        <v>289</v>
      </c>
      <c r="B263" s="1" t="s">
        <v>30</v>
      </c>
      <c r="C263" s="1">
        <v>5</v>
      </c>
      <c r="D263" s="1" t="str">
        <f t="shared" si="8"/>
        <v>F</v>
      </c>
      <c r="E263" s="1" t="str">
        <f t="shared" si="9"/>
        <v>vE3 F5</v>
      </c>
    </row>
    <row r="264" spans="1:5" x14ac:dyDescent="0.25">
      <c r="A264" s="1" t="s">
        <v>290</v>
      </c>
      <c r="B264" s="1" t="s">
        <v>30</v>
      </c>
      <c r="C264" s="1">
        <v>2</v>
      </c>
      <c r="D264" s="1" t="str">
        <f t="shared" si="8"/>
        <v>F</v>
      </c>
      <c r="E264" s="1" t="str">
        <f t="shared" si="9"/>
        <v>vE13m01 F2</v>
      </c>
    </row>
    <row r="265" spans="1:5" x14ac:dyDescent="0.25">
      <c r="A265" s="1" t="s">
        <v>291</v>
      </c>
      <c r="B265" s="1" t="s">
        <v>30</v>
      </c>
      <c r="C265" s="1">
        <v>2</v>
      </c>
      <c r="D265" s="1" t="str">
        <f t="shared" si="8"/>
        <v>F</v>
      </c>
      <c r="E265" s="1" t="str">
        <f t="shared" si="9"/>
        <v>vE13m02 F2</v>
      </c>
    </row>
    <row r="266" spans="1:5" x14ac:dyDescent="0.25">
      <c r="A266" s="1" t="s">
        <v>292</v>
      </c>
      <c r="B266" s="1" t="s">
        <v>30</v>
      </c>
      <c r="C266" s="1">
        <v>2</v>
      </c>
      <c r="D266" s="1" t="str">
        <f t="shared" si="8"/>
        <v>F</v>
      </c>
      <c r="E266" s="1" t="str">
        <f t="shared" si="9"/>
        <v>vE13m03 F2</v>
      </c>
    </row>
    <row r="267" spans="1:5" x14ac:dyDescent="0.25">
      <c r="A267" s="1" t="s">
        <v>293</v>
      </c>
      <c r="B267" s="1" t="s">
        <v>30</v>
      </c>
      <c r="C267" s="1">
        <v>2</v>
      </c>
      <c r="D267" s="1" t="str">
        <f t="shared" si="8"/>
        <v>F</v>
      </c>
      <c r="E267" s="1" t="str">
        <f t="shared" si="9"/>
        <v>vE13m04 F2</v>
      </c>
    </row>
    <row r="268" spans="1:5" x14ac:dyDescent="0.25">
      <c r="A268" s="1" t="s">
        <v>294</v>
      </c>
      <c r="B268" s="1" t="s">
        <v>30</v>
      </c>
      <c r="C268" s="1">
        <v>2</v>
      </c>
      <c r="D268" s="1" t="str">
        <f t="shared" si="8"/>
        <v>F</v>
      </c>
      <c r="E268" s="1" t="str">
        <f t="shared" si="9"/>
        <v>vE13m05 F2</v>
      </c>
    </row>
    <row r="269" spans="1:5" x14ac:dyDescent="0.25">
      <c r="A269" s="1" t="s">
        <v>295</v>
      </c>
      <c r="B269" s="1" t="s">
        <v>30</v>
      </c>
      <c r="C269" s="1">
        <v>2</v>
      </c>
      <c r="D269" s="1" t="str">
        <f t="shared" si="8"/>
        <v>F</v>
      </c>
      <c r="E269" s="1" t="str">
        <f t="shared" si="9"/>
        <v>vE13m06 F2</v>
      </c>
    </row>
    <row r="270" spans="1:5" x14ac:dyDescent="0.25">
      <c r="A270" s="1" t="s">
        <v>296</v>
      </c>
      <c r="B270" s="1" t="s">
        <v>30</v>
      </c>
      <c r="C270" s="1">
        <v>2</v>
      </c>
      <c r="D270" s="1" t="str">
        <f t="shared" si="8"/>
        <v>F</v>
      </c>
      <c r="E270" s="1" t="str">
        <f t="shared" si="9"/>
        <v>vE13m88 F2</v>
      </c>
    </row>
    <row r="271" spans="1:5" x14ac:dyDescent="0.25">
      <c r="A271" s="1" t="s">
        <v>297</v>
      </c>
      <c r="B271" s="1" t="s">
        <v>27</v>
      </c>
      <c r="C271" s="1">
        <v>150</v>
      </c>
      <c r="D271" s="1" t="str">
        <f t="shared" si="8"/>
        <v>A</v>
      </c>
      <c r="E271" s="1" t="str">
        <f t="shared" si="9"/>
        <v>vE13o88 A150</v>
      </c>
    </row>
    <row r="272" spans="1:5" x14ac:dyDescent="0.25">
      <c r="A272" s="1" t="s">
        <v>298</v>
      </c>
      <c r="B272" s="1" t="s">
        <v>30</v>
      </c>
      <c r="C272" s="1">
        <v>7</v>
      </c>
      <c r="D272" s="1" t="str">
        <f t="shared" si="8"/>
        <v>F</v>
      </c>
      <c r="E272" s="1" t="str">
        <f t="shared" si="9"/>
        <v>vE14 F7</v>
      </c>
    </row>
    <row r="273" spans="1:5" x14ac:dyDescent="0.25">
      <c r="A273" s="1" t="s">
        <v>299</v>
      </c>
      <c r="B273" s="1" t="s">
        <v>30</v>
      </c>
      <c r="C273" s="1">
        <v>2</v>
      </c>
      <c r="D273" s="1" t="str">
        <f t="shared" si="8"/>
        <v>F</v>
      </c>
      <c r="E273" s="1" t="str">
        <f t="shared" si="9"/>
        <v>vG7m01 F2</v>
      </c>
    </row>
    <row r="274" spans="1:5" x14ac:dyDescent="0.25">
      <c r="A274" s="1" t="s">
        <v>300</v>
      </c>
      <c r="B274" s="1" t="s">
        <v>30</v>
      </c>
      <c r="C274" s="1">
        <v>2</v>
      </c>
      <c r="D274" s="1" t="str">
        <f t="shared" si="8"/>
        <v>F</v>
      </c>
      <c r="E274" s="1" t="str">
        <f t="shared" si="9"/>
        <v>vG7m02 F2</v>
      </c>
    </row>
    <row r="275" spans="1:5" x14ac:dyDescent="0.25">
      <c r="A275" s="1" t="s">
        <v>301</v>
      </c>
      <c r="B275" s="1" t="s">
        <v>30</v>
      </c>
      <c r="C275" s="1">
        <v>2</v>
      </c>
      <c r="D275" s="1" t="str">
        <f t="shared" si="8"/>
        <v>F</v>
      </c>
      <c r="E275" s="1" t="str">
        <f t="shared" si="9"/>
        <v>vG7m03 F2</v>
      </c>
    </row>
    <row r="276" spans="1:5" x14ac:dyDescent="0.25">
      <c r="A276" s="1" t="s">
        <v>302</v>
      </c>
      <c r="B276" s="1" t="s">
        <v>30</v>
      </c>
      <c r="C276" s="1">
        <v>2</v>
      </c>
      <c r="D276" s="1" t="str">
        <f t="shared" si="8"/>
        <v>F</v>
      </c>
      <c r="E276" s="1" t="str">
        <f t="shared" si="9"/>
        <v>vG7m04 F2</v>
      </c>
    </row>
    <row r="277" spans="1:5" x14ac:dyDescent="0.25">
      <c r="A277" s="1" t="s">
        <v>303</v>
      </c>
      <c r="B277" s="1" t="s">
        <v>30</v>
      </c>
      <c r="C277" s="1">
        <v>2</v>
      </c>
      <c r="D277" s="1" t="str">
        <f t="shared" si="8"/>
        <v>F</v>
      </c>
      <c r="E277" s="1" t="str">
        <f t="shared" si="9"/>
        <v>vG7m05 F2</v>
      </c>
    </row>
    <row r="278" spans="1:5" x14ac:dyDescent="0.25">
      <c r="A278" s="1" t="s">
        <v>304</v>
      </c>
      <c r="B278" s="1" t="s">
        <v>30</v>
      </c>
      <c r="C278" s="1">
        <v>2</v>
      </c>
      <c r="D278" s="1" t="str">
        <f t="shared" si="8"/>
        <v>F</v>
      </c>
      <c r="E278" s="1" t="str">
        <f t="shared" si="9"/>
        <v>vG7m06 F2</v>
      </c>
    </row>
    <row r="279" spans="1:5" x14ac:dyDescent="0.25">
      <c r="A279" s="1" t="s">
        <v>305</v>
      </c>
      <c r="B279" s="1" t="s">
        <v>30</v>
      </c>
      <c r="C279" s="1">
        <v>2</v>
      </c>
      <c r="D279" s="1" t="str">
        <f t="shared" si="8"/>
        <v>F</v>
      </c>
      <c r="E279" s="1" t="str">
        <f t="shared" si="9"/>
        <v>vG7m07 F2</v>
      </c>
    </row>
    <row r="280" spans="1:5" x14ac:dyDescent="0.25">
      <c r="A280" s="1" t="s">
        <v>306</v>
      </c>
      <c r="B280" s="1" t="s">
        <v>30</v>
      </c>
      <c r="C280" s="1">
        <v>2</v>
      </c>
      <c r="D280" s="1" t="str">
        <f t="shared" si="8"/>
        <v>F</v>
      </c>
      <c r="E280" s="1" t="str">
        <f t="shared" si="9"/>
        <v>vG7m08 F2</v>
      </c>
    </row>
    <row r="281" spans="1:5" x14ac:dyDescent="0.25">
      <c r="A281" s="1" t="s">
        <v>307</v>
      </c>
      <c r="B281" s="1" t="s">
        <v>30</v>
      </c>
      <c r="C281" s="1">
        <v>2</v>
      </c>
      <c r="D281" s="1" t="str">
        <f t="shared" si="8"/>
        <v>F</v>
      </c>
      <c r="E281" s="1" t="str">
        <f t="shared" si="9"/>
        <v>vG7m09 F2</v>
      </c>
    </row>
    <row r="282" spans="1:5" x14ac:dyDescent="0.25">
      <c r="A282" s="1" t="s">
        <v>308</v>
      </c>
      <c r="B282" s="1" t="s">
        <v>30</v>
      </c>
      <c r="C282" s="1">
        <v>2</v>
      </c>
      <c r="D282" s="1" t="str">
        <f t="shared" si="8"/>
        <v>F</v>
      </c>
      <c r="E282" s="1" t="str">
        <f t="shared" si="9"/>
        <v>vG7m10 F2</v>
      </c>
    </row>
    <row r="283" spans="1:5" x14ac:dyDescent="0.25">
      <c r="A283" s="1" t="s">
        <v>309</v>
      </c>
      <c r="B283" s="1" t="s">
        <v>30</v>
      </c>
      <c r="C283" s="1">
        <v>2</v>
      </c>
      <c r="D283" s="1" t="str">
        <f t="shared" si="8"/>
        <v>F</v>
      </c>
      <c r="E283" s="1" t="str">
        <f t="shared" si="9"/>
        <v>vG7m11 F2</v>
      </c>
    </row>
    <row r="284" spans="1:5" x14ac:dyDescent="0.25">
      <c r="A284" s="1" t="s">
        <v>310</v>
      </c>
      <c r="B284" s="1" t="s">
        <v>30</v>
      </c>
      <c r="C284" s="1">
        <v>2</v>
      </c>
      <c r="D284" s="1" t="str">
        <f t="shared" si="8"/>
        <v>F</v>
      </c>
      <c r="E284" s="1" t="str">
        <f t="shared" si="9"/>
        <v>vG7m12 F2</v>
      </c>
    </row>
    <row r="285" spans="1:5" x14ac:dyDescent="0.25">
      <c r="A285" s="1" t="s">
        <v>311</v>
      </c>
      <c r="B285" s="1" t="s">
        <v>30</v>
      </c>
      <c r="C285" s="1">
        <v>2</v>
      </c>
      <c r="D285" s="1" t="str">
        <f t="shared" si="8"/>
        <v>F</v>
      </c>
      <c r="E285" s="1" t="str">
        <f t="shared" si="9"/>
        <v>vG7m88 F2</v>
      </c>
    </row>
    <row r="286" spans="1:5" x14ac:dyDescent="0.25">
      <c r="A286" s="1" t="s">
        <v>312</v>
      </c>
      <c r="B286" s="1" t="s">
        <v>30</v>
      </c>
      <c r="C286" s="1">
        <v>2</v>
      </c>
      <c r="D286" s="1" t="str">
        <f t="shared" si="8"/>
        <v>F</v>
      </c>
      <c r="E286" s="1" t="str">
        <f t="shared" si="9"/>
        <v>vG7m90 F2</v>
      </c>
    </row>
    <row r="287" spans="1:5" x14ac:dyDescent="0.25">
      <c r="A287" s="1" t="s">
        <v>313</v>
      </c>
      <c r="B287" s="1" t="s">
        <v>27</v>
      </c>
      <c r="C287" s="1">
        <v>150</v>
      </c>
      <c r="D287" s="1" t="str">
        <f t="shared" si="8"/>
        <v>A</v>
      </c>
      <c r="E287" s="1" t="str">
        <f t="shared" si="9"/>
        <v>vG7o88 A150</v>
      </c>
    </row>
    <row r="288" spans="1:5" x14ac:dyDescent="0.25">
      <c r="A288" s="1" t="s">
        <v>314</v>
      </c>
      <c r="B288" s="1" t="s">
        <v>30</v>
      </c>
      <c r="C288" s="1">
        <v>2</v>
      </c>
      <c r="D288" s="1" t="str">
        <f t="shared" si="8"/>
        <v>F</v>
      </c>
      <c r="E288" s="1" t="str">
        <f t="shared" si="9"/>
        <v>vG8m01 F2</v>
      </c>
    </row>
    <row r="289" spans="1:5" x14ac:dyDescent="0.25">
      <c r="A289" s="1" t="s">
        <v>315</v>
      </c>
      <c r="B289" s="1" t="s">
        <v>30</v>
      </c>
      <c r="C289" s="1">
        <v>2</v>
      </c>
      <c r="D289" s="1" t="str">
        <f t="shared" si="8"/>
        <v>F</v>
      </c>
      <c r="E289" s="1" t="str">
        <f t="shared" si="9"/>
        <v>vG8m02 F2</v>
      </c>
    </row>
    <row r="290" spans="1:5" x14ac:dyDescent="0.25">
      <c r="A290" s="1" t="s">
        <v>316</v>
      </c>
      <c r="B290" s="1" t="s">
        <v>30</v>
      </c>
      <c r="C290" s="1">
        <v>2</v>
      </c>
      <c r="D290" s="1" t="str">
        <f t="shared" si="8"/>
        <v>F</v>
      </c>
      <c r="E290" s="1" t="str">
        <f t="shared" si="9"/>
        <v>vG8m03 F2</v>
      </c>
    </row>
    <row r="291" spans="1:5" x14ac:dyDescent="0.25">
      <c r="A291" s="1" t="s">
        <v>317</v>
      </c>
      <c r="B291" s="1" t="s">
        <v>30</v>
      </c>
      <c r="C291" s="1">
        <v>2</v>
      </c>
      <c r="D291" s="1" t="str">
        <f t="shared" si="8"/>
        <v>F</v>
      </c>
      <c r="E291" s="1" t="str">
        <f t="shared" si="9"/>
        <v>vG8m04 F2</v>
      </c>
    </row>
    <row r="292" spans="1:5" x14ac:dyDescent="0.25">
      <c r="A292" s="1" t="s">
        <v>318</v>
      </c>
      <c r="B292" s="1" t="s">
        <v>30</v>
      </c>
      <c r="C292" s="1">
        <v>2</v>
      </c>
      <c r="D292" s="1" t="str">
        <f t="shared" si="8"/>
        <v>F</v>
      </c>
      <c r="E292" s="1" t="str">
        <f t="shared" si="9"/>
        <v>vG8m05 F2</v>
      </c>
    </row>
    <row r="293" spans="1:5" x14ac:dyDescent="0.25">
      <c r="A293" s="1" t="s">
        <v>319</v>
      </c>
      <c r="B293" s="1" t="s">
        <v>30</v>
      </c>
      <c r="C293" s="1">
        <v>2</v>
      </c>
      <c r="D293" s="1" t="str">
        <f t="shared" si="8"/>
        <v>F</v>
      </c>
      <c r="E293" s="1" t="str">
        <f t="shared" si="9"/>
        <v>vG8m06 F2</v>
      </c>
    </row>
    <row r="294" spans="1:5" x14ac:dyDescent="0.25">
      <c r="A294" s="1" t="s">
        <v>320</v>
      </c>
      <c r="B294" s="1" t="s">
        <v>30</v>
      </c>
      <c r="C294" s="1">
        <v>2</v>
      </c>
      <c r="D294" s="1" t="str">
        <f t="shared" si="8"/>
        <v>F</v>
      </c>
      <c r="E294" s="1" t="str">
        <f t="shared" si="9"/>
        <v>vG8m07 F2</v>
      </c>
    </row>
    <row r="295" spans="1:5" x14ac:dyDescent="0.25">
      <c r="A295" s="1" t="s">
        <v>321</v>
      </c>
      <c r="B295" s="1" t="s">
        <v>30</v>
      </c>
      <c r="C295" s="1">
        <v>2</v>
      </c>
      <c r="D295" s="1" t="str">
        <f t="shared" si="8"/>
        <v>F</v>
      </c>
      <c r="E295" s="1" t="str">
        <f t="shared" si="9"/>
        <v>vG8m08 F2</v>
      </c>
    </row>
    <row r="296" spans="1:5" x14ac:dyDescent="0.25">
      <c r="A296" s="1" t="s">
        <v>322</v>
      </c>
      <c r="B296" s="1" t="s">
        <v>30</v>
      </c>
      <c r="C296" s="1">
        <v>2</v>
      </c>
      <c r="D296" s="1" t="str">
        <f t="shared" si="8"/>
        <v>F</v>
      </c>
      <c r="E296" s="1" t="str">
        <f t="shared" si="9"/>
        <v>vG8m09 F2</v>
      </c>
    </row>
    <row r="297" spans="1:5" x14ac:dyDescent="0.25">
      <c r="A297" s="1" t="s">
        <v>323</v>
      </c>
      <c r="B297" s="1" t="s">
        <v>30</v>
      </c>
      <c r="C297" s="1">
        <v>2</v>
      </c>
      <c r="D297" s="1" t="str">
        <f t="shared" si="8"/>
        <v>F</v>
      </c>
      <c r="E297" s="1" t="str">
        <f t="shared" si="9"/>
        <v>vG8m10 F2</v>
      </c>
    </row>
    <row r="298" spans="1:5" x14ac:dyDescent="0.25">
      <c r="A298" s="1" t="s">
        <v>324</v>
      </c>
      <c r="B298" s="1" t="s">
        <v>30</v>
      </c>
      <c r="C298" s="1">
        <v>2</v>
      </c>
      <c r="D298" s="1" t="str">
        <f t="shared" si="8"/>
        <v>F</v>
      </c>
      <c r="E298" s="1" t="str">
        <f t="shared" si="9"/>
        <v>vG8m11 F2</v>
      </c>
    </row>
    <row r="299" spans="1:5" x14ac:dyDescent="0.25">
      <c r="A299" s="1" t="s">
        <v>325</v>
      </c>
      <c r="B299" s="1" t="s">
        <v>30</v>
      </c>
      <c r="C299" s="1">
        <v>2</v>
      </c>
      <c r="D299" s="1" t="str">
        <f t="shared" si="8"/>
        <v>F</v>
      </c>
      <c r="E299" s="1" t="str">
        <f t="shared" si="9"/>
        <v>vG8m12 F2</v>
      </c>
    </row>
    <row r="300" spans="1:5" x14ac:dyDescent="0.25">
      <c r="A300" s="1" t="s">
        <v>326</v>
      </c>
      <c r="B300" s="1" t="s">
        <v>30</v>
      </c>
      <c r="C300" s="1">
        <v>2</v>
      </c>
      <c r="D300" s="1" t="str">
        <f t="shared" si="8"/>
        <v>F</v>
      </c>
      <c r="E300" s="1" t="str">
        <f t="shared" si="9"/>
        <v>vG8m13 F2</v>
      </c>
    </row>
    <row r="301" spans="1:5" x14ac:dyDescent="0.25">
      <c r="A301" s="1" t="s">
        <v>327</v>
      </c>
      <c r="B301" s="1" t="s">
        <v>30</v>
      </c>
      <c r="C301" s="1">
        <v>2</v>
      </c>
      <c r="D301" s="1" t="str">
        <f t="shared" si="8"/>
        <v>F</v>
      </c>
      <c r="E301" s="1" t="str">
        <f t="shared" si="9"/>
        <v>vG8m14 F2</v>
      </c>
    </row>
    <row r="302" spans="1:5" x14ac:dyDescent="0.25">
      <c r="A302" s="1" t="s">
        <v>328</v>
      </c>
      <c r="B302" s="1" t="s">
        <v>30</v>
      </c>
      <c r="C302" s="1">
        <v>2</v>
      </c>
      <c r="D302" s="1" t="str">
        <f t="shared" si="8"/>
        <v>F</v>
      </c>
      <c r="E302" s="1" t="str">
        <f t="shared" si="9"/>
        <v>vG8m15 F2</v>
      </c>
    </row>
    <row r="303" spans="1:5" x14ac:dyDescent="0.25">
      <c r="A303" s="1" t="s">
        <v>329</v>
      </c>
      <c r="B303" s="1" t="s">
        <v>30</v>
      </c>
      <c r="C303" s="1">
        <v>2</v>
      </c>
      <c r="D303" s="1" t="str">
        <f t="shared" si="8"/>
        <v>F</v>
      </c>
      <c r="E303" s="1" t="str">
        <f t="shared" si="9"/>
        <v>vG8m16 F2</v>
      </c>
    </row>
    <row r="304" spans="1:5" x14ac:dyDescent="0.25">
      <c r="A304" s="1" t="s">
        <v>330</v>
      </c>
      <c r="B304" s="1" t="s">
        <v>30</v>
      </c>
      <c r="C304" s="1">
        <v>2</v>
      </c>
      <c r="D304" s="1" t="str">
        <f t="shared" si="8"/>
        <v>F</v>
      </c>
      <c r="E304" s="1" t="str">
        <f t="shared" si="9"/>
        <v>vG8m88 F2</v>
      </c>
    </row>
    <row r="305" spans="1:5" x14ac:dyDescent="0.25">
      <c r="A305" s="1" t="s">
        <v>331</v>
      </c>
      <c r="B305" s="1" t="s">
        <v>30</v>
      </c>
      <c r="C305" s="1">
        <v>2</v>
      </c>
      <c r="D305" s="1" t="str">
        <f t="shared" si="8"/>
        <v>F</v>
      </c>
      <c r="E305" s="1" t="str">
        <f t="shared" si="9"/>
        <v>vG8m90 F2</v>
      </c>
    </row>
    <row r="306" spans="1:5" x14ac:dyDescent="0.25">
      <c r="A306" s="1" t="s">
        <v>332</v>
      </c>
      <c r="B306" s="1" t="s">
        <v>27</v>
      </c>
      <c r="C306" s="1">
        <v>150</v>
      </c>
      <c r="D306" s="1" t="str">
        <f t="shared" si="8"/>
        <v>A</v>
      </c>
      <c r="E306" s="1" t="str">
        <f t="shared" si="9"/>
        <v>vG8o88 A150</v>
      </c>
    </row>
    <row r="307" spans="1:5" x14ac:dyDescent="0.25">
      <c r="A307" s="1" t="s">
        <v>333</v>
      </c>
      <c r="B307" s="1" t="s">
        <v>30</v>
      </c>
      <c r="C307" s="1">
        <v>2</v>
      </c>
      <c r="D307" s="1" t="str">
        <f t="shared" si="8"/>
        <v>F</v>
      </c>
      <c r="E307" s="1" t="str">
        <f t="shared" si="9"/>
        <v>vG9m01 F2</v>
      </c>
    </row>
    <row r="308" spans="1:5" x14ac:dyDescent="0.25">
      <c r="A308" s="1" t="s">
        <v>334</v>
      </c>
      <c r="B308" s="1" t="s">
        <v>30</v>
      </c>
      <c r="C308" s="1">
        <v>2</v>
      </c>
      <c r="D308" s="1" t="str">
        <f t="shared" si="8"/>
        <v>F</v>
      </c>
      <c r="E308" s="1" t="str">
        <f t="shared" si="9"/>
        <v>vG9m02 F2</v>
      </c>
    </row>
    <row r="309" spans="1:5" x14ac:dyDescent="0.25">
      <c r="A309" s="1" t="s">
        <v>335</v>
      </c>
      <c r="B309" s="1" t="s">
        <v>30</v>
      </c>
      <c r="C309" s="1">
        <v>2</v>
      </c>
      <c r="D309" s="1" t="str">
        <f t="shared" si="8"/>
        <v>F</v>
      </c>
      <c r="E309" s="1" t="str">
        <f t="shared" si="9"/>
        <v>vG9m03 F2</v>
      </c>
    </row>
    <row r="310" spans="1:5" x14ac:dyDescent="0.25">
      <c r="A310" s="1" t="s">
        <v>336</v>
      </c>
      <c r="B310" s="1" t="s">
        <v>30</v>
      </c>
      <c r="C310" s="1">
        <v>2</v>
      </c>
      <c r="D310" s="1" t="str">
        <f t="shared" si="8"/>
        <v>F</v>
      </c>
      <c r="E310" s="1" t="str">
        <f t="shared" si="9"/>
        <v>vG9m04 F2</v>
      </c>
    </row>
    <row r="311" spans="1:5" x14ac:dyDescent="0.25">
      <c r="A311" s="1" t="s">
        <v>337</v>
      </c>
      <c r="B311" s="1" t="s">
        <v>30</v>
      </c>
      <c r="C311" s="1">
        <v>2</v>
      </c>
      <c r="D311" s="1" t="str">
        <f t="shared" si="8"/>
        <v>F</v>
      </c>
      <c r="E311" s="1" t="str">
        <f t="shared" si="9"/>
        <v>vG9m05 F2</v>
      </c>
    </row>
    <row r="312" spans="1:5" x14ac:dyDescent="0.25">
      <c r="A312" s="1" t="s">
        <v>338</v>
      </c>
      <c r="B312" s="1" t="s">
        <v>30</v>
      </c>
      <c r="C312" s="1">
        <v>2</v>
      </c>
      <c r="D312" s="1" t="str">
        <f t="shared" si="8"/>
        <v>F</v>
      </c>
      <c r="E312" s="1" t="str">
        <f t="shared" si="9"/>
        <v>vG9m06 F2</v>
      </c>
    </row>
    <row r="313" spans="1:5" x14ac:dyDescent="0.25">
      <c r="A313" s="1" t="s">
        <v>339</v>
      </c>
      <c r="B313" s="1" t="s">
        <v>30</v>
      </c>
      <c r="C313" s="1">
        <v>2</v>
      </c>
      <c r="D313" s="1" t="str">
        <f t="shared" si="8"/>
        <v>F</v>
      </c>
      <c r="E313" s="1" t="str">
        <f t="shared" si="9"/>
        <v>vG9m07 F2</v>
      </c>
    </row>
    <row r="314" spans="1:5" x14ac:dyDescent="0.25">
      <c r="A314" s="1" t="s">
        <v>340</v>
      </c>
      <c r="B314" s="1" t="s">
        <v>30</v>
      </c>
      <c r="C314" s="1">
        <v>2</v>
      </c>
      <c r="D314" s="1" t="str">
        <f t="shared" si="8"/>
        <v>F</v>
      </c>
      <c r="E314" s="1" t="str">
        <f t="shared" si="9"/>
        <v>vG9m08 F2</v>
      </c>
    </row>
    <row r="315" spans="1:5" x14ac:dyDescent="0.25">
      <c r="A315" s="1" t="s">
        <v>341</v>
      </c>
      <c r="B315" s="1" t="s">
        <v>30</v>
      </c>
      <c r="C315" s="1">
        <v>2</v>
      </c>
      <c r="D315" s="1" t="str">
        <f t="shared" si="8"/>
        <v>F</v>
      </c>
      <c r="E315" s="1" t="str">
        <f t="shared" si="9"/>
        <v>vG9m09 F2</v>
      </c>
    </row>
    <row r="316" spans="1:5" x14ac:dyDescent="0.25">
      <c r="A316" s="1" t="s">
        <v>342</v>
      </c>
      <c r="B316" s="1" t="s">
        <v>30</v>
      </c>
      <c r="C316" s="1">
        <v>2</v>
      </c>
      <c r="D316" s="1" t="str">
        <f t="shared" si="8"/>
        <v>F</v>
      </c>
      <c r="E316" s="1" t="str">
        <f t="shared" si="9"/>
        <v>vG9m10 F2</v>
      </c>
    </row>
    <row r="317" spans="1:5" x14ac:dyDescent="0.25">
      <c r="A317" s="1" t="s">
        <v>343</v>
      </c>
      <c r="B317" s="1" t="s">
        <v>30</v>
      </c>
      <c r="C317" s="1">
        <v>2</v>
      </c>
      <c r="D317" s="1" t="str">
        <f t="shared" si="8"/>
        <v>F</v>
      </c>
      <c r="E317" s="1" t="str">
        <f t="shared" si="9"/>
        <v>vG9m11 F2</v>
      </c>
    </row>
    <row r="318" spans="1:5" x14ac:dyDescent="0.25">
      <c r="A318" s="1" t="s">
        <v>344</v>
      </c>
      <c r="B318" s="1" t="s">
        <v>30</v>
      </c>
      <c r="C318" s="1">
        <v>2</v>
      </c>
      <c r="D318" s="1" t="str">
        <f t="shared" si="8"/>
        <v>F</v>
      </c>
      <c r="E318" s="1" t="str">
        <f t="shared" si="9"/>
        <v>vG9m12 F2</v>
      </c>
    </row>
    <row r="319" spans="1:5" x14ac:dyDescent="0.25">
      <c r="A319" s="1" t="s">
        <v>345</v>
      </c>
      <c r="B319" s="1" t="s">
        <v>30</v>
      </c>
      <c r="C319" s="1">
        <v>2</v>
      </c>
      <c r="D319" s="1" t="str">
        <f t="shared" si="8"/>
        <v>F</v>
      </c>
      <c r="E319" s="1" t="str">
        <f t="shared" si="9"/>
        <v>vG9m13 F2</v>
      </c>
    </row>
    <row r="320" spans="1:5" x14ac:dyDescent="0.25">
      <c r="A320" s="1" t="s">
        <v>346</v>
      </c>
      <c r="B320" s="1" t="s">
        <v>30</v>
      </c>
      <c r="C320" s="1">
        <v>2</v>
      </c>
      <c r="D320" s="1" t="str">
        <f t="shared" si="8"/>
        <v>F</v>
      </c>
      <c r="E320" s="1" t="str">
        <f t="shared" si="9"/>
        <v>vG9m88 F2</v>
      </c>
    </row>
    <row r="321" spans="1:5" x14ac:dyDescent="0.25">
      <c r="A321" s="1" t="s">
        <v>347</v>
      </c>
      <c r="B321" s="1" t="s">
        <v>30</v>
      </c>
      <c r="C321" s="1">
        <v>2</v>
      </c>
      <c r="D321" s="1" t="str">
        <f t="shared" si="8"/>
        <v>F</v>
      </c>
      <c r="E321" s="1" t="str">
        <f t="shared" si="9"/>
        <v>vG9m90 F2</v>
      </c>
    </row>
    <row r="322" spans="1:5" x14ac:dyDescent="0.25">
      <c r="A322" s="1" t="s">
        <v>348</v>
      </c>
      <c r="B322" s="1" t="s">
        <v>27</v>
      </c>
      <c r="C322" s="1">
        <v>150</v>
      </c>
      <c r="D322" s="1" t="str">
        <f t="shared" ref="D322:D385" si="10">IF(B322="數值","F","A")</f>
        <v>A</v>
      </c>
      <c r="E322" s="1" t="str">
        <f t="shared" ref="E322:E385" si="11">A322&amp;" "&amp;D322&amp;C322</f>
        <v>vG9o88 A150</v>
      </c>
    </row>
    <row r="323" spans="1:5" x14ac:dyDescent="0.25">
      <c r="A323" s="1" t="s">
        <v>349</v>
      </c>
      <c r="B323" s="1" t="s">
        <v>30</v>
      </c>
      <c r="C323" s="1">
        <v>2</v>
      </c>
      <c r="D323" s="1" t="str">
        <f t="shared" si="10"/>
        <v>F</v>
      </c>
      <c r="E323" s="1" t="str">
        <f t="shared" si="11"/>
        <v>vG10m01 F2</v>
      </c>
    </row>
    <row r="324" spans="1:5" x14ac:dyDescent="0.25">
      <c r="A324" s="1" t="s">
        <v>350</v>
      </c>
      <c r="B324" s="1" t="s">
        <v>30</v>
      </c>
      <c r="C324" s="1">
        <v>2</v>
      </c>
      <c r="D324" s="1" t="str">
        <f t="shared" si="10"/>
        <v>F</v>
      </c>
      <c r="E324" s="1" t="str">
        <f t="shared" si="11"/>
        <v>vG10m02 F2</v>
      </c>
    </row>
    <row r="325" spans="1:5" x14ac:dyDescent="0.25">
      <c r="A325" s="1" t="s">
        <v>351</v>
      </c>
      <c r="B325" s="1" t="s">
        <v>30</v>
      </c>
      <c r="C325" s="1">
        <v>2</v>
      </c>
      <c r="D325" s="1" t="str">
        <f t="shared" si="10"/>
        <v>F</v>
      </c>
      <c r="E325" s="1" t="str">
        <f t="shared" si="11"/>
        <v>vG10m03 F2</v>
      </c>
    </row>
    <row r="326" spans="1:5" x14ac:dyDescent="0.25">
      <c r="A326" s="1" t="s">
        <v>352</v>
      </c>
      <c r="B326" s="1" t="s">
        <v>30</v>
      </c>
      <c r="C326" s="1">
        <v>2</v>
      </c>
      <c r="D326" s="1" t="str">
        <f t="shared" si="10"/>
        <v>F</v>
      </c>
      <c r="E326" s="1" t="str">
        <f t="shared" si="11"/>
        <v>vG10m04 F2</v>
      </c>
    </row>
    <row r="327" spans="1:5" x14ac:dyDescent="0.25">
      <c r="A327" s="1" t="s">
        <v>353</v>
      </c>
      <c r="B327" s="1" t="s">
        <v>30</v>
      </c>
      <c r="C327" s="1">
        <v>2</v>
      </c>
      <c r="D327" s="1" t="str">
        <f t="shared" si="10"/>
        <v>F</v>
      </c>
      <c r="E327" s="1" t="str">
        <f t="shared" si="11"/>
        <v>vG10m05 F2</v>
      </c>
    </row>
    <row r="328" spans="1:5" x14ac:dyDescent="0.25">
      <c r="A328" s="1" t="s">
        <v>354</v>
      </c>
      <c r="B328" s="1" t="s">
        <v>30</v>
      </c>
      <c r="C328" s="1">
        <v>2</v>
      </c>
      <c r="D328" s="1" t="str">
        <f t="shared" si="10"/>
        <v>F</v>
      </c>
      <c r="E328" s="1" t="str">
        <f t="shared" si="11"/>
        <v>vG10m06 F2</v>
      </c>
    </row>
    <row r="329" spans="1:5" x14ac:dyDescent="0.25">
      <c r="A329" s="1" t="s">
        <v>355</v>
      </c>
      <c r="B329" s="1" t="s">
        <v>30</v>
      </c>
      <c r="C329" s="1">
        <v>2</v>
      </c>
      <c r="D329" s="1" t="str">
        <f t="shared" si="10"/>
        <v>F</v>
      </c>
      <c r="E329" s="1" t="str">
        <f t="shared" si="11"/>
        <v>vG10m07 F2</v>
      </c>
    </row>
    <row r="330" spans="1:5" x14ac:dyDescent="0.25">
      <c r="A330" s="1" t="s">
        <v>356</v>
      </c>
      <c r="B330" s="1" t="s">
        <v>30</v>
      </c>
      <c r="C330" s="1">
        <v>2</v>
      </c>
      <c r="D330" s="1" t="str">
        <f t="shared" si="10"/>
        <v>F</v>
      </c>
      <c r="E330" s="1" t="str">
        <f t="shared" si="11"/>
        <v>vG10m08 F2</v>
      </c>
    </row>
    <row r="331" spans="1:5" x14ac:dyDescent="0.25">
      <c r="A331" s="1" t="s">
        <v>357</v>
      </c>
      <c r="B331" s="1" t="s">
        <v>30</v>
      </c>
      <c r="C331" s="1">
        <v>2</v>
      </c>
      <c r="D331" s="1" t="str">
        <f t="shared" si="10"/>
        <v>F</v>
      </c>
      <c r="E331" s="1" t="str">
        <f t="shared" si="11"/>
        <v>vG10m09 F2</v>
      </c>
    </row>
    <row r="332" spans="1:5" x14ac:dyDescent="0.25">
      <c r="A332" s="1" t="s">
        <v>358</v>
      </c>
      <c r="B332" s="1" t="s">
        <v>30</v>
      </c>
      <c r="C332" s="1">
        <v>2</v>
      </c>
      <c r="D332" s="1" t="str">
        <f t="shared" si="10"/>
        <v>F</v>
      </c>
      <c r="E332" s="1" t="str">
        <f t="shared" si="11"/>
        <v>vG10m10 F2</v>
      </c>
    </row>
    <row r="333" spans="1:5" x14ac:dyDescent="0.25">
      <c r="A333" s="1" t="s">
        <v>359</v>
      </c>
      <c r="B333" s="1" t="s">
        <v>30</v>
      </c>
      <c r="C333" s="1">
        <v>2</v>
      </c>
      <c r="D333" s="1" t="str">
        <f t="shared" si="10"/>
        <v>F</v>
      </c>
      <c r="E333" s="1" t="str">
        <f t="shared" si="11"/>
        <v>vG10m11 F2</v>
      </c>
    </row>
    <row r="334" spans="1:5" x14ac:dyDescent="0.25">
      <c r="A334" s="1" t="s">
        <v>360</v>
      </c>
      <c r="B334" s="1" t="s">
        <v>30</v>
      </c>
      <c r="C334" s="1">
        <v>2</v>
      </c>
      <c r="D334" s="1" t="str">
        <f t="shared" si="10"/>
        <v>F</v>
      </c>
      <c r="E334" s="1" t="str">
        <f t="shared" si="11"/>
        <v>vG10m12 F2</v>
      </c>
    </row>
    <row r="335" spans="1:5" x14ac:dyDescent="0.25">
      <c r="A335" s="1" t="s">
        <v>361</v>
      </c>
      <c r="B335" s="1" t="s">
        <v>30</v>
      </c>
      <c r="C335" s="1">
        <v>2</v>
      </c>
      <c r="D335" s="1" t="str">
        <f t="shared" si="10"/>
        <v>F</v>
      </c>
      <c r="E335" s="1" t="str">
        <f t="shared" si="11"/>
        <v>vG10m13 F2</v>
      </c>
    </row>
    <row r="336" spans="1:5" x14ac:dyDescent="0.25">
      <c r="A336" s="1" t="s">
        <v>362</v>
      </c>
      <c r="B336" s="1" t="s">
        <v>30</v>
      </c>
      <c r="C336" s="1">
        <v>2</v>
      </c>
      <c r="D336" s="1" t="str">
        <f t="shared" si="10"/>
        <v>F</v>
      </c>
      <c r="E336" s="1" t="str">
        <f t="shared" si="11"/>
        <v>vG10m14 F2</v>
      </c>
    </row>
    <row r="337" spans="1:5" x14ac:dyDescent="0.25">
      <c r="A337" s="1" t="s">
        <v>363</v>
      </c>
      <c r="B337" s="1" t="s">
        <v>30</v>
      </c>
      <c r="C337" s="1">
        <v>2</v>
      </c>
      <c r="D337" s="1" t="str">
        <f t="shared" si="10"/>
        <v>F</v>
      </c>
      <c r="E337" s="1" t="str">
        <f t="shared" si="11"/>
        <v>vG10m15 F2</v>
      </c>
    </row>
    <row r="338" spans="1:5" x14ac:dyDescent="0.25">
      <c r="A338" s="1" t="s">
        <v>364</v>
      </c>
      <c r="B338" s="1" t="s">
        <v>30</v>
      </c>
      <c r="C338" s="1">
        <v>2</v>
      </c>
      <c r="D338" s="1" t="str">
        <f t="shared" si="10"/>
        <v>F</v>
      </c>
      <c r="E338" s="1" t="str">
        <f t="shared" si="11"/>
        <v>vG10m16 F2</v>
      </c>
    </row>
    <row r="339" spans="1:5" x14ac:dyDescent="0.25">
      <c r="A339" s="1" t="s">
        <v>365</v>
      </c>
      <c r="B339" s="1" t="s">
        <v>30</v>
      </c>
      <c r="C339" s="1">
        <v>2</v>
      </c>
      <c r="D339" s="1" t="str">
        <f t="shared" si="10"/>
        <v>F</v>
      </c>
      <c r="E339" s="1" t="str">
        <f t="shared" si="11"/>
        <v>vG10m17 F2</v>
      </c>
    </row>
    <row r="340" spans="1:5" x14ac:dyDescent="0.25">
      <c r="A340" s="1" t="s">
        <v>366</v>
      </c>
      <c r="B340" s="1" t="s">
        <v>30</v>
      </c>
      <c r="C340" s="1">
        <v>2</v>
      </c>
      <c r="D340" s="1" t="str">
        <f t="shared" si="10"/>
        <v>F</v>
      </c>
      <c r="E340" s="1" t="str">
        <f t="shared" si="11"/>
        <v>vG10m18 F2</v>
      </c>
    </row>
    <row r="341" spans="1:5" x14ac:dyDescent="0.25">
      <c r="A341" s="1" t="s">
        <v>367</v>
      </c>
      <c r="B341" s="1" t="s">
        <v>30</v>
      </c>
      <c r="C341" s="1">
        <v>2</v>
      </c>
      <c r="D341" s="1" t="str">
        <f t="shared" si="10"/>
        <v>F</v>
      </c>
      <c r="E341" s="1" t="str">
        <f t="shared" si="11"/>
        <v>vG10m19 F2</v>
      </c>
    </row>
    <row r="342" spans="1:5" x14ac:dyDescent="0.25">
      <c r="A342" s="1" t="s">
        <v>368</v>
      </c>
      <c r="B342" s="1" t="s">
        <v>30</v>
      </c>
      <c r="C342" s="1">
        <v>2</v>
      </c>
      <c r="D342" s="1" t="str">
        <f t="shared" si="10"/>
        <v>F</v>
      </c>
      <c r="E342" s="1" t="str">
        <f t="shared" si="11"/>
        <v>vG10m88 F2</v>
      </c>
    </row>
    <row r="343" spans="1:5" x14ac:dyDescent="0.25">
      <c r="A343" s="1" t="s">
        <v>369</v>
      </c>
      <c r="B343" s="1" t="s">
        <v>30</v>
      </c>
      <c r="C343" s="1">
        <v>2</v>
      </c>
      <c r="D343" s="1" t="str">
        <f t="shared" si="10"/>
        <v>F</v>
      </c>
      <c r="E343" s="1" t="str">
        <f t="shared" si="11"/>
        <v>vG10m90 F2</v>
      </c>
    </row>
    <row r="344" spans="1:5" x14ac:dyDescent="0.25">
      <c r="A344" s="1" t="s">
        <v>370</v>
      </c>
      <c r="B344" s="1" t="s">
        <v>27</v>
      </c>
      <c r="C344" s="1">
        <v>150</v>
      </c>
      <c r="D344" s="1" t="str">
        <f t="shared" si="10"/>
        <v>A</v>
      </c>
      <c r="E344" s="1" t="str">
        <f t="shared" si="11"/>
        <v>vG10o88 A150</v>
      </c>
    </row>
    <row r="345" spans="1:5" x14ac:dyDescent="0.25">
      <c r="A345" s="1" t="s">
        <v>371</v>
      </c>
      <c r="B345" s="1" t="s">
        <v>30</v>
      </c>
      <c r="C345" s="1">
        <v>2</v>
      </c>
      <c r="D345" s="1" t="str">
        <f t="shared" si="10"/>
        <v>F</v>
      </c>
      <c r="E345" s="1" t="str">
        <f t="shared" si="11"/>
        <v>vG11m01 F2</v>
      </c>
    </row>
    <row r="346" spans="1:5" x14ac:dyDescent="0.25">
      <c r="A346" s="1" t="s">
        <v>372</v>
      </c>
      <c r="B346" s="1" t="s">
        <v>30</v>
      </c>
      <c r="C346" s="1">
        <v>2</v>
      </c>
      <c r="D346" s="1" t="str">
        <f t="shared" si="10"/>
        <v>F</v>
      </c>
      <c r="E346" s="1" t="str">
        <f t="shared" si="11"/>
        <v>vG11m02 F2</v>
      </c>
    </row>
    <row r="347" spans="1:5" x14ac:dyDescent="0.25">
      <c r="A347" s="1" t="s">
        <v>373</v>
      </c>
      <c r="B347" s="1" t="s">
        <v>30</v>
      </c>
      <c r="C347" s="1">
        <v>2</v>
      </c>
      <c r="D347" s="1" t="str">
        <f t="shared" si="10"/>
        <v>F</v>
      </c>
      <c r="E347" s="1" t="str">
        <f t="shared" si="11"/>
        <v>vG11m03 F2</v>
      </c>
    </row>
    <row r="348" spans="1:5" x14ac:dyDescent="0.25">
      <c r="A348" s="1" t="s">
        <v>374</v>
      </c>
      <c r="B348" s="1" t="s">
        <v>30</v>
      </c>
      <c r="C348" s="1">
        <v>2</v>
      </c>
      <c r="D348" s="1" t="str">
        <f t="shared" si="10"/>
        <v>F</v>
      </c>
      <c r="E348" s="1" t="str">
        <f t="shared" si="11"/>
        <v>vG11m04 F2</v>
      </c>
    </row>
    <row r="349" spans="1:5" x14ac:dyDescent="0.25">
      <c r="A349" s="1" t="s">
        <v>375</v>
      </c>
      <c r="B349" s="1" t="s">
        <v>30</v>
      </c>
      <c r="C349" s="1">
        <v>2</v>
      </c>
      <c r="D349" s="1" t="str">
        <f t="shared" si="10"/>
        <v>F</v>
      </c>
      <c r="E349" s="1" t="str">
        <f t="shared" si="11"/>
        <v>vG11m05 F2</v>
      </c>
    </row>
    <row r="350" spans="1:5" x14ac:dyDescent="0.25">
      <c r="A350" s="1" t="s">
        <v>376</v>
      </c>
      <c r="B350" s="1" t="s">
        <v>30</v>
      </c>
      <c r="C350" s="1">
        <v>2</v>
      </c>
      <c r="D350" s="1" t="str">
        <f t="shared" si="10"/>
        <v>F</v>
      </c>
      <c r="E350" s="1" t="str">
        <f t="shared" si="11"/>
        <v>vG11m88 F2</v>
      </c>
    </row>
    <row r="351" spans="1:5" x14ac:dyDescent="0.25">
      <c r="A351" s="1" t="s">
        <v>377</v>
      </c>
      <c r="B351" s="1" t="s">
        <v>30</v>
      </c>
      <c r="C351" s="1">
        <v>2</v>
      </c>
      <c r="D351" s="1" t="str">
        <f t="shared" si="10"/>
        <v>F</v>
      </c>
      <c r="E351" s="1" t="str">
        <f t="shared" si="11"/>
        <v>vG11m90 F2</v>
      </c>
    </row>
    <row r="352" spans="1:5" x14ac:dyDescent="0.25">
      <c r="A352" s="1" t="s">
        <v>378</v>
      </c>
      <c r="B352" s="1" t="s">
        <v>27</v>
      </c>
      <c r="C352" s="1">
        <v>150</v>
      </c>
      <c r="D352" s="1" t="str">
        <f t="shared" si="10"/>
        <v>A</v>
      </c>
      <c r="E352" s="1" t="str">
        <f t="shared" si="11"/>
        <v>vG11o88 A150</v>
      </c>
    </row>
    <row r="353" spans="1:5" x14ac:dyDescent="0.25">
      <c r="A353" s="1" t="s">
        <v>379</v>
      </c>
      <c r="B353" s="1" t="s">
        <v>30</v>
      </c>
      <c r="C353" s="1">
        <v>4</v>
      </c>
      <c r="D353" s="1" t="str">
        <f t="shared" si="10"/>
        <v>F</v>
      </c>
      <c r="E353" s="1" t="str">
        <f t="shared" si="11"/>
        <v>vG4 F4</v>
      </c>
    </row>
    <row r="354" spans="1:5" x14ac:dyDescent="0.25">
      <c r="A354" s="1" t="s">
        <v>380</v>
      </c>
      <c r="B354" s="1" t="s">
        <v>30</v>
      </c>
      <c r="C354" s="1">
        <v>5</v>
      </c>
      <c r="D354" s="1" t="str">
        <f t="shared" si="10"/>
        <v>F</v>
      </c>
      <c r="E354" s="1" t="str">
        <f t="shared" si="11"/>
        <v>vG5 F5</v>
      </c>
    </row>
    <row r="355" spans="1:5" x14ac:dyDescent="0.25">
      <c r="A355" s="1" t="s">
        <v>381</v>
      </c>
      <c r="B355" s="1" t="s">
        <v>30</v>
      </c>
      <c r="C355" s="1">
        <v>4</v>
      </c>
      <c r="D355" s="1" t="str">
        <f t="shared" si="10"/>
        <v>F</v>
      </c>
      <c r="E355" s="1" t="str">
        <f t="shared" si="11"/>
        <v>vB1 F4</v>
      </c>
    </row>
    <row r="356" spans="1:5" x14ac:dyDescent="0.25">
      <c r="A356" s="1" t="s">
        <v>382</v>
      </c>
      <c r="B356" s="1" t="s">
        <v>30</v>
      </c>
      <c r="C356" s="1">
        <v>5</v>
      </c>
      <c r="D356" s="1" t="str">
        <f t="shared" si="10"/>
        <v>F</v>
      </c>
      <c r="E356" s="1" t="str">
        <f t="shared" si="11"/>
        <v>vB2 F5</v>
      </c>
    </row>
    <row r="357" spans="1:5" x14ac:dyDescent="0.25">
      <c r="A357" s="1" t="s">
        <v>383</v>
      </c>
      <c r="B357" s="1" t="s">
        <v>30</v>
      </c>
      <c r="C357" s="1">
        <v>4</v>
      </c>
      <c r="D357" s="1" t="str">
        <f t="shared" si="10"/>
        <v>F</v>
      </c>
      <c r="E357" s="1" t="str">
        <f t="shared" si="11"/>
        <v>vB3 F4</v>
      </c>
    </row>
    <row r="358" spans="1:5" x14ac:dyDescent="0.25">
      <c r="A358" s="1" t="s">
        <v>384</v>
      </c>
      <c r="B358" s="1" t="s">
        <v>30</v>
      </c>
      <c r="C358" s="1">
        <v>5</v>
      </c>
      <c r="D358" s="1" t="str">
        <f t="shared" si="10"/>
        <v>F</v>
      </c>
      <c r="E358" s="1" t="str">
        <f t="shared" si="11"/>
        <v>vB4 F5</v>
      </c>
    </row>
    <row r="359" spans="1:5" x14ac:dyDescent="0.25">
      <c r="A359" s="1" t="s">
        <v>385</v>
      </c>
      <c r="B359" s="1" t="s">
        <v>30</v>
      </c>
      <c r="C359" s="1">
        <v>4</v>
      </c>
      <c r="D359" s="1" t="str">
        <f t="shared" si="10"/>
        <v>F</v>
      </c>
      <c r="E359" s="1" t="str">
        <f t="shared" si="11"/>
        <v>vB5 F4</v>
      </c>
    </row>
    <row r="360" spans="1:5" x14ac:dyDescent="0.25">
      <c r="A360" s="1" t="s">
        <v>386</v>
      </c>
      <c r="B360" s="1" t="s">
        <v>30</v>
      </c>
      <c r="C360" s="1">
        <v>2</v>
      </c>
      <c r="D360" s="1" t="str">
        <f t="shared" si="10"/>
        <v>F</v>
      </c>
      <c r="E360" s="1" t="str">
        <f t="shared" si="11"/>
        <v>vCKB5 F2</v>
      </c>
    </row>
    <row r="361" spans="1:5" x14ac:dyDescent="0.25">
      <c r="A361" s="1" t="s">
        <v>387</v>
      </c>
      <c r="B361" s="1" t="s">
        <v>30</v>
      </c>
      <c r="C361" s="1">
        <v>5</v>
      </c>
      <c r="D361" s="1" t="str">
        <f t="shared" si="10"/>
        <v>F</v>
      </c>
      <c r="E361" s="1" t="str">
        <f t="shared" si="11"/>
        <v>vB6 F5</v>
      </c>
    </row>
    <row r="362" spans="1:5" x14ac:dyDescent="0.25">
      <c r="A362" s="1" t="s">
        <v>388</v>
      </c>
      <c r="B362" s="1" t="s">
        <v>30</v>
      </c>
      <c r="C362" s="1">
        <v>2</v>
      </c>
      <c r="D362" s="1" t="str">
        <f t="shared" si="10"/>
        <v>F</v>
      </c>
      <c r="E362" s="1" t="str">
        <f t="shared" si="11"/>
        <v>vB7am01 F2</v>
      </c>
    </row>
    <row r="363" spans="1:5" x14ac:dyDescent="0.25">
      <c r="A363" s="1" t="s">
        <v>389</v>
      </c>
      <c r="B363" s="1" t="s">
        <v>30</v>
      </c>
      <c r="C363" s="1">
        <v>2</v>
      </c>
      <c r="D363" s="1" t="str">
        <f t="shared" si="10"/>
        <v>F</v>
      </c>
      <c r="E363" s="1" t="str">
        <f t="shared" si="11"/>
        <v>vB7am02 F2</v>
      </c>
    </row>
    <row r="364" spans="1:5" x14ac:dyDescent="0.25">
      <c r="A364" s="1" t="s">
        <v>390</v>
      </c>
      <c r="B364" s="1" t="s">
        <v>30</v>
      </c>
      <c r="C364" s="1">
        <v>2</v>
      </c>
      <c r="D364" s="1" t="str">
        <f t="shared" si="10"/>
        <v>F</v>
      </c>
      <c r="E364" s="1" t="str">
        <f t="shared" si="11"/>
        <v>vB7am03 F2</v>
      </c>
    </row>
    <row r="365" spans="1:5" x14ac:dyDescent="0.25">
      <c r="A365" s="1" t="s">
        <v>391</v>
      </c>
      <c r="B365" s="1" t="s">
        <v>30</v>
      </c>
      <c r="C365" s="1">
        <v>2</v>
      </c>
      <c r="D365" s="1" t="str">
        <f t="shared" si="10"/>
        <v>F</v>
      </c>
      <c r="E365" s="1" t="str">
        <f t="shared" si="11"/>
        <v>vB7am04 F2</v>
      </c>
    </row>
    <row r="366" spans="1:5" x14ac:dyDescent="0.25">
      <c r="A366" s="1" t="s">
        <v>392</v>
      </c>
      <c r="B366" s="1" t="s">
        <v>30</v>
      </c>
      <c r="C366" s="1">
        <v>2</v>
      </c>
      <c r="D366" s="1" t="str">
        <f t="shared" si="10"/>
        <v>F</v>
      </c>
      <c r="E366" s="1" t="str">
        <f t="shared" si="11"/>
        <v>vB7am05 F2</v>
      </c>
    </row>
    <row r="367" spans="1:5" x14ac:dyDescent="0.25">
      <c r="A367" s="1" t="s">
        <v>393</v>
      </c>
      <c r="B367" s="1" t="s">
        <v>30</v>
      </c>
      <c r="C367" s="1">
        <v>2</v>
      </c>
      <c r="D367" s="1" t="str">
        <f t="shared" si="10"/>
        <v>F</v>
      </c>
      <c r="E367" s="1" t="str">
        <f t="shared" si="11"/>
        <v>vB7am06 F2</v>
      </c>
    </row>
    <row r="368" spans="1:5" x14ac:dyDescent="0.25">
      <c r="A368" s="1" t="s">
        <v>394</v>
      </c>
      <c r="B368" s="1" t="s">
        <v>30</v>
      </c>
      <c r="C368" s="1">
        <v>2</v>
      </c>
      <c r="D368" s="1" t="str">
        <f t="shared" si="10"/>
        <v>F</v>
      </c>
      <c r="E368" s="1" t="str">
        <f t="shared" si="11"/>
        <v>vB7am07 F2</v>
      </c>
    </row>
    <row r="369" spans="1:5" x14ac:dyDescent="0.25">
      <c r="A369" s="1" t="s">
        <v>395</v>
      </c>
      <c r="B369" s="1" t="s">
        <v>30</v>
      </c>
      <c r="C369" s="1">
        <v>2</v>
      </c>
      <c r="D369" s="1" t="str">
        <f t="shared" si="10"/>
        <v>F</v>
      </c>
      <c r="E369" s="1" t="str">
        <f t="shared" si="11"/>
        <v>vB7am08 F2</v>
      </c>
    </row>
    <row r="370" spans="1:5" x14ac:dyDescent="0.25">
      <c r="A370" s="1" t="s">
        <v>396</v>
      </c>
      <c r="B370" s="1" t="s">
        <v>30</v>
      </c>
      <c r="C370" s="1">
        <v>2</v>
      </c>
      <c r="D370" s="1" t="str">
        <f t="shared" si="10"/>
        <v>F</v>
      </c>
      <c r="E370" s="1" t="str">
        <f t="shared" si="11"/>
        <v>vB7am09 F2</v>
      </c>
    </row>
    <row r="371" spans="1:5" x14ac:dyDescent="0.25">
      <c r="A371" s="1" t="s">
        <v>397</v>
      </c>
      <c r="B371" s="1" t="s">
        <v>30</v>
      </c>
      <c r="C371" s="1">
        <v>2</v>
      </c>
      <c r="D371" s="1" t="str">
        <f t="shared" si="10"/>
        <v>F</v>
      </c>
      <c r="E371" s="1" t="str">
        <f t="shared" si="11"/>
        <v>vB7am10 F2</v>
      </c>
    </row>
    <row r="372" spans="1:5" x14ac:dyDescent="0.25">
      <c r="A372" s="1" t="s">
        <v>398</v>
      </c>
      <c r="B372" s="1" t="s">
        <v>30</v>
      </c>
      <c r="C372" s="1">
        <v>2</v>
      </c>
      <c r="D372" s="1" t="str">
        <f t="shared" si="10"/>
        <v>F</v>
      </c>
      <c r="E372" s="1" t="str">
        <f t="shared" si="11"/>
        <v>vB7am11 F2</v>
      </c>
    </row>
    <row r="373" spans="1:5" x14ac:dyDescent="0.25">
      <c r="A373" s="1" t="s">
        <v>399</v>
      </c>
      <c r="B373" s="1" t="s">
        <v>30</v>
      </c>
      <c r="C373" s="1">
        <v>2</v>
      </c>
      <c r="D373" s="1" t="str">
        <f t="shared" si="10"/>
        <v>F</v>
      </c>
      <c r="E373" s="1" t="str">
        <f t="shared" si="11"/>
        <v>vB7am12 F2</v>
      </c>
    </row>
    <row r="374" spans="1:5" x14ac:dyDescent="0.25">
      <c r="A374" s="1" t="s">
        <v>400</v>
      </c>
      <c r="B374" s="1" t="s">
        <v>30</v>
      </c>
      <c r="C374" s="1">
        <v>2</v>
      </c>
      <c r="D374" s="1" t="str">
        <f t="shared" si="10"/>
        <v>F</v>
      </c>
      <c r="E374" s="1" t="str">
        <f t="shared" si="11"/>
        <v>vB7am13 F2</v>
      </c>
    </row>
    <row r="375" spans="1:5" x14ac:dyDescent="0.25">
      <c r="A375" s="1" t="s">
        <v>401</v>
      </c>
      <c r="B375" s="1" t="s">
        <v>30</v>
      </c>
      <c r="C375" s="1">
        <v>2</v>
      </c>
      <c r="D375" s="1" t="str">
        <f t="shared" si="10"/>
        <v>F</v>
      </c>
      <c r="E375" s="1" t="str">
        <f t="shared" si="11"/>
        <v>vB7am14 F2</v>
      </c>
    </row>
    <row r="376" spans="1:5" x14ac:dyDescent="0.25">
      <c r="A376" s="1" t="s">
        <v>402</v>
      </c>
      <c r="B376" s="1" t="s">
        <v>30</v>
      </c>
      <c r="C376" s="1">
        <v>2</v>
      </c>
      <c r="D376" s="1" t="str">
        <f t="shared" si="10"/>
        <v>F</v>
      </c>
      <c r="E376" s="1" t="str">
        <f t="shared" si="11"/>
        <v>vB7am15 F2</v>
      </c>
    </row>
    <row r="377" spans="1:5" x14ac:dyDescent="0.25">
      <c r="A377" s="1" t="s">
        <v>403</v>
      </c>
      <c r="B377" s="1" t="s">
        <v>30</v>
      </c>
      <c r="C377" s="1">
        <v>2</v>
      </c>
      <c r="D377" s="1" t="str">
        <f t="shared" si="10"/>
        <v>F</v>
      </c>
      <c r="E377" s="1" t="str">
        <f t="shared" si="11"/>
        <v>vB7am16 F2</v>
      </c>
    </row>
    <row r="378" spans="1:5" x14ac:dyDescent="0.25">
      <c r="A378" s="1" t="s">
        <v>404</v>
      </c>
      <c r="B378" s="1" t="s">
        <v>30</v>
      </c>
      <c r="C378" s="1">
        <v>2</v>
      </c>
      <c r="D378" s="1" t="str">
        <f t="shared" si="10"/>
        <v>F</v>
      </c>
      <c r="E378" s="1" t="str">
        <f t="shared" si="11"/>
        <v>vB7am17 F2</v>
      </c>
    </row>
    <row r="379" spans="1:5" x14ac:dyDescent="0.25">
      <c r="A379" s="1" t="s">
        <v>405</v>
      </c>
      <c r="B379" s="1" t="s">
        <v>30</v>
      </c>
      <c r="C379" s="1">
        <v>2</v>
      </c>
      <c r="D379" s="1" t="str">
        <f t="shared" si="10"/>
        <v>F</v>
      </c>
      <c r="E379" s="1" t="str">
        <f t="shared" si="11"/>
        <v>vB7am18 F2</v>
      </c>
    </row>
    <row r="380" spans="1:5" x14ac:dyDescent="0.25">
      <c r="A380" s="1" t="s">
        <v>406</v>
      </c>
      <c r="B380" s="1" t="s">
        <v>30</v>
      </c>
      <c r="C380" s="1">
        <v>2</v>
      </c>
      <c r="D380" s="1" t="str">
        <f t="shared" si="10"/>
        <v>F</v>
      </c>
      <c r="E380" s="1" t="str">
        <f t="shared" si="11"/>
        <v>vB7am19 F2</v>
      </c>
    </row>
    <row r="381" spans="1:5" x14ac:dyDescent="0.25">
      <c r="A381" s="1" t="s">
        <v>407</v>
      </c>
      <c r="B381" s="1" t="s">
        <v>30</v>
      </c>
      <c r="C381" s="1">
        <v>2</v>
      </c>
      <c r="D381" s="1" t="str">
        <f t="shared" si="10"/>
        <v>F</v>
      </c>
      <c r="E381" s="1" t="str">
        <f t="shared" si="11"/>
        <v>vB7am20 F2</v>
      </c>
    </row>
    <row r="382" spans="1:5" x14ac:dyDescent="0.25">
      <c r="A382" s="1" t="s">
        <v>408</v>
      </c>
      <c r="B382" s="1" t="s">
        <v>30</v>
      </c>
      <c r="C382" s="1">
        <v>2</v>
      </c>
      <c r="D382" s="1" t="str">
        <f t="shared" si="10"/>
        <v>F</v>
      </c>
      <c r="E382" s="1" t="str">
        <f t="shared" si="11"/>
        <v>vB7am21 F2</v>
      </c>
    </row>
    <row r="383" spans="1:5" x14ac:dyDescent="0.25">
      <c r="A383" s="1" t="s">
        <v>409</v>
      </c>
      <c r="B383" s="1" t="s">
        <v>30</v>
      </c>
      <c r="C383" s="1">
        <v>2</v>
      </c>
      <c r="D383" s="1" t="str">
        <f t="shared" si="10"/>
        <v>F</v>
      </c>
      <c r="E383" s="1" t="str">
        <f t="shared" si="11"/>
        <v>vB7am22 F2</v>
      </c>
    </row>
    <row r="384" spans="1:5" x14ac:dyDescent="0.25">
      <c r="A384" s="1" t="s">
        <v>410</v>
      </c>
      <c r="B384" s="1" t="s">
        <v>30</v>
      </c>
      <c r="C384" s="1">
        <v>2</v>
      </c>
      <c r="D384" s="1" t="str">
        <f t="shared" si="10"/>
        <v>F</v>
      </c>
      <c r="E384" s="1" t="str">
        <f t="shared" si="11"/>
        <v>vB7am23 F2</v>
      </c>
    </row>
    <row r="385" spans="1:5" x14ac:dyDescent="0.25">
      <c r="A385" s="1" t="s">
        <v>411</v>
      </c>
      <c r="B385" s="1" t="s">
        <v>30</v>
      </c>
      <c r="C385" s="1">
        <v>2</v>
      </c>
      <c r="D385" s="1" t="str">
        <f t="shared" si="10"/>
        <v>F</v>
      </c>
      <c r="E385" s="1" t="str">
        <f t="shared" si="11"/>
        <v>vB7am24 F2</v>
      </c>
    </row>
    <row r="386" spans="1:5" x14ac:dyDescent="0.25">
      <c r="A386" s="1" t="s">
        <v>412</v>
      </c>
      <c r="B386" s="1" t="s">
        <v>30</v>
      </c>
      <c r="C386" s="1">
        <v>2</v>
      </c>
      <c r="D386" s="1" t="str">
        <f t="shared" ref="D386:D449" si="12">IF(B386="數值","F","A")</f>
        <v>F</v>
      </c>
      <c r="E386" s="1" t="str">
        <f t="shared" ref="E386:E449" si="13">A386&amp;" "&amp;D386&amp;C386</f>
        <v>vB7am25 F2</v>
      </c>
    </row>
    <row r="387" spans="1:5" x14ac:dyDescent="0.25">
      <c r="A387" s="1" t="s">
        <v>413</v>
      </c>
      <c r="B387" s="1" t="s">
        <v>30</v>
      </c>
      <c r="C387" s="1">
        <v>2</v>
      </c>
      <c r="D387" s="1" t="str">
        <f t="shared" si="12"/>
        <v>F</v>
      </c>
      <c r="E387" s="1" t="str">
        <f t="shared" si="13"/>
        <v>vB7am26 F2</v>
      </c>
    </row>
    <row r="388" spans="1:5" x14ac:dyDescent="0.25">
      <c r="A388" s="1" t="s">
        <v>414</v>
      </c>
      <c r="B388" s="1" t="s">
        <v>30</v>
      </c>
      <c r="C388" s="1">
        <v>2</v>
      </c>
      <c r="D388" s="1" t="str">
        <f t="shared" si="12"/>
        <v>F</v>
      </c>
      <c r="E388" s="1" t="str">
        <f t="shared" si="13"/>
        <v>vB7am27 F2</v>
      </c>
    </row>
    <row r="389" spans="1:5" x14ac:dyDescent="0.25">
      <c r="A389" s="1" t="s">
        <v>415</v>
      </c>
      <c r="B389" s="1" t="s">
        <v>30</v>
      </c>
      <c r="C389" s="1">
        <v>2</v>
      </c>
      <c r="D389" s="1" t="str">
        <f t="shared" si="12"/>
        <v>F</v>
      </c>
      <c r="E389" s="1" t="str">
        <f t="shared" si="13"/>
        <v>vB7am28 F2</v>
      </c>
    </row>
    <row r="390" spans="1:5" x14ac:dyDescent="0.25">
      <c r="A390" s="1" t="s">
        <v>416</v>
      </c>
      <c r="B390" s="1" t="s">
        <v>30</v>
      </c>
      <c r="C390" s="1">
        <v>2</v>
      </c>
      <c r="D390" s="1" t="str">
        <f t="shared" si="12"/>
        <v>F</v>
      </c>
      <c r="E390" s="1" t="str">
        <f t="shared" si="13"/>
        <v>vB7am29 F2</v>
      </c>
    </row>
    <row r="391" spans="1:5" x14ac:dyDescent="0.25">
      <c r="A391" s="1" t="s">
        <v>417</v>
      </c>
      <c r="B391" s="1" t="s">
        <v>30</v>
      </c>
      <c r="C391" s="1">
        <v>2</v>
      </c>
      <c r="D391" s="1" t="str">
        <f t="shared" si="12"/>
        <v>F</v>
      </c>
      <c r="E391" s="1" t="str">
        <f t="shared" si="13"/>
        <v>vB7am30 F2</v>
      </c>
    </row>
    <row r="392" spans="1:5" x14ac:dyDescent="0.25">
      <c r="A392" s="1" t="s">
        <v>418</v>
      </c>
      <c r="B392" s="1" t="s">
        <v>30</v>
      </c>
      <c r="C392" s="1">
        <v>2</v>
      </c>
      <c r="D392" s="1" t="str">
        <f t="shared" si="12"/>
        <v>F</v>
      </c>
      <c r="E392" s="1" t="str">
        <f t="shared" si="13"/>
        <v>vB7am31 F2</v>
      </c>
    </row>
    <row r="393" spans="1:5" x14ac:dyDescent="0.25">
      <c r="A393" s="1" t="s">
        <v>419</v>
      </c>
      <c r="B393" s="1" t="s">
        <v>30</v>
      </c>
      <c r="C393" s="1">
        <v>2</v>
      </c>
      <c r="D393" s="1" t="str">
        <f t="shared" si="12"/>
        <v>F</v>
      </c>
      <c r="E393" s="1" t="str">
        <f t="shared" si="13"/>
        <v>vB7am32 F2</v>
      </c>
    </row>
    <row r="394" spans="1:5" x14ac:dyDescent="0.25">
      <c r="A394" s="1" t="s">
        <v>420</v>
      </c>
      <c r="B394" s="1" t="s">
        <v>30</v>
      </c>
      <c r="C394" s="1">
        <v>2</v>
      </c>
      <c r="D394" s="1" t="str">
        <f t="shared" si="12"/>
        <v>F</v>
      </c>
      <c r="E394" s="1" t="str">
        <f t="shared" si="13"/>
        <v>vB7am33 F2</v>
      </c>
    </row>
    <row r="395" spans="1:5" x14ac:dyDescent="0.25">
      <c r="A395" s="1" t="s">
        <v>421</v>
      </c>
      <c r="B395" s="1" t="s">
        <v>30</v>
      </c>
      <c r="C395" s="1">
        <v>2</v>
      </c>
      <c r="D395" s="1" t="str">
        <f t="shared" si="12"/>
        <v>F</v>
      </c>
      <c r="E395" s="1" t="str">
        <f t="shared" si="13"/>
        <v>vB7am34 F2</v>
      </c>
    </row>
    <row r="396" spans="1:5" x14ac:dyDescent="0.25">
      <c r="A396" s="1" t="s">
        <v>422</v>
      </c>
      <c r="B396" s="1" t="s">
        <v>30</v>
      </c>
      <c r="C396" s="1">
        <v>2</v>
      </c>
      <c r="D396" s="1" t="str">
        <f t="shared" si="12"/>
        <v>F</v>
      </c>
      <c r="E396" s="1" t="str">
        <f t="shared" si="13"/>
        <v>vB7am35 F2</v>
      </c>
    </row>
    <row r="397" spans="1:5" x14ac:dyDescent="0.25">
      <c r="A397" s="1" t="s">
        <v>423</v>
      </c>
      <c r="B397" s="1" t="s">
        <v>30</v>
      </c>
      <c r="C397" s="1">
        <v>2</v>
      </c>
      <c r="D397" s="1" t="str">
        <f t="shared" si="12"/>
        <v>F</v>
      </c>
      <c r="E397" s="1" t="str">
        <f t="shared" si="13"/>
        <v>vB7am36 F2</v>
      </c>
    </row>
    <row r="398" spans="1:5" x14ac:dyDescent="0.25">
      <c r="A398" s="1" t="s">
        <v>424</v>
      </c>
      <c r="B398" s="1" t="s">
        <v>30</v>
      </c>
      <c r="C398" s="1">
        <v>2</v>
      </c>
      <c r="D398" s="1" t="str">
        <f t="shared" si="12"/>
        <v>F</v>
      </c>
      <c r="E398" s="1" t="str">
        <f t="shared" si="13"/>
        <v>vB7am37 F2</v>
      </c>
    </row>
    <row r="399" spans="1:5" x14ac:dyDescent="0.25">
      <c r="A399" s="1" t="s">
        <v>425</v>
      </c>
      <c r="B399" s="1" t="s">
        <v>30</v>
      </c>
      <c r="C399" s="1">
        <v>2</v>
      </c>
      <c r="D399" s="1" t="str">
        <f t="shared" si="12"/>
        <v>F</v>
      </c>
      <c r="E399" s="1" t="str">
        <f t="shared" si="13"/>
        <v>vB7am38 F2</v>
      </c>
    </row>
    <row r="400" spans="1:5" x14ac:dyDescent="0.25">
      <c r="A400" s="1" t="s">
        <v>426</v>
      </c>
      <c r="B400" s="1" t="s">
        <v>30</v>
      </c>
      <c r="C400" s="1">
        <v>2</v>
      </c>
      <c r="D400" s="1" t="str">
        <f t="shared" si="12"/>
        <v>F</v>
      </c>
      <c r="E400" s="1" t="str">
        <f t="shared" si="13"/>
        <v>vB7am39 F2</v>
      </c>
    </row>
    <row r="401" spans="1:5" x14ac:dyDescent="0.25">
      <c r="A401" s="1" t="s">
        <v>427</v>
      </c>
      <c r="B401" s="1" t="s">
        <v>30</v>
      </c>
      <c r="C401" s="1">
        <v>2</v>
      </c>
      <c r="D401" s="1" t="str">
        <f t="shared" si="12"/>
        <v>F</v>
      </c>
      <c r="E401" s="1" t="str">
        <f t="shared" si="13"/>
        <v>vB7am40 F2</v>
      </c>
    </row>
    <row r="402" spans="1:5" x14ac:dyDescent="0.25">
      <c r="A402" s="1" t="s">
        <v>428</v>
      </c>
      <c r="B402" s="1" t="s">
        <v>30</v>
      </c>
      <c r="C402" s="1">
        <v>2</v>
      </c>
      <c r="D402" s="1" t="str">
        <f t="shared" si="12"/>
        <v>F</v>
      </c>
      <c r="E402" s="1" t="str">
        <f t="shared" si="13"/>
        <v>vB7am41 F2</v>
      </c>
    </row>
    <row r="403" spans="1:5" x14ac:dyDescent="0.25">
      <c r="A403" s="1" t="s">
        <v>429</v>
      </c>
      <c r="B403" s="1" t="s">
        <v>30</v>
      </c>
      <c r="C403" s="1">
        <v>2</v>
      </c>
      <c r="D403" s="1" t="str">
        <f t="shared" si="12"/>
        <v>F</v>
      </c>
      <c r="E403" s="1" t="str">
        <f t="shared" si="13"/>
        <v>vB7am42 F2</v>
      </c>
    </row>
    <row r="404" spans="1:5" x14ac:dyDescent="0.25">
      <c r="A404" s="1" t="s">
        <v>430</v>
      </c>
      <c r="B404" s="1" t="s">
        <v>30</v>
      </c>
      <c r="C404" s="1">
        <v>2</v>
      </c>
      <c r="D404" s="1" t="str">
        <f t="shared" si="12"/>
        <v>F</v>
      </c>
      <c r="E404" s="1" t="str">
        <f t="shared" si="13"/>
        <v>vB7am43 F2</v>
      </c>
    </row>
    <row r="405" spans="1:5" x14ac:dyDescent="0.25">
      <c r="A405" s="1" t="s">
        <v>431</v>
      </c>
      <c r="B405" s="1" t="s">
        <v>30</v>
      </c>
      <c r="C405" s="1">
        <v>2</v>
      </c>
      <c r="D405" s="1" t="str">
        <f t="shared" si="12"/>
        <v>F</v>
      </c>
      <c r="E405" s="1" t="str">
        <f t="shared" si="13"/>
        <v>vB7am44 F2</v>
      </c>
    </row>
    <row r="406" spans="1:5" x14ac:dyDescent="0.25">
      <c r="A406" s="1" t="s">
        <v>432</v>
      </c>
      <c r="B406" s="1" t="s">
        <v>30</v>
      </c>
      <c r="C406" s="1">
        <v>2</v>
      </c>
      <c r="D406" s="1" t="str">
        <f t="shared" si="12"/>
        <v>F</v>
      </c>
      <c r="E406" s="1" t="str">
        <f t="shared" si="13"/>
        <v>vB7am45 F2</v>
      </c>
    </row>
    <row r="407" spans="1:5" x14ac:dyDescent="0.25">
      <c r="A407" s="1" t="s">
        <v>433</v>
      </c>
      <c r="B407" s="1" t="s">
        <v>30</v>
      </c>
      <c r="C407" s="1">
        <v>2</v>
      </c>
      <c r="D407" s="1" t="str">
        <f t="shared" si="12"/>
        <v>F</v>
      </c>
      <c r="E407" s="1" t="str">
        <f t="shared" si="13"/>
        <v>vB7am46 F2</v>
      </c>
    </row>
    <row r="408" spans="1:5" x14ac:dyDescent="0.25">
      <c r="A408" s="1" t="s">
        <v>434</v>
      </c>
      <c r="B408" s="1" t="s">
        <v>30</v>
      </c>
      <c r="C408" s="1">
        <v>2</v>
      </c>
      <c r="D408" s="1" t="str">
        <f t="shared" si="12"/>
        <v>F</v>
      </c>
      <c r="E408" s="1" t="str">
        <f t="shared" si="13"/>
        <v>vB7am47 F2</v>
      </c>
    </row>
    <row r="409" spans="1:5" x14ac:dyDescent="0.25">
      <c r="A409" s="1" t="s">
        <v>435</v>
      </c>
      <c r="B409" s="1" t="s">
        <v>30</v>
      </c>
      <c r="C409" s="1">
        <v>2</v>
      </c>
      <c r="D409" s="1" t="str">
        <f t="shared" si="12"/>
        <v>F</v>
      </c>
      <c r="E409" s="1" t="str">
        <f t="shared" si="13"/>
        <v>vB7am48 F2</v>
      </c>
    </row>
    <row r="410" spans="1:5" x14ac:dyDescent="0.25">
      <c r="A410" s="1" t="s">
        <v>436</v>
      </c>
      <c r="B410" s="1" t="s">
        <v>30</v>
      </c>
      <c r="C410" s="1">
        <v>2</v>
      </c>
      <c r="D410" s="1" t="str">
        <f t="shared" si="12"/>
        <v>F</v>
      </c>
      <c r="E410" s="1" t="str">
        <f t="shared" si="13"/>
        <v>vB7am49 F2</v>
      </c>
    </row>
    <row r="411" spans="1:5" x14ac:dyDescent="0.25">
      <c r="A411" s="1" t="s">
        <v>437</v>
      </c>
      <c r="B411" s="1" t="s">
        <v>30</v>
      </c>
      <c r="C411" s="1">
        <v>2</v>
      </c>
      <c r="D411" s="1" t="str">
        <f t="shared" si="12"/>
        <v>F</v>
      </c>
      <c r="E411" s="1" t="str">
        <f t="shared" si="13"/>
        <v>vB7am50 F2</v>
      </c>
    </row>
    <row r="412" spans="1:5" x14ac:dyDescent="0.25">
      <c r="A412" s="1" t="s">
        <v>438</v>
      </c>
      <c r="B412" s="1" t="s">
        <v>30</v>
      </c>
      <c r="C412" s="1">
        <v>2</v>
      </c>
      <c r="D412" s="1" t="str">
        <f t="shared" si="12"/>
        <v>F</v>
      </c>
      <c r="E412" s="1" t="str">
        <f t="shared" si="13"/>
        <v>vB7am51 F2</v>
      </c>
    </row>
    <row r="413" spans="1:5" x14ac:dyDescent="0.25">
      <c r="A413" s="1" t="s">
        <v>439</v>
      </c>
      <c r="B413" s="1" t="s">
        <v>30</v>
      </c>
      <c r="C413" s="1">
        <v>2</v>
      </c>
      <c r="D413" s="1" t="str">
        <f t="shared" si="12"/>
        <v>F</v>
      </c>
      <c r="E413" s="1" t="str">
        <f t="shared" si="13"/>
        <v>vB7am52 F2</v>
      </c>
    </row>
    <row r="414" spans="1:5" x14ac:dyDescent="0.25">
      <c r="A414" s="1" t="s">
        <v>440</v>
      </c>
      <c r="B414" s="1" t="s">
        <v>30</v>
      </c>
      <c r="C414" s="1">
        <v>2</v>
      </c>
      <c r="D414" s="1" t="str">
        <f t="shared" si="12"/>
        <v>F</v>
      </c>
      <c r="E414" s="1" t="str">
        <f t="shared" si="13"/>
        <v>vB7am53 F2</v>
      </c>
    </row>
    <row r="415" spans="1:5" x14ac:dyDescent="0.25">
      <c r="A415" s="1" t="s">
        <v>441</v>
      </c>
      <c r="B415" s="1" t="s">
        <v>30</v>
      </c>
      <c r="C415" s="1">
        <v>2</v>
      </c>
      <c r="D415" s="1" t="str">
        <f t="shared" si="12"/>
        <v>F</v>
      </c>
      <c r="E415" s="1" t="str">
        <f t="shared" si="13"/>
        <v>vB7am54 F2</v>
      </c>
    </row>
    <row r="416" spans="1:5" x14ac:dyDescent="0.25">
      <c r="A416" s="1" t="s">
        <v>442</v>
      </c>
      <c r="B416" s="1" t="s">
        <v>30</v>
      </c>
      <c r="C416" s="1">
        <v>2</v>
      </c>
      <c r="D416" s="1" t="str">
        <f t="shared" si="12"/>
        <v>F</v>
      </c>
      <c r="E416" s="1" t="str">
        <f t="shared" si="13"/>
        <v>vB7am88 F2</v>
      </c>
    </row>
    <row r="417" spans="1:5" x14ac:dyDescent="0.25">
      <c r="A417" s="1" t="s">
        <v>443</v>
      </c>
      <c r="B417" s="1" t="s">
        <v>27</v>
      </c>
      <c r="C417" s="1">
        <v>150</v>
      </c>
      <c r="D417" s="1" t="str">
        <f t="shared" si="12"/>
        <v>A</v>
      </c>
      <c r="E417" s="1" t="str">
        <f t="shared" si="13"/>
        <v>vB7ao88 A150</v>
      </c>
    </row>
    <row r="418" spans="1:5" x14ac:dyDescent="0.25">
      <c r="A418" s="1" t="s">
        <v>444</v>
      </c>
      <c r="B418" s="1" t="s">
        <v>30</v>
      </c>
      <c r="C418" s="1">
        <v>2</v>
      </c>
      <c r="D418" s="1" t="str">
        <f t="shared" si="12"/>
        <v>F</v>
      </c>
      <c r="E418" s="1" t="str">
        <f t="shared" si="13"/>
        <v>vB7 F2</v>
      </c>
    </row>
    <row r="419" spans="1:5" x14ac:dyDescent="0.25">
      <c r="A419" s="1" t="s">
        <v>445</v>
      </c>
      <c r="B419" s="1" t="s">
        <v>27</v>
      </c>
      <c r="C419" s="1">
        <v>150</v>
      </c>
      <c r="D419" s="1" t="str">
        <f t="shared" si="12"/>
        <v>A</v>
      </c>
      <c r="E419" s="1" t="str">
        <f t="shared" si="13"/>
        <v>vB7o88 A150</v>
      </c>
    </row>
    <row r="420" spans="1:5" x14ac:dyDescent="0.25">
      <c r="A420" s="1" t="s">
        <v>446</v>
      </c>
      <c r="B420" s="1" t="s">
        <v>30</v>
      </c>
      <c r="C420" s="1">
        <v>2</v>
      </c>
      <c r="D420" s="1" t="str">
        <f t="shared" si="12"/>
        <v>F</v>
      </c>
      <c r="E420" s="1" t="str">
        <f t="shared" si="13"/>
        <v>vB8m01 F2</v>
      </c>
    </row>
    <row r="421" spans="1:5" x14ac:dyDescent="0.25">
      <c r="A421" s="1" t="s">
        <v>447</v>
      </c>
      <c r="B421" s="1" t="s">
        <v>30</v>
      </c>
      <c r="C421" s="1">
        <v>2</v>
      </c>
      <c r="D421" s="1" t="str">
        <f t="shared" si="12"/>
        <v>F</v>
      </c>
      <c r="E421" s="1" t="str">
        <f t="shared" si="13"/>
        <v>vB8m02 F2</v>
      </c>
    </row>
    <row r="422" spans="1:5" x14ac:dyDescent="0.25">
      <c r="A422" s="1" t="s">
        <v>448</v>
      </c>
      <c r="B422" s="1" t="s">
        <v>30</v>
      </c>
      <c r="C422" s="1">
        <v>2</v>
      </c>
      <c r="D422" s="1" t="str">
        <f t="shared" si="12"/>
        <v>F</v>
      </c>
      <c r="E422" s="1" t="str">
        <f t="shared" si="13"/>
        <v>vB8m03 F2</v>
      </c>
    </row>
    <row r="423" spans="1:5" x14ac:dyDescent="0.25">
      <c r="A423" s="1" t="s">
        <v>449</v>
      </c>
      <c r="B423" s="1" t="s">
        <v>30</v>
      </c>
      <c r="C423" s="1">
        <v>2</v>
      </c>
      <c r="D423" s="1" t="str">
        <f t="shared" si="12"/>
        <v>F</v>
      </c>
      <c r="E423" s="1" t="str">
        <f t="shared" si="13"/>
        <v>vB8m04 F2</v>
      </c>
    </row>
    <row r="424" spans="1:5" x14ac:dyDescent="0.25">
      <c r="A424" s="1" t="s">
        <v>450</v>
      </c>
      <c r="B424" s="1" t="s">
        <v>30</v>
      </c>
      <c r="C424" s="1">
        <v>2</v>
      </c>
      <c r="D424" s="1" t="str">
        <f t="shared" si="12"/>
        <v>F</v>
      </c>
      <c r="E424" s="1" t="str">
        <f t="shared" si="13"/>
        <v>vB8m05 F2</v>
      </c>
    </row>
    <row r="425" spans="1:5" x14ac:dyDescent="0.25">
      <c r="A425" s="1" t="s">
        <v>451</v>
      </c>
      <c r="B425" s="1" t="s">
        <v>30</v>
      </c>
      <c r="C425" s="1">
        <v>2</v>
      </c>
      <c r="D425" s="1" t="str">
        <f t="shared" si="12"/>
        <v>F</v>
      </c>
      <c r="E425" s="1" t="str">
        <f t="shared" si="13"/>
        <v>vB8m06 F2</v>
      </c>
    </row>
    <row r="426" spans="1:5" x14ac:dyDescent="0.25">
      <c r="A426" s="1" t="s">
        <v>452</v>
      </c>
      <c r="B426" s="1" t="s">
        <v>30</v>
      </c>
      <c r="C426" s="1">
        <v>2</v>
      </c>
      <c r="D426" s="1" t="str">
        <f t="shared" si="12"/>
        <v>F</v>
      </c>
      <c r="E426" s="1" t="str">
        <f t="shared" si="13"/>
        <v>vB8m07 F2</v>
      </c>
    </row>
    <row r="427" spans="1:5" x14ac:dyDescent="0.25">
      <c r="A427" s="1" t="s">
        <v>453</v>
      </c>
      <c r="B427" s="1" t="s">
        <v>30</v>
      </c>
      <c r="C427" s="1">
        <v>2</v>
      </c>
      <c r="D427" s="1" t="str">
        <f t="shared" si="12"/>
        <v>F</v>
      </c>
      <c r="E427" s="1" t="str">
        <f t="shared" si="13"/>
        <v>vB8m08 F2</v>
      </c>
    </row>
    <row r="428" spans="1:5" x14ac:dyDescent="0.25">
      <c r="A428" s="1" t="s">
        <v>454</v>
      </c>
      <c r="B428" s="1" t="s">
        <v>30</v>
      </c>
      <c r="C428" s="1">
        <v>2</v>
      </c>
      <c r="D428" s="1" t="str">
        <f t="shared" si="12"/>
        <v>F</v>
      </c>
      <c r="E428" s="1" t="str">
        <f t="shared" si="13"/>
        <v>vB8m09 F2</v>
      </c>
    </row>
    <row r="429" spans="1:5" x14ac:dyDescent="0.25">
      <c r="A429" s="1" t="s">
        <v>455</v>
      </c>
      <c r="B429" s="1" t="s">
        <v>30</v>
      </c>
      <c r="C429" s="1">
        <v>2</v>
      </c>
      <c r="D429" s="1" t="str">
        <f t="shared" si="12"/>
        <v>F</v>
      </c>
      <c r="E429" s="1" t="str">
        <f t="shared" si="13"/>
        <v>vB8m10 F2</v>
      </c>
    </row>
    <row r="430" spans="1:5" x14ac:dyDescent="0.25">
      <c r="A430" s="1" t="s">
        <v>456</v>
      </c>
      <c r="B430" s="1" t="s">
        <v>30</v>
      </c>
      <c r="C430" s="1">
        <v>2</v>
      </c>
      <c r="D430" s="1" t="str">
        <f t="shared" si="12"/>
        <v>F</v>
      </c>
      <c r="E430" s="1" t="str">
        <f t="shared" si="13"/>
        <v>vB8m88 F2</v>
      </c>
    </row>
    <row r="431" spans="1:5" x14ac:dyDescent="0.25">
      <c r="A431" s="1" t="s">
        <v>457</v>
      </c>
      <c r="B431" s="1" t="s">
        <v>27</v>
      </c>
      <c r="C431" s="1">
        <v>150</v>
      </c>
      <c r="D431" s="1" t="str">
        <f t="shared" si="12"/>
        <v>A</v>
      </c>
      <c r="E431" s="1" t="str">
        <f t="shared" si="13"/>
        <v>vB8o88 A150</v>
      </c>
    </row>
    <row r="432" spans="1:5" x14ac:dyDescent="0.25">
      <c r="A432" s="1" t="s">
        <v>458</v>
      </c>
      <c r="B432" s="1" t="s">
        <v>30</v>
      </c>
      <c r="C432" s="1">
        <v>4</v>
      </c>
      <c r="D432" s="1" t="str">
        <f t="shared" si="12"/>
        <v>F</v>
      </c>
      <c r="E432" s="1" t="str">
        <f t="shared" si="13"/>
        <v>vI1 F4</v>
      </c>
    </row>
    <row r="433" spans="1:5" x14ac:dyDescent="0.25">
      <c r="A433" s="1" t="s">
        <v>459</v>
      </c>
      <c r="B433" s="1" t="s">
        <v>30</v>
      </c>
      <c r="C433" s="1">
        <v>5</v>
      </c>
      <c r="D433" s="1" t="str">
        <f t="shared" si="12"/>
        <v>F</v>
      </c>
      <c r="E433" s="1" t="str">
        <f t="shared" si="13"/>
        <v>vI2 F5</v>
      </c>
    </row>
    <row r="434" spans="1:5" x14ac:dyDescent="0.25">
      <c r="A434" s="1" t="s">
        <v>460</v>
      </c>
      <c r="B434" s="1" t="s">
        <v>30</v>
      </c>
      <c r="C434" s="1">
        <v>4</v>
      </c>
      <c r="D434" s="1" t="str">
        <f t="shared" si="12"/>
        <v>F</v>
      </c>
      <c r="E434" s="1" t="str">
        <f t="shared" si="13"/>
        <v>vI3 F4</v>
      </c>
    </row>
    <row r="435" spans="1:5" x14ac:dyDescent="0.25">
      <c r="A435" s="1" t="s">
        <v>461</v>
      </c>
      <c r="B435" s="1" t="s">
        <v>30</v>
      </c>
      <c r="C435" s="1">
        <v>5</v>
      </c>
      <c r="D435" s="1" t="str">
        <f t="shared" si="12"/>
        <v>F</v>
      </c>
      <c r="E435" s="1" t="str">
        <f t="shared" si="13"/>
        <v>vI4 F5</v>
      </c>
    </row>
    <row r="436" spans="1:5" x14ac:dyDescent="0.25">
      <c r="A436" s="1" t="s">
        <v>462</v>
      </c>
      <c r="B436" s="1" t="s">
        <v>30</v>
      </c>
      <c r="C436" s="1">
        <v>2</v>
      </c>
      <c r="D436" s="1" t="str">
        <f t="shared" si="12"/>
        <v>F</v>
      </c>
      <c r="E436" s="1" t="str">
        <f t="shared" si="13"/>
        <v>vCKI4 F2</v>
      </c>
    </row>
    <row r="437" spans="1:5" x14ac:dyDescent="0.25">
      <c r="A437" s="1" t="s">
        <v>463</v>
      </c>
      <c r="B437" s="1" t="s">
        <v>30</v>
      </c>
      <c r="C437" s="1">
        <v>4</v>
      </c>
      <c r="D437" s="1" t="str">
        <f t="shared" si="12"/>
        <v>F</v>
      </c>
      <c r="E437" s="1" t="str">
        <f t="shared" si="13"/>
        <v>vG1 F4</v>
      </c>
    </row>
    <row r="438" spans="1:5" x14ac:dyDescent="0.25">
      <c r="A438" s="1" t="s">
        <v>464</v>
      </c>
      <c r="B438" s="1" t="s">
        <v>30</v>
      </c>
      <c r="C438" s="1">
        <v>5</v>
      </c>
      <c r="D438" s="1" t="str">
        <f t="shared" si="12"/>
        <v>F</v>
      </c>
      <c r="E438" s="1" t="str">
        <f t="shared" si="13"/>
        <v>vG2 F5</v>
      </c>
    </row>
    <row r="439" spans="1:5" x14ac:dyDescent="0.25">
      <c r="A439" s="1" t="s">
        <v>465</v>
      </c>
      <c r="B439" s="1" t="s">
        <v>30</v>
      </c>
      <c r="C439" s="1">
        <v>2</v>
      </c>
      <c r="D439" s="1" t="str">
        <f t="shared" si="12"/>
        <v>F</v>
      </c>
      <c r="E439" s="1" t="str">
        <f t="shared" si="13"/>
        <v>vG3m01 F2</v>
      </c>
    </row>
    <row r="440" spans="1:5" x14ac:dyDescent="0.25">
      <c r="A440" s="1" t="s">
        <v>466</v>
      </c>
      <c r="B440" s="1" t="s">
        <v>30</v>
      </c>
      <c r="C440" s="1">
        <v>2</v>
      </c>
      <c r="D440" s="1" t="str">
        <f t="shared" si="12"/>
        <v>F</v>
      </c>
      <c r="E440" s="1" t="str">
        <f t="shared" si="13"/>
        <v>vG3m02 F2</v>
      </c>
    </row>
    <row r="441" spans="1:5" x14ac:dyDescent="0.25">
      <c r="A441" s="1" t="s">
        <v>467</v>
      </c>
      <c r="B441" s="1" t="s">
        <v>30</v>
      </c>
      <c r="C441" s="1">
        <v>2</v>
      </c>
      <c r="D441" s="1" t="str">
        <f t="shared" si="12"/>
        <v>F</v>
      </c>
      <c r="E441" s="1" t="str">
        <f t="shared" si="13"/>
        <v>vG3m03 F2</v>
      </c>
    </row>
    <row r="442" spans="1:5" x14ac:dyDescent="0.25">
      <c r="A442" s="1" t="s">
        <v>468</v>
      </c>
      <c r="B442" s="1" t="s">
        <v>30</v>
      </c>
      <c r="C442" s="1">
        <v>2</v>
      </c>
      <c r="D442" s="1" t="str">
        <f t="shared" si="12"/>
        <v>F</v>
      </c>
      <c r="E442" s="1" t="str">
        <f t="shared" si="13"/>
        <v>vG3m04 F2</v>
      </c>
    </row>
    <row r="443" spans="1:5" x14ac:dyDescent="0.25">
      <c r="A443" s="1" t="s">
        <v>469</v>
      </c>
      <c r="B443" s="1" t="s">
        <v>30</v>
      </c>
      <c r="C443" s="1">
        <v>2</v>
      </c>
      <c r="D443" s="1" t="str">
        <f t="shared" si="12"/>
        <v>F</v>
      </c>
      <c r="E443" s="1" t="str">
        <f t="shared" si="13"/>
        <v>vG3m05 F2</v>
      </c>
    </row>
    <row r="444" spans="1:5" x14ac:dyDescent="0.25">
      <c r="A444" s="1" t="s">
        <v>470</v>
      </c>
      <c r="B444" s="1" t="s">
        <v>30</v>
      </c>
      <c r="C444" s="1">
        <v>2</v>
      </c>
      <c r="D444" s="1" t="str">
        <f t="shared" si="12"/>
        <v>F</v>
      </c>
      <c r="E444" s="1" t="str">
        <f t="shared" si="13"/>
        <v>vG3m06 F2</v>
      </c>
    </row>
    <row r="445" spans="1:5" x14ac:dyDescent="0.25">
      <c r="A445" s="1" t="s">
        <v>471</v>
      </c>
      <c r="B445" s="1" t="s">
        <v>30</v>
      </c>
      <c r="C445" s="1">
        <v>2</v>
      </c>
      <c r="D445" s="1" t="str">
        <f t="shared" si="12"/>
        <v>F</v>
      </c>
      <c r="E445" s="1" t="str">
        <f t="shared" si="13"/>
        <v>vG3m07 F2</v>
      </c>
    </row>
    <row r="446" spans="1:5" x14ac:dyDescent="0.25">
      <c r="A446" s="1" t="s">
        <v>472</v>
      </c>
      <c r="B446" s="1" t="s">
        <v>30</v>
      </c>
      <c r="C446" s="1">
        <v>2</v>
      </c>
      <c r="D446" s="1" t="str">
        <f t="shared" si="12"/>
        <v>F</v>
      </c>
      <c r="E446" s="1" t="str">
        <f t="shared" si="13"/>
        <v>vG3m08 F2</v>
      </c>
    </row>
    <row r="447" spans="1:5" x14ac:dyDescent="0.25">
      <c r="A447" s="1" t="s">
        <v>473</v>
      </c>
      <c r="B447" s="1" t="s">
        <v>30</v>
      </c>
      <c r="C447" s="1">
        <v>2</v>
      </c>
      <c r="D447" s="1" t="str">
        <f t="shared" si="12"/>
        <v>F</v>
      </c>
      <c r="E447" s="1" t="str">
        <f t="shared" si="13"/>
        <v>vG3m09 F2</v>
      </c>
    </row>
    <row r="448" spans="1:5" x14ac:dyDescent="0.25">
      <c r="A448" s="1" t="s">
        <v>474</v>
      </c>
      <c r="B448" s="1" t="s">
        <v>30</v>
      </c>
      <c r="C448" s="1">
        <v>2</v>
      </c>
      <c r="D448" s="1" t="str">
        <f t="shared" si="12"/>
        <v>F</v>
      </c>
      <c r="E448" s="1" t="str">
        <f t="shared" si="13"/>
        <v>vG3m10 F2</v>
      </c>
    </row>
    <row r="449" spans="1:5" x14ac:dyDescent="0.25">
      <c r="A449" s="1" t="s">
        <v>475</v>
      </c>
      <c r="B449" s="1" t="s">
        <v>30</v>
      </c>
      <c r="C449" s="1">
        <v>2</v>
      </c>
      <c r="D449" s="1" t="str">
        <f t="shared" si="12"/>
        <v>F</v>
      </c>
      <c r="E449" s="1" t="str">
        <f t="shared" si="13"/>
        <v>vG3m11 F2</v>
      </c>
    </row>
    <row r="450" spans="1:5" x14ac:dyDescent="0.25">
      <c r="A450" s="1" t="s">
        <v>476</v>
      </c>
      <c r="B450" s="1" t="s">
        <v>30</v>
      </c>
      <c r="C450" s="1">
        <v>2</v>
      </c>
      <c r="D450" s="1" t="str">
        <f t="shared" ref="D450:D513" si="14">IF(B450="數值","F","A")</f>
        <v>F</v>
      </c>
      <c r="E450" s="1" t="str">
        <f t="shared" ref="E450:E513" si="15">A450&amp;" "&amp;D450&amp;C450</f>
        <v>vG3m12 F2</v>
      </c>
    </row>
    <row r="451" spans="1:5" x14ac:dyDescent="0.25">
      <c r="A451" s="1" t="s">
        <v>477</v>
      </c>
      <c r="B451" s="1" t="s">
        <v>30</v>
      </c>
      <c r="C451" s="1">
        <v>2</v>
      </c>
      <c r="D451" s="1" t="str">
        <f t="shared" si="14"/>
        <v>F</v>
      </c>
      <c r="E451" s="1" t="str">
        <f t="shared" si="15"/>
        <v>vG3m13 F2</v>
      </c>
    </row>
    <row r="452" spans="1:5" x14ac:dyDescent="0.25">
      <c r="A452" s="1" t="s">
        <v>478</v>
      </c>
      <c r="B452" s="1" t="s">
        <v>30</v>
      </c>
      <c r="C452" s="1">
        <v>2</v>
      </c>
      <c r="D452" s="1" t="str">
        <f t="shared" si="14"/>
        <v>F</v>
      </c>
      <c r="E452" s="1" t="str">
        <f t="shared" si="15"/>
        <v>vG3m14 F2</v>
      </c>
    </row>
    <row r="453" spans="1:5" x14ac:dyDescent="0.25">
      <c r="A453" s="1" t="s">
        <v>479</v>
      </c>
      <c r="B453" s="1" t="s">
        <v>30</v>
      </c>
      <c r="C453" s="1">
        <v>2</v>
      </c>
      <c r="D453" s="1" t="str">
        <f t="shared" si="14"/>
        <v>F</v>
      </c>
      <c r="E453" s="1" t="str">
        <f t="shared" si="15"/>
        <v>vG3m15 F2</v>
      </c>
    </row>
    <row r="454" spans="1:5" x14ac:dyDescent="0.25">
      <c r="A454" s="1" t="s">
        <v>480</v>
      </c>
      <c r="B454" s="1" t="s">
        <v>30</v>
      </c>
      <c r="C454" s="1">
        <v>2</v>
      </c>
      <c r="D454" s="1" t="str">
        <f t="shared" si="14"/>
        <v>F</v>
      </c>
      <c r="E454" s="1" t="str">
        <f t="shared" si="15"/>
        <v>vG3m16 F2</v>
      </c>
    </row>
    <row r="455" spans="1:5" x14ac:dyDescent="0.25">
      <c r="A455" s="1" t="s">
        <v>481</v>
      </c>
      <c r="B455" s="1" t="s">
        <v>30</v>
      </c>
      <c r="C455" s="1">
        <v>2</v>
      </c>
      <c r="D455" s="1" t="str">
        <f t="shared" si="14"/>
        <v>F</v>
      </c>
      <c r="E455" s="1" t="str">
        <f t="shared" si="15"/>
        <v>vG3m18 F2</v>
      </c>
    </row>
    <row r="456" spans="1:5" x14ac:dyDescent="0.25">
      <c r="A456" s="1" t="s">
        <v>482</v>
      </c>
      <c r="B456" s="1" t="s">
        <v>30</v>
      </c>
      <c r="C456" s="1">
        <v>2</v>
      </c>
      <c r="D456" s="1" t="str">
        <f t="shared" si="14"/>
        <v>F</v>
      </c>
      <c r="E456" s="1" t="str">
        <f t="shared" si="15"/>
        <v>vG3m19 F2</v>
      </c>
    </row>
    <row r="457" spans="1:5" x14ac:dyDescent="0.25">
      <c r="A457" s="1" t="s">
        <v>483</v>
      </c>
      <c r="B457" s="1" t="s">
        <v>30</v>
      </c>
      <c r="C457" s="1">
        <v>2</v>
      </c>
      <c r="D457" s="1" t="str">
        <f t="shared" si="14"/>
        <v>F</v>
      </c>
      <c r="E457" s="1" t="str">
        <f t="shared" si="15"/>
        <v>vG3m20 F2</v>
      </c>
    </row>
    <row r="458" spans="1:5" x14ac:dyDescent="0.25">
      <c r="A458" s="1" t="s">
        <v>484</v>
      </c>
      <c r="B458" s="1" t="s">
        <v>30</v>
      </c>
      <c r="C458" s="1">
        <v>2</v>
      </c>
      <c r="D458" s="1" t="str">
        <f t="shared" si="14"/>
        <v>F</v>
      </c>
      <c r="E458" s="1" t="str">
        <f t="shared" si="15"/>
        <v>vG3m21 F2</v>
      </c>
    </row>
    <row r="459" spans="1:5" x14ac:dyDescent="0.25">
      <c r="A459" s="1" t="s">
        <v>485</v>
      </c>
      <c r="B459" s="1" t="s">
        <v>30</v>
      </c>
      <c r="C459" s="1">
        <v>2</v>
      </c>
      <c r="D459" s="1" t="str">
        <f t="shared" si="14"/>
        <v>F</v>
      </c>
      <c r="E459" s="1" t="str">
        <f t="shared" si="15"/>
        <v>vG3m22 F2</v>
      </c>
    </row>
    <row r="460" spans="1:5" x14ac:dyDescent="0.25">
      <c r="A460" s="1" t="s">
        <v>486</v>
      </c>
      <c r="B460" s="1" t="s">
        <v>30</v>
      </c>
      <c r="C460" s="1">
        <v>2</v>
      </c>
      <c r="D460" s="1" t="str">
        <f t="shared" si="14"/>
        <v>F</v>
      </c>
      <c r="E460" s="1" t="str">
        <f t="shared" si="15"/>
        <v>vG3m23 F2</v>
      </c>
    </row>
    <row r="461" spans="1:5" x14ac:dyDescent="0.25">
      <c r="A461" s="1" t="s">
        <v>487</v>
      </c>
      <c r="B461" s="1" t="s">
        <v>30</v>
      </c>
      <c r="C461" s="1">
        <v>2</v>
      </c>
      <c r="D461" s="1" t="str">
        <f t="shared" si="14"/>
        <v>F</v>
      </c>
      <c r="E461" s="1" t="str">
        <f t="shared" si="15"/>
        <v>vG3m24 F2</v>
      </c>
    </row>
    <row r="462" spans="1:5" x14ac:dyDescent="0.25">
      <c r="A462" s="1" t="s">
        <v>488</v>
      </c>
      <c r="B462" s="1" t="s">
        <v>30</v>
      </c>
      <c r="C462" s="1">
        <v>2</v>
      </c>
      <c r="D462" s="1" t="str">
        <f t="shared" si="14"/>
        <v>F</v>
      </c>
      <c r="E462" s="1" t="str">
        <f t="shared" si="15"/>
        <v>vG3m25 F2</v>
      </c>
    </row>
    <row r="463" spans="1:5" x14ac:dyDescent="0.25">
      <c r="A463" s="1" t="s">
        <v>489</v>
      </c>
      <c r="B463" s="1" t="s">
        <v>30</v>
      </c>
      <c r="C463" s="1">
        <v>2</v>
      </c>
      <c r="D463" s="1" t="str">
        <f t="shared" si="14"/>
        <v>F</v>
      </c>
      <c r="E463" s="1" t="str">
        <f t="shared" si="15"/>
        <v>vG3m26 F2</v>
      </c>
    </row>
    <row r="464" spans="1:5" x14ac:dyDescent="0.25">
      <c r="A464" s="1" t="s">
        <v>490</v>
      </c>
      <c r="B464" s="1" t="s">
        <v>30</v>
      </c>
      <c r="C464" s="1">
        <v>2</v>
      </c>
      <c r="D464" s="1" t="str">
        <f t="shared" si="14"/>
        <v>F</v>
      </c>
      <c r="E464" s="1" t="str">
        <f t="shared" si="15"/>
        <v>vG3m27 F2</v>
      </c>
    </row>
    <row r="465" spans="1:5" x14ac:dyDescent="0.25">
      <c r="A465" s="1" t="s">
        <v>491</v>
      </c>
      <c r="B465" s="1" t="s">
        <v>30</v>
      </c>
      <c r="C465" s="1">
        <v>2</v>
      </c>
      <c r="D465" s="1" t="str">
        <f t="shared" si="14"/>
        <v>F</v>
      </c>
      <c r="E465" s="1" t="str">
        <f t="shared" si="15"/>
        <v>vG3m28 F2</v>
      </c>
    </row>
    <row r="466" spans="1:5" x14ac:dyDescent="0.25">
      <c r="A466" s="1" t="s">
        <v>492</v>
      </c>
      <c r="B466" s="1" t="s">
        <v>30</v>
      </c>
      <c r="C466" s="1">
        <v>2</v>
      </c>
      <c r="D466" s="1" t="str">
        <f t="shared" si="14"/>
        <v>F</v>
      </c>
      <c r="E466" s="1" t="str">
        <f t="shared" si="15"/>
        <v>vG3m29 F2</v>
      </c>
    </row>
    <row r="467" spans="1:5" x14ac:dyDescent="0.25">
      <c r="A467" s="1" t="s">
        <v>493</v>
      </c>
      <c r="B467" s="1" t="s">
        <v>30</v>
      </c>
      <c r="C467" s="1">
        <v>2</v>
      </c>
      <c r="D467" s="1" t="str">
        <f t="shared" si="14"/>
        <v>F</v>
      </c>
      <c r="E467" s="1" t="str">
        <f t="shared" si="15"/>
        <v>vG3m30 F2</v>
      </c>
    </row>
    <row r="468" spans="1:5" x14ac:dyDescent="0.25">
      <c r="A468" s="1" t="s">
        <v>494</v>
      </c>
      <c r="B468" s="1" t="s">
        <v>30</v>
      </c>
      <c r="C468" s="1">
        <v>2</v>
      </c>
      <c r="D468" s="1" t="str">
        <f t="shared" si="14"/>
        <v>F</v>
      </c>
      <c r="E468" s="1" t="str">
        <f t="shared" si="15"/>
        <v>vG3m31 F2</v>
      </c>
    </row>
    <row r="469" spans="1:5" x14ac:dyDescent="0.25">
      <c r="A469" s="1" t="s">
        <v>495</v>
      </c>
      <c r="B469" s="1" t="s">
        <v>30</v>
      </c>
      <c r="C469" s="1">
        <v>2</v>
      </c>
      <c r="D469" s="1" t="str">
        <f t="shared" si="14"/>
        <v>F</v>
      </c>
      <c r="E469" s="1" t="str">
        <f t="shared" si="15"/>
        <v>vG3m32 F2</v>
      </c>
    </row>
    <row r="470" spans="1:5" x14ac:dyDescent="0.25">
      <c r="A470" s="1" t="s">
        <v>496</v>
      </c>
      <c r="B470" s="1" t="s">
        <v>30</v>
      </c>
      <c r="C470" s="1">
        <v>2</v>
      </c>
      <c r="D470" s="1" t="str">
        <f t="shared" si="14"/>
        <v>F</v>
      </c>
      <c r="E470" s="1" t="str">
        <f t="shared" si="15"/>
        <v>vG3m33 F2</v>
      </c>
    </row>
    <row r="471" spans="1:5" x14ac:dyDescent="0.25">
      <c r="A471" s="1" t="s">
        <v>497</v>
      </c>
      <c r="B471" s="1" t="s">
        <v>30</v>
      </c>
      <c r="C471" s="1">
        <v>2</v>
      </c>
      <c r="D471" s="1" t="str">
        <f t="shared" si="14"/>
        <v>F</v>
      </c>
      <c r="E471" s="1" t="str">
        <f t="shared" si="15"/>
        <v>vG3m88 F2</v>
      </c>
    </row>
    <row r="472" spans="1:5" x14ac:dyDescent="0.25">
      <c r="A472" s="1" t="s">
        <v>498</v>
      </c>
      <c r="B472" s="1" t="s">
        <v>27</v>
      </c>
      <c r="C472" s="1">
        <v>150</v>
      </c>
      <c r="D472" s="1" t="str">
        <f t="shared" si="14"/>
        <v>A</v>
      </c>
      <c r="E472" s="1" t="str">
        <f t="shared" si="15"/>
        <v>vG3o88 A150</v>
      </c>
    </row>
    <row r="473" spans="1:5" x14ac:dyDescent="0.25">
      <c r="A473" s="1" t="s">
        <v>499</v>
      </c>
      <c r="B473" s="1" t="s">
        <v>30</v>
      </c>
      <c r="C473" s="1">
        <v>2</v>
      </c>
      <c r="D473" s="1" t="str">
        <f t="shared" si="14"/>
        <v>F</v>
      </c>
      <c r="E473" s="1" t="str">
        <f t="shared" si="15"/>
        <v>vF0 F2</v>
      </c>
    </row>
    <row r="474" spans="1:5" x14ac:dyDescent="0.25">
      <c r="A474" s="1" t="s">
        <v>500</v>
      </c>
      <c r="B474" s="1" t="s">
        <v>30</v>
      </c>
      <c r="C474" s="1">
        <v>5</v>
      </c>
      <c r="D474" s="1" t="str">
        <f t="shared" si="14"/>
        <v>F</v>
      </c>
      <c r="E474" s="1" t="str">
        <f t="shared" si="15"/>
        <v>vF1 F5</v>
      </c>
    </row>
    <row r="475" spans="1:5" x14ac:dyDescent="0.25">
      <c r="A475" s="1" t="s">
        <v>501</v>
      </c>
      <c r="B475" s="1" t="s">
        <v>30</v>
      </c>
      <c r="C475" s="1">
        <v>5</v>
      </c>
      <c r="D475" s="1" t="str">
        <f t="shared" si="14"/>
        <v>F</v>
      </c>
      <c r="E475" s="1" t="str">
        <f t="shared" si="15"/>
        <v>vF2 F5</v>
      </c>
    </row>
    <row r="476" spans="1:5" x14ac:dyDescent="0.25">
      <c r="A476" s="1" t="s">
        <v>502</v>
      </c>
      <c r="B476" s="1" t="s">
        <v>30</v>
      </c>
      <c r="C476" s="1">
        <v>5</v>
      </c>
      <c r="D476" s="1" t="str">
        <f t="shared" si="14"/>
        <v>F</v>
      </c>
      <c r="E476" s="1" t="str">
        <f t="shared" si="15"/>
        <v>vF3 F5</v>
      </c>
    </row>
    <row r="477" spans="1:5" x14ac:dyDescent="0.25">
      <c r="A477" s="1" t="s">
        <v>503</v>
      </c>
      <c r="B477" s="1" t="s">
        <v>30</v>
      </c>
      <c r="C477" s="1">
        <v>5</v>
      </c>
      <c r="D477" s="1" t="str">
        <f t="shared" si="14"/>
        <v>F</v>
      </c>
      <c r="E477" s="1" t="str">
        <f t="shared" si="15"/>
        <v>vF4 F5</v>
      </c>
    </row>
    <row r="478" spans="1:5" x14ac:dyDescent="0.25">
      <c r="A478" s="1" t="s">
        <v>504</v>
      </c>
      <c r="B478" s="1" t="s">
        <v>30</v>
      </c>
      <c r="C478" s="1">
        <v>2</v>
      </c>
      <c r="D478" s="1" t="str">
        <f t="shared" si="14"/>
        <v>F</v>
      </c>
      <c r="E478" s="1" t="str">
        <f t="shared" si="15"/>
        <v>vF5m01 F2</v>
      </c>
    </row>
    <row r="479" spans="1:5" x14ac:dyDescent="0.25">
      <c r="A479" s="1" t="s">
        <v>505</v>
      </c>
      <c r="B479" s="1" t="s">
        <v>30</v>
      </c>
      <c r="C479" s="1">
        <v>2</v>
      </c>
      <c r="D479" s="1" t="str">
        <f t="shared" si="14"/>
        <v>F</v>
      </c>
      <c r="E479" s="1" t="str">
        <f t="shared" si="15"/>
        <v>vF5m02 F2</v>
      </c>
    </row>
    <row r="480" spans="1:5" x14ac:dyDescent="0.25">
      <c r="A480" s="1" t="s">
        <v>506</v>
      </c>
      <c r="B480" s="1" t="s">
        <v>30</v>
      </c>
      <c r="C480" s="1">
        <v>2</v>
      </c>
      <c r="D480" s="1" t="str">
        <f t="shared" si="14"/>
        <v>F</v>
      </c>
      <c r="E480" s="1" t="str">
        <f t="shared" si="15"/>
        <v>vF5m03 F2</v>
      </c>
    </row>
    <row r="481" spans="1:5" x14ac:dyDescent="0.25">
      <c r="A481" s="1" t="s">
        <v>507</v>
      </c>
      <c r="B481" s="1" t="s">
        <v>30</v>
      </c>
      <c r="C481" s="1">
        <v>2</v>
      </c>
      <c r="D481" s="1" t="str">
        <f t="shared" si="14"/>
        <v>F</v>
      </c>
      <c r="E481" s="1" t="str">
        <f t="shared" si="15"/>
        <v>vF5m04 F2</v>
      </c>
    </row>
    <row r="482" spans="1:5" x14ac:dyDescent="0.25">
      <c r="A482" s="1" t="s">
        <v>508</v>
      </c>
      <c r="B482" s="1" t="s">
        <v>30</v>
      </c>
      <c r="C482" s="1">
        <v>2</v>
      </c>
      <c r="D482" s="1" t="str">
        <f t="shared" si="14"/>
        <v>F</v>
      </c>
      <c r="E482" s="1" t="str">
        <f t="shared" si="15"/>
        <v>vF5m05 F2</v>
      </c>
    </row>
    <row r="483" spans="1:5" x14ac:dyDescent="0.25">
      <c r="A483" s="1" t="s">
        <v>509</v>
      </c>
      <c r="B483" s="1" t="s">
        <v>30</v>
      </c>
      <c r="C483" s="1">
        <v>2</v>
      </c>
      <c r="D483" s="1" t="str">
        <f t="shared" si="14"/>
        <v>F</v>
      </c>
      <c r="E483" s="1" t="str">
        <f t="shared" si="15"/>
        <v>vF5m06 F2</v>
      </c>
    </row>
    <row r="484" spans="1:5" x14ac:dyDescent="0.25">
      <c r="A484" s="1" t="s">
        <v>510</v>
      </c>
      <c r="B484" s="1" t="s">
        <v>30</v>
      </c>
      <c r="C484" s="1">
        <v>2</v>
      </c>
      <c r="D484" s="1" t="str">
        <f t="shared" si="14"/>
        <v>F</v>
      </c>
      <c r="E484" s="1" t="str">
        <f t="shared" si="15"/>
        <v>vF5m07 F2</v>
      </c>
    </row>
    <row r="485" spans="1:5" x14ac:dyDescent="0.25">
      <c r="A485" s="1" t="s">
        <v>511</v>
      </c>
      <c r="B485" s="1" t="s">
        <v>30</v>
      </c>
      <c r="C485" s="1">
        <v>2</v>
      </c>
      <c r="D485" s="1" t="str">
        <f t="shared" si="14"/>
        <v>F</v>
      </c>
      <c r="E485" s="1" t="str">
        <f t="shared" si="15"/>
        <v>vF5m08 F2</v>
      </c>
    </row>
    <row r="486" spans="1:5" x14ac:dyDescent="0.25">
      <c r="A486" s="1" t="s">
        <v>512</v>
      </c>
      <c r="B486" s="1" t="s">
        <v>30</v>
      </c>
      <c r="C486" s="1">
        <v>2</v>
      </c>
      <c r="D486" s="1" t="str">
        <f t="shared" si="14"/>
        <v>F</v>
      </c>
      <c r="E486" s="1" t="str">
        <f t="shared" si="15"/>
        <v>vF5m88 F2</v>
      </c>
    </row>
    <row r="487" spans="1:5" x14ac:dyDescent="0.25">
      <c r="A487" s="1" t="s">
        <v>513</v>
      </c>
      <c r="B487" s="1" t="s">
        <v>27</v>
      </c>
      <c r="C487" s="1">
        <v>150</v>
      </c>
      <c r="D487" s="1" t="str">
        <f t="shared" si="14"/>
        <v>A</v>
      </c>
      <c r="E487" s="1" t="str">
        <f t="shared" si="15"/>
        <v>vF5o88 A150</v>
      </c>
    </row>
    <row r="488" spans="1:5" x14ac:dyDescent="0.25">
      <c r="A488" s="1" t="s">
        <v>514</v>
      </c>
      <c r="B488" s="1" t="s">
        <v>30</v>
      </c>
      <c r="C488" s="1">
        <v>4</v>
      </c>
      <c r="D488" s="1" t="str">
        <f t="shared" si="14"/>
        <v>F</v>
      </c>
      <c r="E488" s="1" t="str">
        <f t="shared" si="15"/>
        <v>vC1 F4</v>
      </c>
    </row>
    <row r="489" spans="1:5" x14ac:dyDescent="0.25">
      <c r="A489" s="1" t="s">
        <v>515</v>
      </c>
      <c r="B489" s="1" t="s">
        <v>30</v>
      </c>
      <c r="C489" s="1">
        <v>5</v>
      </c>
      <c r="D489" s="1" t="str">
        <f t="shared" si="14"/>
        <v>F</v>
      </c>
      <c r="E489" s="1" t="str">
        <f t="shared" si="15"/>
        <v>vC2 F5</v>
      </c>
    </row>
    <row r="490" spans="1:5" x14ac:dyDescent="0.25">
      <c r="A490" s="1" t="s">
        <v>516</v>
      </c>
      <c r="B490" s="1" t="s">
        <v>30</v>
      </c>
      <c r="C490" s="1">
        <v>2</v>
      </c>
      <c r="D490" s="1" t="str">
        <f t="shared" si="14"/>
        <v>F</v>
      </c>
      <c r="E490" s="1" t="str">
        <f t="shared" si="15"/>
        <v>vC3m01 F2</v>
      </c>
    </row>
    <row r="491" spans="1:5" x14ac:dyDescent="0.25">
      <c r="A491" s="1" t="s">
        <v>517</v>
      </c>
      <c r="B491" s="1" t="s">
        <v>30</v>
      </c>
      <c r="C491" s="1">
        <v>2</v>
      </c>
      <c r="D491" s="1" t="str">
        <f t="shared" si="14"/>
        <v>F</v>
      </c>
      <c r="E491" s="1" t="str">
        <f t="shared" si="15"/>
        <v>vC3m02 F2</v>
      </c>
    </row>
    <row r="492" spans="1:5" x14ac:dyDescent="0.25">
      <c r="A492" s="1" t="s">
        <v>518</v>
      </c>
      <c r="B492" s="1" t="s">
        <v>30</v>
      </c>
      <c r="C492" s="1">
        <v>2</v>
      </c>
      <c r="D492" s="1" t="str">
        <f t="shared" si="14"/>
        <v>F</v>
      </c>
      <c r="E492" s="1" t="str">
        <f t="shared" si="15"/>
        <v>vC3m03 F2</v>
      </c>
    </row>
    <row r="493" spans="1:5" x14ac:dyDescent="0.25">
      <c r="A493" s="1" t="s">
        <v>519</v>
      </c>
      <c r="B493" s="1" t="s">
        <v>30</v>
      </c>
      <c r="C493" s="1">
        <v>2</v>
      </c>
      <c r="D493" s="1" t="str">
        <f t="shared" si="14"/>
        <v>F</v>
      </c>
      <c r="E493" s="1" t="str">
        <f t="shared" si="15"/>
        <v>vC3m04 F2</v>
      </c>
    </row>
    <row r="494" spans="1:5" x14ac:dyDescent="0.25">
      <c r="A494" s="1" t="s">
        <v>520</v>
      </c>
      <c r="B494" s="1" t="s">
        <v>30</v>
      </c>
      <c r="C494" s="1">
        <v>2</v>
      </c>
      <c r="D494" s="1" t="str">
        <f t="shared" si="14"/>
        <v>F</v>
      </c>
      <c r="E494" s="1" t="str">
        <f t="shared" si="15"/>
        <v>vC3m05 F2</v>
      </c>
    </row>
    <row r="495" spans="1:5" x14ac:dyDescent="0.25">
      <c r="A495" s="1" t="s">
        <v>521</v>
      </c>
      <c r="B495" s="1" t="s">
        <v>30</v>
      </c>
      <c r="C495" s="1">
        <v>2</v>
      </c>
      <c r="D495" s="1" t="str">
        <f t="shared" si="14"/>
        <v>F</v>
      </c>
      <c r="E495" s="1" t="str">
        <f t="shared" si="15"/>
        <v>vC3m06 F2</v>
      </c>
    </row>
    <row r="496" spans="1:5" x14ac:dyDescent="0.25">
      <c r="A496" s="1" t="s">
        <v>522</v>
      </c>
      <c r="B496" s="1" t="s">
        <v>30</v>
      </c>
      <c r="C496" s="1">
        <v>2</v>
      </c>
      <c r="D496" s="1" t="str">
        <f t="shared" si="14"/>
        <v>F</v>
      </c>
      <c r="E496" s="1" t="str">
        <f t="shared" si="15"/>
        <v>vC3m07 F2</v>
      </c>
    </row>
    <row r="497" spans="1:5" x14ac:dyDescent="0.25">
      <c r="A497" s="1" t="s">
        <v>523</v>
      </c>
      <c r="B497" s="1" t="s">
        <v>30</v>
      </c>
      <c r="C497" s="1">
        <v>2</v>
      </c>
      <c r="D497" s="1" t="str">
        <f t="shared" si="14"/>
        <v>F</v>
      </c>
      <c r="E497" s="1" t="str">
        <f t="shared" si="15"/>
        <v>vC3m08 F2</v>
      </c>
    </row>
    <row r="498" spans="1:5" x14ac:dyDescent="0.25">
      <c r="A498" s="1" t="s">
        <v>524</v>
      </c>
      <c r="B498" s="1" t="s">
        <v>30</v>
      </c>
      <c r="C498" s="1">
        <v>2</v>
      </c>
      <c r="D498" s="1" t="str">
        <f t="shared" si="14"/>
        <v>F</v>
      </c>
      <c r="E498" s="1" t="str">
        <f t="shared" si="15"/>
        <v>vC3m09 F2</v>
      </c>
    </row>
    <row r="499" spans="1:5" x14ac:dyDescent="0.25">
      <c r="A499" s="1" t="s">
        <v>525</v>
      </c>
      <c r="B499" s="1" t="s">
        <v>30</v>
      </c>
      <c r="C499" s="1">
        <v>2</v>
      </c>
      <c r="D499" s="1" t="str">
        <f t="shared" si="14"/>
        <v>F</v>
      </c>
      <c r="E499" s="1" t="str">
        <f t="shared" si="15"/>
        <v>vC3m10 F2</v>
      </c>
    </row>
    <row r="500" spans="1:5" x14ac:dyDescent="0.25">
      <c r="A500" s="1" t="s">
        <v>526</v>
      </c>
      <c r="B500" s="1" t="s">
        <v>30</v>
      </c>
      <c r="C500" s="1">
        <v>2</v>
      </c>
      <c r="D500" s="1" t="str">
        <f t="shared" si="14"/>
        <v>F</v>
      </c>
      <c r="E500" s="1" t="str">
        <f t="shared" si="15"/>
        <v>vC3m11 F2</v>
      </c>
    </row>
    <row r="501" spans="1:5" x14ac:dyDescent="0.25">
      <c r="A501" s="1" t="s">
        <v>527</v>
      </c>
      <c r="B501" s="1" t="s">
        <v>30</v>
      </c>
      <c r="C501" s="1">
        <v>2</v>
      </c>
      <c r="D501" s="1" t="str">
        <f t="shared" si="14"/>
        <v>F</v>
      </c>
      <c r="E501" s="1" t="str">
        <f t="shared" si="15"/>
        <v>vC3m88 F2</v>
      </c>
    </row>
    <row r="502" spans="1:5" x14ac:dyDescent="0.25">
      <c r="A502" s="1" t="s">
        <v>528</v>
      </c>
      <c r="B502" s="1" t="s">
        <v>27</v>
      </c>
      <c r="C502" s="1">
        <v>150</v>
      </c>
      <c r="D502" s="1" t="str">
        <f t="shared" si="14"/>
        <v>A</v>
      </c>
      <c r="E502" s="1" t="str">
        <f t="shared" si="15"/>
        <v>vC3o88 A150</v>
      </c>
    </row>
    <row r="503" spans="1:5" x14ac:dyDescent="0.25">
      <c r="A503" s="1" t="s">
        <v>529</v>
      </c>
      <c r="B503" s="1" t="s">
        <v>30</v>
      </c>
      <c r="C503" s="1">
        <v>4</v>
      </c>
      <c r="D503" s="1" t="str">
        <f t="shared" si="14"/>
        <v>F</v>
      </c>
      <c r="E503" s="1" t="str">
        <f t="shared" si="15"/>
        <v>vJ4_1 F4</v>
      </c>
    </row>
    <row r="504" spans="1:5" x14ac:dyDescent="0.25">
      <c r="A504" s="1" t="s">
        <v>530</v>
      </c>
      <c r="B504" s="1" t="s">
        <v>30</v>
      </c>
      <c r="C504" s="1">
        <v>4</v>
      </c>
      <c r="D504" s="1" t="str">
        <f t="shared" si="14"/>
        <v>F</v>
      </c>
      <c r="E504" s="1" t="str">
        <f t="shared" si="15"/>
        <v>vJ4_2 F4</v>
      </c>
    </row>
    <row r="505" spans="1:5" x14ac:dyDescent="0.25">
      <c r="A505" s="1" t="s">
        <v>531</v>
      </c>
      <c r="B505" s="1" t="s">
        <v>30</v>
      </c>
      <c r="C505" s="1">
        <v>4</v>
      </c>
      <c r="D505" s="1" t="str">
        <f t="shared" si="14"/>
        <v>F</v>
      </c>
      <c r="E505" s="1" t="str">
        <f t="shared" si="15"/>
        <v>vJ4_3 F4</v>
      </c>
    </row>
    <row r="506" spans="1:5" x14ac:dyDescent="0.25">
      <c r="A506" s="1" t="s">
        <v>532</v>
      </c>
      <c r="B506" s="1" t="s">
        <v>30</v>
      </c>
      <c r="C506" s="1">
        <v>4</v>
      </c>
      <c r="D506" s="1" t="str">
        <f t="shared" si="14"/>
        <v>F</v>
      </c>
      <c r="E506" s="1" t="str">
        <f t="shared" si="15"/>
        <v>vJ4_4 F4</v>
      </c>
    </row>
    <row r="507" spans="1:5" x14ac:dyDescent="0.25">
      <c r="A507" s="1" t="s">
        <v>533</v>
      </c>
      <c r="B507" s="1" t="s">
        <v>30</v>
      </c>
      <c r="C507" s="1">
        <v>4</v>
      </c>
      <c r="D507" s="1" t="str">
        <f t="shared" si="14"/>
        <v>F</v>
      </c>
      <c r="E507" s="1" t="str">
        <f t="shared" si="15"/>
        <v>vJ4_5 F4</v>
      </c>
    </row>
    <row r="508" spans="1:5" x14ac:dyDescent="0.25">
      <c r="A508" s="1" t="s">
        <v>534</v>
      </c>
      <c r="B508" s="1" t="s">
        <v>30</v>
      </c>
      <c r="C508" s="1">
        <v>2</v>
      </c>
      <c r="D508" s="1" t="str">
        <f t="shared" si="14"/>
        <v>F</v>
      </c>
      <c r="E508" s="1" t="str">
        <f t="shared" si="15"/>
        <v>vJB1m01 F2</v>
      </c>
    </row>
    <row r="509" spans="1:5" x14ac:dyDescent="0.25">
      <c r="A509" s="1" t="s">
        <v>535</v>
      </c>
      <c r="B509" s="1" t="s">
        <v>30</v>
      </c>
      <c r="C509" s="1">
        <v>2</v>
      </c>
      <c r="D509" s="1" t="str">
        <f t="shared" si="14"/>
        <v>F</v>
      </c>
      <c r="E509" s="1" t="str">
        <f t="shared" si="15"/>
        <v>vJB1m02 F2</v>
      </c>
    </row>
    <row r="510" spans="1:5" x14ac:dyDescent="0.25">
      <c r="A510" s="1" t="s">
        <v>536</v>
      </c>
      <c r="B510" s="1" t="s">
        <v>30</v>
      </c>
      <c r="C510" s="1">
        <v>2</v>
      </c>
      <c r="D510" s="1" t="str">
        <f t="shared" si="14"/>
        <v>F</v>
      </c>
      <c r="E510" s="1" t="str">
        <f t="shared" si="15"/>
        <v>vJB1m03 F2</v>
      </c>
    </row>
    <row r="511" spans="1:5" x14ac:dyDescent="0.25">
      <c r="A511" s="1" t="s">
        <v>537</v>
      </c>
      <c r="B511" s="1" t="s">
        <v>30</v>
      </c>
      <c r="C511" s="1">
        <v>2</v>
      </c>
      <c r="D511" s="1" t="str">
        <f t="shared" si="14"/>
        <v>F</v>
      </c>
      <c r="E511" s="1" t="str">
        <f t="shared" si="15"/>
        <v>vJB1m04 F2</v>
      </c>
    </row>
    <row r="512" spans="1:5" x14ac:dyDescent="0.25">
      <c r="A512" s="1" t="s">
        <v>538</v>
      </c>
      <c r="B512" s="1" t="s">
        <v>30</v>
      </c>
      <c r="C512" s="1">
        <v>2</v>
      </c>
      <c r="D512" s="1" t="str">
        <f t="shared" si="14"/>
        <v>F</v>
      </c>
      <c r="E512" s="1" t="str">
        <f t="shared" si="15"/>
        <v>vJB1m05 F2</v>
      </c>
    </row>
    <row r="513" spans="1:5" x14ac:dyDescent="0.25">
      <c r="A513" s="1" t="s">
        <v>539</v>
      </c>
      <c r="B513" s="1" t="s">
        <v>30</v>
      </c>
      <c r="C513" s="1">
        <v>2</v>
      </c>
      <c r="D513" s="1" t="str">
        <f t="shared" si="14"/>
        <v>F</v>
      </c>
      <c r="E513" s="1" t="str">
        <f t="shared" si="15"/>
        <v>vJB1m06 F2</v>
      </c>
    </row>
    <row r="514" spans="1:5" x14ac:dyDescent="0.25">
      <c r="A514" s="1" t="s">
        <v>540</v>
      </c>
      <c r="B514" s="1" t="s">
        <v>30</v>
      </c>
      <c r="C514" s="1">
        <v>2</v>
      </c>
      <c r="D514" s="1" t="str">
        <f t="shared" ref="D514:D577" si="16">IF(B514="數值","F","A")</f>
        <v>F</v>
      </c>
      <c r="E514" s="1" t="str">
        <f t="shared" ref="E514:E577" si="17">A514&amp;" "&amp;D514&amp;C514</f>
        <v>vJB1m07 F2</v>
      </c>
    </row>
    <row r="515" spans="1:5" x14ac:dyDescent="0.25">
      <c r="A515" s="1" t="s">
        <v>541</v>
      </c>
      <c r="B515" s="1" t="s">
        <v>30</v>
      </c>
      <c r="C515" s="1">
        <v>2</v>
      </c>
      <c r="D515" s="1" t="str">
        <f t="shared" si="16"/>
        <v>F</v>
      </c>
      <c r="E515" s="1" t="str">
        <f t="shared" si="17"/>
        <v>vJB1m08 F2</v>
      </c>
    </row>
    <row r="516" spans="1:5" x14ac:dyDescent="0.25">
      <c r="A516" s="1" t="s">
        <v>542</v>
      </c>
      <c r="B516" s="1" t="s">
        <v>30</v>
      </c>
      <c r="C516" s="1">
        <v>2</v>
      </c>
      <c r="D516" s="1" t="str">
        <f t="shared" si="16"/>
        <v>F</v>
      </c>
      <c r="E516" s="1" t="str">
        <f t="shared" si="17"/>
        <v>vJB1m09 F2</v>
      </c>
    </row>
    <row r="517" spans="1:5" x14ac:dyDescent="0.25">
      <c r="A517" s="1" t="s">
        <v>543</v>
      </c>
      <c r="B517" s="1" t="s">
        <v>30</v>
      </c>
      <c r="C517" s="1">
        <v>2</v>
      </c>
      <c r="D517" s="1" t="str">
        <f t="shared" si="16"/>
        <v>F</v>
      </c>
      <c r="E517" s="1" t="str">
        <f t="shared" si="17"/>
        <v>vJB1m10 F2</v>
      </c>
    </row>
    <row r="518" spans="1:5" x14ac:dyDescent="0.25">
      <c r="A518" s="1" t="s">
        <v>544</v>
      </c>
      <c r="B518" s="1" t="s">
        <v>30</v>
      </c>
      <c r="C518" s="1">
        <v>2</v>
      </c>
      <c r="D518" s="1" t="str">
        <f t="shared" si="16"/>
        <v>F</v>
      </c>
      <c r="E518" s="1" t="str">
        <f t="shared" si="17"/>
        <v>vJB1m11 F2</v>
      </c>
    </row>
    <row r="519" spans="1:5" x14ac:dyDescent="0.25">
      <c r="A519" s="1" t="s">
        <v>545</v>
      </c>
      <c r="B519" s="1" t="s">
        <v>30</v>
      </c>
      <c r="C519" s="1">
        <v>2</v>
      </c>
      <c r="D519" s="1" t="str">
        <f t="shared" si="16"/>
        <v>F</v>
      </c>
      <c r="E519" s="1" t="str">
        <f t="shared" si="17"/>
        <v>vJB1m88 F2</v>
      </c>
    </row>
    <row r="520" spans="1:5" x14ac:dyDescent="0.25">
      <c r="A520" s="1" t="s">
        <v>546</v>
      </c>
      <c r="B520" s="1" t="s">
        <v>30</v>
      </c>
      <c r="C520" s="1">
        <v>2</v>
      </c>
      <c r="D520" s="1" t="str">
        <f t="shared" si="16"/>
        <v>F</v>
      </c>
      <c r="E520" s="1" t="str">
        <f t="shared" si="17"/>
        <v>vJB1m90 F2</v>
      </c>
    </row>
    <row r="521" spans="1:5" x14ac:dyDescent="0.25">
      <c r="A521" s="1" t="s">
        <v>547</v>
      </c>
      <c r="B521" s="1" t="s">
        <v>27</v>
      </c>
      <c r="C521" s="1">
        <v>150</v>
      </c>
      <c r="D521" s="1" t="str">
        <f t="shared" si="16"/>
        <v>A</v>
      </c>
      <c r="E521" s="1" t="str">
        <f t="shared" si="17"/>
        <v>vJB1o88 A150</v>
      </c>
    </row>
    <row r="522" spans="1:5" x14ac:dyDescent="0.25">
      <c r="A522" s="1" t="s">
        <v>548</v>
      </c>
      <c r="B522" s="1" t="s">
        <v>30</v>
      </c>
      <c r="C522" s="1">
        <v>2</v>
      </c>
      <c r="D522" s="1" t="str">
        <f t="shared" si="16"/>
        <v>F</v>
      </c>
      <c r="E522" s="1" t="str">
        <f t="shared" si="17"/>
        <v>vJB2m01 F2</v>
      </c>
    </row>
    <row r="523" spans="1:5" x14ac:dyDescent="0.25">
      <c r="A523" s="1" t="s">
        <v>549</v>
      </c>
      <c r="B523" s="1" t="s">
        <v>30</v>
      </c>
      <c r="C523" s="1">
        <v>2</v>
      </c>
      <c r="D523" s="1" t="str">
        <f t="shared" si="16"/>
        <v>F</v>
      </c>
      <c r="E523" s="1" t="str">
        <f t="shared" si="17"/>
        <v>vJB2m02 F2</v>
      </c>
    </row>
    <row r="524" spans="1:5" x14ac:dyDescent="0.25">
      <c r="A524" s="1" t="s">
        <v>550</v>
      </c>
      <c r="B524" s="1" t="s">
        <v>30</v>
      </c>
      <c r="C524" s="1">
        <v>2</v>
      </c>
      <c r="D524" s="1" t="str">
        <f t="shared" si="16"/>
        <v>F</v>
      </c>
      <c r="E524" s="1" t="str">
        <f t="shared" si="17"/>
        <v>vJB2m03 F2</v>
      </c>
    </row>
    <row r="525" spans="1:5" x14ac:dyDescent="0.25">
      <c r="A525" s="1" t="s">
        <v>551</v>
      </c>
      <c r="B525" s="1" t="s">
        <v>30</v>
      </c>
      <c r="C525" s="1">
        <v>2</v>
      </c>
      <c r="D525" s="1" t="str">
        <f t="shared" si="16"/>
        <v>F</v>
      </c>
      <c r="E525" s="1" t="str">
        <f t="shared" si="17"/>
        <v>vJB2m04 F2</v>
      </c>
    </row>
    <row r="526" spans="1:5" x14ac:dyDescent="0.25">
      <c r="A526" s="1" t="s">
        <v>552</v>
      </c>
      <c r="B526" s="1" t="s">
        <v>30</v>
      </c>
      <c r="C526" s="1">
        <v>2</v>
      </c>
      <c r="D526" s="1" t="str">
        <f t="shared" si="16"/>
        <v>F</v>
      </c>
      <c r="E526" s="1" t="str">
        <f t="shared" si="17"/>
        <v>vJB2m05 F2</v>
      </c>
    </row>
    <row r="527" spans="1:5" x14ac:dyDescent="0.25">
      <c r="A527" s="1" t="s">
        <v>553</v>
      </c>
      <c r="B527" s="1" t="s">
        <v>30</v>
      </c>
      <c r="C527" s="1">
        <v>2</v>
      </c>
      <c r="D527" s="1" t="str">
        <f t="shared" si="16"/>
        <v>F</v>
      </c>
      <c r="E527" s="1" t="str">
        <f t="shared" si="17"/>
        <v>vJB2m06 F2</v>
      </c>
    </row>
    <row r="528" spans="1:5" x14ac:dyDescent="0.25">
      <c r="A528" s="1" t="s">
        <v>554</v>
      </c>
      <c r="B528" s="1" t="s">
        <v>30</v>
      </c>
      <c r="C528" s="1">
        <v>2</v>
      </c>
      <c r="D528" s="1" t="str">
        <f t="shared" si="16"/>
        <v>F</v>
      </c>
      <c r="E528" s="1" t="str">
        <f t="shared" si="17"/>
        <v>vJB2m07 F2</v>
      </c>
    </row>
    <row r="529" spans="1:5" x14ac:dyDescent="0.25">
      <c r="A529" s="1" t="s">
        <v>555</v>
      </c>
      <c r="B529" s="1" t="s">
        <v>30</v>
      </c>
      <c r="C529" s="1">
        <v>2</v>
      </c>
      <c r="D529" s="1" t="str">
        <f t="shared" si="16"/>
        <v>F</v>
      </c>
      <c r="E529" s="1" t="str">
        <f t="shared" si="17"/>
        <v>vJB2m88 F2</v>
      </c>
    </row>
    <row r="530" spans="1:5" x14ac:dyDescent="0.25">
      <c r="A530" s="1" t="s">
        <v>556</v>
      </c>
      <c r="B530" s="1" t="s">
        <v>30</v>
      </c>
      <c r="C530" s="1">
        <v>2</v>
      </c>
      <c r="D530" s="1" t="str">
        <f t="shared" si="16"/>
        <v>F</v>
      </c>
      <c r="E530" s="1" t="str">
        <f t="shared" si="17"/>
        <v>vJB2m90 F2</v>
      </c>
    </row>
    <row r="531" spans="1:5" x14ac:dyDescent="0.25">
      <c r="A531" s="1" t="s">
        <v>557</v>
      </c>
      <c r="B531" s="1" t="s">
        <v>27</v>
      </c>
      <c r="C531" s="1">
        <v>150</v>
      </c>
      <c r="D531" s="1" t="str">
        <f t="shared" si="16"/>
        <v>A</v>
      </c>
      <c r="E531" s="1" t="str">
        <f t="shared" si="17"/>
        <v>vJB2o88 A150</v>
      </c>
    </row>
    <row r="532" spans="1:5" x14ac:dyDescent="0.25">
      <c r="A532" s="1" t="s">
        <v>558</v>
      </c>
      <c r="B532" s="1" t="s">
        <v>30</v>
      </c>
      <c r="C532" s="1">
        <v>4</v>
      </c>
      <c r="D532" s="1" t="str">
        <f t="shared" si="16"/>
        <v>F</v>
      </c>
      <c r="E532" s="1" t="str">
        <f t="shared" si="17"/>
        <v>vH1 F4</v>
      </c>
    </row>
    <row r="533" spans="1:5" x14ac:dyDescent="0.25">
      <c r="A533" s="1" t="s">
        <v>559</v>
      </c>
      <c r="B533" s="1" t="s">
        <v>30</v>
      </c>
      <c r="C533" s="1">
        <v>2</v>
      </c>
      <c r="D533" s="1" t="str">
        <f t="shared" si="16"/>
        <v>F</v>
      </c>
      <c r="E533" s="1" t="str">
        <f t="shared" si="17"/>
        <v>vH2 F2</v>
      </c>
    </row>
    <row r="534" spans="1:5" x14ac:dyDescent="0.25">
      <c r="A534" s="1" t="s">
        <v>560</v>
      </c>
      <c r="B534" s="1" t="s">
        <v>30</v>
      </c>
      <c r="C534" s="1">
        <v>2</v>
      </c>
      <c r="D534" s="1" t="str">
        <f t="shared" si="16"/>
        <v>F</v>
      </c>
      <c r="E534" s="1" t="str">
        <f t="shared" si="17"/>
        <v>vH3 F2</v>
      </c>
    </row>
    <row r="535" spans="1:5" x14ac:dyDescent="0.25">
      <c r="A535" s="1" t="s">
        <v>561</v>
      </c>
      <c r="B535" s="1" t="s">
        <v>30</v>
      </c>
      <c r="C535" s="1">
        <v>4</v>
      </c>
      <c r="D535" s="1" t="str">
        <f t="shared" si="16"/>
        <v>F</v>
      </c>
      <c r="E535" s="1" t="str">
        <f t="shared" si="17"/>
        <v>vH4 F4</v>
      </c>
    </row>
    <row r="536" spans="1:5" x14ac:dyDescent="0.25">
      <c r="A536" s="1" t="s">
        <v>562</v>
      </c>
      <c r="B536" s="1" t="s">
        <v>30</v>
      </c>
      <c r="C536" s="1">
        <v>2</v>
      </c>
      <c r="D536" s="1" t="str">
        <f t="shared" si="16"/>
        <v>F</v>
      </c>
      <c r="E536" s="1" t="str">
        <f t="shared" si="17"/>
        <v>vH5 F2</v>
      </c>
    </row>
    <row r="537" spans="1:5" x14ac:dyDescent="0.25">
      <c r="A537" s="1" t="s">
        <v>563</v>
      </c>
      <c r="B537" s="1" t="s">
        <v>30</v>
      </c>
      <c r="C537" s="1">
        <v>2</v>
      </c>
      <c r="D537" s="1" t="str">
        <f t="shared" si="16"/>
        <v>F</v>
      </c>
      <c r="E537" s="1" t="str">
        <f t="shared" si="17"/>
        <v>vH6 F2</v>
      </c>
    </row>
    <row r="538" spans="1:5" x14ac:dyDescent="0.25">
      <c r="A538" s="1" t="s">
        <v>564</v>
      </c>
      <c r="B538" s="1" t="s">
        <v>30</v>
      </c>
      <c r="C538" s="1">
        <v>4</v>
      </c>
      <c r="D538" s="1" t="str">
        <f t="shared" si="16"/>
        <v>F</v>
      </c>
      <c r="E538" s="1" t="str">
        <f t="shared" si="17"/>
        <v>vH7 F4</v>
      </c>
    </row>
    <row r="539" spans="1:5" x14ac:dyDescent="0.25">
      <c r="A539" s="1" t="s">
        <v>565</v>
      </c>
      <c r="B539" s="1" t="s">
        <v>30</v>
      </c>
      <c r="C539" s="1">
        <v>4</v>
      </c>
      <c r="D539" s="1" t="str">
        <f t="shared" si="16"/>
        <v>F</v>
      </c>
      <c r="E539" s="1" t="str">
        <f t="shared" si="17"/>
        <v>vH7_1 F4</v>
      </c>
    </row>
    <row r="540" spans="1:5" x14ac:dyDescent="0.25">
      <c r="A540" s="1" t="s">
        <v>566</v>
      </c>
      <c r="B540" s="1" t="s">
        <v>30</v>
      </c>
      <c r="C540" s="1">
        <v>4</v>
      </c>
      <c r="D540" s="1" t="str">
        <f t="shared" si="16"/>
        <v>F</v>
      </c>
      <c r="E540" s="1" t="str">
        <f t="shared" si="17"/>
        <v>vH7_2 F4</v>
      </c>
    </row>
    <row r="541" spans="1:5" x14ac:dyDescent="0.25">
      <c r="A541" s="1" t="s">
        <v>567</v>
      </c>
      <c r="B541" s="1" t="s">
        <v>30</v>
      </c>
      <c r="C541" s="1">
        <v>4</v>
      </c>
      <c r="D541" s="1" t="str">
        <f t="shared" si="16"/>
        <v>F</v>
      </c>
      <c r="E541" s="1" t="str">
        <f t="shared" si="17"/>
        <v>vH7_3 F4</v>
      </c>
    </row>
    <row r="542" spans="1:5" x14ac:dyDescent="0.25">
      <c r="A542" s="1" t="s">
        <v>568</v>
      </c>
      <c r="B542" s="1" t="s">
        <v>30</v>
      </c>
      <c r="C542" s="1">
        <v>14</v>
      </c>
      <c r="D542" s="1" t="str">
        <f t="shared" si="16"/>
        <v>F</v>
      </c>
      <c r="E542" s="1" t="str">
        <f t="shared" si="17"/>
        <v>vCKH7 F14</v>
      </c>
    </row>
    <row r="543" spans="1:5" x14ac:dyDescent="0.25">
      <c r="A543" s="1" t="s">
        <v>569</v>
      </c>
      <c r="B543" s="1" t="s">
        <v>30</v>
      </c>
      <c r="C543" s="1">
        <v>14</v>
      </c>
      <c r="D543" s="1" t="str">
        <f t="shared" si="16"/>
        <v>F</v>
      </c>
      <c r="E543" s="1" t="str">
        <f t="shared" si="17"/>
        <v>vCKH7_1 F14</v>
      </c>
    </row>
    <row r="544" spans="1:5" x14ac:dyDescent="0.25">
      <c r="A544" s="1" t="s">
        <v>570</v>
      </c>
      <c r="B544" s="1" t="s">
        <v>30</v>
      </c>
      <c r="C544" s="1">
        <v>14</v>
      </c>
      <c r="D544" s="1" t="str">
        <f t="shared" si="16"/>
        <v>F</v>
      </c>
      <c r="E544" s="1" t="str">
        <f t="shared" si="17"/>
        <v>vCKH7_2 F14</v>
      </c>
    </row>
    <row r="545" spans="1:5" x14ac:dyDescent="0.25">
      <c r="A545" s="1" t="s">
        <v>571</v>
      </c>
      <c r="B545" s="1" t="s">
        <v>30</v>
      </c>
      <c r="C545" s="1">
        <v>14</v>
      </c>
      <c r="D545" s="1" t="str">
        <f t="shared" si="16"/>
        <v>F</v>
      </c>
      <c r="E545" s="1" t="str">
        <f t="shared" si="17"/>
        <v>vCKH7_3 F14</v>
      </c>
    </row>
    <row r="546" spans="1:5" x14ac:dyDescent="0.25">
      <c r="A546" s="1" t="s">
        <v>572</v>
      </c>
      <c r="B546" s="1" t="s">
        <v>30</v>
      </c>
      <c r="C546" s="1">
        <v>4</v>
      </c>
      <c r="D546" s="1" t="str">
        <f t="shared" si="16"/>
        <v>F</v>
      </c>
      <c r="E546" s="1" t="str">
        <f t="shared" si="17"/>
        <v>vH8 F4</v>
      </c>
    </row>
    <row r="547" spans="1:5" x14ac:dyDescent="0.25">
      <c r="A547" s="1" t="s">
        <v>573</v>
      </c>
      <c r="B547" s="1" t="s">
        <v>30</v>
      </c>
      <c r="C547" s="1">
        <v>4</v>
      </c>
      <c r="D547" s="1" t="str">
        <f t="shared" si="16"/>
        <v>F</v>
      </c>
      <c r="E547" s="1" t="str">
        <f t="shared" si="17"/>
        <v>vM1g1 F4</v>
      </c>
    </row>
    <row r="548" spans="1:5" x14ac:dyDescent="0.25">
      <c r="A548" s="1" t="s">
        <v>574</v>
      </c>
      <c r="B548" s="1" t="s">
        <v>30</v>
      </c>
      <c r="C548" s="1">
        <v>3</v>
      </c>
      <c r="D548" s="1" t="str">
        <f t="shared" si="16"/>
        <v>F</v>
      </c>
      <c r="E548" s="1" t="str">
        <f t="shared" si="17"/>
        <v>vM1g2 F3</v>
      </c>
    </row>
    <row r="549" spans="1:5" x14ac:dyDescent="0.25">
      <c r="A549" s="1" t="s">
        <v>575</v>
      </c>
      <c r="B549" s="1" t="s">
        <v>30</v>
      </c>
      <c r="C549" s="1">
        <v>2</v>
      </c>
      <c r="D549" s="1" t="str">
        <f t="shared" si="16"/>
        <v>F</v>
      </c>
      <c r="E549" s="1" t="str">
        <f t="shared" si="17"/>
        <v>vM2m01 F2</v>
      </c>
    </row>
    <row r="550" spans="1:5" x14ac:dyDescent="0.25">
      <c r="A550" s="1" t="s">
        <v>576</v>
      </c>
      <c r="B550" s="1" t="s">
        <v>30</v>
      </c>
      <c r="C550" s="1">
        <v>2</v>
      </c>
      <c r="D550" s="1" t="str">
        <f t="shared" si="16"/>
        <v>F</v>
      </c>
      <c r="E550" s="1" t="str">
        <f t="shared" si="17"/>
        <v>vM2m02 F2</v>
      </c>
    </row>
    <row r="551" spans="1:5" x14ac:dyDescent="0.25">
      <c r="A551" s="1" t="s">
        <v>577</v>
      </c>
      <c r="B551" s="1" t="s">
        <v>30</v>
      </c>
      <c r="C551" s="1">
        <v>2</v>
      </c>
      <c r="D551" s="1" t="str">
        <f t="shared" si="16"/>
        <v>F</v>
      </c>
      <c r="E551" s="1" t="str">
        <f t="shared" si="17"/>
        <v>vM2m03 F2</v>
      </c>
    </row>
    <row r="552" spans="1:5" x14ac:dyDescent="0.25">
      <c r="A552" s="1" t="s">
        <v>578</v>
      </c>
      <c r="B552" s="1" t="s">
        <v>30</v>
      </c>
      <c r="C552" s="1">
        <v>2</v>
      </c>
      <c r="D552" s="1" t="str">
        <f t="shared" si="16"/>
        <v>F</v>
      </c>
      <c r="E552" s="1" t="str">
        <f t="shared" si="17"/>
        <v>vM2m04 F2</v>
      </c>
    </row>
    <row r="553" spans="1:5" x14ac:dyDescent="0.25">
      <c r="A553" s="1" t="s">
        <v>579</v>
      </c>
      <c r="B553" s="1" t="s">
        <v>30</v>
      </c>
      <c r="C553" s="1">
        <v>2</v>
      </c>
      <c r="D553" s="1" t="str">
        <f t="shared" si="16"/>
        <v>F</v>
      </c>
      <c r="E553" s="1" t="str">
        <f t="shared" si="17"/>
        <v>vM2m05 F2</v>
      </c>
    </row>
    <row r="554" spans="1:5" x14ac:dyDescent="0.25">
      <c r="A554" s="1" t="s">
        <v>580</v>
      </c>
      <c r="B554" s="1" t="s">
        <v>30</v>
      </c>
      <c r="C554" s="1">
        <v>2</v>
      </c>
      <c r="D554" s="1" t="str">
        <f t="shared" si="16"/>
        <v>F</v>
      </c>
      <c r="E554" s="1" t="str">
        <f t="shared" si="17"/>
        <v>vM2m06 F2</v>
      </c>
    </row>
    <row r="555" spans="1:5" x14ac:dyDescent="0.25">
      <c r="A555" s="1" t="s">
        <v>581</v>
      </c>
      <c r="B555" s="1" t="s">
        <v>30</v>
      </c>
      <c r="C555" s="1">
        <v>2</v>
      </c>
      <c r="D555" s="1" t="str">
        <f t="shared" si="16"/>
        <v>F</v>
      </c>
      <c r="E555" s="1" t="str">
        <f t="shared" si="17"/>
        <v>vM2m07 F2</v>
      </c>
    </row>
    <row r="556" spans="1:5" x14ac:dyDescent="0.25">
      <c r="A556" s="1" t="s">
        <v>582</v>
      </c>
      <c r="B556" s="1" t="s">
        <v>30</v>
      </c>
      <c r="C556" s="1">
        <v>2</v>
      </c>
      <c r="D556" s="1" t="str">
        <f t="shared" si="16"/>
        <v>F</v>
      </c>
      <c r="E556" s="1" t="str">
        <f t="shared" si="17"/>
        <v>vM2m08 F2</v>
      </c>
    </row>
    <row r="557" spans="1:5" x14ac:dyDescent="0.25">
      <c r="A557" s="1" t="s">
        <v>583</v>
      </c>
      <c r="B557" s="1" t="s">
        <v>30</v>
      </c>
      <c r="C557" s="1">
        <v>2</v>
      </c>
      <c r="D557" s="1" t="str">
        <f t="shared" si="16"/>
        <v>F</v>
      </c>
      <c r="E557" s="1" t="str">
        <f t="shared" si="17"/>
        <v>vM2m09 F2</v>
      </c>
    </row>
    <row r="558" spans="1:5" x14ac:dyDescent="0.25">
      <c r="A558" s="1" t="s">
        <v>584</v>
      </c>
      <c r="B558" s="1" t="s">
        <v>30</v>
      </c>
      <c r="C558" s="1">
        <v>2</v>
      </c>
      <c r="D558" s="1" t="str">
        <f t="shared" si="16"/>
        <v>F</v>
      </c>
      <c r="E558" s="1" t="str">
        <f t="shared" si="17"/>
        <v>vM2m10 F2</v>
      </c>
    </row>
    <row r="559" spans="1:5" x14ac:dyDescent="0.25">
      <c r="A559" s="1" t="s">
        <v>585</v>
      </c>
      <c r="B559" s="1" t="s">
        <v>30</v>
      </c>
      <c r="C559" s="1">
        <v>2</v>
      </c>
      <c r="D559" s="1" t="str">
        <f t="shared" si="16"/>
        <v>F</v>
      </c>
      <c r="E559" s="1" t="str">
        <f t="shared" si="17"/>
        <v>vM2m11 F2</v>
      </c>
    </row>
    <row r="560" spans="1:5" x14ac:dyDescent="0.25">
      <c r="A560" s="1" t="s">
        <v>586</v>
      </c>
      <c r="B560" s="1" t="s">
        <v>30</v>
      </c>
      <c r="C560" s="1">
        <v>2</v>
      </c>
      <c r="D560" s="1" t="str">
        <f t="shared" si="16"/>
        <v>F</v>
      </c>
      <c r="E560" s="1" t="str">
        <f t="shared" si="17"/>
        <v>vM2m12 F2</v>
      </c>
    </row>
    <row r="561" spans="1:5" x14ac:dyDescent="0.25">
      <c r="A561" s="1" t="s">
        <v>587</v>
      </c>
      <c r="B561" s="1" t="s">
        <v>30</v>
      </c>
      <c r="C561" s="1">
        <v>2</v>
      </c>
      <c r="D561" s="1" t="str">
        <f t="shared" si="16"/>
        <v>F</v>
      </c>
      <c r="E561" s="1" t="str">
        <f t="shared" si="17"/>
        <v>vM2m13 F2</v>
      </c>
    </row>
    <row r="562" spans="1:5" x14ac:dyDescent="0.25">
      <c r="A562" s="1" t="s">
        <v>588</v>
      </c>
      <c r="B562" s="1" t="s">
        <v>30</v>
      </c>
      <c r="C562" s="1">
        <v>2</v>
      </c>
      <c r="D562" s="1" t="str">
        <f t="shared" si="16"/>
        <v>F</v>
      </c>
      <c r="E562" s="1" t="str">
        <f t="shared" si="17"/>
        <v>vM2m14 F2</v>
      </c>
    </row>
    <row r="563" spans="1:5" x14ac:dyDescent="0.25">
      <c r="A563" s="1" t="s">
        <v>589</v>
      </c>
      <c r="B563" s="1" t="s">
        <v>30</v>
      </c>
      <c r="C563" s="1">
        <v>2</v>
      </c>
      <c r="D563" s="1" t="str">
        <f t="shared" si="16"/>
        <v>F</v>
      </c>
      <c r="E563" s="1" t="str">
        <f t="shared" si="17"/>
        <v>vM2m15 F2</v>
      </c>
    </row>
    <row r="564" spans="1:5" x14ac:dyDescent="0.25">
      <c r="A564" s="1" t="s">
        <v>590</v>
      </c>
      <c r="B564" s="1" t="s">
        <v>30</v>
      </c>
      <c r="C564" s="1">
        <v>2</v>
      </c>
      <c r="D564" s="1" t="str">
        <f t="shared" si="16"/>
        <v>F</v>
      </c>
      <c r="E564" s="1" t="str">
        <f t="shared" si="17"/>
        <v>vM2m16 F2</v>
      </c>
    </row>
    <row r="565" spans="1:5" x14ac:dyDescent="0.25">
      <c r="A565" s="1" t="s">
        <v>591</v>
      </c>
      <c r="B565" s="1" t="s">
        <v>30</v>
      </c>
      <c r="C565" s="1">
        <v>2</v>
      </c>
      <c r="D565" s="1" t="str">
        <f t="shared" si="16"/>
        <v>F</v>
      </c>
      <c r="E565" s="1" t="str">
        <f t="shared" si="17"/>
        <v>vM2m88 F2</v>
      </c>
    </row>
    <row r="566" spans="1:5" x14ac:dyDescent="0.25">
      <c r="A566" s="1" t="s">
        <v>592</v>
      </c>
      <c r="B566" s="1" t="s">
        <v>27</v>
      </c>
      <c r="C566" s="1">
        <v>150</v>
      </c>
      <c r="D566" s="1" t="str">
        <f t="shared" si="16"/>
        <v>A</v>
      </c>
      <c r="E566" s="1" t="str">
        <f t="shared" si="17"/>
        <v>vM2o88 A150</v>
      </c>
    </row>
    <row r="567" spans="1:5" x14ac:dyDescent="0.25">
      <c r="A567" s="1" t="s">
        <v>593</v>
      </c>
      <c r="B567" s="1" t="s">
        <v>30</v>
      </c>
      <c r="C567" s="1">
        <v>2</v>
      </c>
      <c r="D567" s="1" t="str">
        <f t="shared" si="16"/>
        <v>F</v>
      </c>
      <c r="E567" s="1" t="str">
        <f t="shared" si="17"/>
        <v>vM3m01 F2</v>
      </c>
    </row>
    <row r="568" spans="1:5" x14ac:dyDescent="0.25">
      <c r="A568" s="1" t="s">
        <v>594</v>
      </c>
      <c r="B568" s="1" t="s">
        <v>30</v>
      </c>
      <c r="C568" s="1">
        <v>2</v>
      </c>
      <c r="D568" s="1" t="str">
        <f t="shared" si="16"/>
        <v>F</v>
      </c>
      <c r="E568" s="1" t="str">
        <f t="shared" si="17"/>
        <v>vM3m02 F2</v>
      </c>
    </row>
    <row r="569" spans="1:5" x14ac:dyDescent="0.25">
      <c r="A569" s="1" t="s">
        <v>595</v>
      </c>
      <c r="B569" s="1" t="s">
        <v>30</v>
      </c>
      <c r="C569" s="1">
        <v>2</v>
      </c>
      <c r="D569" s="1" t="str">
        <f t="shared" si="16"/>
        <v>F</v>
      </c>
      <c r="E569" s="1" t="str">
        <f t="shared" si="17"/>
        <v>vM3m03 F2</v>
      </c>
    </row>
    <row r="570" spans="1:5" x14ac:dyDescent="0.25">
      <c r="A570" s="1" t="s">
        <v>596</v>
      </c>
      <c r="B570" s="1" t="s">
        <v>30</v>
      </c>
      <c r="C570" s="1">
        <v>2</v>
      </c>
      <c r="D570" s="1" t="str">
        <f t="shared" si="16"/>
        <v>F</v>
      </c>
      <c r="E570" s="1" t="str">
        <f t="shared" si="17"/>
        <v>vM3m04 F2</v>
      </c>
    </row>
    <row r="571" spans="1:5" x14ac:dyDescent="0.25">
      <c r="A571" s="1" t="s">
        <v>597</v>
      </c>
      <c r="B571" s="1" t="s">
        <v>30</v>
      </c>
      <c r="C571" s="1">
        <v>2</v>
      </c>
      <c r="D571" s="1" t="str">
        <f t="shared" si="16"/>
        <v>F</v>
      </c>
      <c r="E571" s="1" t="str">
        <f t="shared" si="17"/>
        <v>vM3m05 F2</v>
      </c>
    </row>
    <row r="572" spans="1:5" x14ac:dyDescent="0.25">
      <c r="A572" s="1" t="s">
        <v>598</v>
      </c>
      <c r="B572" s="1" t="s">
        <v>30</v>
      </c>
      <c r="C572" s="1">
        <v>2</v>
      </c>
      <c r="D572" s="1" t="str">
        <f t="shared" si="16"/>
        <v>F</v>
      </c>
      <c r="E572" s="1" t="str">
        <f t="shared" si="17"/>
        <v>vM3m06 F2</v>
      </c>
    </row>
    <row r="573" spans="1:5" x14ac:dyDescent="0.25">
      <c r="A573" s="1" t="s">
        <v>599</v>
      </c>
      <c r="B573" s="1" t="s">
        <v>30</v>
      </c>
      <c r="C573" s="1">
        <v>2</v>
      </c>
      <c r="D573" s="1" t="str">
        <f t="shared" si="16"/>
        <v>F</v>
      </c>
      <c r="E573" s="1" t="str">
        <f t="shared" si="17"/>
        <v>vM3m07 F2</v>
      </c>
    </row>
    <row r="574" spans="1:5" x14ac:dyDescent="0.25">
      <c r="A574" s="1" t="s">
        <v>600</v>
      </c>
      <c r="B574" s="1" t="s">
        <v>30</v>
      </c>
      <c r="C574" s="1">
        <v>2</v>
      </c>
      <c r="D574" s="1" t="str">
        <f t="shared" si="16"/>
        <v>F</v>
      </c>
      <c r="E574" s="1" t="str">
        <f t="shared" si="17"/>
        <v>vM3m08 F2</v>
      </c>
    </row>
    <row r="575" spans="1:5" x14ac:dyDescent="0.25">
      <c r="A575" s="1" t="s">
        <v>601</v>
      </c>
      <c r="B575" s="1" t="s">
        <v>30</v>
      </c>
      <c r="C575" s="1">
        <v>2</v>
      </c>
      <c r="D575" s="1" t="str">
        <f t="shared" si="16"/>
        <v>F</v>
      </c>
      <c r="E575" s="1" t="str">
        <f t="shared" si="17"/>
        <v>vM3m09 F2</v>
      </c>
    </row>
    <row r="576" spans="1:5" x14ac:dyDescent="0.25">
      <c r="A576" s="1" t="s">
        <v>602</v>
      </c>
      <c r="B576" s="1" t="s">
        <v>30</v>
      </c>
      <c r="C576" s="1">
        <v>2</v>
      </c>
      <c r="D576" s="1" t="str">
        <f t="shared" si="16"/>
        <v>F</v>
      </c>
      <c r="E576" s="1" t="str">
        <f t="shared" si="17"/>
        <v>vM3m10 F2</v>
      </c>
    </row>
    <row r="577" spans="1:5" x14ac:dyDescent="0.25">
      <c r="A577" s="1" t="s">
        <v>603</v>
      </c>
      <c r="B577" s="1" t="s">
        <v>30</v>
      </c>
      <c r="C577" s="1">
        <v>2</v>
      </c>
      <c r="D577" s="1" t="str">
        <f t="shared" si="16"/>
        <v>F</v>
      </c>
      <c r="E577" s="1" t="str">
        <f t="shared" si="17"/>
        <v>vM3m11 F2</v>
      </c>
    </row>
    <row r="578" spans="1:5" x14ac:dyDescent="0.25">
      <c r="A578" s="1" t="s">
        <v>604</v>
      </c>
      <c r="B578" s="1" t="s">
        <v>30</v>
      </c>
      <c r="C578" s="1">
        <v>2</v>
      </c>
      <c r="D578" s="1" t="str">
        <f t="shared" ref="D578:D641" si="18">IF(B578="數值","F","A")</f>
        <v>F</v>
      </c>
      <c r="E578" s="1" t="str">
        <f t="shared" ref="E578:E641" si="19">A578&amp;" "&amp;D578&amp;C578</f>
        <v>vM3m12 F2</v>
      </c>
    </row>
    <row r="579" spans="1:5" x14ac:dyDescent="0.25">
      <c r="A579" s="1" t="s">
        <v>605</v>
      </c>
      <c r="B579" s="1" t="s">
        <v>30</v>
      </c>
      <c r="C579" s="1">
        <v>2</v>
      </c>
      <c r="D579" s="1" t="str">
        <f t="shared" si="18"/>
        <v>F</v>
      </c>
      <c r="E579" s="1" t="str">
        <f t="shared" si="19"/>
        <v>vM3m13 F2</v>
      </c>
    </row>
    <row r="580" spans="1:5" x14ac:dyDescent="0.25">
      <c r="A580" s="1" t="s">
        <v>606</v>
      </c>
      <c r="B580" s="1" t="s">
        <v>30</v>
      </c>
      <c r="C580" s="1">
        <v>2</v>
      </c>
      <c r="D580" s="1" t="str">
        <f t="shared" si="18"/>
        <v>F</v>
      </c>
      <c r="E580" s="1" t="str">
        <f t="shared" si="19"/>
        <v>vM3m88 F2</v>
      </c>
    </row>
    <row r="581" spans="1:5" x14ac:dyDescent="0.25">
      <c r="A581" s="1" t="s">
        <v>607</v>
      </c>
      <c r="B581" s="1" t="s">
        <v>27</v>
      </c>
      <c r="C581" s="1">
        <v>150</v>
      </c>
      <c r="D581" s="1" t="str">
        <f t="shared" si="18"/>
        <v>A</v>
      </c>
      <c r="E581" s="1" t="str">
        <f t="shared" si="19"/>
        <v>vM3o88 A150</v>
      </c>
    </row>
    <row r="582" spans="1:5" x14ac:dyDescent="0.25">
      <c r="A582" s="1" t="s">
        <v>608</v>
      </c>
      <c r="B582" s="1" t="s">
        <v>30</v>
      </c>
      <c r="C582" s="1">
        <v>2</v>
      </c>
      <c r="D582" s="1" t="str">
        <f t="shared" si="18"/>
        <v>F</v>
      </c>
      <c r="E582" s="1" t="str">
        <f t="shared" si="19"/>
        <v>vM4sM4 F2</v>
      </c>
    </row>
    <row r="583" spans="1:5" x14ac:dyDescent="0.25">
      <c r="A583" s="1" t="s">
        <v>609</v>
      </c>
      <c r="B583" s="1" t="s">
        <v>30</v>
      </c>
      <c r="C583" s="1">
        <v>2</v>
      </c>
      <c r="D583" s="1" t="str">
        <f t="shared" si="18"/>
        <v>F</v>
      </c>
      <c r="E583" s="1" t="str">
        <f t="shared" si="19"/>
        <v>vM4sM5 F2</v>
      </c>
    </row>
    <row r="584" spans="1:5" x14ac:dyDescent="0.25">
      <c r="A584" s="1" t="s">
        <v>610</v>
      </c>
      <c r="B584" s="1" t="s">
        <v>30</v>
      </c>
      <c r="C584" s="1">
        <v>2</v>
      </c>
      <c r="D584" s="1" t="str">
        <f t="shared" si="18"/>
        <v>F</v>
      </c>
      <c r="E584" s="1" t="str">
        <f t="shared" si="19"/>
        <v>vM4sM6 F2</v>
      </c>
    </row>
    <row r="585" spans="1:5" x14ac:dyDescent="0.25">
      <c r="A585" s="1" t="s">
        <v>611</v>
      </c>
      <c r="B585" s="1" t="s">
        <v>30</v>
      </c>
      <c r="C585" s="1">
        <v>2</v>
      </c>
      <c r="D585" s="1" t="str">
        <f t="shared" si="18"/>
        <v>F</v>
      </c>
      <c r="E585" s="1" t="str">
        <f t="shared" si="19"/>
        <v>vN1sN1 F2</v>
      </c>
    </row>
    <row r="586" spans="1:5" x14ac:dyDescent="0.25">
      <c r="A586" s="1" t="s">
        <v>612</v>
      </c>
      <c r="B586" s="1" t="s">
        <v>30</v>
      </c>
      <c r="C586" s="1">
        <v>2</v>
      </c>
      <c r="D586" s="1" t="str">
        <f t="shared" si="18"/>
        <v>F</v>
      </c>
      <c r="E586" s="1" t="str">
        <f t="shared" si="19"/>
        <v>vN1sN2 F2</v>
      </c>
    </row>
    <row r="587" spans="1:5" x14ac:dyDescent="0.25">
      <c r="A587" s="1" t="s">
        <v>613</v>
      </c>
      <c r="B587" s="1" t="s">
        <v>30</v>
      </c>
      <c r="C587" s="1">
        <v>2</v>
      </c>
      <c r="D587" s="1" t="str">
        <f t="shared" si="18"/>
        <v>F</v>
      </c>
      <c r="E587" s="1" t="str">
        <f t="shared" si="19"/>
        <v>vN1sN3 F2</v>
      </c>
    </row>
    <row r="588" spans="1:5" x14ac:dyDescent="0.25">
      <c r="A588" s="1" t="s">
        <v>614</v>
      </c>
      <c r="B588" s="1" t="s">
        <v>30</v>
      </c>
      <c r="C588" s="1">
        <v>2</v>
      </c>
      <c r="D588" s="1" t="str">
        <f t="shared" si="18"/>
        <v>F</v>
      </c>
      <c r="E588" s="1" t="str">
        <f t="shared" si="19"/>
        <v>vN1sN4 F2</v>
      </c>
    </row>
    <row r="589" spans="1:5" x14ac:dyDescent="0.25">
      <c r="A589" s="1" t="s">
        <v>615</v>
      </c>
      <c r="B589" s="1" t="s">
        <v>30</v>
      </c>
      <c r="C589" s="1">
        <v>2</v>
      </c>
      <c r="D589" s="1" t="str">
        <f t="shared" si="18"/>
        <v>F</v>
      </c>
      <c r="E589" s="1" t="str">
        <f t="shared" si="19"/>
        <v>vN1sN5 F2</v>
      </c>
    </row>
    <row r="590" spans="1:5" x14ac:dyDescent="0.25">
      <c r="A590" s="1" t="s">
        <v>616</v>
      </c>
      <c r="B590" s="1" t="s">
        <v>30</v>
      </c>
      <c r="C590" s="1">
        <v>2</v>
      </c>
      <c r="D590" s="1" t="str">
        <f t="shared" si="18"/>
        <v>F</v>
      </c>
      <c r="E590" s="1" t="str">
        <f t="shared" si="19"/>
        <v>vN6sN6 F2</v>
      </c>
    </row>
    <row r="591" spans="1:5" x14ac:dyDescent="0.25">
      <c r="A591" s="1" t="s">
        <v>617</v>
      </c>
      <c r="B591" s="1" t="s">
        <v>30</v>
      </c>
      <c r="C591" s="1">
        <v>2</v>
      </c>
      <c r="D591" s="1" t="str">
        <f t="shared" si="18"/>
        <v>F</v>
      </c>
      <c r="E591" s="1" t="str">
        <f t="shared" si="19"/>
        <v>vN6sN7 F2</v>
      </c>
    </row>
    <row r="592" spans="1:5" x14ac:dyDescent="0.25">
      <c r="A592" s="1" t="s">
        <v>618</v>
      </c>
      <c r="B592" s="1" t="s">
        <v>30</v>
      </c>
      <c r="C592" s="1">
        <v>2</v>
      </c>
      <c r="D592" s="1" t="str">
        <f t="shared" si="18"/>
        <v>F</v>
      </c>
      <c r="E592" s="1" t="str">
        <f t="shared" si="19"/>
        <v>vN6sN8 F2</v>
      </c>
    </row>
    <row r="593" spans="1:5" x14ac:dyDescent="0.25">
      <c r="A593" s="1" t="s">
        <v>619</v>
      </c>
      <c r="B593" s="1" t="s">
        <v>30</v>
      </c>
      <c r="C593" s="1">
        <v>2</v>
      </c>
      <c r="D593" s="1" t="str">
        <f t="shared" si="18"/>
        <v>F</v>
      </c>
      <c r="E593" s="1" t="str">
        <f t="shared" si="19"/>
        <v>vN6sN9 F2</v>
      </c>
    </row>
    <row r="594" spans="1:5" x14ac:dyDescent="0.25">
      <c r="A594" s="1" t="s">
        <v>620</v>
      </c>
      <c r="B594" s="1" t="s">
        <v>30</v>
      </c>
      <c r="C594" s="1">
        <v>2</v>
      </c>
      <c r="D594" s="1" t="str">
        <f t="shared" si="18"/>
        <v>F</v>
      </c>
      <c r="E594" s="1" t="str">
        <f t="shared" si="19"/>
        <v>vN6sN10 F2</v>
      </c>
    </row>
    <row r="595" spans="1:5" x14ac:dyDescent="0.25">
      <c r="A595" s="1" t="s">
        <v>621</v>
      </c>
      <c r="B595" s="1" t="s">
        <v>30</v>
      </c>
      <c r="C595" s="1">
        <v>2</v>
      </c>
      <c r="D595" s="1" t="str">
        <f t="shared" si="18"/>
        <v>F</v>
      </c>
      <c r="E595" s="1" t="str">
        <f t="shared" si="19"/>
        <v>vN11sN11 F2</v>
      </c>
    </row>
    <row r="596" spans="1:5" x14ac:dyDescent="0.25">
      <c r="A596" s="1" t="s">
        <v>622</v>
      </c>
      <c r="B596" s="1" t="s">
        <v>30</v>
      </c>
      <c r="C596" s="1">
        <v>2</v>
      </c>
      <c r="D596" s="1" t="str">
        <f t="shared" si="18"/>
        <v>F</v>
      </c>
      <c r="E596" s="1" t="str">
        <f t="shared" si="19"/>
        <v>vN11sN12 F2</v>
      </c>
    </row>
    <row r="597" spans="1:5" x14ac:dyDescent="0.25">
      <c r="A597" s="1" t="s">
        <v>623</v>
      </c>
      <c r="B597" s="1" t="s">
        <v>30</v>
      </c>
      <c r="C597" s="1">
        <v>2</v>
      </c>
      <c r="D597" s="1" t="str">
        <f t="shared" si="18"/>
        <v>F</v>
      </c>
      <c r="E597" s="1" t="str">
        <f t="shared" si="19"/>
        <v>vN11sN13 F2</v>
      </c>
    </row>
    <row r="598" spans="1:5" x14ac:dyDescent="0.25">
      <c r="A598" s="1" t="s">
        <v>624</v>
      </c>
      <c r="B598" s="1" t="s">
        <v>30</v>
      </c>
      <c r="C598" s="1">
        <v>2</v>
      </c>
      <c r="D598" s="1" t="str">
        <f t="shared" si="18"/>
        <v>F</v>
      </c>
      <c r="E598" s="1" t="str">
        <f t="shared" si="19"/>
        <v>vN11sN14 F2</v>
      </c>
    </row>
    <row r="599" spans="1:5" x14ac:dyDescent="0.25">
      <c r="A599" s="1" t="s">
        <v>625</v>
      </c>
      <c r="B599" s="1" t="s">
        <v>30</v>
      </c>
      <c r="C599" s="1">
        <v>2</v>
      </c>
      <c r="D599" s="1" t="str">
        <f t="shared" si="18"/>
        <v>F</v>
      </c>
      <c r="E599" s="1" t="str">
        <f t="shared" si="19"/>
        <v>vN11sN15 F2</v>
      </c>
    </row>
    <row r="600" spans="1:5" x14ac:dyDescent="0.25">
      <c r="A600" s="1" t="s">
        <v>626</v>
      </c>
      <c r="B600" s="1" t="s">
        <v>30</v>
      </c>
      <c r="C600" s="1">
        <v>2</v>
      </c>
      <c r="D600" s="1" t="str">
        <f t="shared" si="18"/>
        <v>F</v>
      </c>
      <c r="E600" s="1" t="str">
        <f t="shared" si="19"/>
        <v>vN11sN16 F2</v>
      </c>
    </row>
    <row r="601" spans="1:5" x14ac:dyDescent="0.25">
      <c r="A601" s="1" t="s">
        <v>627</v>
      </c>
      <c r="B601" s="1" t="s">
        <v>30</v>
      </c>
      <c r="C601" s="1">
        <v>2</v>
      </c>
      <c r="D601" s="1" t="str">
        <f t="shared" si="18"/>
        <v>F</v>
      </c>
      <c r="E601" s="1" t="str">
        <f t="shared" si="19"/>
        <v>vN17 F2</v>
      </c>
    </row>
    <row r="602" spans="1:5" x14ac:dyDescent="0.25">
      <c r="A602" s="1" t="s">
        <v>628</v>
      </c>
      <c r="B602" s="1" t="s">
        <v>30</v>
      </c>
      <c r="C602" s="1">
        <v>2</v>
      </c>
      <c r="D602" s="1" t="str">
        <f t="shared" si="18"/>
        <v>F</v>
      </c>
      <c r="E602" s="1" t="str">
        <f t="shared" si="19"/>
        <v>vN18sN18 F2</v>
      </c>
    </row>
    <row r="603" spans="1:5" x14ac:dyDescent="0.25">
      <c r="A603" s="1" t="s">
        <v>629</v>
      </c>
      <c r="B603" s="1" t="s">
        <v>30</v>
      </c>
      <c r="C603" s="1">
        <v>2</v>
      </c>
      <c r="D603" s="1" t="str">
        <f t="shared" si="18"/>
        <v>F</v>
      </c>
      <c r="E603" s="1" t="str">
        <f t="shared" si="19"/>
        <v>vN18sN19 F2</v>
      </c>
    </row>
    <row r="604" spans="1:5" x14ac:dyDescent="0.25">
      <c r="A604" s="1" t="s">
        <v>630</v>
      </c>
      <c r="B604" s="1" t="s">
        <v>30</v>
      </c>
      <c r="C604" s="1">
        <v>2</v>
      </c>
      <c r="D604" s="1" t="str">
        <f t="shared" si="18"/>
        <v>F</v>
      </c>
      <c r="E604" s="1" t="str">
        <f t="shared" si="19"/>
        <v>vN18sN20 F2</v>
      </c>
    </row>
    <row r="605" spans="1:5" x14ac:dyDescent="0.25">
      <c r="A605" s="1" t="s">
        <v>631</v>
      </c>
      <c r="B605" s="1" t="s">
        <v>30</v>
      </c>
      <c r="C605" s="1">
        <v>2</v>
      </c>
      <c r="D605" s="1" t="str">
        <f t="shared" si="18"/>
        <v>F</v>
      </c>
      <c r="E605" s="1" t="str">
        <f t="shared" si="19"/>
        <v>vN21sN21 F2</v>
      </c>
    </row>
    <row r="606" spans="1:5" x14ac:dyDescent="0.25">
      <c r="A606" s="1" t="s">
        <v>632</v>
      </c>
      <c r="B606" s="1" t="s">
        <v>30</v>
      </c>
      <c r="C606" s="1">
        <v>2</v>
      </c>
      <c r="D606" s="1" t="str">
        <f t="shared" si="18"/>
        <v>F</v>
      </c>
      <c r="E606" s="1" t="str">
        <f t="shared" si="19"/>
        <v>vN21sN22 F2</v>
      </c>
    </row>
    <row r="607" spans="1:5" x14ac:dyDescent="0.25">
      <c r="A607" s="1" t="s">
        <v>633</v>
      </c>
      <c r="B607" s="1" t="s">
        <v>30</v>
      </c>
      <c r="C607" s="1">
        <v>2</v>
      </c>
      <c r="D607" s="1" t="str">
        <f t="shared" si="18"/>
        <v>F</v>
      </c>
      <c r="E607" s="1" t="str">
        <f t="shared" si="19"/>
        <v>vN23 F2</v>
      </c>
    </row>
    <row r="608" spans="1:5" x14ac:dyDescent="0.25">
      <c r="A608" s="1" t="s">
        <v>634</v>
      </c>
      <c r="B608" s="1" t="s">
        <v>30</v>
      </c>
      <c r="C608" s="1">
        <v>2</v>
      </c>
      <c r="D608" s="1" t="str">
        <f t="shared" si="18"/>
        <v>F</v>
      </c>
      <c r="E608" s="1" t="str">
        <f t="shared" si="19"/>
        <v>vN24 F2</v>
      </c>
    </row>
    <row r="609" spans="1:5" x14ac:dyDescent="0.25">
      <c r="A609" s="1" t="s">
        <v>635</v>
      </c>
      <c r="B609" s="1" t="s">
        <v>30</v>
      </c>
      <c r="C609" s="1">
        <v>2</v>
      </c>
      <c r="D609" s="1" t="str">
        <f t="shared" si="18"/>
        <v>F</v>
      </c>
      <c r="E609" s="1" t="str">
        <f t="shared" si="19"/>
        <v>vN25 F2</v>
      </c>
    </row>
    <row r="610" spans="1:5" x14ac:dyDescent="0.25">
      <c r="A610" s="1" t="s">
        <v>636</v>
      </c>
      <c r="B610" s="1" t="s">
        <v>30</v>
      </c>
      <c r="C610" s="1">
        <v>2</v>
      </c>
      <c r="D610" s="1" t="str">
        <f t="shared" si="18"/>
        <v>F</v>
      </c>
      <c r="E610" s="1" t="str">
        <f t="shared" si="19"/>
        <v>vN26 F2</v>
      </c>
    </row>
    <row r="611" spans="1:5" x14ac:dyDescent="0.25">
      <c r="A611" s="1" t="s">
        <v>637</v>
      </c>
      <c r="B611" s="1" t="s">
        <v>30</v>
      </c>
      <c r="C611" s="1">
        <v>2</v>
      </c>
      <c r="D611" s="1" t="str">
        <f t="shared" si="18"/>
        <v>F</v>
      </c>
      <c r="E611" s="1" t="str">
        <f t="shared" si="19"/>
        <v>vN27 F2</v>
      </c>
    </row>
    <row r="612" spans="1:5" x14ac:dyDescent="0.25">
      <c r="A612" s="1" t="s">
        <v>638</v>
      </c>
      <c r="B612" s="1" t="s">
        <v>30</v>
      </c>
      <c r="C612" s="1">
        <v>2</v>
      </c>
      <c r="D612" s="1" t="str">
        <f t="shared" si="18"/>
        <v>F</v>
      </c>
      <c r="E612" s="1" t="str">
        <f t="shared" si="19"/>
        <v>vN28 F2</v>
      </c>
    </row>
    <row r="613" spans="1:5" x14ac:dyDescent="0.25">
      <c r="A613" s="1" t="s">
        <v>639</v>
      </c>
      <c r="B613" s="1" t="s">
        <v>30</v>
      </c>
      <c r="C613" s="1">
        <v>2</v>
      </c>
      <c r="D613" s="1" t="str">
        <f t="shared" si="18"/>
        <v>F</v>
      </c>
      <c r="E613" s="1" t="str">
        <f t="shared" si="19"/>
        <v>vN29 F2</v>
      </c>
    </row>
    <row r="614" spans="1:5" x14ac:dyDescent="0.25">
      <c r="A614" s="1" t="s">
        <v>640</v>
      </c>
      <c r="B614" s="1" t="s">
        <v>30</v>
      </c>
      <c r="C614" s="1">
        <v>3</v>
      </c>
      <c r="D614" s="1" t="str">
        <f t="shared" si="18"/>
        <v>F</v>
      </c>
      <c r="E614" s="1" t="str">
        <f t="shared" si="19"/>
        <v>vN30 F3</v>
      </c>
    </row>
    <row r="615" spans="1:5" x14ac:dyDescent="0.25">
      <c r="A615" s="1" t="s">
        <v>641</v>
      </c>
      <c r="B615" s="1" t="s">
        <v>30</v>
      </c>
      <c r="C615" s="1">
        <v>3</v>
      </c>
      <c r="D615" s="1" t="str">
        <f t="shared" si="18"/>
        <v>F</v>
      </c>
      <c r="E615" s="1" t="str">
        <f t="shared" si="19"/>
        <v>vN31 F3</v>
      </c>
    </row>
    <row r="616" spans="1:5" x14ac:dyDescent="0.25">
      <c r="A616" s="1" t="s">
        <v>642</v>
      </c>
      <c r="B616" s="1" t="s">
        <v>30</v>
      </c>
      <c r="C616" s="1">
        <v>3</v>
      </c>
      <c r="D616" s="1" t="str">
        <f t="shared" si="18"/>
        <v>F</v>
      </c>
      <c r="E616" s="1" t="str">
        <f t="shared" si="19"/>
        <v>vN32 F3</v>
      </c>
    </row>
    <row r="617" spans="1:5" x14ac:dyDescent="0.25">
      <c r="A617" s="1" t="s">
        <v>643</v>
      </c>
      <c r="B617" s="1" t="s">
        <v>30</v>
      </c>
      <c r="C617" s="1">
        <v>2</v>
      </c>
      <c r="D617" s="1" t="str">
        <f t="shared" si="18"/>
        <v>F</v>
      </c>
      <c r="E617" s="1" t="str">
        <f t="shared" si="19"/>
        <v>vO5 F2</v>
      </c>
    </row>
    <row r="618" spans="1:5" x14ac:dyDescent="0.25">
      <c r="A618" s="1" t="s">
        <v>644</v>
      </c>
      <c r="B618" s="1" t="s">
        <v>30</v>
      </c>
      <c r="C618" s="1">
        <v>2</v>
      </c>
      <c r="D618" s="1" t="str">
        <f t="shared" si="18"/>
        <v>F</v>
      </c>
      <c r="E618" s="1" t="str">
        <f t="shared" si="19"/>
        <v>vN33sN33 F2</v>
      </c>
    </row>
    <row r="619" spans="1:5" x14ac:dyDescent="0.25">
      <c r="A619" s="1" t="s">
        <v>645</v>
      </c>
      <c r="B619" s="1" t="s">
        <v>30</v>
      </c>
      <c r="C619" s="1">
        <v>2</v>
      </c>
      <c r="D619" s="1" t="str">
        <f t="shared" si="18"/>
        <v>F</v>
      </c>
      <c r="E619" s="1" t="str">
        <f t="shared" si="19"/>
        <v>vN33sN34 F2</v>
      </c>
    </row>
    <row r="620" spans="1:5" x14ac:dyDescent="0.25">
      <c r="A620" s="1" t="s">
        <v>646</v>
      </c>
      <c r="B620" s="1" t="s">
        <v>30</v>
      </c>
      <c r="C620" s="1">
        <v>2</v>
      </c>
      <c r="D620" s="1" t="str">
        <f t="shared" si="18"/>
        <v>F</v>
      </c>
      <c r="E620" s="1" t="str">
        <f t="shared" si="19"/>
        <v>vN35sN35 F2</v>
      </c>
    </row>
    <row r="621" spans="1:5" x14ac:dyDescent="0.25">
      <c r="A621" s="1" t="s">
        <v>647</v>
      </c>
      <c r="B621" s="1" t="s">
        <v>30</v>
      </c>
      <c r="C621" s="1">
        <v>2</v>
      </c>
      <c r="D621" s="1" t="str">
        <f t="shared" si="18"/>
        <v>F</v>
      </c>
      <c r="E621" s="1" t="str">
        <f t="shared" si="19"/>
        <v>vN35sN36 F2</v>
      </c>
    </row>
    <row r="622" spans="1:5" x14ac:dyDescent="0.25">
      <c r="A622" s="1" t="s">
        <v>648</v>
      </c>
      <c r="B622" s="1" t="s">
        <v>30</v>
      </c>
      <c r="C622" s="1">
        <v>2</v>
      </c>
      <c r="D622" s="1" t="str">
        <f t="shared" si="18"/>
        <v>F</v>
      </c>
      <c r="E622" s="1" t="str">
        <f t="shared" si="19"/>
        <v>vN35sN37 F2</v>
      </c>
    </row>
    <row r="623" spans="1:5" x14ac:dyDescent="0.25">
      <c r="A623" s="1" t="s">
        <v>649</v>
      </c>
      <c r="B623" s="1" t="s">
        <v>30</v>
      </c>
      <c r="C623" s="1">
        <v>2</v>
      </c>
      <c r="D623" s="1" t="str">
        <f t="shared" si="18"/>
        <v>F</v>
      </c>
      <c r="E623" s="1" t="str">
        <f t="shared" si="19"/>
        <v>vN35sN38 F2</v>
      </c>
    </row>
    <row r="624" spans="1:5" x14ac:dyDescent="0.25">
      <c r="A624" s="1" t="s">
        <v>650</v>
      </c>
      <c r="B624" s="1" t="s">
        <v>30</v>
      </c>
      <c r="C624" s="1">
        <v>14</v>
      </c>
      <c r="D624" s="1" t="str">
        <f t="shared" si="18"/>
        <v>F</v>
      </c>
      <c r="E624" s="1" t="str">
        <f t="shared" si="19"/>
        <v>vQa F14</v>
      </c>
    </row>
    <row r="625" spans="1:5" x14ac:dyDescent="0.25">
      <c r="A625" s="1" t="s">
        <v>651</v>
      </c>
      <c r="B625" s="1" t="s">
        <v>30</v>
      </c>
      <c r="C625" s="1">
        <v>2</v>
      </c>
      <c r="D625" s="1" t="str">
        <f t="shared" si="18"/>
        <v>F</v>
      </c>
      <c r="E625" s="1" t="str">
        <f t="shared" si="19"/>
        <v>vQ1 F2</v>
      </c>
    </row>
    <row r="626" spans="1:5" x14ac:dyDescent="0.25">
      <c r="A626" s="1" t="s">
        <v>652</v>
      </c>
      <c r="B626" s="1" t="s">
        <v>30</v>
      </c>
      <c r="C626" s="1">
        <v>2</v>
      </c>
      <c r="D626" s="1" t="str">
        <f t="shared" si="18"/>
        <v>F</v>
      </c>
      <c r="E626" s="1" t="str">
        <f t="shared" si="19"/>
        <v>vQ2 F2</v>
      </c>
    </row>
    <row r="627" spans="1:5" x14ac:dyDescent="0.25">
      <c r="A627" s="1" t="s">
        <v>653</v>
      </c>
      <c r="B627" s="1" t="s">
        <v>30</v>
      </c>
      <c r="C627" s="1">
        <v>2</v>
      </c>
      <c r="D627" s="1" t="str">
        <f t="shared" si="18"/>
        <v>F</v>
      </c>
      <c r="E627" s="1" t="str">
        <f t="shared" si="19"/>
        <v>vQ3 F2</v>
      </c>
    </row>
    <row r="628" spans="1:5" x14ac:dyDescent="0.25">
      <c r="A628" s="1" t="s">
        <v>654</v>
      </c>
      <c r="B628" s="1" t="s">
        <v>30</v>
      </c>
      <c r="C628" s="1">
        <v>2</v>
      </c>
      <c r="D628" s="1" t="str">
        <f t="shared" si="18"/>
        <v>F</v>
      </c>
      <c r="E628" s="1" t="str">
        <f t="shared" si="19"/>
        <v>vQ4 F2</v>
      </c>
    </row>
    <row r="629" spans="1:5" x14ac:dyDescent="0.25">
      <c r="A629" s="1" t="s">
        <v>655</v>
      </c>
      <c r="B629" s="1" t="s">
        <v>30</v>
      </c>
      <c r="C629" s="1">
        <v>2</v>
      </c>
      <c r="D629" s="1" t="str">
        <f t="shared" si="18"/>
        <v>F</v>
      </c>
      <c r="E629" s="1" t="str">
        <f t="shared" si="19"/>
        <v>vQ5 F2</v>
      </c>
    </row>
    <row r="630" spans="1:5" x14ac:dyDescent="0.25">
      <c r="A630" s="1" t="s">
        <v>656</v>
      </c>
      <c r="B630" s="1" t="s">
        <v>30</v>
      </c>
      <c r="C630" s="1">
        <v>2</v>
      </c>
      <c r="D630" s="1" t="str">
        <f t="shared" si="18"/>
        <v>F</v>
      </c>
      <c r="E630" s="1" t="str">
        <f t="shared" si="19"/>
        <v>vQ6 F2</v>
      </c>
    </row>
    <row r="631" spans="1:5" x14ac:dyDescent="0.25">
      <c r="A631" s="1" t="s">
        <v>657</v>
      </c>
      <c r="B631" s="1" t="s">
        <v>30</v>
      </c>
      <c r="C631" s="1">
        <v>2</v>
      </c>
      <c r="D631" s="1" t="str">
        <f t="shared" si="18"/>
        <v>F</v>
      </c>
      <c r="E631" s="1" t="str">
        <f t="shared" si="19"/>
        <v>vQ7 F2</v>
      </c>
    </row>
    <row r="632" spans="1:5" x14ac:dyDescent="0.25">
      <c r="A632" s="1" t="s">
        <v>658</v>
      </c>
      <c r="B632" s="1" t="s">
        <v>30</v>
      </c>
      <c r="C632" s="1">
        <v>2</v>
      </c>
      <c r="D632" s="1" t="str">
        <f t="shared" si="18"/>
        <v>F</v>
      </c>
      <c r="E632" s="1" t="str">
        <f t="shared" si="19"/>
        <v>vQ8 F2</v>
      </c>
    </row>
    <row r="633" spans="1:5" x14ac:dyDescent="0.25">
      <c r="A633" s="1" t="s">
        <v>659</v>
      </c>
      <c r="B633" s="1" t="s">
        <v>30</v>
      </c>
      <c r="C633" s="1">
        <v>2</v>
      </c>
      <c r="D633" s="1" t="str">
        <f t="shared" si="18"/>
        <v>F</v>
      </c>
      <c r="E633" s="1" t="str">
        <f t="shared" si="19"/>
        <v>vQ9 F2</v>
      </c>
    </row>
    <row r="634" spans="1:5" x14ac:dyDescent="0.25">
      <c r="A634" s="1" t="s">
        <v>660</v>
      </c>
      <c r="B634" s="1" t="s">
        <v>30</v>
      </c>
      <c r="C634" s="1">
        <v>2</v>
      </c>
      <c r="D634" s="1" t="str">
        <f t="shared" si="18"/>
        <v>F</v>
      </c>
      <c r="E634" s="1" t="str">
        <f t="shared" si="19"/>
        <v>vQ10 F2</v>
      </c>
    </row>
    <row r="635" spans="1:5" x14ac:dyDescent="0.25">
      <c r="A635" s="1" t="s">
        <v>661</v>
      </c>
      <c r="B635" s="1" t="s">
        <v>30</v>
      </c>
      <c r="C635" s="1">
        <v>2</v>
      </c>
      <c r="D635" s="1" t="str">
        <f t="shared" si="18"/>
        <v>F</v>
      </c>
      <c r="E635" s="1" t="str">
        <f t="shared" si="19"/>
        <v>vCKQ10 F2</v>
      </c>
    </row>
    <row r="636" spans="1:5" x14ac:dyDescent="0.25">
      <c r="A636" s="1" t="s">
        <v>662</v>
      </c>
      <c r="B636" s="1" t="s">
        <v>30</v>
      </c>
      <c r="C636" s="1">
        <v>2</v>
      </c>
      <c r="D636" s="1" t="str">
        <f t="shared" si="18"/>
        <v>F</v>
      </c>
      <c r="E636" s="1" t="str">
        <f t="shared" si="19"/>
        <v>vQ11 F2</v>
      </c>
    </row>
    <row r="637" spans="1:5" x14ac:dyDescent="0.25">
      <c r="A637" s="1" t="s">
        <v>663</v>
      </c>
      <c r="B637" s="1" t="s">
        <v>30</v>
      </c>
      <c r="C637" s="1">
        <v>2</v>
      </c>
      <c r="D637" s="1" t="str">
        <f t="shared" si="18"/>
        <v>F</v>
      </c>
      <c r="E637" s="1" t="str">
        <f t="shared" si="19"/>
        <v>vQ12 F2</v>
      </c>
    </row>
    <row r="638" spans="1:5" x14ac:dyDescent="0.25">
      <c r="A638" s="1" t="s">
        <v>664</v>
      </c>
      <c r="B638" s="1" t="s">
        <v>30</v>
      </c>
      <c r="C638" s="1">
        <v>2</v>
      </c>
      <c r="D638" s="1" t="str">
        <f t="shared" si="18"/>
        <v>F</v>
      </c>
      <c r="E638" s="1" t="str">
        <f t="shared" si="19"/>
        <v>vQ13 F2</v>
      </c>
    </row>
    <row r="639" spans="1:5" x14ac:dyDescent="0.25">
      <c r="A639" s="1" t="s">
        <v>665</v>
      </c>
      <c r="B639" s="1" t="s">
        <v>30</v>
      </c>
      <c r="C639" s="1">
        <v>2</v>
      </c>
      <c r="D639" s="1" t="str">
        <f t="shared" si="18"/>
        <v>F</v>
      </c>
      <c r="E639" s="1" t="str">
        <f t="shared" si="19"/>
        <v>vQ14 F2</v>
      </c>
    </row>
    <row r="640" spans="1:5" x14ac:dyDescent="0.25">
      <c r="A640" s="1" t="s">
        <v>666</v>
      </c>
      <c r="B640" s="1" t="s">
        <v>30</v>
      </c>
      <c r="C640" s="1">
        <v>2</v>
      </c>
      <c r="D640" s="1" t="str">
        <f t="shared" si="18"/>
        <v>F</v>
      </c>
      <c r="E640" s="1" t="str">
        <f t="shared" si="19"/>
        <v>vQ15 F2</v>
      </c>
    </row>
    <row r="641" spans="1:5" x14ac:dyDescent="0.25">
      <c r="A641" s="1" t="s">
        <v>667</v>
      </c>
      <c r="B641" s="1" t="s">
        <v>30</v>
      </c>
      <c r="C641" s="1">
        <v>2</v>
      </c>
      <c r="D641" s="1" t="str">
        <f t="shared" si="18"/>
        <v>F</v>
      </c>
      <c r="E641" s="1" t="str">
        <f t="shared" si="19"/>
        <v>vQ16 F2</v>
      </c>
    </row>
    <row r="642" spans="1:5" x14ac:dyDescent="0.25">
      <c r="A642" s="1" t="s">
        <v>668</v>
      </c>
      <c r="B642" s="1" t="s">
        <v>30</v>
      </c>
      <c r="C642" s="1">
        <v>2</v>
      </c>
      <c r="D642" s="1" t="str">
        <f t="shared" ref="D642:D705" si="20">IF(B642="數值","F","A")</f>
        <v>F</v>
      </c>
      <c r="E642" s="1" t="str">
        <f t="shared" ref="E642:E705" si="21">A642&amp;" "&amp;D642&amp;C642</f>
        <v>vQ17 F2</v>
      </c>
    </row>
    <row r="643" spans="1:5" x14ac:dyDescent="0.25">
      <c r="A643" s="1" t="s">
        <v>669</v>
      </c>
      <c r="B643" s="1" t="s">
        <v>30</v>
      </c>
      <c r="C643" s="1">
        <v>2</v>
      </c>
      <c r="D643" s="1" t="str">
        <f t="shared" si="20"/>
        <v>F</v>
      </c>
      <c r="E643" s="1" t="str">
        <f t="shared" si="21"/>
        <v>vQ18 F2</v>
      </c>
    </row>
    <row r="644" spans="1:5" x14ac:dyDescent="0.25">
      <c r="A644" s="1" t="s">
        <v>670</v>
      </c>
      <c r="B644" s="1" t="s">
        <v>30</v>
      </c>
      <c r="C644" s="1">
        <v>2</v>
      </c>
      <c r="D644" s="1" t="str">
        <f t="shared" si="20"/>
        <v>F</v>
      </c>
      <c r="E644" s="1" t="str">
        <f t="shared" si="21"/>
        <v>vQ19 F2</v>
      </c>
    </row>
    <row r="645" spans="1:5" x14ac:dyDescent="0.25">
      <c r="A645" s="1" t="s">
        <v>671</v>
      </c>
      <c r="B645" s="1" t="s">
        <v>30</v>
      </c>
      <c r="C645" s="1">
        <v>2</v>
      </c>
      <c r="D645" s="1" t="str">
        <f t="shared" si="20"/>
        <v>F</v>
      </c>
      <c r="E645" s="1" t="str">
        <f t="shared" si="21"/>
        <v>vQ20m01 F2</v>
      </c>
    </row>
    <row r="646" spans="1:5" x14ac:dyDescent="0.25">
      <c r="A646" s="1" t="s">
        <v>672</v>
      </c>
      <c r="B646" s="1" t="s">
        <v>30</v>
      </c>
      <c r="C646" s="1">
        <v>2</v>
      </c>
      <c r="D646" s="1" t="str">
        <f t="shared" si="20"/>
        <v>F</v>
      </c>
      <c r="E646" s="1" t="str">
        <f t="shared" si="21"/>
        <v>vQ20m02 F2</v>
      </c>
    </row>
    <row r="647" spans="1:5" x14ac:dyDescent="0.25">
      <c r="A647" s="1" t="s">
        <v>673</v>
      </c>
      <c r="B647" s="1" t="s">
        <v>30</v>
      </c>
      <c r="C647" s="1">
        <v>2</v>
      </c>
      <c r="D647" s="1" t="str">
        <f t="shared" si="20"/>
        <v>F</v>
      </c>
      <c r="E647" s="1" t="str">
        <f t="shared" si="21"/>
        <v>vQ20m03 F2</v>
      </c>
    </row>
    <row r="648" spans="1:5" x14ac:dyDescent="0.25">
      <c r="A648" s="1" t="s">
        <v>674</v>
      </c>
      <c r="B648" s="1" t="s">
        <v>30</v>
      </c>
      <c r="C648" s="1">
        <v>2</v>
      </c>
      <c r="D648" s="1" t="str">
        <f t="shared" si="20"/>
        <v>F</v>
      </c>
      <c r="E648" s="1" t="str">
        <f t="shared" si="21"/>
        <v>vQ20m04 F2</v>
      </c>
    </row>
    <row r="649" spans="1:5" x14ac:dyDescent="0.25">
      <c r="A649" s="1" t="s">
        <v>675</v>
      </c>
      <c r="B649" s="1" t="s">
        <v>30</v>
      </c>
      <c r="C649" s="1">
        <v>2</v>
      </c>
      <c r="D649" s="1" t="str">
        <f t="shared" si="20"/>
        <v>F</v>
      </c>
      <c r="E649" s="1" t="str">
        <f t="shared" si="21"/>
        <v>vQ20m05 F2</v>
      </c>
    </row>
    <row r="650" spans="1:5" x14ac:dyDescent="0.25">
      <c r="A650" s="1" t="s">
        <v>676</v>
      </c>
      <c r="B650" s="1" t="s">
        <v>30</v>
      </c>
      <c r="C650" s="1">
        <v>2</v>
      </c>
      <c r="D650" s="1" t="str">
        <f t="shared" si="20"/>
        <v>F</v>
      </c>
      <c r="E650" s="1" t="str">
        <f t="shared" si="21"/>
        <v>vQ20m06 F2</v>
      </c>
    </row>
    <row r="651" spans="1:5" x14ac:dyDescent="0.25">
      <c r="A651" s="1" t="s">
        <v>677</v>
      </c>
      <c r="B651" s="1" t="s">
        <v>30</v>
      </c>
      <c r="C651" s="1">
        <v>2</v>
      </c>
      <c r="D651" s="1" t="str">
        <f t="shared" si="20"/>
        <v>F</v>
      </c>
      <c r="E651" s="1" t="str">
        <f t="shared" si="21"/>
        <v>vQ20m88 F2</v>
      </c>
    </row>
    <row r="652" spans="1:5" x14ac:dyDescent="0.25">
      <c r="A652" s="1" t="s">
        <v>678</v>
      </c>
      <c r="B652" s="1" t="s">
        <v>30</v>
      </c>
      <c r="C652" s="1">
        <v>2</v>
      </c>
      <c r="D652" s="1" t="str">
        <f t="shared" si="20"/>
        <v>F</v>
      </c>
      <c r="E652" s="1" t="str">
        <f t="shared" si="21"/>
        <v>vQ20m90 F2</v>
      </c>
    </row>
    <row r="653" spans="1:5" x14ac:dyDescent="0.25">
      <c r="A653" s="1" t="s">
        <v>679</v>
      </c>
      <c r="B653" s="1" t="s">
        <v>27</v>
      </c>
      <c r="C653" s="1">
        <v>150</v>
      </c>
      <c r="D653" s="1" t="str">
        <f t="shared" si="20"/>
        <v>A</v>
      </c>
      <c r="E653" s="1" t="str">
        <f t="shared" si="21"/>
        <v>vQ20o88 A150</v>
      </c>
    </row>
    <row r="654" spans="1:5" x14ac:dyDescent="0.25">
      <c r="A654" s="1" t="s">
        <v>680</v>
      </c>
      <c r="B654" s="1" t="s">
        <v>30</v>
      </c>
      <c r="C654" s="1">
        <v>2</v>
      </c>
      <c r="D654" s="1" t="str">
        <f t="shared" si="20"/>
        <v>F</v>
      </c>
      <c r="E654" s="1" t="str">
        <f t="shared" si="21"/>
        <v>vCKQ20A F2</v>
      </c>
    </row>
    <row r="655" spans="1:5" x14ac:dyDescent="0.25">
      <c r="A655" s="1" t="s">
        <v>681</v>
      </c>
      <c r="B655" s="1" t="s">
        <v>30</v>
      </c>
      <c r="C655" s="1">
        <v>2</v>
      </c>
      <c r="D655" s="1" t="str">
        <f t="shared" si="20"/>
        <v>F</v>
      </c>
      <c r="E655" s="1" t="str">
        <f t="shared" si="21"/>
        <v>vCKQ20B F2</v>
      </c>
    </row>
    <row r="656" spans="1:5" x14ac:dyDescent="0.25">
      <c r="A656" s="1" t="s">
        <v>682</v>
      </c>
      <c r="B656" s="1" t="s">
        <v>30</v>
      </c>
      <c r="C656" s="1">
        <v>4</v>
      </c>
      <c r="D656" s="1" t="str">
        <f t="shared" si="20"/>
        <v>F</v>
      </c>
      <c r="E656" s="1" t="str">
        <f t="shared" si="21"/>
        <v>vQ24g1 F4</v>
      </c>
    </row>
    <row r="657" spans="1:5" x14ac:dyDescent="0.25">
      <c r="A657" s="1" t="s">
        <v>683</v>
      </c>
      <c r="B657" s="1" t="s">
        <v>30</v>
      </c>
      <c r="C657" s="1">
        <v>3</v>
      </c>
      <c r="D657" s="1" t="str">
        <f t="shared" si="20"/>
        <v>F</v>
      </c>
      <c r="E657" s="1" t="str">
        <f t="shared" si="21"/>
        <v>vQ24g2 F3</v>
      </c>
    </row>
    <row r="658" spans="1:5" x14ac:dyDescent="0.25">
      <c r="A658" s="1" t="s">
        <v>684</v>
      </c>
      <c r="B658" s="1" t="s">
        <v>30</v>
      </c>
      <c r="C658" s="1">
        <v>2</v>
      </c>
      <c r="D658" s="1" t="str">
        <f t="shared" si="20"/>
        <v>F</v>
      </c>
      <c r="E658" s="1" t="str">
        <f t="shared" si="21"/>
        <v>vCKQ24 F2</v>
      </c>
    </row>
    <row r="659" spans="1:5" x14ac:dyDescent="0.25">
      <c r="A659" s="1" t="s">
        <v>685</v>
      </c>
      <c r="B659" s="1" t="s">
        <v>30</v>
      </c>
      <c r="C659" s="1">
        <v>2</v>
      </c>
      <c r="D659" s="1" t="str">
        <f t="shared" si="20"/>
        <v>F</v>
      </c>
      <c r="E659" s="1" t="str">
        <f t="shared" si="21"/>
        <v>vQ25m01 F2</v>
      </c>
    </row>
    <row r="660" spans="1:5" x14ac:dyDescent="0.25">
      <c r="A660" s="1" t="s">
        <v>686</v>
      </c>
      <c r="B660" s="1" t="s">
        <v>30</v>
      </c>
      <c r="C660" s="1">
        <v>2</v>
      </c>
      <c r="D660" s="1" t="str">
        <f t="shared" si="20"/>
        <v>F</v>
      </c>
      <c r="E660" s="1" t="str">
        <f t="shared" si="21"/>
        <v>vQ25m02 F2</v>
      </c>
    </row>
    <row r="661" spans="1:5" x14ac:dyDescent="0.25">
      <c r="A661" s="1" t="s">
        <v>687</v>
      </c>
      <c r="B661" s="1" t="s">
        <v>30</v>
      </c>
      <c r="C661" s="1">
        <v>2</v>
      </c>
      <c r="D661" s="1" t="str">
        <f t="shared" si="20"/>
        <v>F</v>
      </c>
      <c r="E661" s="1" t="str">
        <f t="shared" si="21"/>
        <v>vQ25m03 F2</v>
      </c>
    </row>
    <row r="662" spans="1:5" x14ac:dyDescent="0.25">
      <c r="A662" s="1" t="s">
        <v>688</v>
      </c>
      <c r="B662" s="1" t="s">
        <v>30</v>
      </c>
      <c r="C662" s="1">
        <v>2</v>
      </c>
      <c r="D662" s="1" t="str">
        <f t="shared" si="20"/>
        <v>F</v>
      </c>
      <c r="E662" s="1" t="str">
        <f t="shared" si="21"/>
        <v>vQ25m04 F2</v>
      </c>
    </row>
    <row r="663" spans="1:5" x14ac:dyDescent="0.25">
      <c r="A663" s="1" t="s">
        <v>689</v>
      </c>
      <c r="B663" s="1" t="s">
        <v>30</v>
      </c>
      <c r="C663" s="1">
        <v>2</v>
      </c>
      <c r="D663" s="1" t="str">
        <f t="shared" si="20"/>
        <v>F</v>
      </c>
      <c r="E663" s="1" t="str">
        <f t="shared" si="21"/>
        <v>vQ25m05 F2</v>
      </c>
    </row>
    <row r="664" spans="1:5" x14ac:dyDescent="0.25">
      <c r="A664" s="1" t="s">
        <v>690</v>
      </c>
      <c r="B664" s="1" t="s">
        <v>30</v>
      </c>
      <c r="C664" s="1">
        <v>2</v>
      </c>
      <c r="D664" s="1" t="str">
        <f t="shared" si="20"/>
        <v>F</v>
      </c>
      <c r="E664" s="1" t="str">
        <f t="shared" si="21"/>
        <v>vQ25m06 F2</v>
      </c>
    </row>
    <row r="665" spans="1:5" x14ac:dyDescent="0.25">
      <c r="A665" s="1" t="s">
        <v>691</v>
      </c>
      <c r="B665" s="1" t="s">
        <v>30</v>
      </c>
      <c r="C665" s="1">
        <v>2</v>
      </c>
      <c r="D665" s="1" t="str">
        <f t="shared" si="20"/>
        <v>F</v>
      </c>
      <c r="E665" s="1" t="str">
        <f t="shared" si="21"/>
        <v>vQ25m07 F2</v>
      </c>
    </row>
    <row r="666" spans="1:5" x14ac:dyDescent="0.25">
      <c r="A666" s="1" t="s">
        <v>692</v>
      </c>
      <c r="B666" s="1" t="s">
        <v>30</v>
      </c>
      <c r="C666" s="1">
        <v>2</v>
      </c>
      <c r="D666" s="1" t="str">
        <f t="shared" si="20"/>
        <v>F</v>
      </c>
      <c r="E666" s="1" t="str">
        <f t="shared" si="21"/>
        <v>vQ25m08 F2</v>
      </c>
    </row>
    <row r="667" spans="1:5" x14ac:dyDescent="0.25">
      <c r="A667" s="1" t="s">
        <v>693</v>
      </c>
      <c r="B667" s="1" t="s">
        <v>30</v>
      </c>
      <c r="C667" s="1">
        <v>2</v>
      </c>
      <c r="D667" s="1" t="str">
        <f t="shared" si="20"/>
        <v>F</v>
      </c>
      <c r="E667" s="1" t="str">
        <f t="shared" si="21"/>
        <v>vQ25m09 F2</v>
      </c>
    </row>
    <row r="668" spans="1:5" x14ac:dyDescent="0.25">
      <c r="A668" s="1" t="s">
        <v>694</v>
      </c>
      <c r="B668" s="1" t="s">
        <v>30</v>
      </c>
      <c r="C668" s="1">
        <v>2</v>
      </c>
      <c r="D668" s="1" t="str">
        <f t="shared" si="20"/>
        <v>F</v>
      </c>
      <c r="E668" s="1" t="str">
        <f t="shared" si="21"/>
        <v>vQ25m10 F2</v>
      </c>
    </row>
    <row r="669" spans="1:5" x14ac:dyDescent="0.25">
      <c r="A669" s="1" t="s">
        <v>695</v>
      </c>
      <c r="B669" s="1" t="s">
        <v>30</v>
      </c>
      <c r="C669" s="1">
        <v>2</v>
      </c>
      <c r="D669" s="1" t="str">
        <f t="shared" si="20"/>
        <v>F</v>
      </c>
      <c r="E669" s="1" t="str">
        <f t="shared" si="21"/>
        <v>vQ25m11 F2</v>
      </c>
    </row>
    <row r="670" spans="1:5" x14ac:dyDescent="0.25">
      <c r="A670" s="1" t="s">
        <v>696</v>
      </c>
      <c r="B670" s="1" t="s">
        <v>30</v>
      </c>
      <c r="C670" s="1">
        <v>2</v>
      </c>
      <c r="D670" s="1" t="str">
        <f t="shared" si="20"/>
        <v>F</v>
      </c>
      <c r="E670" s="1" t="str">
        <f t="shared" si="21"/>
        <v>vQ25m12 F2</v>
      </c>
    </row>
    <row r="671" spans="1:5" x14ac:dyDescent="0.25">
      <c r="A671" s="1" t="s">
        <v>697</v>
      </c>
      <c r="B671" s="1" t="s">
        <v>30</v>
      </c>
      <c r="C671" s="1">
        <v>2</v>
      </c>
      <c r="D671" s="1" t="str">
        <f t="shared" si="20"/>
        <v>F</v>
      </c>
      <c r="E671" s="1" t="str">
        <f t="shared" si="21"/>
        <v>vQ25m13 F2</v>
      </c>
    </row>
    <row r="672" spans="1:5" x14ac:dyDescent="0.25">
      <c r="A672" s="1" t="s">
        <v>698</v>
      </c>
      <c r="B672" s="1" t="s">
        <v>30</v>
      </c>
      <c r="C672" s="1">
        <v>2</v>
      </c>
      <c r="D672" s="1" t="str">
        <f t="shared" si="20"/>
        <v>F</v>
      </c>
      <c r="E672" s="1" t="str">
        <f t="shared" si="21"/>
        <v>vQ25m14 F2</v>
      </c>
    </row>
    <row r="673" spans="1:5" x14ac:dyDescent="0.25">
      <c r="A673" s="1" t="s">
        <v>699</v>
      </c>
      <c r="B673" s="1" t="s">
        <v>30</v>
      </c>
      <c r="C673" s="1">
        <v>2</v>
      </c>
      <c r="D673" s="1" t="str">
        <f t="shared" si="20"/>
        <v>F</v>
      </c>
      <c r="E673" s="1" t="str">
        <f t="shared" si="21"/>
        <v>vQ25m15 F2</v>
      </c>
    </row>
    <row r="674" spans="1:5" x14ac:dyDescent="0.25">
      <c r="A674" s="1" t="s">
        <v>700</v>
      </c>
      <c r="B674" s="1" t="s">
        <v>30</v>
      </c>
      <c r="C674" s="1">
        <v>2</v>
      </c>
      <c r="D674" s="1" t="str">
        <f t="shared" si="20"/>
        <v>F</v>
      </c>
      <c r="E674" s="1" t="str">
        <f t="shared" si="21"/>
        <v>vQ25m16 F2</v>
      </c>
    </row>
    <row r="675" spans="1:5" x14ac:dyDescent="0.25">
      <c r="A675" s="1" t="s">
        <v>701</v>
      </c>
      <c r="B675" s="1" t="s">
        <v>30</v>
      </c>
      <c r="C675" s="1">
        <v>2</v>
      </c>
      <c r="D675" s="1" t="str">
        <f t="shared" si="20"/>
        <v>F</v>
      </c>
      <c r="E675" s="1" t="str">
        <f t="shared" si="21"/>
        <v>vQ25m17 F2</v>
      </c>
    </row>
    <row r="676" spans="1:5" x14ac:dyDescent="0.25">
      <c r="A676" s="1" t="s">
        <v>702</v>
      </c>
      <c r="B676" s="1" t="s">
        <v>30</v>
      </c>
      <c r="C676" s="1">
        <v>2</v>
      </c>
      <c r="D676" s="1" t="str">
        <f t="shared" si="20"/>
        <v>F</v>
      </c>
      <c r="E676" s="1" t="str">
        <f t="shared" si="21"/>
        <v>vQ25m18 F2</v>
      </c>
    </row>
    <row r="677" spans="1:5" x14ac:dyDescent="0.25">
      <c r="A677" s="1" t="s">
        <v>703</v>
      </c>
      <c r="B677" s="1" t="s">
        <v>30</v>
      </c>
      <c r="C677" s="1">
        <v>2</v>
      </c>
      <c r="D677" s="1" t="str">
        <f t="shared" si="20"/>
        <v>F</v>
      </c>
      <c r="E677" s="1" t="str">
        <f t="shared" si="21"/>
        <v>vQ25m19 F2</v>
      </c>
    </row>
    <row r="678" spans="1:5" x14ac:dyDescent="0.25">
      <c r="A678" s="1" t="s">
        <v>704</v>
      </c>
      <c r="B678" s="1" t="s">
        <v>30</v>
      </c>
      <c r="C678" s="1">
        <v>2</v>
      </c>
      <c r="D678" s="1" t="str">
        <f t="shared" si="20"/>
        <v>F</v>
      </c>
      <c r="E678" s="1" t="str">
        <f t="shared" si="21"/>
        <v>vQ25m20 F2</v>
      </c>
    </row>
    <row r="679" spans="1:5" x14ac:dyDescent="0.25">
      <c r="A679" s="1" t="s">
        <v>705</v>
      </c>
      <c r="B679" s="1" t="s">
        <v>30</v>
      </c>
      <c r="C679" s="1">
        <v>2</v>
      </c>
      <c r="D679" s="1" t="str">
        <f t="shared" si="20"/>
        <v>F</v>
      </c>
      <c r="E679" s="1" t="str">
        <f t="shared" si="21"/>
        <v>vQ25m21 F2</v>
      </c>
    </row>
    <row r="680" spans="1:5" x14ac:dyDescent="0.25">
      <c r="A680" s="1" t="s">
        <v>706</v>
      </c>
      <c r="B680" s="1" t="s">
        <v>30</v>
      </c>
      <c r="C680" s="1">
        <v>2</v>
      </c>
      <c r="D680" s="1" t="str">
        <f t="shared" si="20"/>
        <v>F</v>
      </c>
      <c r="E680" s="1" t="str">
        <f t="shared" si="21"/>
        <v>vQ25m22 F2</v>
      </c>
    </row>
    <row r="681" spans="1:5" x14ac:dyDescent="0.25">
      <c r="A681" s="1" t="s">
        <v>707</v>
      </c>
      <c r="B681" s="1" t="s">
        <v>30</v>
      </c>
      <c r="C681" s="1">
        <v>2</v>
      </c>
      <c r="D681" s="1" t="str">
        <f t="shared" si="20"/>
        <v>F</v>
      </c>
      <c r="E681" s="1" t="str">
        <f t="shared" si="21"/>
        <v>vQ25m23 F2</v>
      </c>
    </row>
    <row r="682" spans="1:5" x14ac:dyDescent="0.25">
      <c r="A682" s="1" t="s">
        <v>708</v>
      </c>
      <c r="B682" s="1" t="s">
        <v>30</v>
      </c>
      <c r="C682" s="1">
        <v>2</v>
      </c>
      <c r="D682" s="1" t="str">
        <f t="shared" si="20"/>
        <v>F</v>
      </c>
      <c r="E682" s="1" t="str">
        <f t="shared" si="21"/>
        <v>vQ25m24 F2</v>
      </c>
    </row>
    <row r="683" spans="1:5" x14ac:dyDescent="0.25">
      <c r="A683" s="1" t="s">
        <v>709</v>
      </c>
      <c r="B683" s="1" t="s">
        <v>30</v>
      </c>
      <c r="C683" s="1">
        <v>2</v>
      </c>
      <c r="D683" s="1" t="str">
        <f t="shared" si="20"/>
        <v>F</v>
      </c>
      <c r="E683" s="1" t="str">
        <f t="shared" si="21"/>
        <v>vQ25m25 F2</v>
      </c>
    </row>
    <row r="684" spans="1:5" x14ac:dyDescent="0.25">
      <c r="A684" s="1" t="s">
        <v>710</v>
      </c>
      <c r="B684" s="1" t="s">
        <v>30</v>
      </c>
      <c r="C684" s="1">
        <v>2</v>
      </c>
      <c r="D684" s="1" t="str">
        <f t="shared" si="20"/>
        <v>F</v>
      </c>
      <c r="E684" s="1" t="str">
        <f t="shared" si="21"/>
        <v>vQ25m26 F2</v>
      </c>
    </row>
    <row r="685" spans="1:5" x14ac:dyDescent="0.25">
      <c r="A685" s="1" t="s">
        <v>711</v>
      </c>
      <c r="B685" s="1" t="s">
        <v>30</v>
      </c>
      <c r="C685" s="1">
        <v>2</v>
      </c>
      <c r="D685" s="1" t="str">
        <f t="shared" si="20"/>
        <v>F</v>
      </c>
      <c r="E685" s="1" t="str">
        <f t="shared" si="21"/>
        <v>vQ25m27 F2</v>
      </c>
    </row>
    <row r="686" spans="1:5" x14ac:dyDescent="0.25">
      <c r="A686" s="1" t="s">
        <v>712</v>
      </c>
      <c r="B686" s="1" t="s">
        <v>30</v>
      </c>
      <c r="C686" s="1">
        <v>2</v>
      </c>
      <c r="D686" s="1" t="str">
        <f t="shared" si="20"/>
        <v>F</v>
      </c>
      <c r="E686" s="1" t="str">
        <f t="shared" si="21"/>
        <v>vQ25m28 F2</v>
      </c>
    </row>
    <row r="687" spans="1:5" x14ac:dyDescent="0.25">
      <c r="A687" s="1" t="s">
        <v>713</v>
      </c>
      <c r="B687" s="1" t="s">
        <v>30</v>
      </c>
      <c r="C687" s="1">
        <v>2</v>
      </c>
      <c r="D687" s="1" t="str">
        <f t="shared" si="20"/>
        <v>F</v>
      </c>
      <c r="E687" s="1" t="str">
        <f t="shared" si="21"/>
        <v>vQ25m29 F2</v>
      </c>
    </row>
    <row r="688" spans="1:5" x14ac:dyDescent="0.25">
      <c r="A688" s="1" t="s">
        <v>714</v>
      </c>
      <c r="B688" s="1" t="s">
        <v>30</v>
      </c>
      <c r="C688" s="1">
        <v>2</v>
      </c>
      <c r="D688" s="1" t="str">
        <f t="shared" si="20"/>
        <v>F</v>
      </c>
      <c r="E688" s="1" t="str">
        <f t="shared" si="21"/>
        <v>vQ25m30 F2</v>
      </c>
    </row>
    <row r="689" spans="1:5" x14ac:dyDescent="0.25">
      <c r="A689" s="1" t="s">
        <v>715</v>
      </c>
      <c r="B689" s="1" t="s">
        <v>30</v>
      </c>
      <c r="C689" s="1">
        <v>2</v>
      </c>
      <c r="D689" s="1" t="str">
        <f t="shared" si="20"/>
        <v>F</v>
      </c>
      <c r="E689" s="1" t="str">
        <f t="shared" si="21"/>
        <v>vQ25m31 F2</v>
      </c>
    </row>
    <row r="690" spans="1:5" x14ac:dyDescent="0.25">
      <c r="A690" s="1" t="s">
        <v>716</v>
      </c>
      <c r="B690" s="1" t="s">
        <v>30</v>
      </c>
      <c r="C690" s="1">
        <v>2</v>
      </c>
      <c r="D690" s="1" t="str">
        <f t="shared" si="20"/>
        <v>F</v>
      </c>
      <c r="E690" s="1" t="str">
        <f t="shared" si="21"/>
        <v>vQ25m88 F2</v>
      </c>
    </row>
    <row r="691" spans="1:5" x14ac:dyDescent="0.25">
      <c r="A691" s="1" t="s">
        <v>717</v>
      </c>
      <c r="B691" s="1" t="s">
        <v>27</v>
      </c>
      <c r="C691" s="1">
        <v>150</v>
      </c>
      <c r="D691" s="1" t="str">
        <f t="shared" si="20"/>
        <v>A</v>
      </c>
      <c r="E691" s="1" t="str">
        <f t="shared" si="21"/>
        <v>vQ25o88 A150</v>
      </c>
    </row>
    <row r="692" spans="1:5" x14ac:dyDescent="0.25">
      <c r="A692" s="1" t="s">
        <v>718</v>
      </c>
      <c r="B692" s="1" t="s">
        <v>30</v>
      </c>
      <c r="C692" s="1">
        <v>4</v>
      </c>
      <c r="D692" s="1" t="str">
        <f t="shared" si="20"/>
        <v>F</v>
      </c>
      <c r="E692" s="1" t="str">
        <f t="shared" si="21"/>
        <v>vQ21g1 F4</v>
      </c>
    </row>
    <row r="693" spans="1:5" x14ac:dyDescent="0.25">
      <c r="A693" s="1" t="s">
        <v>719</v>
      </c>
      <c r="B693" s="1" t="s">
        <v>30</v>
      </c>
      <c r="C693" s="1">
        <v>3</v>
      </c>
      <c r="D693" s="1" t="str">
        <f t="shared" si="20"/>
        <v>F</v>
      </c>
      <c r="E693" s="1" t="str">
        <f t="shared" si="21"/>
        <v>vQ21g2 F3</v>
      </c>
    </row>
    <row r="694" spans="1:5" x14ac:dyDescent="0.25">
      <c r="A694" s="1" t="s">
        <v>720</v>
      </c>
      <c r="B694" s="1" t="s">
        <v>30</v>
      </c>
      <c r="C694" s="1">
        <v>2</v>
      </c>
      <c r="D694" s="1" t="str">
        <f t="shared" si="20"/>
        <v>F</v>
      </c>
      <c r="E694" s="1" t="str">
        <f t="shared" si="21"/>
        <v>vCKQ21 F2</v>
      </c>
    </row>
    <row r="695" spans="1:5" x14ac:dyDescent="0.25">
      <c r="A695" s="1" t="s">
        <v>721</v>
      </c>
      <c r="B695" s="1" t="s">
        <v>30</v>
      </c>
      <c r="C695" s="1">
        <v>2</v>
      </c>
      <c r="D695" s="1" t="str">
        <f t="shared" si="20"/>
        <v>F</v>
      </c>
      <c r="E695" s="1" t="str">
        <f t="shared" si="21"/>
        <v>vQ22m01 F2</v>
      </c>
    </row>
    <row r="696" spans="1:5" x14ac:dyDescent="0.25">
      <c r="A696" s="1" t="s">
        <v>722</v>
      </c>
      <c r="B696" s="1" t="s">
        <v>30</v>
      </c>
      <c r="C696" s="1">
        <v>2</v>
      </c>
      <c r="D696" s="1" t="str">
        <f t="shared" si="20"/>
        <v>F</v>
      </c>
      <c r="E696" s="1" t="str">
        <f t="shared" si="21"/>
        <v>vQ22m02 F2</v>
      </c>
    </row>
    <row r="697" spans="1:5" x14ac:dyDescent="0.25">
      <c r="A697" s="1" t="s">
        <v>723</v>
      </c>
      <c r="B697" s="1" t="s">
        <v>30</v>
      </c>
      <c r="C697" s="1">
        <v>2</v>
      </c>
      <c r="D697" s="1" t="str">
        <f t="shared" si="20"/>
        <v>F</v>
      </c>
      <c r="E697" s="1" t="str">
        <f t="shared" si="21"/>
        <v>vQ22m03 F2</v>
      </c>
    </row>
    <row r="698" spans="1:5" x14ac:dyDescent="0.25">
      <c r="A698" s="1" t="s">
        <v>724</v>
      </c>
      <c r="B698" s="1" t="s">
        <v>30</v>
      </c>
      <c r="C698" s="1">
        <v>2</v>
      </c>
      <c r="D698" s="1" t="str">
        <f t="shared" si="20"/>
        <v>F</v>
      </c>
      <c r="E698" s="1" t="str">
        <f t="shared" si="21"/>
        <v>vQ22m04 F2</v>
      </c>
    </row>
    <row r="699" spans="1:5" x14ac:dyDescent="0.25">
      <c r="A699" s="1" t="s">
        <v>725</v>
      </c>
      <c r="B699" s="1" t="s">
        <v>30</v>
      </c>
      <c r="C699" s="1">
        <v>2</v>
      </c>
      <c r="D699" s="1" t="str">
        <f t="shared" si="20"/>
        <v>F</v>
      </c>
      <c r="E699" s="1" t="str">
        <f t="shared" si="21"/>
        <v>vQ22m05 F2</v>
      </c>
    </row>
    <row r="700" spans="1:5" x14ac:dyDescent="0.25">
      <c r="A700" s="1" t="s">
        <v>726</v>
      </c>
      <c r="B700" s="1" t="s">
        <v>30</v>
      </c>
      <c r="C700" s="1">
        <v>2</v>
      </c>
      <c r="D700" s="1" t="str">
        <f t="shared" si="20"/>
        <v>F</v>
      </c>
      <c r="E700" s="1" t="str">
        <f t="shared" si="21"/>
        <v>vQ22m06 F2</v>
      </c>
    </row>
    <row r="701" spans="1:5" x14ac:dyDescent="0.25">
      <c r="A701" s="1" t="s">
        <v>727</v>
      </c>
      <c r="B701" s="1" t="s">
        <v>30</v>
      </c>
      <c r="C701" s="1">
        <v>2</v>
      </c>
      <c r="D701" s="1" t="str">
        <f t="shared" si="20"/>
        <v>F</v>
      </c>
      <c r="E701" s="1" t="str">
        <f t="shared" si="21"/>
        <v>vQ22m07 F2</v>
      </c>
    </row>
    <row r="702" spans="1:5" x14ac:dyDescent="0.25">
      <c r="A702" s="1" t="s">
        <v>728</v>
      </c>
      <c r="B702" s="1" t="s">
        <v>30</v>
      </c>
      <c r="C702" s="1">
        <v>2</v>
      </c>
      <c r="D702" s="1" t="str">
        <f t="shared" si="20"/>
        <v>F</v>
      </c>
      <c r="E702" s="1" t="str">
        <f t="shared" si="21"/>
        <v>vQ22m08 F2</v>
      </c>
    </row>
    <row r="703" spans="1:5" x14ac:dyDescent="0.25">
      <c r="A703" s="1" t="s">
        <v>729</v>
      </c>
      <c r="B703" s="1" t="s">
        <v>30</v>
      </c>
      <c r="C703" s="1">
        <v>2</v>
      </c>
      <c r="D703" s="1" t="str">
        <f t="shared" si="20"/>
        <v>F</v>
      </c>
      <c r="E703" s="1" t="str">
        <f t="shared" si="21"/>
        <v>vQ22m09 F2</v>
      </c>
    </row>
    <row r="704" spans="1:5" x14ac:dyDescent="0.25">
      <c r="A704" s="1" t="s">
        <v>730</v>
      </c>
      <c r="B704" s="1" t="s">
        <v>30</v>
      </c>
      <c r="C704" s="1">
        <v>2</v>
      </c>
      <c r="D704" s="1" t="str">
        <f t="shared" si="20"/>
        <v>F</v>
      </c>
      <c r="E704" s="1" t="str">
        <f t="shared" si="21"/>
        <v>vQ22m10 F2</v>
      </c>
    </row>
    <row r="705" spans="1:5" x14ac:dyDescent="0.25">
      <c r="A705" s="1" t="s">
        <v>731</v>
      </c>
      <c r="B705" s="1" t="s">
        <v>30</v>
      </c>
      <c r="C705" s="1">
        <v>2</v>
      </c>
      <c r="D705" s="1" t="str">
        <f t="shared" si="20"/>
        <v>F</v>
      </c>
      <c r="E705" s="1" t="str">
        <f t="shared" si="21"/>
        <v>vQ22m11 F2</v>
      </c>
    </row>
    <row r="706" spans="1:5" x14ac:dyDescent="0.25">
      <c r="A706" s="1" t="s">
        <v>732</v>
      </c>
      <c r="B706" s="1" t="s">
        <v>30</v>
      </c>
      <c r="C706" s="1">
        <v>2</v>
      </c>
      <c r="D706" s="1" t="str">
        <f t="shared" ref="D706:D769" si="22">IF(B706="數值","F","A")</f>
        <v>F</v>
      </c>
      <c r="E706" s="1" t="str">
        <f t="shared" ref="E706:E769" si="23">A706&amp;" "&amp;D706&amp;C706</f>
        <v>vQ22m12 F2</v>
      </c>
    </row>
    <row r="707" spans="1:5" x14ac:dyDescent="0.25">
      <c r="A707" s="1" t="s">
        <v>733</v>
      </c>
      <c r="B707" s="1" t="s">
        <v>30</v>
      </c>
      <c r="C707" s="1">
        <v>2</v>
      </c>
      <c r="D707" s="1" t="str">
        <f t="shared" si="22"/>
        <v>F</v>
      </c>
      <c r="E707" s="1" t="str">
        <f t="shared" si="23"/>
        <v>vQ22m13 F2</v>
      </c>
    </row>
    <row r="708" spans="1:5" x14ac:dyDescent="0.25">
      <c r="A708" s="1" t="s">
        <v>734</v>
      </c>
      <c r="B708" s="1" t="s">
        <v>30</v>
      </c>
      <c r="C708" s="1">
        <v>2</v>
      </c>
      <c r="D708" s="1" t="str">
        <f t="shared" si="22"/>
        <v>F</v>
      </c>
      <c r="E708" s="1" t="str">
        <f t="shared" si="23"/>
        <v>vQ22m14 F2</v>
      </c>
    </row>
    <row r="709" spans="1:5" x14ac:dyDescent="0.25">
      <c r="A709" s="1" t="s">
        <v>735</v>
      </c>
      <c r="B709" s="1" t="s">
        <v>30</v>
      </c>
      <c r="C709" s="1">
        <v>2</v>
      </c>
      <c r="D709" s="1" t="str">
        <f t="shared" si="22"/>
        <v>F</v>
      </c>
      <c r="E709" s="1" t="str">
        <f t="shared" si="23"/>
        <v>vQ22m15 F2</v>
      </c>
    </row>
    <row r="710" spans="1:5" x14ac:dyDescent="0.25">
      <c r="A710" s="1" t="s">
        <v>736</v>
      </c>
      <c r="B710" s="1" t="s">
        <v>30</v>
      </c>
      <c r="C710" s="1">
        <v>2</v>
      </c>
      <c r="D710" s="1" t="str">
        <f t="shared" si="22"/>
        <v>F</v>
      </c>
      <c r="E710" s="1" t="str">
        <f t="shared" si="23"/>
        <v>vQ22m16 F2</v>
      </c>
    </row>
    <row r="711" spans="1:5" x14ac:dyDescent="0.25">
      <c r="A711" s="1" t="s">
        <v>737</v>
      </c>
      <c r="B711" s="1" t="s">
        <v>30</v>
      </c>
      <c r="C711" s="1">
        <v>2</v>
      </c>
      <c r="D711" s="1" t="str">
        <f t="shared" si="22"/>
        <v>F</v>
      </c>
      <c r="E711" s="1" t="str">
        <f t="shared" si="23"/>
        <v>vQ22m17 F2</v>
      </c>
    </row>
    <row r="712" spans="1:5" x14ac:dyDescent="0.25">
      <c r="A712" s="1" t="s">
        <v>738</v>
      </c>
      <c r="B712" s="1" t="s">
        <v>30</v>
      </c>
      <c r="C712" s="1">
        <v>2</v>
      </c>
      <c r="D712" s="1" t="str">
        <f t="shared" si="22"/>
        <v>F</v>
      </c>
      <c r="E712" s="1" t="str">
        <f t="shared" si="23"/>
        <v>vQ22m18 F2</v>
      </c>
    </row>
    <row r="713" spans="1:5" x14ac:dyDescent="0.25">
      <c r="A713" s="1" t="s">
        <v>739</v>
      </c>
      <c r="B713" s="1" t="s">
        <v>30</v>
      </c>
      <c r="C713" s="1">
        <v>2</v>
      </c>
      <c r="D713" s="1" t="str">
        <f t="shared" si="22"/>
        <v>F</v>
      </c>
      <c r="E713" s="1" t="str">
        <f t="shared" si="23"/>
        <v>vQ22m19 F2</v>
      </c>
    </row>
    <row r="714" spans="1:5" x14ac:dyDescent="0.25">
      <c r="A714" s="1" t="s">
        <v>740</v>
      </c>
      <c r="B714" s="1" t="s">
        <v>30</v>
      </c>
      <c r="C714" s="1">
        <v>2</v>
      </c>
      <c r="D714" s="1" t="str">
        <f t="shared" si="22"/>
        <v>F</v>
      </c>
      <c r="E714" s="1" t="str">
        <f t="shared" si="23"/>
        <v>vQ22m20 F2</v>
      </c>
    </row>
    <row r="715" spans="1:5" x14ac:dyDescent="0.25">
      <c r="A715" s="1" t="s">
        <v>741</v>
      </c>
      <c r="B715" s="1" t="s">
        <v>30</v>
      </c>
      <c r="C715" s="1">
        <v>2</v>
      </c>
      <c r="D715" s="1" t="str">
        <f t="shared" si="22"/>
        <v>F</v>
      </c>
      <c r="E715" s="1" t="str">
        <f t="shared" si="23"/>
        <v>vQ22m21 F2</v>
      </c>
    </row>
    <row r="716" spans="1:5" x14ac:dyDescent="0.25">
      <c r="A716" s="1" t="s">
        <v>742</v>
      </c>
      <c r="B716" s="1" t="s">
        <v>30</v>
      </c>
      <c r="C716" s="1">
        <v>2</v>
      </c>
      <c r="D716" s="1" t="str">
        <f t="shared" si="22"/>
        <v>F</v>
      </c>
      <c r="E716" s="1" t="str">
        <f t="shared" si="23"/>
        <v>vQ22m22 F2</v>
      </c>
    </row>
    <row r="717" spans="1:5" x14ac:dyDescent="0.25">
      <c r="A717" s="1" t="s">
        <v>743</v>
      </c>
      <c r="B717" s="1" t="s">
        <v>30</v>
      </c>
      <c r="C717" s="1">
        <v>2</v>
      </c>
      <c r="D717" s="1" t="str">
        <f t="shared" si="22"/>
        <v>F</v>
      </c>
      <c r="E717" s="1" t="str">
        <f t="shared" si="23"/>
        <v>vQ22m23 F2</v>
      </c>
    </row>
    <row r="718" spans="1:5" x14ac:dyDescent="0.25">
      <c r="A718" s="1" t="s">
        <v>744</v>
      </c>
      <c r="B718" s="1" t="s">
        <v>30</v>
      </c>
      <c r="C718" s="1">
        <v>2</v>
      </c>
      <c r="D718" s="1" t="str">
        <f t="shared" si="22"/>
        <v>F</v>
      </c>
      <c r="E718" s="1" t="str">
        <f t="shared" si="23"/>
        <v>vQ22m24 F2</v>
      </c>
    </row>
    <row r="719" spans="1:5" x14ac:dyDescent="0.25">
      <c r="A719" s="1" t="s">
        <v>745</v>
      </c>
      <c r="B719" s="1" t="s">
        <v>30</v>
      </c>
      <c r="C719" s="1">
        <v>2</v>
      </c>
      <c r="D719" s="1" t="str">
        <f t="shared" si="22"/>
        <v>F</v>
      </c>
      <c r="E719" s="1" t="str">
        <f t="shared" si="23"/>
        <v>vQ22m25 F2</v>
      </c>
    </row>
    <row r="720" spans="1:5" x14ac:dyDescent="0.25">
      <c r="A720" s="1" t="s">
        <v>746</v>
      </c>
      <c r="B720" s="1" t="s">
        <v>30</v>
      </c>
      <c r="C720" s="1">
        <v>2</v>
      </c>
      <c r="D720" s="1" t="str">
        <f t="shared" si="22"/>
        <v>F</v>
      </c>
      <c r="E720" s="1" t="str">
        <f t="shared" si="23"/>
        <v>vQ22m26 F2</v>
      </c>
    </row>
    <row r="721" spans="1:5" x14ac:dyDescent="0.25">
      <c r="A721" s="1" t="s">
        <v>747</v>
      </c>
      <c r="B721" s="1" t="s">
        <v>30</v>
      </c>
      <c r="C721" s="1">
        <v>2</v>
      </c>
      <c r="D721" s="1" t="str">
        <f t="shared" si="22"/>
        <v>F</v>
      </c>
      <c r="E721" s="1" t="str">
        <f t="shared" si="23"/>
        <v>vQ22m27 F2</v>
      </c>
    </row>
    <row r="722" spans="1:5" x14ac:dyDescent="0.25">
      <c r="A722" s="1" t="s">
        <v>748</v>
      </c>
      <c r="B722" s="1" t="s">
        <v>30</v>
      </c>
      <c r="C722" s="1">
        <v>2</v>
      </c>
      <c r="D722" s="1" t="str">
        <f t="shared" si="22"/>
        <v>F</v>
      </c>
      <c r="E722" s="1" t="str">
        <f t="shared" si="23"/>
        <v>vQ22m28 F2</v>
      </c>
    </row>
    <row r="723" spans="1:5" x14ac:dyDescent="0.25">
      <c r="A723" s="1" t="s">
        <v>749</v>
      </c>
      <c r="B723" s="1" t="s">
        <v>30</v>
      </c>
      <c r="C723" s="1">
        <v>2</v>
      </c>
      <c r="D723" s="1" t="str">
        <f t="shared" si="22"/>
        <v>F</v>
      </c>
      <c r="E723" s="1" t="str">
        <f t="shared" si="23"/>
        <v>vQ22m29 F2</v>
      </c>
    </row>
    <row r="724" spans="1:5" x14ac:dyDescent="0.25">
      <c r="A724" s="1" t="s">
        <v>750</v>
      </c>
      <c r="B724" s="1" t="s">
        <v>30</v>
      </c>
      <c r="C724" s="1">
        <v>2</v>
      </c>
      <c r="D724" s="1" t="str">
        <f t="shared" si="22"/>
        <v>F</v>
      </c>
      <c r="E724" s="1" t="str">
        <f t="shared" si="23"/>
        <v>vQ22m30 F2</v>
      </c>
    </row>
    <row r="725" spans="1:5" x14ac:dyDescent="0.25">
      <c r="A725" s="1" t="s">
        <v>751</v>
      </c>
      <c r="B725" s="1" t="s">
        <v>30</v>
      </c>
      <c r="C725" s="1">
        <v>2</v>
      </c>
      <c r="D725" s="1" t="str">
        <f t="shared" si="22"/>
        <v>F</v>
      </c>
      <c r="E725" s="1" t="str">
        <f t="shared" si="23"/>
        <v>vQ22m31 F2</v>
      </c>
    </row>
    <row r="726" spans="1:5" x14ac:dyDescent="0.25">
      <c r="A726" s="1" t="s">
        <v>752</v>
      </c>
      <c r="B726" s="1" t="s">
        <v>30</v>
      </c>
      <c r="C726" s="1">
        <v>2</v>
      </c>
      <c r="D726" s="1" t="str">
        <f t="shared" si="22"/>
        <v>F</v>
      </c>
      <c r="E726" s="1" t="str">
        <f t="shared" si="23"/>
        <v>vQ22m32 F2</v>
      </c>
    </row>
    <row r="727" spans="1:5" x14ac:dyDescent="0.25">
      <c r="A727" s="1" t="s">
        <v>753</v>
      </c>
      <c r="B727" s="1" t="s">
        <v>30</v>
      </c>
      <c r="C727" s="1">
        <v>2</v>
      </c>
      <c r="D727" s="1" t="str">
        <f t="shared" si="22"/>
        <v>F</v>
      </c>
      <c r="E727" s="1" t="str">
        <f t="shared" si="23"/>
        <v>vQ22m33 F2</v>
      </c>
    </row>
    <row r="728" spans="1:5" x14ac:dyDescent="0.25">
      <c r="A728" s="1" t="s">
        <v>754</v>
      </c>
      <c r="B728" s="1" t="s">
        <v>30</v>
      </c>
      <c r="C728" s="1">
        <v>2</v>
      </c>
      <c r="D728" s="1" t="str">
        <f t="shared" si="22"/>
        <v>F</v>
      </c>
      <c r="E728" s="1" t="str">
        <f t="shared" si="23"/>
        <v>vQ22m34 F2</v>
      </c>
    </row>
    <row r="729" spans="1:5" x14ac:dyDescent="0.25">
      <c r="A729" s="1" t="s">
        <v>755</v>
      </c>
      <c r="B729" s="1" t="s">
        <v>30</v>
      </c>
      <c r="C729" s="1">
        <v>2</v>
      </c>
      <c r="D729" s="1" t="str">
        <f t="shared" si="22"/>
        <v>F</v>
      </c>
      <c r="E729" s="1" t="str">
        <f t="shared" si="23"/>
        <v>vQ22m35 F2</v>
      </c>
    </row>
    <row r="730" spans="1:5" x14ac:dyDescent="0.25">
      <c r="A730" s="1" t="s">
        <v>756</v>
      </c>
      <c r="B730" s="1" t="s">
        <v>30</v>
      </c>
      <c r="C730" s="1">
        <v>2</v>
      </c>
      <c r="D730" s="1" t="str">
        <f t="shared" si="22"/>
        <v>F</v>
      </c>
      <c r="E730" s="1" t="str">
        <f t="shared" si="23"/>
        <v>vQ22m36 F2</v>
      </c>
    </row>
    <row r="731" spans="1:5" x14ac:dyDescent="0.25">
      <c r="A731" s="1" t="s">
        <v>757</v>
      </c>
      <c r="B731" s="1" t="s">
        <v>30</v>
      </c>
      <c r="C731" s="1">
        <v>2</v>
      </c>
      <c r="D731" s="1" t="str">
        <f t="shared" si="22"/>
        <v>F</v>
      </c>
      <c r="E731" s="1" t="str">
        <f t="shared" si="23"/>
        <v>vQ22m37 F2</v>
      </c>
    </row>
    <row r="732" spans="1:5" x14ac:dyDescent="0.25">
      <c r="A732" s="1" t="s">
        <v>758</v>
      </c>
      <c r="B732" s="1" t="s">
        <v>30</v>
      </c>
      <c r="C732" s="1">
        <v>2</v>
      </c>
      <c r="D732" s="1" t="str">
        <f t="shared" si="22"/>
        <v>F</v>
      </c>
      <c r="E732" s="1" t="str">
        <f t="shared" si="23"/>
        <v>vQ22m38 F2</v>
      </c>
    </row>
    <row r="733" spans="1:5" x14ac:dyDescent="0.25">
      <c r="A733" s="1" t="s">
        <v>759</v>
      </c>
      <c r="B733" s="1" t="s">
        <v>30</v>
      </c>
      <c r="C733" s="1">
        <v>2</v>
      </c>
      <c r="D733" s="1" t="str">
        <f t="shared" si="22"/>
        <v>F</v>
      </c>
      <c r="E733" s="1" t="str">
        <f t="shared" si="23"/>
        <v>vQ22m39 F2</v>
      </c>
    </row>
    <row r="734" spans="1:5" x14ac:dyDescent="0.25">
      <c r="A734" s="1" t="s">
        <v>760</v>
      </c>
      <c r="B734" s="1" t="s">
        <v>30</v>
      </c>
      <c r="C734" s="1">
        <v>2</v>
      </c>
      <c r="D734" s="1" t="str">
        <f t="shared" si="22"/>
        <v>F</v>
      </c>
      <c r="E734" s="1" t="str">
        <f t="shared" si="23"/>
        <v>vQ22m40 F2</v>
      </c>
    </row>
    <row r="735" spans="1:5" x14ac:dyDescent="0.25">
      <c r="A735" s="1" t="s">
        <v>761</v>
      </c>
      <c r="B735" s="1" t="s">
        <v>30</v>
      </c>
      <c r="C735" s="1">
        <v>2</v>
      </c>
      <c r="D735" s="1" t="str">
        <f t="shared" si="22"/>
        <v>F</v>
      </c>
      <c r="E735" s="1" t="str">
        <f t="shared" si="23"/>
        <v>vQ22m88 F2</v>
      </c>
    </row>
    <row r="736" spans="1:5" x14ac:dyDescent="0.25">
      <c r="A736" s="1" t="s">
        <v>762</v>
      </c>
      <c r="B736" s="1" t="s">
        <v>27</v>
      </c>
      <c r="C736" s="1">
        <v>150</v>
      </c>
      <c r="D736" s="1" t="str">
        <f t="shared" si="22"/>
        <v>A</v>
      </c>
      <c r="E736" s="1" t="str">
        <f t="shared" si="23"/>
        <v>vQ22o88 A150</v>
      </c>
    </row>
    <row r="737" spans="1:5" x14ac:dyDescent="0.25">
      <c r="A737" s="1" t="s">
        <v>763</v>
      </c>
      <c r="B737" s="1" t="s">
        <v>30</v>
      </c>
      <c r="C737" s="1">
        <v>2</v>
      </c>
      <c r="D737" s="1" t="str">
        <f t="shared" si="22"/>
        <v>F</v>
      </c>
      <c r="E737" s="1" t="str">
        <f t="shared" si="23"/>
        <v>vQ23m01 F2</v>
      </c>
    </row>
    <row r="738" spans="1:5" x14ac:dyDescent="0.25">
      <c r="A738" s="1" t="s">
        <v>764</v>
      </c>
      <c r="B738" s="1" t="s">
        <v>30</v>
      </c>
      <c r="C738" s="1">
        <v>2</v>
      </c>
      <c r="D738" s="1" t="str">
        <f t="shared" si="22"/>
        <v>F</v>
      </c>
      <c r="E738" s="1" t="str">
        <f t="shared" si="23"/>
        <v>vQ23m02 F2</v>
      </c>
    </row>
    <row r="739" spans="1:5" x14ac:dyDescent="0.25">
      <c r="A739" s="1" t="s">
        <v>765</v>
      </c>
      <c r="B739" s="1" t="s">
        <v>30</v>
      </c>
      <c r="C739" s="1">
        <v>2</v>
      </c>
      <c r="D739" s="1" t="str">
        <f t="shared" si="22"/>
        <v>F</v>
      </c>
      <c r="E739" s="1" t="str">
        <f t="shared" si="23"/>
        <v>vQ23m03 F2</v>
      </c>
    </row>
    <row r="740" spans="1:5" x14ac:dyDescent="0.25">
      <c r="A740" s="1" t="s">
        <v>766</v>
      </c>
      <c r="B740" s="1" t="s">
        <v>30</v>
      </c>
      <c r="C740" s="1">
        <v>2</v>
      </c>
      <c r="D740" s="1" t="str">
        <f t="shared" si="22"/>
        <v>F</v>
      </c>
      <c r="E740" s="1" t="str">
        <f t="shared" si="23"/>
        <v>vQ23m04 F2</v>
      </c>
    </row>
    <row r="741" spans="1:5" x14ac:dyDescent="0.25">
      <c r="A741" s="1" t="s">
        <v>767</v>
      </c>
      <c r="B741" s="1" t="s">
        <v>30</v>
      </c>
      <c r="C741" s="1">
        <v>2</v>
      </c>
      <c r="D741" s="1" t="str">
        <f t="shared" si="22"/>
        <v>F</v>
      </c>
      <c r="E741" s="1" t="str">
        <f t="shared" si="23"/>
        <v>vQ23m05 F2</v>
      </c>
    </row>
    <row r="742" spans="1:5" x14ac:dyDescent="0.25">
      <c r="A742" s="1" t="s">
        <v>768</v>
      </c>
      <c r="B742" s="1" t="s">
        <v>30</v>
      </c>
      <c r="C742" s="1">
        <v>2</v>
      </c>
      <c r="D742" s="1" t="str">
        <f t="shared" si="22"/>
        <v>F</v>
      </c>
      <c r="E742" s="1" t="str">
        <f t="shared" si="23"/>
        <v>vQ23m06 F2</v>
      </c>
    </row>
    <row r="743" spans="1:5" x14ac:dyDescent="0.25">
      <c r="A743" s="1" t="s">
        <v>769</v>
      </c>
      <c r="B743" s="1" t="s">
        <v>30</v>
      </c>
      <c r="C743" s="1">
        <v>2</v>
      </c>
      <c r="D743" s="1" t="str">
        <f t="shared" si="22"/>
        <v>F</v>
      </c>
      <c r="E743" s="1" t="str">
        <f t="shared" si="23"/>
        <v>vQ23m07 F2</v>
      </c>
    </row>
    <row r="744" spans="1:5" x14ac:dyDescent="0.25">
      <c r="A744" s="1" t="s">
        <v>770</v>
      </c>
      <c r="B744" s="1" t="s">
        <v>30</v>
      </c>
      <c r="C744" s="1">
        <v>2</v>
      </c>
      <c r="D744" s="1" t="str">
        <f t="shared" si="22"/>
        <v>F</v>
      </c>
      <c r="E744" s="1" t="str">
        <f t="shared" si="23"/>
        <v>vQ23m08 F2</v>
      </c>
    </row>
    <row r="745" spans="1:5" x14ac:dyDescent="0.25">
      <c r="A745" s="1" t="s">
        <v>771</v>
      </c>
      <c r="B745" s="1" t="s">
        <v>30</v>
      </c>
      <c r="C745" s="1">
        <v>2</v>
      </c>
      <c r="D745" s="1" t="str">
        <f t="shared" si="22"/>
        <v>F</v>
      </c>
      <c r="E745" s="1" t="str">
        <f t="shared" si="23"/>
        <v>vQ23m09 F2</v>
      </c>
    </row>
    <row r="746" spans="1:5" x14ac:dyDescent="0.25">
      <c r="A746" s="1" t="s">
        <v>772</v>
      </c>
      <c r="B746" s="1" t="s">
        <v>30</v>
      </c>
      <c r="C746" s="1">
        <v>2</v>
      </c>
      <c r="D746" s="1" t="str">
        <f t="shared" si="22"/>
        <v>F</v>
      </c>
      <c r="E746" s="1" t="str">
        <f t="shared" si="23"/>
        <v>vQ23m10 F2</v>
      </c>
    </row>
    <row r="747" spans="1:5" x14ac:dyDescent="0.25">
      <c r="A747" s="1" t="s">
        <v>773</v>
      </c>
      <c r="B747" s="1" t="s">
        <v>30</v>
      </c>
      <c r="C747" s="1">
        <v>2</v>
      </c>
      <c r="D747" s="1" t="str">
        <f t="shared" si="22"/>
        <v>F</v>
      </c>
      <c r="E747" s="1" t="str">
        <f t="shared" si="23"/>
        <v>vQ23m11 F2</v>
      </c>
    </row>
    <row r="748" spans="1:5" x14ac:dyDescent="0.25">
      <c r="A748" s="1" t="s">
        <v>774</v>
      </c>
      <c r="B748" s="1" t="s">
        <v>30</v>
      </c>
      <c r="C748" s="1">
        <v>2</v>
      </c>
      <c r="D748" s="1" t="str">
        <f t="shared" si="22"/>
        <v>F</v>
      </c>
      <c r="E748" s="1" t="str">
        <f t="shared" si="23"/>
        <v>vQ23m12 F2</v>
      </c>
    </row>
    <row r="749" spans="1:5" x14ac:dyDescent="0.25">
      <c r="A749" s="1" t="s">
        <v>775</v>
      </c>
      <c r="B749" s="1" t="s">
        <v>30</v>
      </c>
      <c r="C749" s="1">
        <v>2</v>
      </c>
      <c r="D749" s="1" t="str">
        <f t="shared" si="22"/>
        <v>F</v>
      </c>
      <c r="E749" s="1" t="str">
        <f t="shared" si="23"/>
        <v>vQ23m13 F2</v>
      </c>
    </row>
    <row r="750" spans="1:5" x14ac:dyDescent="0.25">
      <c r="A750" s="1" t="s">
        <v>776</v>
      </c>
      <c r="B750" s="1" t="s">
        <v>30</v>
      </c>
      <c r="C750" s="1">
        <v>2</v>
      </c>
      <c r="D750" s="1" t="str">
        <f t="shared" si="22"/>
        <v>F</v>
      </c>
      <c r="E750" s="1" t="str">
        <f t="shared" si="23"/>
        <v>vQ23m14 F2</v>
      </c>
    </row>
    <row r="751" spans="1:5" x14ac:dyDescent="0.25">
      <c r="A751" s="1" t="s">
        <v>777</v>
      </c>
      <c r="B751" s="1" t="s">
        <v>30</v>
      </c>
      <c r="C751" s="1">
        <v>2</v>
      </c>
      <c r="D751" s="1" t="str">
        <f t="shared" si="22"/>
        <v>F</v>
      </c>
      <c r="E751" s="1" t="str">
        <f t="shared" si="23"/>
        <v>vQ23m15 F2</v>
      </c>
    </row>
    <row r="752" spans="1:5" x14ac:dyDescent="0.25">
      <c r="A752" s="1" t="s">
        <v>778</v>
      </c>
      <c r="B752" s="1" t="s">
        <v>30</v>
      </c>
      <c r="C752" s="1">
        <v>2</v>
      </c>
      <c r="D752" s="1" t="str">
        <f t="shared" si="22"/>
        <v>F</v>
      </c>
      <c r="E752" s="1" t="str">
        <f t="shared" si="23"/>
        <v>vQ23m16 F2</v>
      </c>
    </row>
    <row r="753" spans="1:5" x14ac:dyDescent="0.25">
      <c r="A753" s="1" t="s">
        <v>779</v>
      </c>
      <c r="B753" s="1" t="s">
        <v>30</v>
      </c>
      <c r="C753" s="1">
        <v>2</v>
      </c>
      <c r="D753" s="1" t="str">
        <f t="shared" si="22"/>
        <v>F</v>
      </c>
      <c r="E753" s="1" t="str">
        <f t="shared" si="23"/>
        <v>vQ23m17 F2</v>
      </c>
    </row>
    <row r="754" spans="1:5" x14ac:dyDescent="0.25">
      <c r="A754" s="1" t="s">
        <v>780</v>
      </c>
      <c r="B754" s="1" t="s">
        <v>30</v>
      </c>
      <c r="C754" s="1">
        <v>2</v>
      </c>
      <c r="D754" s="1" t="str">
        <f t="shared" si="22"/>
        <v>F</v>
      </c>
      <c r="E754" s="1" t="str">
        <f t="shared" si="23"/>
        <v>vQ23m18 F2</v>
      </c>
    </row>
    <row r="755" spans="1:5" x14ac:dyDescent="0.25">
      <c r="A755" s="1" t="s">
        <v>781</v>
      </c>
      <c r="B755" s="1" t="s">
        <v>30</v>
      </c>
      <c r="C755" s="1">
        <v>2</v>
      </c>
      <c r="D755" s="1" t="str">
        <f t="shared" si="22"/>
        <v>F</v>
      </c>
      <c r="E755" s="1" t="str">
        <f t="shared" si="23"/>
        <v>vQ23m19 F2</v>
      </c>
    </row>
    <row r="756" spans="1:5" x14ac:dyDescent="0.25">
      <c r="A756" s="1" t="s">
        <v>782</v>
      </c>
      <c r="B756" s="1" t="s">
        <v>30</v>
      </c>
      <c r="C756" s="1">
        <v>2</v>
      </c>
      <c r="D756" s="1" t="str">
        <f t="shared" si="22"/>
        <v>F</v>
      </c>
      <c r="E756" s="1" t="str">
        <f t="shared" si="23"/>
        <v>vQ23m20 F2</v>
      </c>
    </row>
    <row r="757" spans="1:5" x14ac:dyDescent="0.25">
      <c r="A757" s="1" t="s">
        <v>783</v>
      </c>
      <c r="B757" s="1" t="s">
        <v>30</v>
      </c>
      <c r="C757" s="1">
        <v>2</v>
      </c>
      <c r="D757" s="1" t="str">
        <f t="shared" si="22"/>
        <v>F</v>
      </c>
      <c r="E757" s="1" t="str">
        <f t="shared" si="23"/>
        <v>vQ23m21 F2</v>
      </c>
    </row>
    <row r="758" spans="1:5" x14ac:dyDescent="0.25">
      <c r="A758" s="1" t="s">
        <v>784</v>
      </c>
      <c r="B758" s="1" t="s">
        <v>30</v>
      </c>
      <c r="C758" s="1">
        <v>2</v>
      </c>
      <c r="D758" s="1" t="str">
        <f t="shared" si="22"/>
        <v>F</v>
      </c>
      <c r="E758" s="1" t="str">
        <f t="shared" si="23"/>
        <v>vQ23m22 F2</v>
      </c>
    </row>
    <row r="759" spans="1:5" x14ac:dyDescent="0.25">
      <c r="A759" s="1" t="s">
        <v>785</v>
      </c>
      <c r="B759" s="1" t="s">
        <v>30</v>
      </c>
      <c r="C759" s="1">
        <v>2</v>
      </c>
      <c r="D759" s="1" t="str">
        <f t="shared" si="22"/>
        <v>F</v>
      </c>
      <c r="E759" s="1" t="str">
        <f t="shared" si="23"/>
        <v>vQ23m23 F2</v>
      </c>
    </row>
    <row r="760" spans="1:5" x14ac:dyDescent="0.25">
      <c r="A760" s="1" t="s">
        <v>786</v>
      </c>
      <c r="B760" s="1" t="s">
        <v>30</v>
      </c>
      <c r="C760" s="1">
        <v>2</v>
      </c>
      <c r="D760" s="1" t="str">
        <f t="shared" si="22"/>
        <v>F</v>
      </c>
      <c r="E760" s="1" t="str">
        <f t="shared" si="23"/>
        <v>vQ23m24 F2</v>
      </c>
    </row>
    <row r="761" spans="1:5" x14ac:dyDescent="0.25">
      <c r="A761" s="1" t="s">
        <v>787</v>
      </c>
      <c r="B761" s="1" t="s">
        <v>30</v>
      </c>
      <c r="C761" s="1">
        <v>2</v>
      </c>
      <c r="D761" s="1" t="str">
        <f t="shared" si="22"/>
        <v>F</v>
      </c>
      <c r="E761" s="1" t="str">
        <f t="shared" si="23"/>
        <v>vQ23m25 F2</v>
      </c>
    </row>
    <row r="762" spans="1:5" x14ac:dyDescent="0.25">
      <c r="A762" s="1" t="s">
        <v>788</v>
      </c>
      <c r="B762" s="1" t="s">
        <v>30</v>
      </c>
      <c r="C762" s="1">
        <v>2</v>
      </c>
      <c r="D762" s="1" t="str">
        <f t="shared" si="22"/>
        <v>F</v>
      </c>
      <c r="E762" s="1" t="str">
        <f t="shared" si="23"/>
        <v>vQ23m26 F2</v>
      </c>
    </row>
    <row r="763" spans="1:5" x14ac:dyDescent="0.25">
      <c r="A763" s="1" t="s">
        <v>789</v>
      </c>
      <c r="B763" s="1" t="s">
        <v>30</v>
      </c>
      <c r="C763" s="1">
        <v>2</v>
      </c>
      <c r="D763" s="1" t="str">
        <f t="shared" si="22"/>
        <v>F</v>
      </c>
      <c r="E763" s="1" t="str">
        <f t="shared" si="23"/>
        <v>vQ23m27 F2</v>
      </c>
    </row>
    <row r="764" spans="1:5" x14ac:dyDescent="0.25">
      <c r="A764" s="1" t="s">
        <v>790</v>
      </c>
      <c r="B764" s="1" t="s">
        <v>30</v>
      </c>
      <c r="C764" s="1">
        <v>2</v>
      </c>
      <c r="D764" s="1" t="str">
        <f t="shared" si="22"/>
        <v>F</v>
      </c>
      <c r="E764" s="1" t="str">
        <f t="shared" si="23"/>
        <v>vQ23m88 F2</v>
      </c>
    </row>
    <row r="765" spans="1:5" x14ac:dyDescent="0.25">
      <c r="A765" s="1" t="s">
        <v>791</v>
      </c>
      <c r="B765" s="1" t="s">
        <v>27</v>
      </c>
      <c r="C765" s="1">
        <v>150</v>
      </c>
      <c r="D765" s="1" t="str">
        <f t="shared" si="22"/>
        <v>A</v>
      </c>
      <c r="E765" s="1" t="str">
        <f t="shared" si="23"/>
        <v>vQ23o88 A150</v>
      </c>
    </row>
    <row r="766" spans="1:5" x14ac:dyDescent="0.25">
      <c r="A766" s="1" t="s">
        <v>792</v>
      </c>
      <c r="B766" s="1" t="s">
        <v>30</v>
      </c>
      <c r="C766" s="1">
        <v>4</v>
      </c>
      <c r="D766" s="1" t="str">
        <f t="shared" si="22"/>
        <v>F</v>
      </c>
      <c r="E766" s="1" t="str">
        <f t="shared" si="23"/>
        <v>vQ26Ag1 F4</v>
      </c>
    </row>
    <row r="767" spans="1:5" x14ac:dyDescent="0.25">
      <c r="A767" s="1" t="s">
        <v>793</v>
      </c>
      <c r="B767" s="1" t="s">
        <v>30</v>
      </c>
      <c r="C767" s="1">
        <v>3</v>
      </c>
      <c r="D767" s="1" t="str">
        <f t="shared" si="22"/>
        <v>F</v>
      </c>
      <c r="E767" s="1" t="str">
        <f t="shared" si="23"/>
        <v>vQ26Ag2 F3</v>
      </c>
    </row>
    <row r="768" spans="1:5" x14ac:dyDescent="0.25">
      <c r="A768" s="1" t="s">
        <v>794</v>
      </c>
      <c r="B768" s="1" t="s">
        <v>30</v>
      </c>
      <c r="C768" s="1">
        <v>2</v>
      </c>
      <c r="D768" s="1" t="str">
        <f t="shared" si="22"/>
        <v>F</v>
      </c>
      <c r="E768" s="1" t="str">
        <f t="shared" si="23"/>
        <v>vCKQ26A F2</v>
      </c>
    </row>
    <row r="769" spans="1:5" x14ac:dyDescent="0.25">
      <c r="A769" s="1" t="s">
        <v>795</v>
      </c>
      <c r="B769" s="1" t="s">
        <v>30</v>
      </c>
      <c r="C769" s="1">
        <v>2</v>
      </c>
      <c r="D769" s="1" t="str">
        <f t="shared" si="22"/>
        <v>F</v>
      </c>
      <c r="E769" s="1" t="str">
        <f t="shared" si="23"/>
        <v>vQ26m01 F2</v>
      </c>
    </row>
    <row r="770" spans="1:5" x14ac:dyDescent="0.25">
      <c r="A770" s="1" t="s">
        <v>796</v>
      </c>
      <c r="B770" s="1" t="s">
        <v>30</v>
      </c>
      <c r="C770" s="1">
        <v>2</v>
      </c>
      <c r="D770" s="1" t="str">
        <f t="shared" ref="D770:D833" si="24">IF(B770="數值","F","A")</f>
        <v>F</v>
      </c>
      <c r="E770" s="1" t="str">
        <f t="shared" ref="E770:E833" si="25">A770&amp;" "&amp;D770&amp;C770</f>
        <v>vQ26m02 F2</v>
      </c>
    </row>
    <row r="771" spans="1:5" x14ac:dyDescent="0.25">
      <c r="A771" s="1" t="s">
        <v>797</v>
      </c>
      <c r="B771" s="1" t="s">
        <v>30</v>
      </c>
      <c r="C771" s="1">
        <v>2</v>
      </c>
      <c r="D771" s="1" t="str">
        <f t="shared" si="24"/>
        <v>F</v>
      </c>
      <c r="E771" s="1" t="str">
        <f t="shared" si="25"/>
        <v>vQ26m03 F2</v>
      </c>
    </row>
    <row r="772" spans="1:5" x14ac:dyDescent="0.25">
      <c r="A772" s="1" t="s">
        <v>798</v>
      </c>
      <c r="B772" s="1" t="s">
        <v>30</v>
      </c>
      <c r="C772" s="1">
        <v>2</v>
      </c>
      <c r="D772" s="1" t="str">
        <f t="shared" si="24"/>
        <v>F</v>
      </c>
      <c r="E772" s="1" t="str">
        <f t="shared" si="25"/>
        <v>vQ26m04 F2</v>
      </c>
    </row>
    <row r="773" spans="1:5" x14ac:dyDescent="0.25">
      <c r="A773" s="1" t="s">
        <v>799</v>
      </c>
      <c r="B773" s="1" t="s">
        <v>30</v>
      </c>
      <c r="C773" s="1">
        <v>2</v>
      </c>
      <c r="D773" s="1" t="str">
        <f t="shared" si="24"/>
        <v>F</v>
      </c>
      <c r="E773" s="1" t="str">
        <f t="shared" si="25"/>
        <v>vQ26m05 F2</v>
      </c>
    </row>
    <row r="774" spans="1:5" x14ac:dyDescent="0.25">
      <c r="A774" s="1" t="s">
        <v>800</v>
      </c>
      <c r="B774" s="1" t="s">
        <v>30</v>
      </c>
      <c r="C774" s="1">
        <v>2</v>
      </c>
      <c r="D774" s="1" t="str">
        <f t="shared" si="24"/>
        <v>F</v>
      </c>
      <c r="E774" s="1" t="str">
        <f t="shared" si="25"/>
        <v>vQ26m06 F2</v>
      </c>
    </row>
    <row r="775" spans="1:5" x14ac:dyDescent="0.25">
      <c r="A775" s="1" t="s">
        <v>801</v>
      </c>
      <c r="B775" s="1" t="s">
        <v>30</v>
      </c>
      <c r="C775" s="1">
        <v>2</v>
      </c>
      <c r="D775" s="1" t="str">
        <f t="shared" si="24"/>
        <v>F</v>
      </c>
      <c r="E775" s="1" t="str">
        <f t="shared" si="25"/>
        <v>vQ26m07 F2</v>
      </c>
    </row>
    <row r="776" spans="1:5" x14ac:dyDescent="0.25">
      <c r="A776" s="1" t="s">
        <v>802</v>
      </c>
      <c r="B776" s="1" t="s">
        <v>30</v>
      </c>
      <c r="C776" s="1">
        <v>2</v>
      </c>
      <c r="D776" s="1" t="str">
        <f t="shared" si="24"/>
        <v>F</v>
      </c>
      <c r="E776" s="1" t="str">
        <f t="shared" si="25"/>
        <v>vQ26m08 F2</v>
      </c>
    </row>
    <row r="777" spans="1:5" x14ac:dyDescent="0.25">
      <c r="A777" s="1" t="s">
        <v>803</v>
      </c>
      <c r="B777" s="1" t="s">
        <v>30</v>
      </c>
      <c r="C777" s="1">
        <v>2</v>
      </c>
      <c r="D777" s="1" t="str">
        <f t="shared" si="24"/>
        <v>F</v>
      </c>
      <c r="E777" s="1" t="str">
        <f t="shared" si="25"/>
        <v>vQ26m09 F2</v>
      </c>
    </row>
    <row r="778" spans="1:5" x14ac:dyDescent="0.25">
      <c r="A778" s="1" t="s">
        <v>804</v>
      </c>
      <c r="B778" s="1" t="s">
        <v>30</v>
      </c>
      <c r="C778" s="1">
        <v>2</v>
      </c>
      <c r="D778" s="1" t="str">
        <f t="shared" si="24"/>
        <v>F</v>
      </c>
      <c r="E778" s="1" t="str">
        <f t="shared" si="25"/>
        <v>vQ26m10 F2</v>
      </c>
    </row>
    <row r="779" spans="1:5" x14ac:dyDescent="0.25">
      <c r="A779" s="1" t="s">
        <v>805</v>
      </c>
      <c r="B779" s="1" t="s">
        <v>30</v>
      </c>
      <c r="C779" s="1">
        <v>2</v>
      </c>
      <c r="D779" s="1" t="str">
        <f t="shared" si="24"/>
        <v>F</v>
      </c>
      <c r="E779" s="1" t="str">
        <f t="shared" si="25"/>
        <v>vQ26m11 F2</v>
      </c>
    </row>
    <row r="780" spans="1:5" x14ac:dyDescent="0.25">
      <c r="A780" s="1" t="s">
        <v>806</v>
      </c>
      <c r="B780" s="1" t="s">
        <v>30</v>
      </c>
      <c r="C780" s="1">
        <v>2</v>
      </c>
      <c r="D780" s="1" t="str">
        <f t="shared" si="24"/>
        <v>F</v>
      </c>
      <c r="E780" s="1" t="str">
        <f t="shared" si="25"/>
        <v>vQ26m12 F2</v>
      </c>
    </row>
    <row r="781" spans="1:5" x14ac:dyDescent="0.25">
      <c r="A781" s="1" t="s">
        <v>807</v>
      </c>
      <c r="B781" s="1" t="s">
        <v>30</v>
      </c>
      <c r="C781" s="1">
        <v>2</v>
      </c>
      <c r="D781" s="1" t="str">
        <f t="shared" si="24"/>
        <v>F</v>
      </c>
      <c r="E781" s="1" t="str">
        <f t="shared" si="25"/>
        <v>vQ26m13 F2</v>
      </c>
    </row>
    <row r="782" spans="1:5" x14ac:dyDescent="0.25">
      <c r="A782" s="1" t="s">
        <v>808</v>
      </c>
      <c r="B782" s="1" t="s">
        <v>30</v>
      </c>
      <c r="C782" s="1">
        <v>2</v>
      </c>
      <c r="D782" s="1" t="str">
        <f t="shared" si="24"/>
        <v>F</v>
      </c>
      <c r="E782" s="1" t="str">
        <f t="shared" si="25"/>
        <v>vQ26m14 F2</v>
      </c>
    </row>
    <row r="783" spans="1:5" x14ac:dyDescent="0.25">
      <c r="A783" s="1" t="s">
        <v>809</v>
      </c>
      <c r="B783" s="1" t="s">
        <v>30</v>
      </c>
      <c r="C783" s="1">
        <v>2</v>
      </c>
      <c r="D783" s="1" t="str">
        <f t="shared" si="24"/>
        <v>F</v>
      </c>
      <c r="E783" s="1" t="str">
        <f t="shared" si="25"/>
        <v>vQ26m15 F2</v>
      </c>
    </row>
    <row r="784" spans="1:5" x14ac:dyDescent="0.25">
      <c r="A784" s="1" t="s">
        <v>810</v>
      </c>
      <c r="B784" s="1" t="s">
        <v>30</v>
      </c>
      <c r="C784" s="1">
        <v>2</v>
      </c>
      <c r="D784" s="1" t="str">
        <f t="shared" si="24"/>
        <v>F</v>
      </c>
      <c r="E784" s="1" t="str">
        <f t="shared" si="25"/>
        <v>vQ26m16 F2</v>
      </c>
    </row>
    <row r="785" spans="1:5" x14ac:dyDescent="0.25">
      <c r="A785" s="1" t="s">
        <v>811</v>
      </c>
      <c r="B785" s="1" t="s">
        <v>30</v>
      </c>
      <c r="C785" s="1">
        <v>2</v>
      </c>
      <c r="D785" s="1" t="str">
        <f t="shared" si="24"/>
        <v>F</v>
      </c>
      <c r="E785" s="1" t="str">
        <f t="shared" si="25"/>
        <v>vQ26m17 F2</v>
      </c>
    </row>
    <row r="786" spans="1:5" x14ac:dyDescent="0.25">
      <c r="A786" s="1" t="s">
        <v>812</v>
      </c>
      <c r="B786" s="1" t="s">
        <v>30</v>
      </c>
      <c r="C786" s="1">
        <v>2</v>
      </c>
      <c r="D786" s="1" t="str">
        <f t="shared" si="24"/>
        <v>F</v>
      </c>
      <c r="E786" s="1" t="str">
        <f t="shared" si="25"/>
        <v>vQ26m18 F2</v>
      </c>
    </row>
    <row r="787" spans="1:5" x14ac:dyDescent="0.25">
      <c r="A787" s="1" t="s">
        <v>813</v>
      </c>
      <c r="B787" s="1" t="s">
        <v>30</v>
      </c>
      <c r="C787" s="1">
        <v>2</v>
      </c>
      <c r="D787" s="1" t="str">
        <f t="shared" si="24"/>
        <v>F</v>
      </c>
      <c r="E787" s="1" t="str">
        <f t="shared" si="25"/>
        <v>vQ26m19 F2</v>
      </c>
    </row>
    <row r="788" spans="1:5" x14ac:dyDescent="0.25">
      <c r="A788" s="1" t="s">
        <v>814</v>
      </c>
      <c r="B788" s="1" t="s">
        <v>30</v>
      </c>
      <c r="C788" s="1">
        <v>2</v>
      </c>
      <c r="D788" s="1" t="str">
        <f t="shared" si="24"/>
        <v>F</v>
      </c>
      <c r="E788" s="1" t="str">
        <f t="shared" si="25"/>
        <v>vQ26m20 F2</v>
      </c>
    </row>
    <row r="789" spans="1:5" x14ac:dyDescent="0.25">
      <c r="A789" s="1" t="s">
        <v>815</v>
      </c>
      <c r="B789" s="1" t="s">
        <v>30</v>
      </c>
      <c r="C789" s="1">
        <v>2</v>
      </c>
      <c r="D789" s="1" t="str">
        <f t="shared" si="24"/>
        <v>F</v>
      </c>
      <c r="E789" s="1" t="str">
        <f t="shared" si="25"/>
        <v>vQ26m21 F2</v>
      </c>
    </row>
    <row r="790" spans="1:5" x14ac:dyDescent="0.25">
      <c r="A790" s="1" t="s">
        <v>816</v>
      </c>
      <c r="B790" s="1" t="s">
        <v>30</v>
      </c>
      <c r="C790" s="1">
        <v>2</v>
      </c>
      <c r="D790" s="1" t="str">
        <f t="shared" si="24"/>
        <v>F</v>
      </c>
      <c r="E790" s="1" t="str">
        <f t="shared" si="25"/>
        <v>vQ26m22 F2</v>
      </c>
    </row>
    <row r="791" spans="1:5" x14ac:dyDescent="0.25">
      <c r="A791" s="1" t="s">
        <v>817</v>
      </c>
      <c r="B791" s="1" t="s">
        <v>30</v>
      </c>
      <c r="C791" s="1">
        <v>2</v>
      </c>
      <c r="D791" s="1" t="str">
        <f t="shared" si="24"/>
        <v>F</v>
      </c>
      <c r="E791" s="1" t="str">
        <f t="shared" si="25"/>
        <v>vQ26m23 F2</v>
      </c>
    </row>
    <row r="792" spans="1:5" x14ac:dyDescent="0.25">
      <c r="A792" s="1" t="s">
        <v>818</v>
      </c>
      <c r="B792" s="1" t="s">
        <v>30</v>
      </c>
      <c r="C792" s="1">
        <v>2</v>
      </c>
      <c r="D792" s="1" t="str">
        <f t="shared" si="24"/>
        <v>F</v>
      </c>
      <c r="E792" s="1" t="str">
        <f t="shared" si="25"/>
        <v>vQ26m24 F2</v>
      </c>
    </row>
    <row r="793" spans="1:5" x14ac:dyDescent="0.25">
      <c r="A793" s="1" t="s">
        <v>819</v>
      </c>
      <c r="B793" s="1" t="s">
        <v>30</v>
      </c>
      <c r="C793" s="1">
        <v>2</v>
      </c>
      <c r="D793" s="1" t="str">
        <f t="shared" si="24"/>
        <v>F</v>
      </c>
      <c r="E793" s="1" t="str">
        <f t="shared" si="25"/>
        <v>vQ26m25 F2</v>
      </c>
    </row>
    <row r="794" spans="1:5" x14ac:dyDescent="0.25">
      <c r="A794" s="1" t="s">
        <v>820</v>
      </c>
      <c r="B794" s="1" t="s">
        <v>30</v>
      </c>
      <c r="C794" s="1">
        <v>2</v>
      </c>
      <c r="D794" s="1" t="str">
        <f t="shared" si="24"/>
        <v>F</v>
      </c>
      <c r="E794" s="1" t="str">
        <f t="shared" si="25"/>
        <v>vQ26m26 F2</v>
      </c>
    </row>
    <row r="795" spans="1:5" x14ac:dyDescent="0.25">
      <c r="A795" s="1" t="s">
        <v>821</v>
      </c>
      <c r="B795" s="1" t="s">
        <v>30</v>
      </c>
      <c r="C795" s="1">
        <v>2</v>
      </c>
      <c r="D795" s="1" t="str">
        <f t="shared" si="24"/>
        <v>F</v>
      </c>
      <c r="E795" s="1" t="str">
        <f t="shared" si="25"/>
        <v>vQ26m27 F2</v>
      </c>
    </row>
    <row r="796" spans="1:5" x14ac:dyDescent="0.25">
      <c r="A796" s="1" t="s">
        <v>822</v>
      </c>
      <c r="B796" s="1" t="s">
        <v>30</v>
      </c>
      <c r="C796" s="1">
        <v>2</v>
      </c>
      <c r="D796" s="1" t="str">
        <f t="shared" si="24"/>
        <v>F</v>
      </c>
      <c r="E796" s="1" t="str">
        <f t="shared" si="25"/>
        <v>vQ26m28 F2</v>
      </c>
    </row>
    <row r="797" spans="1:5" x14ac:dyDescent="0.25">
      <c r="A797" s="1" t="s">
        <v>823</v>
      </c>
      <c r="B797" s="1" t="s">
        <v>30</v>
      </c>
      <c r="C797" s="1">
        <v>2</v>
      </c>
      <c r="D797" s="1" t="str">
        <f t="shared" si="24"/>
        <v>F</v>
      </c>
      <c r="E797" s="1" t="str">
        <f t="shared" si="25"/>
        <v>vQ26m29 F2</v>
      </c>
    </row>
    <row r="798" spans="1:5" x14ac:dyDescent="0.25">
      <c r="A798" s="1" t="s">
        <v>824</v>
      </c>
      <c r="B798" s="1" t="s">
        <v>30</v>
      </c>
      <c r="C798" s="1">
        <v>2</v>
      </c>
      <c r="D798" s="1" t="str">
        <f t="shared" si="24"/>
        <v>F</v>
      </c>
      <c r="E798" s="1" t="str">
        <f t="shared" si="25"/>
        <v>vQ26m88 F2</v>
      </c>
    </row>
    <row r="799" spans="1:5" x14ac:dyDescent="0.25">
      <c r="A799" s="1" t="s">
        <v>825</v>
      </c>
      <c r="B799" s="1" t="s">
        <v>27</v>
      </c>
      <c r="C799" s="1">
        <v>150</v>
      </c>
      <c r="D799" s="1" t="str">
        <f t="shared" si="24"/>
        <v>A</v>
      </c>
      <c r="E799" s="1" t="str">
        <f t="shared" si="25"/>
        <v>vQ26o88 A150</v>
      </c>
    </row>
    <row r="800" spans="1:5" x14ac:dyDescent="0.25">
      <c r="A800" s="1" t="s">
        <v>826</v>
      </c>
      <c r="B800" s="1" t="s">
        <v>30</v>
      </c>
      <c r="C800" s="1">
        <v>2</v>
      </c>
      <c r="D800" s="1" t="str">
        <f t="shared" si="24"/>
        <v>F</v>
      </c>
      <c r="E800" s="1" t="str">
        <f t="shared" si="25"/>
        <v>vQ27m01 F2</v>
      </c>
    </row>
    <row r="801" spans="1:5" x14ac:dyDescent="0.25">
      <c r="A801" s="1" t="s">
        <v>827</v>
      </c>
      <c r="B801" s="1" t="s">
        <v>30</v>
      </c>
      <c r="C801" s="1">
        <v>2</v>
      </c>
      <c r="D801" s="1" t="str">
        <f t="shared" si="24"/>
        <v>F</v>
      </c>
      <c r="E801" s="1" t="str">
        <f t="shared" si="25"/>
        <v>vQ27m02 F2</v>
      </c>
    </row>
    <row r="802" spans="1:5" x14ac:dyDescent="0.25">
      <c r="A802" s="1" t="s">
        <v>828</v>
      </c>
      <c r="B802" s="1" t="s">
        <v>30</v>
      </c>
      <c r="C802" s="1">
        <v>2</v>
      </c>
      <c r="D802" s="1" t="str">
        <f t="shared" si="24"/>
        <v>F</v>
      </c>
      <c r="E802" s="1" t="str">
        <f t="shared" si="25"/>
        <v>vQ27m03 F2</v>
      </c>
    </row>
    <row r="803" spans="1:5" x14ac:dyDescent="0.25">
      <c r="A803" s="1" t="s">
        <v>829</v>
      </c>
      <c r="B803" s="1" t="s">
        <v>30</v>
      </c>
      <c r="C803" s="1">
        <v>2</v>
      </c>
      <c r="D803" s="1" t="str">
        <f t="shared" si="24"/>
        <v>F</v>
      </c>
      <c r="E803" s="1" t="str">
        <f t="shared" si="25"/>
        <v>vQ27m04 F2</v>
      </c>
    </row>
    <row r="804" spans="1:5" x14ac:dyDescent="0.25">
      <c r="A804" s="1" t="s">
        <v>830</v>
      </c>
      <c r="B804" s="1" t="s">
        <v>30</v>
      </c>
      <c r="C804" s="1">
        <v>2</v>
      </c>
      <c r="D804" s="1" t="str">
        <f t="shared" si="24"/>
        <v>F</v>
      </c>
      <c r="E804" s="1" t="str">
        <f t="shared" si="25"/>
        <v>vQ27m05 F2</v>
      </c>
    </row>
    <row r="805" spans="1:5" x14ac:dyDescent="0.25">
      <c r="A805" s="1" t="s">
        <v>831</v>
      </c>
      <c r="B805" s="1" t="s">
        <v>30</v>
      </c>
      <c r="C805" s="1">
        <v>2</v>
      </c>
      <c r="D805" s="1" t="str">
        <f t="shared" si="24"/>
        <v>F</v>
      </c>
      <c r="E805" s="1" t="str">
        <f t="shared" si="25"/>
        <v>vQ27m06 F2</v>
      </c>
    </row>
    <row r="806" spans="1:5" x14ac:dyDescent="0.25">
      <c r="A806" s="1" t="s">
        <v>832</v>
      </c>
      <c r="B806" s="1" t="s">
        <v>30</v>
      </c>
      <c r="C806" s="1">
        <v>2</v>
      </c>
      <c r="D806" s="1" t="str">
        <f t="shared" si="24"/>
        <v>F</v>
      </c>
      <c r="E806" s="1" t="str">
        <f t="shared" si="25"/>
        <v>vQ27m07 F2</v>
      </c>
    </row>
    <row r="807" spans="1:5" x14ac:dyDescent="0.25">
      <c r="A807" s="1" t="s">
        <v>833</v>
      </c>
      <c r="B807" s="1" t="s">
        <v>30</v>
      </c>
      <c r="C807" s="1">
        <v>2</v>
      </c>
      <c r="D807" s="1" t="str">
        <f t="shared" si="24"/>
        <v>F</v>
      </c>
      <c r="E807" s="1" t="str">
        <f t="shared" si="25"/>
        <v>vQ27m88 F2</v>
      </c>
    </row>
    <row r="808" spans="1:5" x14ac:dyDescent="0.25">
      <c r="A808" s="1" t="s">
        <v>834</v>
      </c>
      <c r="B808" s="1" t="s">
        <v>27</v>
      </c>
      <c r="C808" s="1">
        <v>150</v>
      </c>
      <c r="D808" s="1" t="str">
        <f t="shared" si="24"/>
        <v>A</v>
      </c>
      <c r="E808" s="1" t="str">
        <f t="shared" si="25"/>
        <v>vQ27o88 A150</v>
      </c>
    </row>
    <row r="809" spans="1:5" x14ac:dyDescent="0.25">
      <c r="A809" s="1" t="s">
        <v>835</v>
      </c>
      <c r="B809" s="1" t="s">
        <v>30</v>
      </c>
      <c r="C809" s="1">
        <v>2</v>
      </c>
      <c r="D809" s="1" t="str">
        <f t="shared" si="24"/>
        <v>F</v>
      </c>
      <c r="E809" s="1" t="str">
        <f t="shared" si="25"/>
        <v>vP3_4 F2</v>
      </c>
    </row>
    <row r="810" spans="1:5" x14ac:dyDescent="0.25">
      <c r="A810" s="1" t="s">
        <v>836</v>
      </c>
      <c r="B810" s="1" t="s">
        <v>30</v>
      </c>
      <c r="C810" s="1">
        <v>2</v>
      </c>
      <c r="D810" s="1" t="str">
        <f t="shared" si="24"/>
        <v>F</v>
      </c>
      <c r="E810" s="1" t="str">
        <f t="shared" si="25"/>
        <v>vCKP3_4 F2</v>
      </c>
    </row>
    <row r="811" spans="1:5" x14ac:dyDescent="0.25">
      <c r="A811" s="1" t="s">
        <v>837</v>
      </c>
      <c r="B811" s="1" t="s">
        <v>30</v>
      </c>
      <c r="C811" s="1">
        <v>2</v>
      </c>
      <c r="D811" s="1" t="str">
        <f t="shared" si="24"/>
        <v>F</v>
      </c>
      <c r="E811" s="1" t="str">
        <f t="shared" si="25"/>
        <v>vP3_5 F2</v>
      </c>
    </row>
    <row r="812" spans="1:5" x14ac:dyDescent="0.25">
      <c r="A812" s="1" t="s">
        <v>838</v>
      </c>
      <c r="B812" s="1" t="s">
        <v>30</v>
      </c>
      <c r="C812" s="1">
        <v>2</v>
      </c>
      <c r="D812" s="1" t="str">
        <f t="shared" si="24"/>
        <v>F</v>
      </c>
      <c r="E812" s="1" t="str">
        <f t="shared" si="25"/>
        <v>vP3_6 F2</v>
      </c>
    </row>
    <row r="813" spans="1:5" x14ac:dyDescent="0.25">
      <c r="A813" s="1" t="s">
        <v>839</v>
      </c>
      <c r="B813" s="1" t="s">
        <v>30</v>
      </c>
      <c r="C813" s="1">
        <v>2</v>
      </c>
      <c r="D813" s="1" t="str">
        <f t="shared" si="24"/>
        <v>F</v>
      </c>
      <c r="E813" s="1" t="str">
        <f t="shared" si="25"/>
        <v>vP5_3R F2</v>
      </c>
    </row>
    <row r="814" spans="1:5" x14ac:dyDescent="0.25">
      <c r="A814" s="1" t="s">
        <v>840</v>
      </c>
      <c r="B814" s="1" t="s">
        <v>30</v>
      </c>
      <c r="C814" s="1">
        <v>2</v>
      </c>
      <c r="D814" s="1" t="str">
        <f t="shared" si="24"/>
        <v>F</v>
      </c>
      <c r="E814" s="1" t="str">
        <f t="shared" si="25"/>
        <v>vP5_4R F2</v>
      </c>
    </row>
    <row r="815" spans="1:5" x14ac:dyDescent="0.25">
      <c r="A815" s="1" t="s">
        <v>841</v>
      </c>
      <c r="B815" s="1" t="s">
        <v>30</v>
      </c>
      <c r="C815" s="1">
        <v>2</v>
      </c>
      <c r="D815" s="1" t="str">
        <f t="shared" si="24"/>
        <v>F</v>
      </c>
      <c r="E815" s="1" t="str">
        <f t="shared" si="25"/>
        <v>vP5_5 F2</v>
      </c>
    </row>
    <row r="816" spans="1:5" x14ac:dyDescent="0.25">
      <c r="A816" s="1" t="s">
        <v>842</v>
      </c>
      <c r="B816" s="1" t="s">
        <v>30</v>
      </c>
      <c r="C816" s="1">
        <v>4</v>
      </c>
      <c r="D816" s="1" t="str">
        <f t="shared" si="24"/>
        <v>F</v>
      </c>
      <c r="E816" s="1" t="str">
        <f t="shared" si="25"/>
        <v>vQ28 F4</v>
      </c>
    </row>
    <row r="817" spans="1:5" x14ac:dyDescent="0.25">
      <c r="A817" s="1" t="s">
        <v>843</v>
      </c>
      <c r="B817" s="1" t="s">
        <v>30</v>
      </c>
      <c r="C817" s="1">
        <v>2</v>
      </c>
      <c r="D817" s="1" t="str">
        <f t="shared" si="24"/>
        <v>F</v>
      </c>
      <c r="E817" s="1" t="str">
        <f t="shared" si="25"/>
        <v>vQ30m01 F2</v>
      </c>
    </row>
    <row r="818" spans="1:5" x14ac:dyDescent="0.25">
      <c r="A818" s="1" t="s">
        <v>844</v>
      </c>
      <c r="B818" s="1" t="s">
        <v>30</v>
      </c>
      <c r="C818" s="1">
        <v>2</v>
      </c>
      <c r="D818" s="1" t="str">
        <f t="shared" si="24"/>
        <v>F</v>
      </c>
      <c r="E818" s="1" t="str">
        <f t="shared" si="25"/>
        <v>vQ30m02 F2</v>
      </c>
    </row>
    <row r="819" spans="1:5" x14ac:dyDescent="0.25">
      <c r="A819" s="1" t="s">
        <v>845</v>
      </c>
      <c r="B819" s="1" t="s">
        <v>30</v>
      </c>
      <c r="C819" s="1">
        <v>2</v>
      </c>
      <c r="D819" s="1" t="str">
        <f t="shared" si="24"/>
        <v>F</v>
      </c>
      <c r="E819" s="1" t="str">
        <f t="shared" si="25"/>
        <v>vQ30m03 F2</v>
      </c>
    </row>
    <row r="820" spans="1:5" x14ac:dyDescent="0.25">
      <c r="A820" s="1" t="s">
        <v>846</v>
      </c>
      <c r="B820" s="1" t="s">
        <v>30</v>
      </c>
      <c r="C820" s="1">
        <v>2</v>
      </c>
      <c r="D820" s="1" t="str">
        <f t="shared" si="24"/>
        <v>F</v>
      </c>
      <c r="E820" s="1" t="str">
        <f t="shared" si="25"/>
        <v>vQ30m04 F2</v>
      </c>
    </row>
    <row r="821" spans="1:5" x14ac:dyDescent="0.25">
      <c r="A821" s="1" t="s">
        <v>847</v>
      </c>
      <c r="B821" s="1" t="s">
        <v>30</v>
      </c>
      <c r="C821" s="1">
        <v>2</v>
      </c>
      <c r="D821" s="1" t="str">
        <f t="shared" si="24"/>
        <v>F</v>
      </c>
      <c r="E821" s="1" t="str">
        <f t="shared" si="25"/>
        <v>vQ30m05 F2</v>
      </c>
    </row>
    <row r="822" spans="1:5" x14ac:dyDescent="0.25">
      <c r="A822" s="1" t="s">
        <v>848</v>
      </c>
      <c r="B822" s="1" t="s">
        <v>30</v>
      </c>
      <c r="C822" s="1">
        <v>2</v>
      </c>
      <c r="D822" s="1" t="str">
        <f t="shared" si="24"/>
        <v>F</v>
      </c>
      <c r="E822" s="1" t="str">
        <f t="shared" si="25"/>
        <v>vQ30m06 F2</v>
      </c>
    </row>
    <row r="823" spans="1:5" x14ac:dyDescent="0.25">
      <c r="A823" s="1" t="s">
        <v>849</v>
      </c>
      <c r="B823" s="1" t="s">
        <v>30</v>
      </c>
      <c r="C823" s="1">
        <v>2</v>
      </c>
      <c r="D823" s="1" t="str">
        <f t="shared" si="24"/>
        <v>F</v>
      </c>
      <c r="E823" s="1" t="str">
        <f t="shared" si="25"/>
        <v>vQ30m07 F2</v>
      </c>
    </row>
    <row r="824" spans="1:5" x14ac:dyDescent="0.25">
      <c r="A824" s="1" t="s">
        <v>850</v>
      </c>
      <c r="B824" s="1" t="s">
        <v>30</v>
      </c>
      <c r="C824" s="1">
        <v>2</v>
      </c>
      <c r="D824" s="1" t="str">
        <f t="shared" si="24"/>
        <v>F</v>
      </c>
      <c r="E824" s="1" t="str">
        <f t="shared" si="25"/>
        <v>vQ30m08 F2</v>
      </c>
    </row>
    <row r="825" spans="1:5" x14ac:dyDescent="0.25">
      <c r="A825" s="1" t="s">
        <v>851</v>
      </c>
      <c r="B825" s="1" t="s">
        <v>30</v>
      </c>
      <c r="C825" s="1">
        <v>2</v>
      </c>
      <c r="D825" s="1" t="str">
        <f t="shared" si="24"/>
        <v>F</v>
      </c>
      <c r="E825" s="1" t="str">
        <f t="shared" si="25"/>
        <v>vQ30m90 F2</v>
      </c>
    </row>
    <row r="826" spans="1:5" x14ac:dyDescent="0.25">
      <c r="A826" s="1" t="s">
        <v>852</v>
      </c>
      <c r="B826" s="1" t="s">
        <v>30</v>
      </c>
      <c r="C826" s="1">
        <v>2</v>
      </c>
      <c r="D826" s="1" t="str">
        <f t="shared" si="24"/>
        <v>F</v>
      </c>
      <c r="E826" s="1" t="str">
        <f t="shared" si="25"/>
        <v>vQ31m01 F2</v>
      </c>
    </row>
    <row r="827" spans="1:5" x14ac:dyDescent="0.25">
      <c r="A827" s="1" t="s">
        <v>853</v>
      </c>
      <c r="B827" s="1" t="s">
        <v>30</v>
      </c>
      <c r="C827" s="1">
        <v>2</v>
      </c>
      <c r="D827" s="1" t="str">
        <f t="shared" si="24"/>
        <v>F</v>
      </c>
      <c r="E827" s="1" t="str">
        <f t="shared" si="25"/>
        <v>vQ31m02 F2</v>
      </c>
    </row>
    <row r="828" spans="1:5" x14ac:dyDescent="0.25">
      <c r="A828" s="1" t="s">
        <v>854</v>
      </c>
      <c r="B828" s="1" t="s">
        <v>30</v>
      </c>
      <c r="C828" s="1">
        <v>2</v>
      </c>
      <c r="D828" s="1" t="str">
        <f t="shared" si="24"/>
        <v>F</v>
      </c>
      <c r="E828" s="1" t="str">
        <f t="shared" si="25"/>
        <v>vQ31m03 F2</v>
      </c>
    </row>
    <row r="829" spans="1:5" x14ac:dyDescent="0.25">
      <c r="A829" s="1" t="s">
        <v>855</v>
      </c>
      <c r="B829" s="1" t="s">
        <v>30</v>
      </c>
      <c r="C829" s="1">
        <v>2</v>
      </c>
      <c r="D829" s="1" t="str">
        <f t="shared" si="24"/>
        <v>F</v>
      </c>
      <c r="E829" s="1" t="str">
        <f t="shared" si="25"/>
        <v>vQ31m04 F2</v>
      </c>
    </row>
    <row r="830" spans="1:5" x14ac:dyDescent="0.25">
      <c r="A830" s="1" t="s">
        <v>856</v>
      </c>
      <c r="B830" s="1" t="s">
        <v>30</v>
      </c>
      <c r="C830" s="1">
        <v>2</v>
      </c>
      <c r="D830" s="1" t="str">
        <f t="shared" si="24"/>
        <v>F</v>
      </c>
      <c r="E830" s="1" t="str">
        <f t="shared" si="25"/>
        <v>vQ31m05 F2</v>
      </c>
    </row>
    <row r="831" spans="1:5" x14ac:dyDescent="0.25">
      <c r="A831" s="1" t="s">
        <v>857</v>
      </c>
      <c r="B831" s="1" t="s">
        <v>30</v>
      </c>
      <c r="C831" s="1">
        <v>2</v>
      </c>
      <c r="D831" s="1" t="str">
        <f t="shared" si="24"/>
        <v>F</v>
      </c>
      <c r="E831" s="1" t="str">
        <f t="shared" si="25"/>
        <v>vQ31m06 F2</v>
      </c>
    </row>
    <row r="832" spans="1:5" x14ac:dyDescent="0.25">
      <c r="A832" s="1" t="s">
        <v>858</v>
      </c>
      <c r="B832" s="1" t="s">
        <v>30</v>
      </c>
      <c r="C832" s="1">
        <v>2</v>
      </c>
      <c r="D832" s="1" t="str">
        <f t="shared" si="24"/>
        <v>F</v>
      </c>
      <c r="E832" s="1" t="str">
        <f t="shared" si="25"/>
        <v>vQ31m07 F2</v>
      </c>
    </row>
    <row r="833" spans="1:5" x14ac:dyDescent="0.25">
      <c r="A833" s="1" t="s">
        <v>859</v>
      </c>
      <c r="B833" s="1" t="s">
        <v>30</v>
      </c>
      <c r="C833" s="1">
        <v>2</v>
      </c>
      <c r="D833" s="1" t="str">
        <f t="shared" si="24"/>
        <v>F</v>
      </c>
      <c r="E833" s="1" t="str">
        <f t="shared" si="25"/>
        <v>vQ31m08 F2</v>
      </c>
    </row>
    <row r="834" spans="1:5" x14ac:dyDescent="0.25">
      <c r="A834" s="1" t="s">
        <v>860</v>
      </c>
      <c r="B834" s="1" t="s">
        <v>30</v>
      </c>
      <c r="C834" s="1">
        <v>2</v>
      </c>
      <c r="D834" s="1" t="str">
        <f t="shared" ref="D834:D886" si="26">IF(B834="數值","F","A")</f>
        <v>F</v>
      </c>
      <c r="E834" s="1" t="str">
        <f t="shared" ref="E834:E897" si="27">A834&amp;" "&amp;D834&amp;C834</f>
        <v>vQ31m90 F2</v>
      </c>
    </row>
    <row r="835" spans="1:5" x14ac:dyDescent="0.25">
      <c r="A835" s="1" t="s">
        <v>861</v>
      </c>
      <c r="B835" s="1" t="s">
        <v>30</v>
      </c>
      <c r="C835" s="1">
        <v>2</v>
      </c>
      <c r="D835" s="1" t="str">
        <f t="shared" si="26"/>
        <v>F</v>
      </c>
      <c r="E835" s="1" t="str">
        <f t="shared" si="27"/>
        <v>vQ32sQ32 F2</v>
      </c>
    </row>
    <row r="836" spans="1:5" x14ac:dyDescent="0.25">
      <c r="A836" s="1" t="s">
        <v>862</v>
      </c>
      <c r="B836" s="1" t="s">
        <v>30</v>
      </c>
      <c r="C836" s="1">
        <v>2</v>
      </c>
      <c r="D836" s="1" t="str">
        <f t="shared" si="26"/>
        <v>F</v>
      </c>
      <c r="E836" s="1" t="str">
        <f t="shared" si="27"/>
        <v>vQ32sQ33 F2</v>
      </c>
    </row>
    <row r="837" spans="1:5" x14ac:dyDescent="0.25">
      <c r="A837" s="1" t="s">
        <v>863</v>
      </c>
      <c r="B837" s="1" t="s">
        <v>30</v>
      </c>
      <c r="C837" s="1">
        <v>2</v>
      </c>
      <c r="D837" s="1" t="str">
        <f t="shared" si="26"/>
        <v>F</v>
      </c>
      <c r="E837" s="1" t="str">
        <f t="shared" si="27"/>
        <v>vQ32sQ34 F2</v>
      </c>
    </row>
    <row r="838" spans="1:5" x14ac:dyDescent="0.25">
      <c r="A838" s="1" t="s">
        <v>864</v>
      </c>
      <c r="B838" s="1" t="s">
        <v>30</v>
      </c>
      <c r="C838" s="1">
        <v>2</v>
      </c>
      <c r="D838" s="1" t="str">
        <f t="shared" si="26"/>
        <v>F</v>
      </c>
      <c r="E838" s="1" t="str">
        <f t="shared" si="27"/>
        <v>vQ58s58 F2</v>
      </c>
    </row>
    <row r="839" spans="1:5" x14ac:dyDescent="0.25">
      <c r="A839" s="1" t="s">
        <v>865</v>
      </c>
      <c r="B839" s="1" t="s">
        <v>30</v>
      </c>
      <c r="C839" s="1">
        <v>2</v>
      </c>
      <c r="D839" s="1" t="str">
        <f t="shared" si="26"/>
        <v>F</v>
      </c>
      <c r="E839" s="1" t="str">
        <f t="shared" si="27"/>
        <v>vQ58s59 F2</v>
      </c>
    </row>
    <row r="840" spans="1:5" x14ac:dyDescent="0.25">
      <c r="A840" s="1" t="s">
        <v>866</v>
      </c>
      <c r="B840" s="1" t="s">
        <v>30</v>
      </c>
      <c r="C840" s="1">
        <v>2</v>
      </c>
      <c r="D840" s="1" t="str">
        <f t="shared" si="26"/>
        <v>F</v>
      </c>
      <c r="E840" s="1" t="str">
        <f t="shared" si="27"/>
        <v>vQ58s60 F2</v>
      </c>
    </row>
    <row r="841" spans="1:5" x14ac:dyDescent="0.25">
      <c r="A841" s="1" t="s">
        <v>867</v>
      </c>
      <c r="B841" s="1" t="s">
        <v>30</v>
      </c>
      <c r="C841" s="1">
        <v>2</v>
      </c>
      <c r="D841" s="1" t="str">
        <f t="shared" si="26"/>
        <v>F</v>
      </c>
      <c r="E841" s="1" t="str">
        <f t="shared" si="27"/>
        <v>vQ58s61 F2</v>
      </c>
    </row>
    <row r="842" spans="1:5" x14ac:dyDescent="0.25">
      <c r="A842" s="1" t="s">
        <v>868</v>
      </c>
      <c r="B842" s="1" t="s">
        <v>30</v>
      </c>
      <c r="C842" s="1">
        <v>2</v>
      </c>
      <c r="D842" s="1" t="str">
        <f t="shared" si="26"/>
        <v>F</v>
      </c>
      <c r="E842" s="1" t="str">
        <f t="shared" si="27"/>
        <v>vQ46 F2</v>
      </c>
    </row>
    <row r="843" spans="1:5" x14ac:dyDescent="0.25">
      <c r="A843" s="1" t="s">
        <v>869</v>
      </c>
      <c r="B843" s="1" t="s">
        <v>30</v>
      </c>
      <c r="C843" s="1">
        <v>2</v>
      </c>
      <c r="D843" s="1" t="str">
        <f t="shared" si="26"/>
        <v>F</v>
      </c>
      <c r="E843" s="1" t="str">
        <f t="shared" si="27"/>
        <v>vP3_2 F2</v>
      </c>
    </row>
    <row r="844" spans="1:5" x14ac:dyDescent="0.25">
      <c r="A844" s="1" t="s">
        <v>870</v>
      </c>
      <c r="B844" s="1" t="s">
        <v>30</v>
      </c>
      <c r="C844" s="1">
        <v>2</v>
      </c>
      <c r="D844" s="1" t="str">
        <f t="shared" si="26"/>
        <v>F</v>
      </c>
      <c r="E844" s="1" t="str">
        <f t="shared" si="27"/>
        <v>vP3_3 F2</v>
      </c>
    </row>
    <row r="845" spans="1:5" x14ac:dyDescent="0.25">
      <c r="A845" s="1" t="s">
        <v>871</v>
      </c>
      <c r="B845" s="1" t="s">
        <v>30</v>
      </c>
      <c r="C845" s="1">
        <v>2</v>
      </c>
      <c r="D845" s="1" t="str">
        <f t="shared" si="26"/>
        <v>F</v>
      </c>
      <c r="E845" s="1" t="str">
        <f t="shared" si="27"/>
        <v>vP2_1 F2</v>
      </c>
    </row>
    <row r="846" spans="1:5" x14ac:dyDescent="0.25">
      <c r="A846" s="1" t="s">
        <v>872</v>
      </c>
      <c r="B846" s="1" t="s">
        <v>30</v>
      </c>
      <c r="C846" s="1">
        <v>2</v>
      </c>
      <c r="D846" s="1" t="str">
        <f t="shared" si="26"/>
        <v>F</v>
      </c>
      <c r="E846" s="1" t="str">
        <f t="shared" si="27"/>
        <v>vP2_2 F2</v>
      </c>
    </row>
    <row r="847" spans="1:5" x14ac:dyDescent="0.25">
      <c r="A847" s="1" t="s">
        <v>873</v>
      </c>
      <c r="B847" s="1" t="s">
        <v>30</v>
      </c>
      <c r="C847" s="1">
        <v>2</v>
      </c>
      <c r="D847" s="1" t="str">
        <f t="shared" si="26"/>
        <v>F</v>
      </c>
      <c r="E847" s="1" t="str">
        <f t="shared" si="27"/>
        <v>vP2_3 F2</v>
      </c>
    </row>
    <row r="848" spans="1:5" x14ac:dyDescent="0.25">
      <c r="A848" s="1" t="s">
        <v>874</v>
      </c>
      <c r="B848" s="1" t="s">
        <v>30</v>
      </c>
      <c r="C848" s="1">
        <v>2</v>
      </c>
      <c r="D848" s="1" t="str">
        <f t="shared" si="26"/>
        <v>F</v>
      </c>
      <c r="E848" s="1" t="str">
        <f t="shared" si="27"/>
        <v>vP2_4 F2</v>
      </c>
    </row>
    <row r="849" spans="1:5" x14ac:dyDescent="0.25">
      <c r="A849" s="1" t="s">
        <v>875</v>
      </c>
      <c r="B849" s="1" t="s">
        <v>30</v>
      </c>
      <c r="C849" s="1">
        <v>2</v>
      </c>
      <c r="D849" s="1" t="str">
        <f t="shared" si="26"/>
        <v>F</v>
      </c>
      <c r="E849" s="1" t="str">
        <f t="shared" si="27"/>
        <v>vP2_5 F2</v>
      </c>
    </row>
    <row r="850" spans="1:5" x14ac:dyDescent="0.25">
      <c r="A850" s="1" t="s">
        <v>876</v>
      </c>
      <c r="B850" s="1" t="s">
        <v>30</v>
      </c>
      <c r="C850" s="1">
        <v>2</v>
      </c>
      <c r="D850" s="1" t="str">
        <f t="shared" si="26"/>
        <v>F</v>
      </c>
      <c r="E850" s="1" t="str">
        <f t="shared" si="27"/>
        <v>vP2_6 F2</v>
      </c>
    </row>
    <row r="851" spans="1:5" x14ac:dyDescent="0.25">
      <c r="A851" s="1" t="s">
        <v>877</v>
      </c>
      <c r="B851" s="1" t="s">
        <v>30</v>
      </c>
      <c r="C851" s="1">
        <v>2</v>
      </c>
      <c r="D851" s="1" t="str">
        <f t="shared" si="26"/>
        <v>F</v>
      </c>
      <c r="E851" s="1" t="str">
        <f t="shared" si="27"/>
        <v>vQ43 F2</v>
      </c>
    </row>
    <row r="852" spans="1:5" x14ac:dyDescent="0.25">
      <c r="A852" s="1" t="s">
        <v>878</v>
      </c>
      <c r="B852" s="1" t="s">
        <v>30</v>
      </c>
      <c r="C852" s="1">
        <v>2</v>
      </c>
      <c r="D852" s="1" t="str">
        <f t="shared" si="26"/>
        <v>F</v>
      </c>
      <c r="E852" s="1" t="str">
        <f t="shared" si="27"/>
        <v>vQ44 F2</v>
      </c>
    </row>
    <row r="853" spans="1:5" x14ac:dyDescent="0.25">
      <c r="A853" s="1" t="s">
        <v>879</v>
      </c>
      <c r="B853" s="1" t="s">
        <v>27</v>
      </c>
      <c r="C853" s="1">
        <v>150</v>
      </c>
      <c r="D853" s="1" t="str">
        <f t="shared" si="26"/>
        <v>A</v>
      </c>
      <c r="E853" s="1" t="str">
        <f t="shared" si="27"/>
        <v>vQ44o88 A150</v>
      </c>
    </row>
    <row r="854" spans="1:5" x14ac:dyDescent="0.25">
      <c r="A854" s="1" t="s">
        <v>880</v>
      </c>
      <c r="B854" s="1" t="s">
        <v>30</v>
      </c>
      <c r="C854" s="1">
        <v>2</v>
      </c>
      <c r="D854" s="1" t="str">
        <f t="shared" si="26"/>
        <v>F</v>
      </c>
      <c r="E854" s="1" t="str">
        <f t="shared" si="27"/>
        <v>vQ45 F2</v>
      </c>
    </row>
    <row r="855" spans="1:5" x14ac:dyDescent="0.25">
      <c r="A855" s="1" t="s">
        <v>881</v>
      </c>
      <c r="B855" s="1" t="s">
        <v>27</v>
      </c>
      <c r="C855" s="1">
        <v>150</v>
      </c>
      <c r="D855" s="1" t="str">
        <f t="shared" si="26"/>
        <v>A</v>
      </c>
      <c r="E855" s="1" t="str">
        <f t="shared" si="27"/>
        <v>vQ45o88 A150</v>
      </c>
    </row>
    <row r="856" spans="1:5" x14ac:dyDescent="0.25">
      <c r="A856" s="1" t="s">
        <v>882</v>
      </c>
      <c r="B856" s="1" t="s">
        <v>30</v>
      </c>
      <c r="C856" s="1">
        <v>4</v>
      </c>
      <c r="D856" s="1" t="str">
        <f t="shared" si="26"/>
        <v>F</v>
      </c>
      <c r="E856" s="1" t="str">
        <f t="shared" si="27"/>
        <v>vQ47 F4</v>
      </c>
    </row>
    <row r="857" spans="1:5" x14ac:dyDescent="0.25">
      <c r="A857" s="1" t="s">
        <v>883</v>
      </c>
      <c r="B857" s="1" t="s">
        <v>30</v>
      </c>
      <c r="C857" s="1">
        <v>4</v>
      </c>
      <c r="D857" s="1" t="str">
        <f t="shared" si="26"/>
        <v>F</v>
      </c>
      <c r="E857" s="1" t="str">
        <f t="shared" si="27"/>
        <v>vQ48 F4</v>
      </c>
    </row>
    <row r="858" spans="1:5" x14ac:dyDescent="0.25">
      <c r="A858" s="1" t="s">
        <v>884</v>
      </c>
      <c r="B858" s="1" t="s">
        <v>30</v>
      </c>
      <c r="C858" s="1">
        <v>4</v>
      </c>
      <c r="D858" s="1" t="str">
        <f t="shared" si="26"/>
        <v>F</v>
      </c>
      <c r="E858" s="1" t="str">
        <f t="shared" si="27"/>
        <v>vQ62 F4</v>
      </c>
    </row>
    <row r="859" spans="1:5" x14ac:dyDescent="0.25">
      <c r="A859" s="1" t="s">
        <v>885</v>
      </c>
      <c r="B859" s="1" t="s">
        <v>30</v>
      </c>
      <c r="C859" s="1">
        <v>2</v>
      </c>
      <c r="D859" s="1" t="str">
        <f t="shared" si="26"/>
        <v>F</v>
      </c>
      <c r="E859" s="1" t="str">
        <f t="shared" si="27"/>
        <v>vQ49 F2</v>
      </c>
    </row>
    <row r="860" spans="1:5" x14ac:dyDescent="0.25">
      <c r="A860" s="1" t="s">
        <v>886</v>
      </c>
      <c r="B860" s="1" t="s">
        <v>30</v>
      </c>
      <c r="C860" s="1">
        <v>2</v>
      </c>
      <c r="D860" s="1" t="str">
        <f t="shared" si="26"/>
        <v>F</v>
      </c>
      <c r="E860" s="1" t="str">
        <f t="shared" si="27"/>
        <v>vQ50 F2</v>
      </c>
    </row>
    <row r="861" spans="1:5" x14ac:dyDescent="0.25">
      <c r="A861" s="1" t="s">
        <v>887</v>
      </c>
      <c r="B861" s="1" t="s">
        <v>30</v>
      </c>
      <c r="C861" s="1">
        <v>2</v>
      </c>
      <c r="D861" s="1" t="str">
        <f t="shared" si="26"/>
        <v>F</v>
      </c>
      <c r="E861" s="1" t="str">
        <f t="shared" si="27"/>
        <v>vQ51 F2</v>
      </c>
    </row>
    <row r="862" spans="1:5" x14ac:dyDescent="0.25">
      <c r="A862" s="1" t="s">
        <v>888</v>
      </c>
      <c r="B862" s="1" t="s">
        <v>27</v>
      </c>
      <c r="C862" s="1">
        <v>150</v>
      </c>
      <c r="D862" s="1" t="str">
        <f t="shared" si="26"/>
        <v>A</v>
      </c>
      <c r="E862" s="1" t="str">
        <f t="shared" si="27"/>
        <v>vQ51o88 A150</v>
      </c>
    </row>
    <row r="863" spans="1:5" x14ac:dyDescent="0.25">
      <c r="A863" s="1" t="s">
        <v>889</v>
      </c>
      <c r="B863" s="1" t="s">
        <v>30</v>
      </c>
      <c r="C863" s="1">
        <v>2</v>
      </c>
      <c r="D863" s="1" t="str">
        <f t="shared" si="26"/>
        <v>F</v>
      </c>
      <c r="E863" s="1" t="str">
        <f t="shared" si="27"/>
        <v>vQ52 F2</v>
      </c>
    </row>
    <row r="864" spans="1:5" x14ac:dyDescent="0.25">
      <c r="A864" s="1" t="s">
        <v>890</v>
      </c>
      <c r="B864" s="1" t="s">
        <v>30</v>
      </c>
      <c r="C864" s="1">
        <v>2</v>
      </c>
      <c r="D864" s="1" t="str">
        <f t="shared" si="26"/>
        <v>F</v>
      </c>
      <c r="E864" s="1" t="str">
        <f t="shared" si="27"/>
        <v>vQ53 F2</v>
      </c>
    </row>
    <row r="865" spans="1:5" x14ac:dyDescent="0.25">
      <c r="A865" s="1" t="s">
        <v>891</v>
      </c>
      <c r="B865" s="1" t="s">
        <v>27</v>
      </c>
      <c r="C865" s="1">
        <v>150</v>
      </c>
      <c r="D865" s="1" t="str">
        <f t="shared" si="26"/>
        <v>A</v>
      </c>
      <c r="E865" s="1" t="str">
        <f t="shared" si="27"/>
        <v>vQ53o88 A150</v>
      </c>
    </row>
    <row r="866" spans="1:5" x14ac:dyDescent="0.25">
      <c r="A866" s="1" t="s">
        <v>892</v>
      </c>
      <c r="B866" s="1" t="s">
        <v>30</v>
      </c>
      <c r="C866" s="1">
        <v>3</v>
      </c>
      <c r="D866" s="1" t="str">
        <f t="shared" si="26"/>
        <v>F</v>
      </c>
      <c r="E866" s="1" t="str">
        <f t="shared" si="27"/>
        <v>vP3_1 F3</v>
      </c>
    </row>
    <row r="867" spans="1:5" x14ac:dyDescent="0.25">
      <c r="A867" s="1" t="s">
        <v>893</v>
      </c>
      <c r="B867" s="1" t="s">
        <v>30</v>
      </c>
      <c r="C867" s="1">
        <v>2</v>
      </c>
      <c r="D867" s="1" t="str">
        <f t="shared" si="26"/>
        <v>F</v>
      </c>
      <c r="E867" s="1" t="str">
        <f t="shared" si="27"/>
        <v>vQ54 F2</v>
      </c>
    </row>
    <row r="868" spans="1:5" x14ac:dyDescent="0.25">
      <c r="A868" s="1" t="s">
        <v>894</v>
      </c>
      <c r="B868" s="1" t="s">
        <v>27</v>
      </c>
      <c r="C868" s="1">
        <v>150</v>
      </c>
      <c r="D868" s="1" t="str">
        <f t="shared" si="26"/>
        <v>A</v>
      </c>
      <c r="E868" s="1" t="str">
        <f t="shared" si="27"/>
        <v>vQ54o88 A150</v>
      </c>
    </row>
    <row r="869" spans="1:5" x14ac:dyDescent="0.25">
      <c r="A869" s="1" t="s">
        <v>895</v>
      </c>
      <c r="B869" s="1" t="s">
        <v>30</v>
      </c>
      <c r="C869" s="1">
        <v>2</v>
      </c>
      <c r="D869" s="1" t="str">
        <f t="shared" si="26"/>
        <v>F</v>
      </c>
      <c r="E869" s="1" t="str">
        <f t="shared" si="27"/>
        <v>vP5_6 F2</v>
      </c>
    </row>
    <row r="870" spans="1:5" x14ac:dyDescent="0.25">
      <c r="A870" s="1" t="s">
        <v>896</v>
      </c>
      <c r="B870" s="1" t="s">
        <v>30</v>
      </c>
      <c r="C870" s="1">
        <v>2</v>
      </c>
      <c r="D870" s="1" t="str">
        <f t="shared" si="26"/>
        <v>F</v>
      </c>
      <c r="E870" s="1" t="str">
        <f t="shared" si="27"/>
        <v>vQ55 F2</v>
      </c>
    </row>
    <row r="871" spans="1:5" x14ac:dyDescent="0.25">
      <c r="A871" s="1" t="s">
        <v>897</v>
      </c>
      <c r="B871" s="1" t="s">
        <v>30</v>
      </c>
      <c r="C871" s="1">
        <v>2</v>
      </c>
      <c r="D871" s="1" t="str">
        <f t="shared" si="26"/>
        <v>F</v>
      </c>
      <c r="E871" s="1" t="str">
        <f t="shared" si="27"/>
        <v>vQ56 F2</v>
      </c>
    </row>
    <row r="872" spans="1:5" x14ac:dyDescent="0.25">
      <c r="A872" s="1" t="s">
        <v>898</v>
      </c>
      <c r="B872" s="1" t="s">
        <v>30</v>
      </c>
      <c r="C872" s="1">
        <v>2</v>
      </c>
      <c r="D872" s="1" t="str">
        <f t="shared" si="26"/>
        <v>F</v>
      </c>
      <c r="E872" s="1" t="str">
        <f t="shared" si="27"/>
        <v>vQ57 F2</v>
      </c>
    </row>
    <row r="873" spans="1:5" x14ac:dyDescent="0.25">
      <c r="A873" s="1" t="s">
        <v>899</v>
      </c>
      <c r="B873" s="1" t="s">
        <v>30</v>
      </c>
      <c r="C873" s="1">
        <v>11</v>
      </c>
      <c r="D873" s="1" t="str">
        <f t="shared" si="26"/>
        <v>F</v>
      </c>
      <c r="E873" s="1" t="str">
        <f t="shared" si="27"/>
        <v>vZ2_1g1 F11</v>
      </c>
    </row>
    <row r="874" spans="1:5" x14ac:dyDescent="0.25">
      <c r="A874" s="1" t="s">
        <v>900</v>
      </c>
      <c r="B874" s="1" t="s">
        <v>30</v>
      </c>
      <c r="C874" s="1">
        <v>9</v>
      </c>
      <c r="D874" s="1" t="str">
        <f t="shared" si="26"/>
        <v>F</v>
      </c>
      <c r="E874" s="1" t="str">
        <f t="shared" si="27"/>
        <v>vZ2_1g2 F9</v>
      </c>
    </row>
    <row r="875" spans="1:5" x14ac:dyDescent="0.25">
      <c r="A875" s="1" t="s">
        <v>901</v>
      </c>
      <c r="B875" s="1" t="s">
        <v>30</v>
      </c>
      <c r="C875" s="1">
        <v>11</v>
      </c>
      <c r="D875" s="1" t="str">
        <f t="shared" si="26"/>
        <v>F</v>
      </c>
      <c r="E875" s="1" t="str">
        <f t="shared" si="27"/>
        <v>vZ2_2 F11</v>
      </c>
    </row>
    <row r="876" spans="1:5" x14ac:dyDescent="0.25">
      <c r="A876" s="1" t="s">
        <v>902</v>
      </c>
      <c r="B876" s="1" t="s">
        <v>30</v>
      </c>
      <c r="C876" s="1">
        <v>2</v>
      </c>
      <c r="D876" s="1" t="str">
        <f t="shared" si="26"/>
        <v>F</v>
      </c>
      <c r="E876" s="1" t="str">
        <f t="shared" si="27"/>
        <v>vZE1 F2</v>
      </c>
    </row>
    <row r="877" spans="1:5" x14ac:dyDescent="0.25">
      <c r="A877" s="1" t="s">
        <v>903</v>
      </c>
      <c r="B877" s="1" t="s">
        <v>27</v>
      </c>
      <c r="C877" s="1">
        <v>150</v>
      </c>
      <c r="D877" s="1" t="str">
        <f t="shared" si="26"/>
        <v>A</v>
      </c>
      <c r="E877" s="1" t="str">
        <f t="shared" si="27"/>
        <v>vZE1o03 A150</v>
      </c>
    </row>
    <row r="878" spans="1:5" x14ac:dyDescent="0.25">
      <c r="A878" s="1" t="s">
        <v>904</v>
      </c>
      <c r="B878" s="1" t="s">
        <v>27</v>
      </c>
      <c r="C878" s="1">
        <v>150</v>
      </c>
      <c r="D878" s="1" t="str">
        <f t="shared" si="26"/>
        <v>A</v>
      </c>
      <c r="E878" s="1" t="str">
        <f t="shared" si="27"/>
        <v>vZE1o04 A150</v>
      </c>
    </row>
    <row r="879" spans="1:5" x14ac:dyDescent="0.25">
      <c r="A879" s="1" t="s">
        <v>905</v>
      </c>
      <c r="B879" s="1" t="s">
        <v>30</v>
      </c>
      <c r="C879" s="1">
        <v>14</v>
      </c>
      <c r="D879" s="1" t="str">
        <f t="shared" si="26"/>
        <v>F</v>
      </c>
      <c r="E879" s="1" t="str">
        <f t="shared" si="27"/>
        <v>vCkZE1 F14</v>
      </c>
    </row>
    <row r="880" spans="1:5" x14ac:dyDescent="0.25">
      <c r="A880" s="1" t="s">
        <v>906</v>
      </c>
      <c r="B880" s="1" t="s">
        <v>30</v>
      </c>
      <c r="C880" s="1">
        <v>2</v>
      </c>
      <c r="D880" s="1" t="str">
        <f t="shared" si="26"/>
        <v>F</v>
      </c>
      <c r="E880" s="1" t="str">
        <f t="shared" si="27"/>
        <v>vZE2m01 F2</v>
      </c>
    </row>
    <row r="881" spans="1:5" x14ac:dyDescent="0.25">
      <c r="A881" s="1" t="s">
        <v>907</v>
      </c>
      <c r="B881" s="1" t="s">
        <v>30</v>
      </c>
      <c r="C881" s="1">
        <v>2</v>
      </c>
      <c r="D881" s="1" t="str">
        <f t="shared" si="26"/>
        <v>F</v>
      </c>
      <c r="E881" s="1" t="str">
        <f t="shared" si="27"/>
        <v>vZE2m02 F2</v>
      </c>
    </row>
    <row r="882" spans="1:5" x14ac:dyDescent="0.25">
      <c r="A882" s="1" t="s">
        <v>908</v>
      </c>
      <c r="B882" s="1" t="s">
        <v>30</v>
      </c>
      <c r="C882" s="1">
        <v>2</v>
      </c>
      <c r="D882" s="1" t="str">
        <f t="shared" si="26"/>
        <v>F</v>
      </c>
      <c r="E882" s="1" t="str">
        <f t="shared" si="27"/>
        <v>vZE2m03 F2</v>
      </c>
    </row>
    <row r="883" spans="1:5" x14ac:dyDescent="0.25">
      <c r="A883" s="1" t="s">
        <v>909</v>
      </c>
      <c r="B883" s="1" t="s">
        <v>27</v>
      </c>
      <c r="C883" s="1">
        <v>30</v>
      </c>
      <c r="D883" s="1" t="str">
        <f t="shared" si="26"/>
        <v>A</v>
      </c>
      <c r="E883" s="1" t="str">
        <f t="shared" si="27"/>
        <v>vZE2_1 A30</v>
      </c>
    </row>
    <row r="884" spans="1:5" x14ac:dyDescent="0.25">
      <c r="A884" s="1" t="s">
        <v>910</v>
      </c>
      <c r="B884" s="1" t="s">
        <v>27</v>
      </c>
      <c r="C884" s="1">
        <v>30</v>
      </c>
      <c r="D884" s="1" t="str">
        <f t="shared" si="26"/>
        <v>A</v>
      </c>
      <c r="E884" s="1" t="str">
        <f t="shared" si="27"/>
        <v>vZE2_2 A30</v>
      </c>
    </row>
    <row r="885" spans="1:5" x14ac:dyDescent="0.25">
      <c r="A885" s="1" t="s">
        <v>911</v>
      </c>
      <c r="B885" s="1" t="s">
        <v>27</v>
      </c>
      <c r="C885" s="1">
        <v>900</v>
      </c>
      <c r="D885" s="1" t="str">
        <f t="shared" si="26"/>
        <v>A</v>
      </c>
      <c r="E885" s="1" t="str">
        <f t="shared" si="27"/>
        <v>vZE2_3 A900</v>
      </c>
    </row>
    <row r="886" spans="1:5" x14ac:dyDescent="0.25">
      <c r="A886" s="1" t="s">
        <v>912</v>
      </c>
      <c r="B886" s="1" t="s">
        <v>30</v>
      </c>
      <c r="C886" s="1">
        <v>14</v>
      </c>
      <c r="D886" s="1" t="str">
        <f t="shared" si="26"/>
        <v>F</v>
      </c>
      <c r="E886" s="1" t="str">
        <f t="shared" si="27"/>
        <v>vvckend F14</v>
      </c>
    </row>
  </sheetData>
  <autoFilter ref="A1:C886" xr:uid="{00000000-0009-0000-0000-000001000000}"/>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08"/>
  <sheetViews>
    <sheetView tabSelected="1" zoomScale="130" zoomScaleNormal="130" workbookViewId="0">
      <pane xSplit="4" ySplit="1" topLeftCell="E2" activePane="bottomRight" state="frozen"/>
      <selection pane="topRight" activeCell="F1" sqref="F1"/>
      <selection pane="bottomLeft" activeCell="A2" sqref="A2"/>
      <selection pane="bottomRight" activeCell="H12" sqref="H12"/>
    </sheetView>
  </sheetViews>
  <sheetFormatPr defaultColWidth="8.875" defaultRowHeight="16.5" x14ac:dyDescent="0.25"/>
  <cols>
    <col min="1" max="1" width="5.75" style="1" customWidth="1"/>
    <col min="2" max="2" width="6.375" style="1" customWidth="1"/>
    <col min="3" max="3" width="13.5" style="1" customWidth="1"/>
    <col min="4" max="4" width="9.5" style="1" customWidth="1"/>
    <col min="5" max="5" width="9.5" style="9" bestFit="1" customWidth="1"/>
    <col min="6" max="6" width="17.875" style="9" bestFit="1" customWidth="1"/>
    <col min="7" max="7" width="13.125" style="9" bestFit="1" customWidth="1"/>
    <col min="8" max="8" width="11" style="14" customWidth="1"/>
    <col min="9" max="9" width="12.625" style="11" customWidth="1"/>
    <col min="10" max="10" width="13.75" style="11" customWidth="1"/>
    <col min="11" max="11" width="10.875" style="11" customWidth="1"/>
    <col min="12" max="12" width="76.75" style="1" customWidth="1"/>
    <col min="13" max="13" width="8.875" style="1" customWidth="1"/>
    <col min="14" max="16384" width="8.875" style="1"/>
  </cols>
  <sheetData>
    <row r="1" spans="1:12" x14ac:dyDescent="0.25">
      <c r="A1" s="1" t="s">
        <v>913</v>
      </c>
      <c r="B1" s="1" t="s">
        <v>914</v>
      </c>
      <c r="C1" s="1" t="s">
        <v>915</v>
      </c>
      <c r="D1" s="1" t="s">
        <v>24</v>
      </c>
      <c r="E1" s="9" t="s">
        <v>25</v>
      </c>
      <c r="F1" s="9" t="s">
        <v>916</v>
      </c>
      <c r="G1" s="9" t="s">
        <v>917</v>
      </c>
      <c r="H1" s="14" t="s">
        <v>918</v>
      </c>
      <c r="I1" s="11" t="s">
        <v>919</v>
      </c>
      <c r="J1" s="11" t="s">
        <v>920</v>
      </c>
      <c r="K1" s="11" t="s">
        <v>921</v>
      </c>
      <c r="L1" s="1" t="s">
        <v>922</v>
      </c>
    </row>
    <row r="2" spans="1:12" x14ac:dyDescent="0.25">
      <c r="A2" s="1">
        <v>101</v>
      </c>
      <c r="B2" s="1">
        <f t="shared" ref="B2:B65" si="0">A2</f>
        <v>101</v>
      </c>
      <c r="C2" s="1" t="s">
        <v>49</v>
      </c>
      <c r="D2" s="1" t="s">
        <v>30</v>
      </c>
      <c r="E2" s="1">
        <v>2</v>
      </c>
      <c r="F2" s="1"/>
      <c r="G2" s="1" t="s">
        <v>922</v>
      </c>
      <c r="L2" s="2" t="str">
        <f t="shared" ref="L2:L33" si="1">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range(vZA,,) </v>
      </c>
    </row>
    <row r="3" spans="1:12" x14ac:dyDescent="0.25">
      <c r="A3" s="1">
        <v>102</v>
      </c>
      <c r="B3" s="1">
        <f t="shared" si="0"/>
        <v>102</v>
      </c>
      <c r="C3" s="1" t="s">
        <v>51</v>
      </c>
      <c r="D3" s="1" t="s">
        <v>30</v>
      </c>
      <c r="E3" s="1">
        <v>2</v>
      </c>
      <c r="F3" s="1"/>
      <c r="G3" s="1" t="s">
        <v>922</v>
      </c>
      <c r="L3" s="2" t="str">
        <f t="shared" si="1"/>
        <v xml:space="preserve">range(vZA0,,) </v>
      </c>
    </row>
    <row r="4" spans="1:12" x14ac:dyDescent="0.25">
      <c r="A4" s="1">
        <v>103</v>
      </c>
      <c r="B4" s="1">
        <f t="shared" si="0"/>
        <v>103</v>
      </c>
      <c r="C4" s="1" t="s">
        <v>52</v>
      </c>
      <c r="D4" s="1" t="s">
        <v>30</v>
      </c>
      <c r="E4" s="1">
        <v>2</v>
      </c>
      <c r="F4" s="1"/>
      <c r="G4" s="1" t="s">
        <v>922</v>
      </c>
      <c r="L4" s="2" t="str">
        <f t="shared" si="1"/>
        <v xml:space="preserve">range(vZA0_1,,) </v>
      </c>
    </row>
    <row r="5" spans="1:12" x14ac:dyDescent="0.25">
      <c r="A5" s="1">
        <v>104</v>
      </c>
      <c r="B5" s="1">
        <f t="shared" si="0"/>
        <v>104</v>
      </c>
      <c r="C5" s="1" t="s">
        <v>53</v>
      </c>
      <c r="D5" s="1" t="s">
        <v>30</v>
      </c>
      <c r="E5" s="1">
        <v>2</v>
      </c>
      <c r="F5" s="1"/>
      <c r="G5" s="1" t="s">
        <v>922</v>
      </c>
      <c r="L5" s="2" t="str">
        <f t="shared" si="1"/>
        <v xml:space="preserve">range(vSF0,,) </v>
      </c>
    </row>
    <row r="6" spans="1:12" x14ac:dyDescent="0.25">
      <c r="A6" s="1">
        <v>105</v>
      </c>
      <c r="B6" s="1">
        <f t="shared" si="0"/>
        <v>105</v>
      </c>
      <c r="C6" s="1" t="s">
        <v>54</v>
      </c>
      <c r="D6" s="1" t="s">
        <v>30</v>
      </c>
      <c r="E6" s="1">
        <v>4</v>
      </c>
      <c r="F6" s="1"/>
      <c r="G6" s="1" t="s">
        <v>922</v>
      </c>
      <c r="L6" s="2" t="str">
        <f t="shared" si="1"/>
        <v xml:space="preserve">range(vA1,,) </v>
      </c>
    </row>
    <row r="7" spans="1:12" x14ac:dyDescent="0.25">
      <c r="A7" s="1">
        <v>106</v>
      </c>
      <c r="B7" s="1">
        <f t="shared" si="0"/>
        <v>106</v>
      </c>
      <c r="C7" s="1" t="s">
        <v>55</v>
      </c>
      <c r="D7" s="1" t="s">
        <v>30</v>
      </c>
      <c r="E7" s="1">
        <v>2</v>
      </c>
      <c r="F7" s="1"/>
      <c r="G7" s="1" t="s">
        <v>922</v>
      </c>
      <c r="L7" s="2" t="str">
        <f t="shared" si="1"/>
        <v xml:space="preserve">range(vA2,,) </v>
      </c>
    </row>
    <row r="8" spans="1:12" x14ac:dyDescent="0.25">
      <c r="A8" s="1">
        <v>107</v>
      </c>
      <c r="B8" s="1">
        <f t="shared" si="0"/>
        <v>107</v>
      </c>
      <c r="C8" s="1" t="s">
        <v>56</v>
      </c>
      <c r="D8" s="1" t="s">
        <v>30</v>
      </c>
      <c r="E8" s="1">
        <v>2</v>
      </c>
      <c r="F8" s="1"/>
      <c r="G8" s="1" t="s">
        <v>922</v>
      </c>
      <c r="L8" s="2" t="str">
        <f t="shared" si="1"/>
        <v xml:space="preserve">range(vA3,,) </v>
      </c>
    </row>
    <row r="9" spans="1:12" x14ac:dyDescent="0.25">
      <c r="A9" s="1">
        <v>108</v>
      </c>
      <c r="B9" s="1">
        <f t="shared" si="0"/>
        <v>108</v>
      </c>
      <c r="C9" s="1" t="s">
        <v>58</v>
      </c>
      <c r="D9" s="1" t="s">
        <v>30</v>
      </c>
      <c r="E9" s="1">
        <v>2</v>
      </c>
      <c r="F9" s="1"/>
      <c r="G9" s="1" t="s">
        <v>922</v>
      </c>
      <c r="L9" s="2" t="str">
        <f t="shared" si="1"/>
        <v xml:space="preserve">range(vA4,,) </v>
      </c>
    </row>
    <row r="10" spans="1:12" x14ac:dyDescent="0.25">
      <c r="A10" s="1">
        <v>109</v>
      </c>
      <c r="B10" s="1">
        <f t="shared" si="0"/>
        <v>109</v>
      </c>
      <c r="C10" s="1" t="s">
        <v>59</v>
      </c>
      <c r="D10" s="1" t="s">
        <v>30</v>
      </c>
      <c r="E10" s="1">
        <v>2</v>
      </c>
      <c r="F10" s="1"/>
      <c r="G10" s="1" t="s">
        <v>922</v>
      </c>
      <c r="L10" s="2" t="str">
        <f t="shared" si="1"/>
        <v xml:space="preserve">range(vA5city,,) </v>
      </c>
    </row>
    <row r="11" spans="1:12" x14ac:dyDescent="0.25">
      <c r="A11" s="1">
        <v>110</v>
      </c>
      <c r="B11" s="1">
        <f t="shared" si="0"/>
        <v>110</v>
      </c>
      <c r="C11" s="1" t="s">
        <v>61</v>
      </c>
      <c r="D11" s="1" t="s">
        <v>30</v>
      </c>
      <c r="E11" s="1">
        <v>4</v>
      </c>
      <c r="F11" s="1"/>
      <c r="G11" s="1" t="s">
        <v>922</v>
      </c>
      <c r="L11" s="2" t="str">
        <f t="shared" si="1"/>
        <v xml:space="preserve">range(vA5town,,) </v>
      </c>
    </row>
    <row r="12" spans="1:12" ht="15" customHeight="1" x14ac:dyDescent="0.25">
      <c r="A12" s="1">
        <v>111</v>
      </c>
      <c r="B12" s="1">
        <f t="shared" si="0"/>
        <v>111</v>
      </c>
      <c r="C12" s="1" t="s">
        <v>62</v>
      </c>
      <c r="D12" s="1" t="s">
        <v>30</v>
      </c>
      <c r="E12" s="1">
        <v>2</v>
      </c>
      <c r="F12" s="1"/>
      <c r="G12" s="1" t="s">
        <v>922</v>
      </c>
      <c r="L12" s="2" t="str">
        <f t="shared" si="1"/>
        <v xml:space="preserve">range(vA6,,) </v>
      </c>
    </row>
    <row r="13" spans="1:12" ht="15" customHeight="1" x14ac:dyDescent="0.25">
      <c r="A13" s="1">
        <v>112</v>
      </c>
      <c r="B13" s="1">
        <f t="shared" si="0"/>
        <v>112</v>
      </c>
      <c r="C13" s="1" t="s">
        <v>64</v>
      </c>
      <c r="D13" s="1" t="s">
        <v>30</v>
      </c>
      <c r="E13" s="1">
        <v>2</v>
      </c>
      <c r="F13" s="1"/>
      <c r="G13" s="1" t="s">
        <v>922</v>
      </c>
      <c r="L13" s="2" t="str">
        <f t="shared" si="1"/>
        <v xml:space="preserve">range(vA7,,) </v>
      </c>
    </row>
    <row r="14" spans="1:12" x14ac:dyDescent="0.25">
      <c r="A14" s="1">
        <v>113</v>
      </c>
      <c r="B14" s="1">
        <f t="shared" si="0"/>
        <v>113</v>
      </c>
      <c r="C14" s="1" t="s">
        <v>66</v>
      </c>
      <c r="D14" s="1" t="s">
        <v>30</v>
      </c>
      <c r="E14" s="1">
        <v>2</v>
      </c>
      <c r="F14" s="1"/>
      <c r="G14" s="1" t="s">
        <v>922</v>
      </c>
      <c r="L14" s="2" t="str">
        <f t="shared" si="1"/>
        <v xml:space="preserve">range(vA8,,) </v>
      </c>
    </row>
    <row r="15" spans="1:12" x14ac:dyDescent="0.25">
      <c r="A15" s="1">
        <v>114</v>
      </c>
      <c r="B15" s="1">
        <f t="shared" si="0"/>
        <v>114</v>
      </c>
      <c r="C15" s="1" t="s">
        <v>68</v>
      </c>
      <c r="D15" s="1" t="s">
        <v>30</v>
      </c>
      <c r="E15" s="1">
        <v>2</v>
      </c>
      <c r="F15" s="1"/>
      <c r="G15" s="1" t="s">
        <v>922</v>
      </c>
      <c r="L15" s="2" t="str">
        <f t="shared" si="1"/>
        <v xml:space="preserve">range(vA9,,) </v>
      </c>
    </row>
    <row r="16" spans="1:12" x14ac:dyDescent="0.25">
      <c r="A16" s="1">
        <v>115</v>
      </c>
      <c r="B16" s="1">
        <f t="shared" si="0"/>
        <v>115</v>
      </c>
      <c r="C16" s="1" t="s">
        <v>70</v>
      </c>
      <c r="D16" s="1" t="s">
        <v>30</v>
      </c>
      <c r="E16" s="1">
        <v>2</v>
      </c>
      <c r="F16" s="1"/>
      <c r="G16" s="1" t="s">
        <v>922</v>
      </c>
      <c r="L16" s="2" t="str">
        <f t="shared" si="1"/>
        <v xml:space="preserve">range(vO1_1,,) </v>
      </c>
    </row>
    <row r="17" spans="1:12" x14ac:dyDescent="0.25">
      <c r="A17" s="1">
        <v>116</v>
      </c>
      <c r="B17" s="1">
        <f t="shared" si="0"/>
        <v>116</v>
      </c>
      <c r="C17" s="1" t="s">
        <v>72</v>
      </c>
      <c r="D17" s="1" t="s">
        <v>30</v>
      </c>
      <c r="E17" s="1">
        <v>2</v>
      </c>
      <c r="F17" s="1"/>
      <c r="G17" s="1" t="s">
        <v>922</v>
      </c>
      <c r="L17" s="2" t="str">
        <f t="shared" si="1"/>
        <v xml:space="preserve">range(vO1,,) </v>
      </c>
    </row>
    <row r="18" spans="1:12" x14ac:dyDescent="0.25">
      <c r="A18" s="1">
        <v>117</v>
      </c>
      <c r="B18" s="1">
        <f t="shared" si="0"/>
        <v>117</v>
      </c>
      <c r="C18" s="1" t="s">
        <v>74</v>
      </c>
      <c r="D18" s="1" t="s">
        <v>30</v>
      </c>
      <c r="E18" s="1">
        <v>2</v>
      </c>
      <c r="F18" s="1"/>
      <c r="G18" s="1" t="s">
        <v>922</v>
      </c>
      <c r="L18" s="2" t="str">
        <f t="shared" si="1"/>
        <v xml:space="preserve">range(vO2,,) </v>
      </c>
    </row>
    <row r="19" spans="1:12" ht="19.899999999999999" customHeight="1" x14ac:dyDescent="0.25">
      <c r="A19" s="1">
        <v>118</v>
      </c>
      <c r="B19" s="1">
        <f t="shared" si="0"/>
        <v>118</v>
      </c>
      <c r="C19" s="1" t="s">
        <v>76</v>
      </c>
      <c r="D19" s="1" t="s">
        <v>30</v>
      </c>
      <c r="E19" s="1">
        <v>2</v>
      </c>
      <c r="F19" s="1"/>
      <c r="G19" s="1" t="s">
        <v>922</v>
      </c>
      <c r="L19" s="2" t="str">
        <f t="shared" si="1"/>
        <v xml:space="preserve">range(vO3,,) </v>
      </c>
    </row>
    <row r="20" spans="1:12" x14ac:dyDescent="0.25">
      <c r="A20" s="1">
        <v>119</v>
      </c>
      <c r="B20" s="1">
        <f t="shared" si="0"/>
        <v>119</v>
      </c>
      <c r="C20" s="1" t="s">
        <v>78</v>
      </c>
      <c r="D20" s="1" t="s">
        <v>30</v>
      </c>
      <c r="E20" s="1">
        <v>5</v>
      </c>
      <c r="F20" s="1"/>
      <c r="G20" s="1" t="s">
        <v>922</v>
      </c>
      <c r="L20" s="2" t="str">
        <f t="shared" si="1"/>
        <v xml:space="preserve">range(vO4,,) </v>
      </c>
    </row>
    <row r="21" spans="1:12" ht="19.899999999999999" customHeight="1" x14ac:dyDescent="0.25">
      <c r="A21" s="1">
        <v>120</v>
      </c>
      <c r="B21" s="1">
        <f t="shared" si="0"/>
        <v>120</v>
      </c>
      <c r="C21" s="1" t="s">
        <v>79</v>
      </c>
      <c r="D21" s="1" t="s">
        <v>30</v>
      </c>
      <c r="E21" s="1">
        <v>2</v>
      </c>
      <c r="F21" s="1"/>
      <c r="G21" s="1" t="s">
        <v>922</v>
      </c>
      <c r="L21" s="2" t="str">
        <f t="shared" si="1"/>
        <v xml:space="preserve">range(vD1,,) </v>
      </c>
    </row>
    <row r="22" spans="1:12" x14ac:dyDescent="0.25">
      <c r="A22" s="1">
        <v>121</v>
      </c>
      <c r="B22" s="1">
        <f t="shared" si="0"/>
        <v>121</v>
      </c>
      <c r="C22" s="1" t="s">
        <v>80</v>
      </c>
      <c r="D22" s="1" t="s">
        <v>30</v>
      </c>
      <c r="E22" s="1">
        <v>4</v>
      </c>
      <c r="F22" s="1"/>
      <c r="G22" s="1" t="s">
        <v>922</v>
      </c>
      <c r="L22" s="2" t="str">
        <f t="shared" si="1"/>
        <v xml:space="preserve">range(vD2,,) </v>
      </c>
    </row>
    <row r="23" spans="1:12" ht="19.899999999999999" customHeight="1" x14ac:dyDescent="0.25">
      <c r="A23" s="1">
        <v>122</v>
      </c>
      <c r="B23" s="1">
        <f t="shared" si="0"/>
        <v>122</v>
      </c>
      <c r="C23" s="1" t="s">
        <v>81</v>
      </c>
      <c r="D23" s="1" t="s">
        <v>30</v>
      </c>
      <c r="E23" s="1">
        <v>5</v>
      </c>
      <c r="F23" s="1"/>
      <c r="G23" s="1" t="s">
        <v>922</v>
      </c>
      <c r="L23" s="2" t="str">
        <f t="shared" si="1"/>
        <v xml:space="preserve">range(vD3,,) </v>
      </c>
    </row>
    <row r="24" spans="1:12" ht="19.899999999999999" customHeight="1" x14ac:dyDescent="0.25">
      <c r="A24" s="1">
        <v>123</v>
      </c>
      <c r="B24" s="1">
        <f t="shared" si="0"/>
        <v>123</v>
      </c>
      <c r="C24" s="1" t="s">
        <v>82</v>
      </c>
      <c r="D24" s="1" t="s">
        <v>30</v>
      </c>
      <c r="E24" s="1">
        <v>2</v>
      </c>
      <c r="F24" s="1"/>
      <c r="G24" s="1" t="s">
        <v>922</v>
      </c>
      <c r="L24" s="2" t="str">
        <f t="shared" si="1"/>
        <v xml:space="preserve">range(vD4sD4,,) </v>
      </c>
    </row>
    <row r="25" spans="1:12" x14ac:dyDescent="0.25">
      <c r="A25" s="1">
        <v>124</v>
      </c>
      <c r="B25" s="1">
        <f t="shared" si="0"/>
        <v>124</v>
      </c>
      <c r="C25" s="1" t="s">
        <v>83</v>
      </c>
      <c r="D25" s="1" t="s">
        <v>30</v>
      </c>
      <c r="E25" s="1">
        <v>2</v>
      </c>
      <c r="F25" s="1"/>
      <c r="G25" s="1" t="s">
        <v>922</v>
      </c>
      <c r="L25" s="2" t="str">
        <f t="shared" si="1"/>
        <v xml:space="preserve">range(vD4sD5,,) </v>
      </c>
    </row>
    <row r="26" spans="1:12" x14ac:dyDescent="0.25">
      <c r="A26" s="1">
        <v>125</v>
      </c>
      <c r="B26" s="1">
        <f t="shared" si="0"/>
        <v>125</v>
      </c>
      <c r="C26" s="1" t="s">
        <v>84</v>
      </c>
      <c r="D26" s="1" t="s">
        <v>30</v>
      </c>
      <c r="E26" s="1">
        <v>2</v>
      </c>
      <c r="F26" s="1"/>
      <c r="G26" s="1" t="s">
        <v>922</v>
      </c>
      <c r="L26" s="2" t="str">
        <f t="shared" si="1"/>
        <v xml:space="preserve">range(vD4sD6,,) </v>
      </c>
    </row>
    <row r="27" spans="1:12" x14ac:dyDescent="0.25">
      <c r="A27" s="1">
        <v>126</v>
      </c>
      <c r="B27" s="1">
        <f t="shared" si="0"/>
        <v>126</v>
      </c>
      <c r="C27" s="1" t="s">
        <v>85</v>
      </c>
      <c r="D27" s="1" t="s">
        <v>30</v>
      </c>
      <c r="E27" s="1">
        <v>2</v>
      </c>
      <c r="F27" s="1"/>
      <c r="G27" s="1" t="s">
        <v>922</v>
      </c>
      <c r="L27" s="2" t="str">
        <f t="shared" si="1"/>
        <v xml:space="preserve">range(vD4sD7,,) </v>
      </c>
    </row>
    <row r="28" spans="1:12" x14ac:dyDescent="0.25">
      <c r="A28" s="1">
        <v>127</v>
      </c>
      <c r="B28" s="1">
        <f t="shared" si="0"/>
        <v>127</v>
      </c>
      <c r="C28" s="1" t="s">
        <v>86</v>
      </c>
      <c r="D28" s="1" t="s">
        <v>30</v>
      </c>
      <c r="E28" s="1">
        <v>2</v>
      </c>
      <c r="F28" s="1"/>
      <c r="G28" s="1" t="s">
        <v>922</v>
      </c>
      <c r="L28" s="2" t="str">
        <f t="shared" si="1"/>
        <v xml:space="preserve">range(vD4sD8,,) </v>
      </c>
    </row>
    <row r="29" spans="1:12" x14ac:dyDescent="0.25">
      <c r="A29" s="1">
        <v>128</v>
      </c>
      <c r="B29" s="1">
        <f t="shared" si="0"/>
        <v>128</v>
      </c>
      <c r="C29" s="1" t="s">
        <v>87</v>
      </c>
      <c r="D29" s="1" t="s">
        <v>30</v>
      </c>
      <c r="E29" s="1">
        <v>2</v>
      </c>
      <c r="F29" s="1"/>
      <c r="G29" s="1" t="s">
        <v>922</v>
      </c>
      <c r="L29" s="2" t="str">
        <f t="shared" si="1"/>
        <v xml:space="preserve">range(vK1m01,,) </v>
      </c>
    </row>
    <row r="30" spans="1:12" x14ac:dyDescent="0.25">
      <c r="A30" s="1">
        <v>129</v>
      </c>
      <c r="B30" s="1">
        <f t="shared" si="0"/>
        <v>129</v>
      </c>
      <c r="C30" s="1" t="s">
        <v>88</v>
      </c>
      <c r="D30" s="1" t="s">
        <v>30</v>
      </c>
      <c r="E30" s="1">
        <v>2</v>
      </c>
      <c r="F30" s="1"/>
      <c r="G30" s="1" t="s">
        <v>922</v>
      </c>
      <c r="L30" s="2" t="str">
        <f t="shared" si="1"/>
        <v xml:space="preserve">range(vK1m02,,) </v>
      </c>
    </row>
    <row r="31" spans="1:12" x14ac:dyDescent="0.25">
      <c r="A31" s="1">
        <v>130</v>
      </c>
      <c r="B31" s="1">
        <f t="shared" si="0"/>
        <v>130</v>
      </c>
      <c r="C31" s="1" t="s">
        <v>89</v>
      </c>
      <c r="D31" s="1" t="s">
        <v>30</v>
      </c>
      <c r="E31" s="1">
        <v>2</v>
      </c>
      <c r="F31" s="1"/>
      <c r="G31" s="1" t="s">
        <v>922</v>
      </c>
      <c r="L31" s="2" t="str">
        <f t="shared" si="1"/>
        <v xml:space="preserve">range(vK1m03,,) </v>
      </c>
    </row>
    <row r="32" spans="1:12" ht="19.899999999999999" customHeight="1" x14ac:dyDescent="0.25">
      <c r="A32" s="1">
        <v>131</v>
      </c>
      <c r="B32" s="1">
        <f t="shared" si="0"/>
        <v>131</v>
      </c>
      <c r="C32" s="1" t="s">
        <v>90</v>
      </c>
      <c r="D32" s="1" t="s">
        <v>30</v>
      </c>
      <c r="E32" s="1">
        <v>2</v>
      </c>
      <c r="F32" s="1"/>
      <c r="G32" s="1" t="s">
        <v>922</v>
      </c>
      <c r="L32" s="2" t="str">
        <f t="shared" si="1"/>
        <v xml:space="preserve">range(vK1m04,,) </v>
      </c>
    </row>
    <row r="33" spans="1:12" ht="31.9" customHeight="1" x14ac:dyDescent="0.25">
      <c r="A33" s="1">
        <v>132</v>
      </c>
      <c r="B33" s="1">
        <f t="shared" si="0"/>
        <v>132</v>
      </c>
      <c r="C33" s="1" t="s">
        <v>91</v>
      </c>
      <c r="D33" s="1" t="s">
        <v>30</v>
      </c>
      <c r="E33" s="1">
        <v>2</v>
      </c>
      <c r="F33" s="1"/>
      <c r="G33" s="1" t="s">
        <v>922</v>
      </c>
      <c r="L33" s="2" t="str">
        <f t="shared" si="1"/>
        <v xml:space="preserve">range(vK1m05,,) </v>
      </c>
    </row>
    <row r="34" spans="1:12" x14ac:dyDescent="0.25">
      <c r="A34" s="1">
        <v>133</v>
      </c>
      <c r="B34" s="1">
        <f t="shared" si="0"/>
        <v>133</v>
      </c>
      <c r="C34" s="1" t="s">
        <v>92</v>
      </c>
      <c r="D34" s="1" t="s">
        <v>30</v>
      </c>
      <c r="E34" s="1">
        <v>2</v>
      </c>
      <c r="F34" s="1"/>
      <c r="G34" s="1" t="s">
        <v>922</v>
      </c>
      <c r="L34" s="2" t="str">
        <f t="shared" ref="L34:L65" si="2">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xml:space="preserve">range(vK1m06,,) </v>
      </c>
    </row>
    <row r="35" spans="1:12" x14ac:dyDescent="0.25">
      <c r="A35" s="1">
        <v>134</v>
      </c>
      <c r="B35" s="1">
        <f t="shared" si="0"/>
        <v>134</v>
      </c>
      <c r="C35" s="1" t="s">
        <v>93</v>
      </c>
      <c r="D35" s="1" t="s">
        <v>30</v>
      </c>
      <c r="E35" s="1">
        <v>2</v>
      </c>
      <c r="F35" s="1"/>
      <c r="G35" s="1" t="s">
        <v>922</v>
      </c>
      <c r="I35" s="14"/>
      <c r="L35" s="2" t="str">
        <f t="shared" si="2"/>
        <v xml:space="preserve">range(vK1m07,,) </v>
      </c>
    </row>
    <row r="36" spans="1:12" x14ac:dyDescent="0.25">
      <c r="A36" s="1">
        <v>135</v>
      </c>
      <c r="B36" s="1">
        <f t="shared" si="0"/>
        <v>135</v>
      </c>
      <c r="C36" s="1" t="s">
        <v>94</v>
      </c>
      <c r="D36" s="1" t="s">
        <v>30</v>
      </c>
      <c r="E36" s="1">
        <v>2</v>
      </c>
      <c r="F36" s="1"/>
      <c r="G36" s="1" t="s">
        <v>922</v>
      </c>
      <c r="I36" s="14"/>
      <c r="L36" s="2" t="str">
        <f t="shared" si="2"/>
        <v xml:space="preserve">range(vK1m08,,) </v>
      </c>
    </row>
    <row r="37" spans="1:12" x14ac:dyDescent="0.25">
      <c r="A37" s="1">
        <v>136</v>
      </c>
      <c r="B37" s="1">
        <f t="shared" si="0"/>
        <v>136</v>
      </c>
      <c r="C37" s="1" t="s">
        <v>95</v>
      </c>
      <c r="D37" s="1" t="s">
        <v>30</v>
      </c>
      <c r="E37" s="1">
        <v>2</v>
      </c>
      <c r="F37" s="1"/>
      <c r="G37" s="1" t="s">
        <v>922</v>
      </c>
      <c r="L37" s="2" t="str">
        <f t="shared" si="2"/>
        <v xml:space="preserve">range(vK1m09,,) </v>
      </c>
    </row>
    <row r="38" spans="1:12" x14ac:dyDescent="0.25">
      <c r="A38" s="1">
        <v>137</v>
      </c>
      <c r="B38" s="1">
        <f t="shared" si="0"/>
        <v>137</v>
      </c>
      <c r="C38" s="1" t="s">
        <v>96</v>
      </c>
      <c r="D38" s="1" t="s">
        <v>30</v>
      </c>
      <c r="E38" s="1">
        <v>2</v>
      </c>
      <c r="F38" s="1"/>
      <c r="G38" s="1" t="s">
        <v>922</v>
      </c>
      <c r="L38" s="2" t="str">
        <f t="shared" si="2"/>
        <v xml:space="preserve">range(vK1m10,,) </v>
      </c>
    </row>
    <row r="39" spans="1:12" x14ac:dyDescent="0.25">
      <c r="A39" s="1">
        <v>138</v>
      </c>
      <c r="B39" s="1">
        <f t="shared" si="0"/>
        <v>138</v>
      </c>
      <c r="C39" s="1" t="s">
        <v>97</v>
      </c>
      <c r="D39" s="1" t="s">
        <v>30</v>
      </c>
      <c r="E39" s="1">
        <v>2</v>
      </c>
      <c r="F39" s="1"/>
      <c r="G39" s="1" t="s">
        <v>922</v>
      </c>
      <c r="L39" s="2" t="str">
        <f t="shared" si="2"/>
        <v xml:space="preserve">range(vK1m11,,) </v>
      </c>
    </row>
    <row r="40" spans="1:12" x14ac:dyDescent="0.25">
      <c r="A40" s="1">
        <v>139</v>
      </c>
      <c r="B40" s="1">
        <f t="shared" si="0"/>
        <v>139</v>
      </c>
      <c r="C40" s="1" t="s">
        <v>98</v>
      </c>
      <c r="D40" s="1" t="s">
        <v>30</v>
      </c>
      <c r="E40" s="1">
        <v>2</v>
      </c>
      <c r="F40" s="1"/>
      <c r="G40" s="1" t="s">
        <v>922</v>
      </c>
      <c r="L40" s="2" t="str">
        <f t="shared" si="2"/>
        <v xml:space="preserve">range(vK1m12,,) </v>
      </c>
    </row>
    <row r="41" spans="1:12" ht="19.899999999999999" customHeight="1" x14ac:dyDescent="0.25">
      <c r="A41" s="1">
        <v>140</v>
      </c>
      <c r="B41" s="1">
        <f t="shared" si="0"/>
        <v>140</v>
      </c>
      <c r="C41" s="1" t="s">
        <v>99</v>
      </c>
      <c r="D41" s="1" t="s">
        <v>30</v>
      </c>
      <c r="E41" s="1">
        <v>2</v>
      </c>
      <c r="F41" s="1"/>
      <c r="G41" s="1" t="s">
        <v>922</v>
      </c>
      <c r="L41" s="2" t="str">
        <f t="shared" si="2"/>
        <v xml:space="preserve">range(vK1m13,,) </v>
      </c>
    </row>
    <row r="42" spans="1:12" ht="19.899999999999999" customHeight="1" x14ac:dyDescent="0.25">
      <c r="A42" s="1">
        <v>141</v>
      </c>
      <c r="B42" s="1">
        <f t="shared" si="0"/>
        <v>141</v>
      </c>
      <c r="C42" s="1" t="s">
        <v>100</v>
      </c>
      <c r="D42" s="1" t="s">
        <v>30</v>
      </c>
      <c r="E42" s="1">
        <v>2</v>
      </c>
      <c r="F42" s="1"/>
      <c r="G42" s="1" t="s">
        <v>922</v>
      </c>
      <c r="L42" s="2" t="str">
        <f t="shared" si="2"/>
        <v xml:space="preserve">range(vK1m88,,) </v>
      </c>
    </row>
    <row r="43" spans="1:12" ht="19.899999999999999" customHeight="1" x14ac:dyDescent="0.25">
      <c r="A43" s="1">
        <v>142</v>
      </c>
      <c r="B43" s="1">
        <f t="shared" si="0"/>
        <v>142</v>
      </c>
      <c r="C43" s="1" t="s">
        <v>101</v>
      </c>
      <c r="D43" s="1" t="s">
        <v>30</v>
      </c>
      <c r="E43" s="1">
        <v>2</v>
      </c>
      <c r="F43" s="1"/>
      <c r="G43" s="1" t="s">
        <v>922</v>
      </c>
      <c r="L43" s="2" t="str">
        <f t="shared" si="2"/>
        <v xml:space="preserve">range(vK1m90,,) </v>
      </c>
    </row>
    <row r="44" spans="1:12" ht="19.899999999999999" customHeight="1" x14ac:dyDescent="0.25">
      <c r="A44" s="1">
        <v>143</v>
      </c>
      <c r="B44" s="1">
        <f t="shared" si="0"/>
        <v>143</v>
      </c>
      <c r="C44" s="1" t="s">
        <v>103</v>
      </c>
      <c r="D44" s="1" t="s">
        <v>30</v>
      </c>
      <c r="E44" s="1">
        <v>2</v>
      </c>
      <c r="F44" s="1"/>
      <c r="G44" s="1" t="s">
        <v>922</v>
      </c>
      <c r="I44" s="14"/>
      <c r="L44" s="2" t="str">
        <f t="shared" si="2"/>
        <v xml:space="preserve">range(vK2m01,,) </v>
      </c>
    </row>
    <row r="45" spans="1:12" ht="19.899999999999999" customHeight="1" x14ac:dyDescent="0.25">
      <c r="A45" s="1">
        <v>144</v>
      </c>
      <c r="B45" s="1">
        <f t="shared" si="0"/>
        <v>144</v>
      </c>
      <c r="C45" s="1" t="s">
        <v>104</v>
      </c>
      <c r="D45" s="1" t="s">
        <v>30</v>
      </c>
      <c r="E45" s="1">
        <v>2</v>
      </c>
      <c r="F45" s="1"/>
      <c r="G45" s="1" t="s">
        <v>922</v>
      </c>
      <c r="I45" s="14"/>
      <c r="L45" s="2" t="str">
        <f t="shared" si="2"/>
        <v xml:space="preserve">range(vK2m02,,) </v>
      </c>
    </row>
    <row r="46" spans="1:12" ht="19.899999999999999" customHeight="1" x14ac:dyDescent="0.25">
      <c r="A46" s="1">
        <v>145</v>
      </c>
      <c r="B46" s="1">
        <f t="shared" si="0"/>
        <v>145</v>
      </c>
      <c r="C46" s="1" t="s">
        <v>105</v>
      </c>
      <c r="D46" s="1" t="s">
        <v>30</v>
      </c>
      <c r="E46" s="1">
        <v>2</v>
      </c>
      <c r="F46" s="1"/>
      <c r="G46" s="1" t="s">
        <v>922</v>
      </c>
      <c r="I46" s="14"/>
      <c r="L46" s="2" t="str">
        <f t="shared" si="2"/>
        <v xml:space="preserve">range(vK2m03,,) </v>
      </c>
    </row>
    <row r="47" spans="1:12" ht="19.899999999999999" customHeight="1" x14ac:dyDescent="0.25">
      <c r="A47" s="1">
        <v>146</v>
      </c>
      <c r="B47" s="1">
        <f t="shared" si="0"/>
        <v>146</v>
      </c>
      <c r="C47" s="1" t="s">
        <v>106</v>
      </c>
      <c r="D47" s="1" t="s">
        <v>30</v>
      </c>
      <c r="E47" s="1">
        <v>2</v>
      </c>
      <c r="F47" s="1"/>
      <c r="G47" s="1" t="s">
        <v>922</v>
      </c>
      <c r="L47" s="2" t="str">
        <f t="shared" si="2"/>
        <v xml:space="preserve">range(vK2m04,,) </v>
      </c>
    </row>
    <row r="48" spans="1:12" ht="19.899999999999999" customHeight="1" x14ac:dyDescent="0.25">
      <c r="A48" s="1">
        <v>147</v>
      </c>
      <c r="B48" s="1">
        <f t="shared" si="0"/>
        <v>147</v>
      </c>
      <c r="C48" s="1" t="s">
        <v>107</v>
      </c>
      <c r="D48" s="1" t="s">
        <v>30</v>
      </c>
      <c r="E48" s="1">
        <v>2</v>
      </c>
      <c r="F48" s="1"/>
      <c r="G48" s="1" t="s">
        <v>922</v>
      </c>
      <c r="L48" s="2" t="str">
        <f t="shared" si="2"/>
        <v xml:space="preserve">range(vK2m05,,) </v>
      </c>
    </row>
    <row r="49" spans="1:12" ht="19.899999999999999" customHeight="1" x14ac:dyDescent="0.25">
      <c r="A49" s="1">
        <v>148</v>
      </c>
      <c r="B49" s="1">
        <f t="shared" si="0"/>
        <v>148</v>
      </c>
      <c r="C49" s="1" t="s">
        <v>108</v>
      </c>
      <c r="D49" s="1" t="s">
        <v>30</v>
      </c>
      <c r="E49" s="1">
        <v>2</v>
      </c>
      <c r="F49" s="1"/>
      <c r="G49" s="1" t="s">
        <v>922</v>
      </c>
      <c r="L49" s="2" t="str">
        <f t="shared" si="2"/>
        <v xml:space="preserve">range(vK2m06,,) </v>
      </c>
    </row>
    <row r="50" spans="1:12" ht="19.899999999999999" customHeight="1" x14ac:dyDescent="0.25">
      <c r="A50" s="1">
        <v>149</v>
      </c>
      <c r="B50" s="1">
        <f t="shared" si="0"/>
        <v>149</v>
      </c>
      <c r="C50" s="1" t="s">
        <v>109</v>
      </c>
      <c r="D50" s="1" t="s">
        <v>30</v>
      </c>
      <c r="E50" s="1">
        <v>2</v>
      </c>
      <c r="F50" s="1"/>
      <c r="G50" s="1" t="s">
        <v>922</v>
      </c>
      <c r="L50" s="2" t="str">
        <f t="shared" si="2"/>
        <v xml:space="preserve">range(vK2m07,,) </v>
      </c>
    </row>
    <row r="51" spans="1:12" ht="19.899999999999999" customHeight="1" x14ac:dyDescent="0.25">
      <c r="A51" s="1">
        <v>150</v>
      </c>
      <c r="B51" s="1">
        <f t="shared" si="0"/>
        <v>150</v>
      </c>
      <c r="C51" s="1" t="s">
        <v>110</v>
      </c>
      <c r="D51" s="1" t="s">
        <v>30</v>
      </c>
      <c r="E51" s="1">
        <v>2</v>
      </c>
      <c r="F51" s="1"/>
      <c r="G51" s="1" t="s">
        <v>922</v>
      </c>
      <c r="L51" s="2" t="str">
        <f t="shared" si="2"/>
        <v xml:space="preserve">range(vK2m08,,) </v>
      </c>
    </row>
    <row r="52" spans="1:12" ht="19.899999999999999" customHeight="1" x14ac:dyDescent="0.25">
      <c r="A52" s="1">
        <v>151</v>
      </c>
      <c r="B52" s="1">
        <f t="shared" si="0"/>
        <v>151</v>
      </c>
      <c r="C52" s="1" t="s">
        <v>111</v>
      </c>
      <c r="D52" s="1" t="s">
        <v>30</v>
      </c>
      <c r="E52" s="1">
        <v>2</v>
      </c>
      <c r="F52" s="1"/>
      <c r="G52" s="1" t="s">
        <v>922</v>
      </c>
      <c r="L52" s="2" t="str">
        <f t="shared" si="2"/>
        <v xml:space="preserve">range(vK2m09,,) </v>
      </c>
    </row>
    <row r="53" spans="1:12" ht="19.899999999999999" customHeight="1" x14ac:dyDescent="0.25">
      <c r="A53" s="1">
        <v>152</v>
      </c>
      <c r="B53" s="1">
        <f t="shared" si="0"/>
        <v>152</v>
      </c>
      <c r="C53" s="1" t="s">
        <v>112</v>
      </c>
      <c r="D53" s="1" t="s">
        <v>30</v>
      </c>
      <c r="E53" s="1">
        <v>2</v>
      </c>
      <c r="F53" s="1"/>
      <c r="G53" s="1" t="s">
        <v>922</v>
      </c>
      <c r="L53" s="2" t="str">
        <f t="shared" si="2"/>
        <v xml:space="preserve">range(vK2m11,,) </v>
      </c>
    </row>
    <row r="54" spans="1:12" ht="19.899999999999999" customHeight="1" x14ac:dyDescent="0.25">
      <c r="A54" s="1">
        <v>153</v>
      </c>
      <c r="B54" s="1">
        <f t="shared" si="0"/>
        <v>153</v>
      </c>
      <c r="C54" s="1" t="s">
        <v>113</v>
      </c>
      <c r="D54" s="1" t="s">
        <v>30</v>
      </c>
      <c r="E54" s="1">
        <v>2</v>
      </c>
      <c r="F54" s="1"/>
      <c r="G54" s="1" t="s">
        <v>922</v>
      </c>
      <c r="L54" s="2" t="str">
        <f t="shared" si="2"/>
        <v xml:space="preserve">range(vK2m12,,) </v>
      </c>
    </row>
    <row r="55" spans="1:12" ht="19.899999999999999" customHeight="1" x14ac:dyDescent="0.25">
      <c r="A55" s="1">
        <v>154</v>
      </c>
      <c r="B55" s="1">
        <f t="shared" si="0"/>
        <v>154</v>
      </c>
      <c r="C55" s="1" t="s">
        <v>114</v>
      </c>
      <c r="D55" s="1" t="s">
        <v>30</v>
      </c>
      <c r="E55" s="1">
        <v>2</v>
      </c>
      <c r="F55" s="1"/>
      <c r="G55" s="1" t="s">
        <v>922</v>
      </c>
      <c r="I55" s="14"/>
      <c r="L55" s="2" t="str">
        <f t="shared" si="2"/>
        <v xml:space="preserve">range(vK2m13,,) </v>
      </c>
    </row>
    <row r="56" spans="1:12" ht="19.899999999999999" customHeight="1" x14ac:dyDescent="0.25">
      <c r="A56" s="1">
        <v>155</v>
      </c>
      <c r="B56" s="1">
        <f t="shared" si="0"/>
        <v>155</v>
      </c>
      <c r="C56" s="1" t="s">
        <v>115</v>
      </c>
      <c r="D56" s="1" t="s">
        <v>30</v>
      </c>
      <c r="E56" s="1">
        <v>2</v>
      </c>
      <c r="F56" s="1"/>
      <c r="G56" s="1" t="s">
        <v>922</v>
      </c>
      <c r="I56" s="14"/>
      <c r="L56" s="2" t="str">
        <f t="shared" si="2"/>
        <v xml:space="preserve">range(vK2m88,,) </v>
      </c>
    </row>
    <row r="57" spans="1:12" ht="19.899999999999999" customHeight="1" x14ac:dyDescent="0.25">
      <c r="A57" s="1">
        <v>156</v>
      </c>
      <c r="B57" s="1">
        <f t="shared" si="0"/>
        <v>156</v>
      </c>
      <c r="C57" s="1" t="s">
        <v>116</v>
      </c>
      <c r="D57" s="1" t="s">
        <v>30</v>
      </c>
      <c r="E57" s="1">
        <v>2</v>
      </c>
      <c r="F57" s="1"/>
      <c r="G57" s="1" t="s">
        <v>922</v>
      </c>
      <c r="L57" s="2" t="str">
        <f t="shared" si="2"/>
        <v xml:space="preserve">range(vK2m90,,) </v>
      </c>
    </row>
    <row r="58" spans="1:12" ht="19.899999999999999" customHeight="1" x14ac:dyDescent="0.25">
      <c r="A58" s="1">
        <v>157</v>
      </c>
      <c r="B58" s="1">
        <f t="shared" si="0"/>
        <v>157</v>
      </c>
      <c r="C58" s="1" t="s">
        <v>118</v>
      </c>
      <c r="D58" s="1" t="s">
        <v>30</v>
      </c>
      <c r="E58" s="1">
        <v>2</v>
      </c>
      <c r="F58" s="1"/>
      <c r="G58" s="1" t="s">
        <v>922</v>
      </c>
      <c r="L58" s="2" t="str">
        <f t="shared" si="2"/>
        <v xml:space="preserve">range(vE17,,) </v>
      </c>
    </row>
    <row r="59" spans="1:12" ht="19.899999999999999" customHeight="1" x14ac:dyDescent="0.25">
      <c r="A59" s="1">
        <v>158</v>
      </c>
      <c r="B59" s="1">
        <f t="shared" si="0"/>
        <v>158</v>
      </c>
      <c r="C59" s="1" t="s">
        <v>120</v>
      </c>
      <c r="D59" s="1" t="s">
        <v>30</v>
      </c>
      <c r="E59" s="1">
        <v>4</v>
      </c>
      <c r="F59" s="1"/>
      <c r="G59" s="1" t="s">
        <v>922</v>
      </c>
      <c r="L59" s="2" t="str">
        <f t="shared" si="2"/>
        <v xml:space="preserve">range(vKLI1,,) </v>
      </c>
    </row>
    <row r="60" spans="1:12" ht="19.899999999999999" customHeight="1" x14ac:dyDescent="0.25">
      <c r="A60" s="1">
        <v>159</v>
      </c>
      <c r="B60" s="1">
        <f t="shared" si="0"/>
        <v>159</v>
      </c>
      <c r="C60" s="1" t="s">
        <v>121</v>
      </c>
      <c r="D60" s="1" t="s">
        <v>30</v>
      </c>
      <c r="E60" s="1">
        <v>5</v>
      </c>
      <c r="F60" s="1"/>
      <c r="G60" s="1" t="s">
        <v>922</v>
      </c>
      <c r="L60" s="2" t="str">
        <f t="shared" si="2"/>
        <v xml:space="preserve">range(vKLI2,,) </v>
      </c>
    </row>
    <row r="61" spans="1:12" x14ac:dyDescent="0.25">
      <c r="A61" s="1">
        <v>160</v>
      </c>
      <c r="B61" s="1">
        <f t="shared" si="0"/>
        <v>160</v>
      </c>
      <c r="C61" s="1" t="s">
        <v>122</v>
      </c>
      <c r="D61" s="1" t="s">
        <v>30</v>
      </c>
      <c r="E61" s="9">
        <v>4</v>
      </c>
      <c r="G61" s="1" t="s">
        <v>922</v>
      </c>
      <c r="I61" s="14"/>
      <c r="L61" s="2" t="str">
        <f t="shared" si="2"/>
        <v xml:space="preserve">range(vKFB1,,) </v>
      </c>
    </row>
    <row r="62" spans="1:12" x14ac:dyDescent="0.25">
      <c r="A62" s="1">
        <v>161</v>
      </c>
      <c r="B62" s="1">
        <f t="shared" si="0"/>
        <v>161</v>
      </c>
      <c r="C62" s="1" t="s">
        <v>123</v>
      </c>
      <c r="D62" s="1" t="s">
        <v>30</v>
      </c>
      <c r="E62" s="9">
        <v>5</v>
      </c>
      <c r="G62" s="1" t="s">
        <v>922</v>
      </c>
      <c r="I62" s="14"/>
      <c r="L62" s="2" t="str">
        <f t="shared" si="2"/>
        <v xml:space="preserve">range(vKFB2,,) </v>
      </c>
    </row>
    <row r="63" spans="1:12" x14ac:dyDescent="0.25">
      <c r="A63" s="1">
        <v>162</v>
      </c>
      <c r="B63" s="1">
        <f t="shared" si="0"/>
        <v>162</v>
      </c>
      <c r="C63" s="1" t="s">
        <v>124</v>
      </c>
      <c r="D63" s="1" t="s">
        <v>30</v>
      </c>
      <c r="E63" s="9">
        <v>2</v>
      </c>
      <c r="G63" s="1" t="s">
        <v>922</v>
      </c>
      <c r="I63" s="14"/>
      <c r="L63" s="2" t="str">
        <f t="shared" si="2"/>
        <v xml:space="preserve">range(vKFB3m01,,) </v>
      </c>
    </row>
    <row r="64" spans="1:12" x14ac:dyDescent="0.25">
      <c r="A64" s="1">
        <v>163</v>
      </c>
      <c r="B64" s="1">
        <f t="shared" si="0"/>
        <v>163</v>
      </c>
      <c r="C64" s="1" t="s">
        <v>125</v>
      </c>
      <c r="D64" s="1" t="s">
        <v>30</v>
      </c>
      <c r="E64" s="9">
        <v>2</v>
      </c>
      <c r="G64" s="1" t="s">
        <v>922</v>
      </c>
      <c r="L64" s="2" t="str">
        <f t="shared" si="2"/>
        <v xml:space="preserve">range(vKFB3m02,,) </v>
      </c>
    </row>
    <row r="65" spans="1:12" x14ac:dyDescent="0.25">
      <c r="A65" s="1">
        <v>164</v>
      </c>
      <c r="B65" s="1">
        <f t="shared" si="0"/>
        <v>164</v>
      </c>
      <c r="C65" s="1" t="s">
        <v>126</v>
      </c>
      <c r="D65" s="1" t="s">
        <v>30</v>
      </c>
      <c r="E65" s="9">
        <v>2</v>
      </c>
      <c r="G65" s="1" t="s">
        <v>922</v>
      </c>
      <c r="L65" s="2" t="str">
        <f t="shared" si="2"/>
        <v xml:space="preserve">range(vKFB3m03,,) </v>
      </c>
    </row>
    <row r="66" spans="1:12" x14ac:dyDescent="0.25">
      <c r="A66" s="1">
        <v>165</v>
      </c>
      <c r="B66" s="1">
        <f t="shared" ref="B66:B129" si="3">A66</f>
        <v>165</v>
      </c>
      <c r="C66" s="1" t="s">
        <v>127</v>
      </c>
      <c r="D66" s="1" t="s">
        <v>30</v>
      </c>
      <c r="E66" s="9">
        <v>2</v>
      </c>
      <c r="G66" s="1" t="s">
        <v>922</v>
      </c>
      <c r="L66" s="2" t="str">
        <f t="shared" ref="L66:L97" si="4">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xml:space="preserve">range(vKFB3m04,,) </v>
      </c>
    </row>
    <row r="67" spans="1:12" x14ac:dyDescent="0.25">
      <c r="A67" s="1">
        <v>166</v>
      </c>
      <c r="B67" s="1">
        <f t="shared" si="3"/>
        <v>166</v>
      </c>
      <c r="C67" s="1" t="s">
        <v>128</v>
      </c>
      <c r="D67" s="1" t="s">
        <v>30</v>
      </c>
      <c r="E67" s="9">
        <v>2</v>
      </c>
      <c r="G67" s="1" t="s">
        <v>922</v>
      </c>
      <c r="L67" s="2" t="str">
        <f t="shared" si="4"/>
        <v xml:space="preserve">range(vKFB3m05,,) </v>
      </c>
    </row>
    <row r="68" spans="1:12" x14ac:dyDescent="0.25">
      <c r="A68" s="1">
        <v>167</v>
      </c>
      <c r="B68" s="1">
        <f t="shared" si="3"/>
        <v>167</v>
      </c>
      <c r="C68" s="1" t="s">
        <v>129</v>
      </c>
      <c r="D68" s="1" t="s">
        <v>30</v>
      </c>
      <c r="E68" s="9">
        <v>2</v>
      </c>
      <c r="G68" s="1" t="s">
        <v>922</v>
      </c>
      <c r="I68" s="14"/>
      <c r="L68" s="2" t="str">
        <f t="shared" si="4"/>
        <v xml:space="preserve">range(vKFB3m06,,) </v>
      </c>
    </row>
    <row r="69" spans="1:12" x14ac:dyDescent="0.25">
      <c r="A69" s="1">
        <v>168</v>
      </c>
      <c r="B69" s="1">
        <f t="shared" si="3"/>
        <v>168</v>
      </c>
      <c r="C69" s="1" t="s">
        <v>130</v>
      </c>
      <c r="D69" s="1" t="s">
        <v>30</v>
      </c>
      <c r="E69" s="9">
        <v>2</v>
      </c>
      <c r="G69" s="1" t="s">
        <v>922</v>
      </c>
      <c r="I69" s="14"/>
      <c r="L69" s="2" t="str">
        <f t="shared" si="4"/>
        <v xml:space="preserve">range(vKFB3m07,,) </v>
      </c>
    </row>
    <row r="70" spans="1:12" x14ac:dyDescent="0.25">
      <c r="A70" s="1">
        <v>169</v>
      </c>
      <c r="B70" s="1">
        <f t="shared" si="3"/>
        <v>169</v>
      </c>
      <c r="C70" s="1" t="s">
        <v>131</v>
      </c>
      <c r="D70" s="1" t="s">
        <v>30</v>
      </c>
      <c r="E70" s="9">
        <v>2</v>
      </c>
      <c r="G70" s="1" t="s">
        <v>922</v>
      </c>
      <c r="I70" s="14"/>
      <c r="L70" s="2" t="str">
        <f t="shared" si="4"/>
        <v xml:space="preserve">range(vKFB3m08,,) </v>
      </c>
    </row>
    <row r="71" spans="1:12" x14ac:dyDescent="0.25">
      <c r="A71" s="1">
        <v>170</v>
      </c>
      <c r="B71" s="1">
        <f t="shared" si="3"/>
        <v>170</v>
      </c>
      <c r="C71" s="1" t="s">
        <v>132</v>
      </c>
      <c r="D71" s="1" t="s">
        <v>30</v>
      </c>
      <c r="E71" s="9">
        <v>2</v>
      </c>
      <c r="G71" s="1" t="s">
        <v>922</v>
      </c>
      <c r="I71" s="14"/>
      <c r="L71" s="2" t="str">
        <f t="shared" si="4"/>
        <v xml:space="preserve">range(vKFB3m09,,) </v>
      </c>
    </row>
    <row r="72" spans="1:12" x14ac:dyDescent="0.25">
      <c r="A72" s="1">
        <v>171</v>
      </c>
      <c r="B72" s="1">
        <f t="shared" si="3"/>
        <v>171</v>
      </c>
      <c r="C72" s="1" t="s">
        <v>133</v>
      </c>
      <c r="D72" s="1" t="s">
        <v>30</v>
      </c>
      <c r="E72" s="9">
        <v>2</v>
      </c>
      <c r="G72" s="1" t="s">
        <v>922</v>
      </c>
      <c r="L72" s="2" t="str">
        <f t="shared" si="4"/>
        <v xml:space="preserve">range(vKFB3m10,,) </v>
      </c>
    </row>
    <row r="73" spans="1:12" x14ac:dyDescent="0.25">
      <c r="A73" s="1">
        <v>172</v>
      </c>
      <c r="B73" s="1">
        <f t="shared" si="3"/>
        <v>172</v>
      </c>
      <c r="C73" s="1" t="s">
        <v>134</v>
      </c>
      <c r="D73" s="1" t="s">
        <v>30</v>
      </c>
      <c r="E73" s="9">
        <v>2</v>
      </c>
      <c r="G73" s="1" t="s">
        <v>922</v>
      </c>
      <c r="L73" s="2" t="str">
        <f t="shared" si="4"/>
        <v xml:space="preserve">range(vKFB3m11,,) </v>
      </c>
    </row>
    <row r="74" spans="1:12" x14ac:dyDescent="0.25">
      <c r="A74" s="1">
        <v>173</v>
      </c>
      <c r="B74" s="1">
        <f t="shared" si="3"/>
        <v>173</v>
      </c>
      <c r="C74" s="1" t="s">
        <v>135</v>
      </c>
      <c r="D74" s="1" t="s">
        <v>30</v>
      </c>
      <c r="E74" s="9">
        <v>2</v>
      </c>
      <c r="G74" s="1" t="s">
        <v>922</v>
      </c>
      <c r="L74" s="2" t="str">
        <f t="shared" si="4"/>
        <v xml:space="preserve">range(vKFB3m12,,) </v>
      </c>
    </row>
    <row r="75" spans="1:12" x14ac:dyDescent="0.25">
      <c r="A75" s="1">
        <v>174</v>
      </c>
      <c r="B75" s="1">
        <f t="shared" si="3"/>
        <v>174</v>
      </c>
      <c r="C75" s="1" t="s">
        <v>136</v>
      </c>
      <c r="D75" s="1" t="s">
        <v>30</v>
      </c>
      <c r="E75" s="9">
        <v>2</v>
      </c>
      <c r="G75" s="1" t="s">
        <v>922</v>
      </c>
      <c r="L75" s="2" t="str">
        <f t="shared" si="4"/>
        <v xml:space="preserve">range(vKFB3m13,,) </v>
      </c>
    </row>
    <row r="76" spans="1:12" x14ac:dyDescent="0.25">
      <c r="A76" s="1">
        <v>175</v>
      </c>
      <c r="B76" s="1">
        <f t="shared" si="3"/>
        <v>175</v>
      </c>
      <c r="C76" s="1" t="s">
        <v>137</v>
      </c>
      <c r="D76" s="1" t="s">
        <v>30</v>
      </c>
      <c r="E76" s="9">
        <v>2</v>
      </c>
      <c r="G76" s="1" t="s">
        <v>922</v>
      </c>
      <c r="L76" s="2" t="str">
        <f t="shared" si="4"/>
        <v xml:space="preserve">range(vKFB3m14,,) </v>
      </c>
    </row>
    <row r="77" spans="1:12" x14ac:dyDescent="0.25">
      <c r="A77" s="1">
        <v>176</v>
      </c>
      <c r="B77" s="1">
        <f t="shared" si="3"/>
        <v>176</v>
      </c>
      <c r="C77" s="1" t="s">
        <v>138</v>
      </c>
      <c r="D77" s="1" t="s">
        <v>30</v>
      </c>
      <c r="E77" s="9">
        <v>2</v>
      </c>
      <c r="G77" s="1" t="s">
        <v>922</v>
      </c>
      <c r="L77" s="2" t="str">
        <f t="shared" si="4"/>
        <v xml:space="preserve">range(vKFB3m15,,) </v>
      </c>
    </row>
    <row r="78" spans="1:12" x14ac:dyDescent="0.25">
      <c r="A78" s="1">
        <v>177</v>
      </c>
      <c r="B78" s="1">
        <f t="shared" si="3"/>
        <v>177</v>
      </c>
      <c r="C78" s="1" t="s">
        <v>139</v>
      </c>
      <c r="D78" s="1" t="s">
        <v>30</v>
      </c>
      <c r="E78" s="9">
        <v>2</v>
      </c>
      <c r="G78" s="1" t="s">
        <v>922</v>
      </c>
      <c r="L78" s="2" t="str">
        <f t="shared" si="4"/>
        <v xml:space="preserve">range(vKFB3m16,,) </v>
      </c>
    </row>
    <row r="79" spans="1:12" x14ac:dyDescent="0.25">
      <c r="A79" s="1">
        <v>178</v>
      </c>
      <c r="B79" s="1">
        <f t="shared" si="3"/>
        <v>178</v>
      </c>
      <c r="C79" s="1" t="s">
        <v>140</v>
      </c>
      <c r="D79" s="1" t="s">
        <v>30</v>
      </c>
      <c r="E79" s="9">
        <v>2</v>
      </c>
      <c r="G79" s="1" t="s">
        <v>922</v>
      </c>
      <c r="L79" s="2" t="str">
        <f t="shared" si="4"/>
        <v xml:space="preserve">range(vKFB3m17,,) </v>
      </c>
    </row>
    <row r="80" spans="1:12" x14ac:dyDescent="0.25">
      <c r="A80" s="1">
        <v>179</v>
      </c>
      <c r="B80" s="1">
        <f t="shared" si="3"/>
        <v>179</v>
      </c>
      <c r="C80" s="1" t="s">
        <v>141</v>
      </c>
      <c r="D80" s="1" t="s">
        <v>30</v>
      </c>
      <c r="E80" s="9">
        <v>2</v>
      </c>
      <c r="G80" s="1" t="s">
        <v>922</v>
      </c>
      <c r="L80" s="2" t="str">
        <f t="shared" si="4"/>
        <v xml:space="preserve">range(vKFB3m88,,) </v>
      </c>
    </row>
    <row r="81" spans="1:12" x14ac:dyDescent="0.25">
      <c r="A81" s="1">
        <v>180</v>
      </c>
      <c r="B81" s="1">
        <f t="shared" si="3"/>
        <v>180</v>
      </c>
      <c r="C81" s="1" t="s">
        <v>143</v>
      </c>
      <c r="D81" s="1" t="s">
        <v>30</v>
      </c>
      <c r="E81" s="9">
        <v>2</v>
      </c>
      <c r="G81" s="1" t="s">
        <v>922</v>
      </c>
      <c r="L81" s="2" t="str">
        <f t="shared" si="4"/>
        <v xml:space="preserve">range(vKFB4m01,,) </v>
      </c>
    </row>
    <row r="82" spans="1:12" x14ac:dyDescent="0.25">
      <c r="A82" s="1">
        <v>181</v>
      </c>
      <c r="B82" s="1">
        <f t="shared" si="3"/>
        <v>181</v>
      </c>
      <c r="C82" s="1" t="s">
        <v>144</v>
      </c>
      <c r="D82" s="1" t="s">
        <v>30</v>
      </c>
      <c r="E82" s="9">
        <v>2</v>
      </c>
      <c r="G82" s="1" t="s">
        <v>922</v>
      </c>
      <c r="L82" s="2" t="str">
        <f t="shared" si="4"/>
        <v xml:space="preserve">range(vKFB4m02,,) </v>
      </c>
    </row>
    <row r="83" spans="1:12" x14ac:dyDescent="0.25">
      <c r="A83" s="1">
        <v>182</v>
      </c>
      <c r="B83" s="1">
        <f t="shared" si="3"/>
        <v>182</v>
      </c>
      <c r="C83" s="1" t="s">
        <v>145</v>
      </c>
      <c r="D83" s="1" t="s">
        <v>30</v>
      </c>
      <c r="E83" s="9">
        <v>2</v>
      </c>
      <c r="G83" s="1" t="s">
        <v>922</v>
      </c>
      <c r="L83" s="2" t="str">
        <f t="shared" si="4"/>
        <v xml:space="preserve">range(vKFB4m03,,) </v>
      </c>
    </row>
    <row r="84" spans="1:12" x14ac:dyDescent="0.25">
      <c r="A84" s="1">
        <v>183</v>
      </c>
      <c r="B84" s="1">
        <f t="shared" si="3"/>
        <v>183</v>
      </c>
      <c r="C84" s="1" t="s">
        <v>146</v>
      </c>
      <c r="D84" s="1" t="s">
        <v>30</v>
      </c>
      <c r="E84" s="9">
        <v>2</v>
      </c>
      <c r="G84" s="1" t="s">
        <v>922</v>
      </c>
      <c r="L84" s="2" t="str">
        <f t="shared" si="4"/>
        <v xml:space="preserve">range(vKFB4m04,,) </v>
      </c>
    </row>
    <row r="85" spans="1:12" x14ac:dyDescent="0.25">
      <c r="A85" s="1">
        <v>184</v>
      </c>
      <c r="B85" s="1">
        <f t="shared" si="3"/>
        <v>184</v>
      </c>
      <c r="C85" s="1" t="s">
        <v>147</v>
      </c>
      <c r="D85" s="1" t="s">
        <v>30</v>
      </c>
      <c r="E85" s="9">
        <v>2</v>
      </c>
      <c r="G85" s="1" t="s">
        <v>922</v>
      </c>
      <c r="L85" s="2" t="str">
        <f t="shared" si="4"/>
        <v xml:space="preserve">range(vKFB4m05,,) </v>
      </c>
    </row>
    <row r="86" spans="1:12" x14ac:dyDescent="0.25">
      <c r="A86" s="1">
        <v>185</v>
      </c>
      <c r="B86" s="1">
        <f t="shared" si="3"/>
        <v>185</v>
      </c>
      <c r="C86" s="1" t="s">
        <v>148</v>
      </c>
      <c r="D86" s="1" t="s">
        <v>30</v>
      </c>
      <c r="E86" s="9">
        <v>2</v>
      </c>
      <c r="G86" s="1" t="s">
        <v>922</v>
      </c>
      <c r="L86" s="2" t="str">
        <f t="shared" si="4"/>
        <v xml:space="preserve">range(vKFB4m06,,) </v>
      </c>
    </row>
    <row r="87" spans="1:12" x14ac:dyDescent="0.25">
      <c r="A87" s="1">
        <v>186</v>
      </c>
      <c r="B87" s="1">
        <f t="shared" si="3"/>
        <v>186</v>
      </c>
      <c r="C87" s="1" t="s">
        <v>149</v>
      </c>
      <c r="D87" s="1" t="s">
        <v>30</v>
      </c>
      <c r="E87" s="9">
        <v>2</v>
      </c>
      <c r="G87" s="1" t="s">
        <v>922</v>
      </c>
      <c r="L87" s="2" t="str">
        <f t="shared" si="4"/>
        <v xml:space="preserve">range(vKFB4m07,,) </v>
      </c>
    </row>
    <row r="88" spans="1:12" x14ac:dyDescent="0.25">
      <c r="A88" s="1">
        <v>187</v>
      </c>
      <c r="B88" s="1">
        <f t="shared" si="3"/>
        <v>187</v>
      </c>
      <c r="C88" s="1" t="s">
        <v>150</v>
      </c>
      <c r="D88" s="1" t="s">
        <v>30</v>
      </c>
      <c r="E88" s="9">
        <v>2</v>
      </c>
      <c r="G88" s="1" t="s">
        <v>922</v>
      </c>
      <c r="L88" s="2" t="str">
        <f t="shared" si="4"/>
        <v xml:space="preserve">range(vKFB4m08,,) </v>
      </c>
    </row>
    <row r="89" spans="1:12" x14ac:dyDescent="0.25">
      <c r="A89" s="1">
        <v>188</v>
      </c>
      <c r="B89" s="1">
        <f t="shared" si="3"/>
        <v>188</v>
      </c>
      <c r="C89" s="1" t="s">
        <v>151</v>
      </c>
      <c r="D89" s="1" t="s">
        <v>30</v>
      </c>
      <c r="E89" s="9">
        <v>2</v>
      </c>
      <c r="G89" s="1" t="s">
        <v>922</v>
      </c>
      <c r="L89" s="2" t="str">
        <f t="shared" si="4"/>
        <v xml:space="preserve">range(vKFB4m09,,) </v>
      </c>
    </row>
    <row r="90" spans="1:12" x14ac:dyDescent="0.25">
      <c r="A90" s="1">
        <v>189</v>
      </c>
      <c r="B90" s="1">
        <f t="shared" si="3"/>
        <v>189</v>
      </c>
      <c r="C90" s="1" t="s">
        <v>152</v>
      </c>
      <c r="D90" s="1" t="s">
        <v>30</v>
      </c>
      <c r="E90" s="9">
        <v>2</v>
      </c>
      <c r="G90" s="1" t="s">
        <v>922</v>
      </c>
      <c r="L90" s="2" t="str">
        <f t="shared" si="4"/>
        <v xml:space="preserve">range(vKFB4m10,,) </v>
      </c>
    </row>
    <row r="91" spans="1:12" x14ac:dyDescent="0.25">
      <c r="A91" s="1">
        <v>190</v>
      </c>
      <c r="B91" s="1">
        <f t="shared" si="3"/>
        <v>190</v>
      </c>
      <c r="C91" s="1" t="s">
        <v>153</v>
      </c>
      <c r="D91" s="1" t="s">
        <v>30</v>
      </c>
      <c r="E91" s="9">
        <v>2</v>
      </c>
      <c r="G91" s="1" t="s">
        <v>922</v>
      </c>
      <c r="L91" s="2" t="str">
        <f t="shared" si="4"/>
        <v xml:space="preserve">range(vKFB4m11,,) </v>
      </c>
    </row>
    <row r="92" spans="1:12" x14ac:dyDescent="0.25">
      <c r="A92" s="1">
        <v>191</v>
      </c>
      <c r="B92" s="1">
        <f t="shared" si="3"/>
        <v>191</v>
      </c>
      <c r="C92" s="1" t="s">
        <v>154</v>
      </c>
      <c r="D92" s="1" t="s">
        <v>30</v>
      </c>
      <c r="E92" s="9">
        <v>2</v>
      </c>
      <c r="G92" s="1" t="s">
        <v>922</v>
      </c>
      <c r="L92" s="2" t="str">
        <f t="shared" si="4"/>
        <v xml:space="preserve">range(vKFB4m12,,) </v>
      </c>
    </row>
    <row r="93" spans="1:12" x14ac:dyDescent="0.25">
      <c r="A93" s="1">
        <v>192</v>
      </c>
      <c r="B93" s="1">
        <f t="shared" si="3"/>
        <v>192</v>
      </c>
      <c r="C93" s="1" t="s">
        <v>155</v>
      </c>
      <c r="D93" s="1" t="s">
        <v>30</v>
      </c>
      <c r="E93" s="9">
        <v>2</v>
      </c>
      <c r="G93" s="1" t="s">
        <v>922</v>
      </c>
      <c r="L93" s="2" t="str">
        <f t="shared" si="4"/>
        <v xml:space="preserve">range(vKFB4m13,,) </v>
      </c>
    </row>
    <row r="94" spans="1:12" x14ac:dyDescent="0.25">
      <c r="A94" s="1">
        <v>193</v>
      </c>
      <c r="B94" s="1">
        <f t="shared" si="3"/>
        <v>193</v>
      </c>
      <c r="C94" s="1" t="s">
        <v>156</v>
      </c>
      <c r="D94" s="1" t="s">
        <v>30</v>
      </c>
      <c r="E94" s="9">
        <v>2</v>
      </c>
      <c r="G94" s="1" t="s">
        <v>922</v>
      </c>
      <c r="L94" s="2" t="str">
        <f t="shared" si="4"/>
        <v xml:space="preserve">range(vKFB4m14,,) </v>
      </c>
    </row>
    <row r="95" spans="1:12" x14ac:dyDescent="0.25">
      <c r="A95" s="1">
        <v>194</v>
      </c>
      <c r="B95" s="1">
        <f t="shared" si="3"/>
        <v>194</v>
      </c>
      <c r="C95" s="1" t="s">
        <v>157</v>
      </c>
      <c r="D95" s="1" t="s">
        <v>30</v>
      </c>
      <c r="E95" s="9">
        <v>2</v>
      </c>
      <c r="G95" s="1" t="s">
        <v>922</v>
      </c>
      <c r="L95" s="2" t="str">
        <f t="shared" si="4"/>
        <v xml:space="preserve">range(vKFB4m15,,) </v>
      </c>
    </row>
    <row r="96" spans="1:12" x14ac:dyDescent="0.25">
      <c r="A96" s="1">
        <v>195</v>
      </c>
      <c r="B96" s="1">
        <f t="shared" si="3"/>
        <v>195</v>
      </c>
      <c r="C96" s="1" t="s">
        <v>158</v>
      </c>
      <c r="D96" s="1" t="s">
        <v>30</v>
      </c>
      <c r="E96" s="9">
        <v>2</v>
      </c>
      <c r="G96" s="1" t="s">
        <v>922</v>
      </c>
      <c r="L96" s="2" t="str">
        <f t="shared" si="4"/>
        <v xml:space="preserve">range(vKFB4m16,,) </v>
      </c>
    </row>
    <row r="97" spans="1:12" x14ac:dyDescent="0.25">
      <c r="A97" s="1">
        <v>196</v>
      </c>
      <c r="B97" s="1">
        <f t="shared" si="3"/>
        <v>196</v>
      </c>
      <c r="C97" s="1" t="s">
        <v>159</v>
      </c>
      <c r="D97" s="1" t="s">
        <v>30</v>
      </c>
      <c r="E97" s="9">
        <v>2</v>
      </c>
      <c r="G97" s="1" t="s">
        <v>922</v>
      </c>
      <c r="L97" s="2" t="str">
        <f t="shared" si="4"/>
        <v xml:space="preserve">range(vKFB4m17,,) </v>
      </c>
    </row>
    <row r="98" spans="1:12" x14ac:dyDescent="0.25">
      <c r="A98" s="1">
        <v>197</v>
      </c>
      <c r="B98" s="1">
        <f t="shared" si="3"/>
        <v>197</v>
      </c>
      <c r="C98" s="1" t="s">
        <v>160</v>
      </c>
      <c r="D98" s="1" t="s">
        <v>30</v>
      </c>
      <c r="E98" s="9">
        <v>2</v>
      </c>
      <c r="G98" s="1" t="s">
        <v>922</v>
      </c>
      <c r="L98" s="2" t="str">
        <f t="shared" ref="L98:L129" si="5">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xml:space="preserve">range(vKFB4m18,,) </v>
      </c>
    </row>
    <row r="99" spans="1:12" x14ac:dyDescent="0.25">
      <c r="A99" s="1">
        <v>198</v>
      </c>
      <c r="B99" s="1">
        <f t="shared" si="3"/>
        <v>198</v>
      </c>
      <c r="C99" s="1" t="s">
        <v>161</v>
      </c>
      <c r="D99" s="1" t="s">
        <v>30</v>
      </c>
      <c r="E99" s="9">
        <v>2</v>
      </c>
      <c r="G99" s="1" t="s">
        <v>922</v>
      </c>
      <c r="L99" s="2" t="str">
        <f t="shared" si="5"/>
        <v xml:space="preserve">range(vKFB4m88,,) </v>
      </c>
    </row>
    <row r="100" spans="1:12" x14ac:dyDescent="0.25">
      <c r="A100" s="1">
        <v>199</v>
      </c>
      <c r="B100" s="1">
        <f t="shared" si="3"/>
        <v>199</v>
      </c>
      <c r="C100" s="1" t="s">
        <v>163</v>
      </c>
      <c r="D100" s="1" t="s">
        <v>30</v>
      </c>
      <c r="E100" s="9">
        <v>4</v>
      </c>
      <c r="G100" s="1" t="s">
        <v>922</v>
      </c>
      <c r="L100" s="2" t="str">
        <f t="shared" si="5"/>
        <v xml:space="preserve">range(vKIG1,,) </v>
      </c>
    </row>
    <row r="101" spans="1:12" x14ac:dyDescent="0.25">
      <c r="A101" s="1">
        <v>200</v>
      </c>
      <c r="B101" s="1">
        <f t="shared" si="3"/>
        <v>200</v>
      </c>
      <c r="C101" s="1" t="s">
        <v>164</v>
      </c>
      <c r="D101" s="1" t="s">
        <v>30</v>
      </c>
      <c r="E101" s="9">
        <v>5</v>
      </c>
      <c r="G101" s="1" t="s">
        <v>922</v>
      </c>
      <c r="L101" s="2" t="str">
        <f t="shared" si="5"/>
        <v xml:space="preserve">range(vKIG2,,) </v>
      </c>
    </row>
    <row r="102" spans="1:12" x14ac:dyDescent="0.25">
      <c r="A102" s="1">
        <v>201</v>
      </c>
      <c r="B102" s="1">
        <f t="shared" si="3"/>
        <v>201</v>
      </c>
      <c r="C102" s="1" t="s">
        <v>165</v>
      </c>
      <c r="D102" s="1" t="s">
        <v>30</v>
      </c>
      <c r="E102" s="9">
        <v>2</v>
      </c>
      <c r="G102" s="1" t="s">
        <v>922</v>
      </c>
      <c r="L102" s="2" t="str">
        <f t="shared" si="5"/>
        <v xml:space="preserve">range(vKIG3m01,,) </v>
      </c>
    </row>
    <row r="103" spans="1:12" x14ac:dyDescent="0.25">
      <c r="A103" s="1">
        <v>202</v>
      </c>
      <c r="B103" s="1">
        <f t="shared" si="3"/>
        <v>202</v>
      </c>
      <c r="C103" s="1" t="s">
        <v>166</v>
      </c>
      <c r="D103" s="1" t="s">
        <v>30</v>
      </c>
      <c r="E103" s="9">
        <v>2</v>
      </c>
      <c r="G103" s="1" t="s">
        <v>922</v>
      </c>
      <c r="L103" s="2" t="str">
        <f t="shared" si="5"/>
        <v xml:space="preserve">range(vKIG3m02,,) </v>
      </c>
    </row>
    <row r="104" spans="1:12" x14ac:dyDescent="0.25">
      <c r="A104" s="1">
        <v>203</v>
      </c>
      <c r="B104" s="1">
        <f t="shared" si="3"/>
        <v>203</v>
      </c>
      <c r="C104" s="1" t="s">
        <v>167</v>
      </c>
      <c r="D104" s="1" t="s">
        <v>30</v>
      </c>
      <c r="E104" s="9">
        <v>2</v>
      </c>
      <c r="G104" s="1" t="s">
        <v>922</v>
      </c>
      <c r="L104" s="2" t="str">
        <f t="shared" si="5"/>
        <v xml:space="preserve">range(vKIG3m03,,) </v>
      </c>
    </row>
    <row r="105" spans="1:12" x14ac:dyDescent="0.25">
      <c r="A105" s="1">
        <v>204</v>
      </c>
      <c r="B105" s="1">
        <f t="shared" si="3"/>
        <v>204</v>
      </c>
      <c r="C105" s="1" t="s">
        <v>168</v>
      </c>
      <c r="D105" s="1" t="s">
        <v>30</v>
      </c>
      <c r="E105" s="9">
        <v>2</v>
      </c>
      <c r="G105" s="1" t="s">
        <v>922</v>
      </c>
      <c r="L105" s="2" t="str">
        <f t="shared" si="5"/>
        <v xml:space="preserve">range(vKIG3m04,,) </v>
      </c>
    </row>
    <row r="106" spans="1:12" x14ac:dyDescent="0.25">
      <c r="A106" s="1">
        <v>205</v>
      </c>
      <c r="B106" s="1">
        <f t="shared" si="3"/>
        <v>205</v>
      </c>
      <c r="C106" s="1" t="s">
        <v>169</v>
      </c>
      <c r="D106" s="1" t="s">
        <v>30</v>
      </c>
      <c r="E106" s="9">
        <v>2</v>
      </c>
      <c r="G106" s="1" t="s">
        <v>922</v>
      </c>
      <c r="L106" s="2" t="str">
        <f t="shared" si="5"/>
        <v xml:space="preserve">range(vKIG3m05,,) </v>
      </c>
    </row>
    <row r="107" spans="1:12" x14ac:dyDescent="0.25">
      <c r="A107" s="1">
        <v>206</v>
      </c>
      <c r="B107" s="1">
        <f t="shared" si="3"/>
        <v>206</v>
      </c>
      <c r="C107" s="1" t="s">
        <v>170</v>
      </c>
      <c r="D107" s="1" t="s">
        <v>30</v>
      </c>
      <c r="E107" s="9">
        <v>2</v>
      </c>
      <c r="G107" s="1" t="s">
        <v>922</v>
      </c>
      <c r="L107" s="2" t="str">
        <f t="shared" si="5"/>
        <v xml:space="preserve">range(vKIG3m06,,) </v>
      </c>
    </row>
    <row r="108" spans="1:12" x14ac:dyDescent="0.25">
      <c r="A108" s="1">
        <v>207</v>
      </c>
      <c r="B108" s="1">
        <f t="shared" si="3"/>
        <v>207</v>
      </c>
      <c r="C108" s="1" t="s">
        <v>171</v>
      </c>
      <c r="D108" s="1" t="s">
        <v>30</v>
      </c>
      <c r="E108" s="9">
        <v>2</v>
      </c>
      <c r="G108" s="1" t="s">
        <v>922</v>
      </c>
      <c r="L108" s="2" t="str">
        <f t="shared" si="5"/>
        <v xml:space="preserve">range(vKIG3m07,,) </v>
      </c>
    </row>
    <row r="109" spans="1:12" x14ac:dyDescent="0.25">
      <c r="A109" s="1">
        <v>208</v>
      </c>
      <c r="B109" s="1">
        <f t="shared" si="3"/>
        <v>208</v>
      </c>
      <c r="C109" s="1" t="s">
        <v>172</v>
      </c>
      <c r="D109" s="1" t="s">
        <v>30</v>
      </c>
      <c r="E109" s="9">
        <v>2</v>
      </c>
      <c r="G109" s="1" t="s">
        <v>922</v>
      </c>
      <c r="L109" s="2" t="str">
        <f t="shared" si="5"/>
        <v xml:space="preserve">range(vKIG3m08,,) </v>
      </c>
    </row>
    <row r="110" spans="1:12" x14ac:dyDescent="0.25">
      <c r="A110" s="1">
        <v>209</v>
      </c>
      <c r="B110" s="1">
        <f t="shared" si="3"/>
        <v>209</v>
      </c>
      <c r="C110" s="1" t="s">
        <v>173</v>
      </c>
      <c r="D110" s="1" t="s">
        <v>30</v>
      </c>
      <c r="E110" s="9">
        <v>2</v>
      </c>
      <c r="G110" s="1" t="s">
        <v>922</v>
      </c>
      <c r="L110" s="2" t="str">
        <f t="shared" si="5"/>
        <v xml:space="preserve">range(vKIG3m09,,) </v>
      </c>
    </row>
    <row r="111" spans="1:12" x14ac:dyDescent="0.25">
      <c r="A111" s="1">
        <v>210</v>
      </c>
      <c r="B111" s="1">
        <f t="shared" si="3"/>
        <v>210</v>
      </c>
      <c r="C111" s="1" t="s">
        <v>174</v>
      </c>
      <c r="D111" s="1" t="s">
        <v>30</v>
      </c>
      <c r="E111" s="9">
        <v>2</v>
      </c>
      <c r="G111" s="1" t="s">
        <v>922</v>
      </c>
      <c r="L111" s="2" t="str">
        <f t="shared" si="5"/>
        <v xml:space="preserve">range(vKIG3m10,,) </v>
      </c>
    </row>
    <row r="112" spans="1:12" x14ac:dyDescent="0.25">
      <c r="A112" s="1">
        <v>211</v>
      </c>
      <c r="B112" s="1">
        <f t="shared" si="3"/>
        <v>211</v>
      </c>
      <c r="C112" s="1" t="s">
        <v>175</v>
      </c>
      <c r="D112" s="1" t="s">
        <v>30</v>
      </c>
      <c r="E112" s="9">
        <v>2</v>
      </c>
      <c r="G112" s="1" t="s">
        <v>922</v>
      </c>
      <c r="L112" s="2" t="str">
        <f t="shared" si="5"/>
        <v xml:space="preserve">range(vKIG3m11,,) </v>
      </c>
    </row>
    <row r="113" spans="1:12" x14ac:dyDescent="0.25">
      <c r="A113" s="1">
        <v>212</v>
      </c>
      <c r="B113" s="1">
        <f t="shared" si="3"/>
        <v>212</v>
      </c>
      <c r="C113" s="1" t="s">
        <v>176</v>
      </c>
      <c r="D113" s="1" t="s">
        <v>30</v>
      </c>
      <c r="E113" s="9">
        <v>2</v>
      </c>
      <c r="G113" s="1" t="s">
        <v>922</v>
      </c>
      <c r="I113" s="14"/>
      <c r="L113" s="2" t="str">
        <f t="shared" si="5"/>
        <v xml:space="preserve">range(vKIG3m12,,) </v>
      </c>
    </row>
    <row r="114" spans="1:12" x14ac:dyDescent="0.25">
      <c r="A114" s="1">
        <v>213</v>
      </c>
      <c r="B114" s="1">
        <f t="shared" si="3"/>
        <v>213</v>
      </c>
      <c r="C114" s="1" t="s">
        <v>177</v>
      </c>
      <c r="D114" s="1" t="s">
        <v>30</v>
      </c>
      <c r="E114" s="9">
        <v>2</v>
      </c>
      <c r="G114" s="1" t="s">
        <v>922</v>
      </c>
      <c r="I114" s="14"/>
      <c r="L114" s="2" t="str">
        <f t="shared" si="5"/>
        <v xml:space="preserve">range(vKIG3m13,,) </v>
      </c>
    </row>
    <row r="115" spans="1:12" x14ac:dyDescent="0.25">
      <c r="A115" s="1">
        <v>214</v>
      </c>
      <c r="B115" s="1">
        <f t="shared" si="3"/>
        <v>214</v>
      </c>
      <c r="C115" s="1" t="s">
        <v>178</v>
      </c>
      <c r="D115" s="1" t="s">
        <v>30</v>
      </c>
      <c r="E115" s="9">
        <v>2</v>
      </c>
      <c r="G115" s="1" t="s">
        <v>922</v>
      </c>
      <c r="I115" s="14"/>
      <c r="L115" s="2" t="str">
        <f t="shared" si="5"/>
        <v xml:space="preserve">range(vKIG3m14,,) </v>
      </c>
    </row>
    <row r="116" spans="1:12" x14ac:dyDescent="0.25">
      <c r="A116" s="1">
        <v>215</v>
      </c>
      <c r="B116" s="1">
        <f t="shared" si="3"/>
        <v>215</v>
      </c>
      <c r="C116" s="1" t="s">
        <v>179</v>
      </c>
      <c r="D116" s="1" t="s">
        <v>30</v>
      </c>
      <c r="E116" s="9">
        <v>2</v>
      </c>
      <c r="G116" s="1" t="s">
        <v>922</v>
      </c>
      <c r="I116" s="14"/>
      <c r="L116" s="2" t="str">
        <f t="shared" si="5"/>
        <v xml:space="preserve">range(vKIG3m15,,) </v>
      </c>
    </row>
    <row r="117" spans="1:12" x14ac:dyDescent="0.25">
      <c r="A117" s="1">
        <v>216</v>
      </c>
      <c r="B117" s="1">
        <f t="shared" si="3"/>
        <v>216</v>
      </c>
      <c r="C117" s="1" t="s">
        <v>180</v>
      </c>
      <c r="D117" s="1" t="s">
        <v>30</v>
      </c>
      <c r="E117" s="9">
        <v>2</v>
      </c>
      <c r="G117" s="1" t="s">
        <v>922</v>
      </c>
      <c r="I117" s="14"/>
      <c r="L117" s="2" t="str">
        <f t="shared" si="5"/>
        <v xml:space="preserve">range(vKIG3m16,,) </v>
      </c>
    </row>
    <row r="118" spans="1:12" x14ac:dyDescent="0.25">
      <c r="A118" s="1">
        <v>217</v>
      </c>
      <c r="B118" s="1">
        <f t="shared" si="3"/>
        <v>217</v>
      </c>
      <c r="C118" s="1" t="s">
        <v>181</v>
      </c>
      <c r="D118" s="1" t="s">
        <v>30</v>
      </c>
      <c r="E118" s="9">
        <v>2</v>
      </c>
      <c r="G118" s="1" t="s">
        <v>922</v>
      </c>
      <c r="I118" s="14"/>
      <c r="L118" s="2" t="str">
        <f t="shared" si="5"/>
        <v xml:space="preserve">range(vKIG3m17,,) </v>
      </c>
    </row>
    <row r="119" spans="1:12" x14ac:dyDescent="0.25">
      <c r="A119" s="1">
        <v>218</v>
      </c>
      <c r="B119" s="1">
        <f t="shared" si="3"/>
        <v>218</v>
      </c>
      <c r="C119" s="1" t="s">
        <v>182</v>
      </c>
      <c r="D119" s="1" t="s">
        <v>30</v>
      </c>
      <c r="E119" s="9">
        <v>2</v>
      </c>
      <c r="G119" s="1" t="s">
        <v>922</v>
      </c>
      <c r="L119" s="2" t="str">
        <f t="shared" si="5"/>
        <v xml:space="preserve">range(vKIG3m88,,) </v>
      </c>
    </row>
    <row r="120" spans="1:12" x14ac:dyDescent="0.25">
      <c r="A120" s="1">
        <v>219</v>
      </c>
      <c r="B120" s="1">
        <f t="shared" si="3"/>
        <v>219</v>
      </c>
      <c r="C120" s="1" t="s">
        <v>184</v>
      </c>
      <c r="D120" s="1" t="s">
        <v>30</v>
      </c>
      <c r="E120" s="9">
        <v>2</v>
      </c>
      <c r="G120" s="1" t="s">
        <v>922</v>
      </c>
      <c r="L120" s="2" t="str">
        <f t="shared" si="5"/>
        <v xml:space="preserve">range(vKIG4m01,,) </v>
      </c>
    </row>
    <row r="121" spans="1:12" x14ac:dyDescent="0.25">
      <c r="A121" s="1">
        <v>220</v>
      </c>
      <c r="B121" s="1">
        <f t="shared" si="3"/>
        <v>220</v>
      </c>
      <c r="C121" s="1" t="s">
        <v>185</v>
      </c>
      <c r="D121" s="1" t="s">
        <v>30</v>
      </c>
      <c r="E121" s="9">
        <v>2</v>
      </c>
      <c r="G121" s="1" t="s">
        <v>922</v>
      </c>
      <c r="L121" s="2" t="str">
        <f t="shared" si="5"/>
        <v xml:space="preserve">range(vKIG4m02,,) </v>
      </c>
    </row>
    <row r="122" spans="1:12" x14ac:dyDescent="0.25">
      <c r="A122" s="1">
        <v>221</v>
      </c>
      <c r="B122" s="1">
        <f t="shared" si="3"/>
        <v>221</v>
      </c>
      <c r="C122" s="1" t="s">
        <v>186</v>
      </c>
      <c r="D122" s="1" t="s">
        <v>30</v>
      </c>
      <c r="E122" s="9">
        <v>2</v>
      </c>
      <c r="G122" s="1" t="s">
        <v>922</v>
      </c>
      <c r="L122" s="2" t="str">
        <f t="shared" si="5"/>
        <v xml:space="preserve">range(vKIG4m03,,) </v>
      </c>
    </row>
    <row r="123" spans="1:12" x14ac:dyDescent="0.25">
      <c r="A123" s="1">
        <v>222</v>
      </c>
      <c r="B123" s="1">
        <f t="shared" si="3"/>
        <v>222</v>
      </c>
      <c r="C123" s="1" t="s">
        <v>187</v>
      </c>
      <c r="D123" s="1" t="s">
        <v>30</v>
      </c>
      <c r="E123" s="9">
        <v>2</v>
      </c>
      <c r="G123" s="1" t="s">
        <v>922</v>
      </c>
      <c r="L123" s="2" t="str">
        <f t="shared" si="5"/>
        <v xml:space="preserve">range(vKIG4m04,,) </v>
      </c>
    </row>
    <row r="124" spans="1:12" x14ac:dyDescent="0.25">
      <c r="A124" s="1">
        <v>223</v>
      </c>
      <c r="B124" s="1">
        <f t="shared" si="3"/>
        <v>223</v>
      </c>
      <c r="C124" s="1" t="s">
        <v>188</v>
      </c>
      <c r="D124" s="1" t="s">
        <v>30</v>
      </c>
      <c r="E124" s="9">
        <v>2</v>
      </c>
      <c r="G124" s="1" t="s">
        <v>922</v>
      </c>
      <c r="L124" s="2" t="str">
        <f t="shared" si="5"/>
        <v xml:space="preserve">range(vKIG4m05,,) </v>
      </c>
    </row>
    <row r="125" spans="1:12" x14ac:dyDescent="0.25">
      <c r="A125" s="1">
        <v>224</v>
      </c>
      <c r="B125" s="1">
        <f t="shared" si="3"/>
        <v>224</v>
      </c>
      <c r="C125" s="1" t="s">
        <v>189</v>
      </c>
      <c r="D125" s="1" t="s">
        <v>30</v>
      </c>
      <c r="E125" s="9">
        <v>2</v>
      </c>
      <c r="G125" s="1" t="s">
        <v>922</v>
      </c>
    </row>
    <row r="126" spans="1:12" x14ac:dyDescent="0.25">
      <c r="A126" s="1">
        <v>225</v>
      </c>
      <c r="B126" s="1">
        <f t="shared" si="3"/>
        <v>225</v>
      </c>
      <c r="C126" s="1" t="s">
        <v>190</v>
      </c>
      <c r="D126" s="1" t="s">
        <v>30</v>
      </c>
      <c r="E126" s="9">
        <v>2</v>
      </c>
      <c r="G126" s="1" t="s">
        <v>922</v>
      </c>
    </row>
    <row r="127" spans="1:12" x14ac:dyDescent="0.25">
      <c r="A127" s="1">
        <v>226</v>
      </c>
      <c r="B127" s="1">
        <f t="shared" si="3"/>
        <v>226</v>
      </c>
      <c r="C127" s="1" t="s">
        <v>191</v>
      </c>
      <c r="D127" s="1" t="s">
        <v>30</v>
      </c>
      <c r="E127" s="9">
        <v>2</v>
      </c>
      <c r="G127" s="1" t="s">
        <v>922</v>
      </c>
    </row>
    <row r="128" spans="1:12" x14ac:dyDescent="0.25">
      <c r="A128" s="1">
        <v>227</v>
      </c>
      <c r="B128" s="1">
        <f t="shared" si="3"/>
        <v>227</v>
      </c>
      <c r="C128" s="1" t="s">
        <v>192</v>
      </c>
      <c r="D128" s="1" t="s">
        <v>30</v>
      </c>
      <c r="E128" s="9">
        <v>2</v>
      </c>
      <c r="G128" s="1" t="s">
        <v>922</v>
      </c>
    </row>
    <row r="129" spans="1:7" x14ac:dyDescent="0.25">
      <c r="A129" s="1">
        <v>228</v>
      </c>
      <c r="B129" s="1">
        <f t="shared" si="3"/>
        <v>228</v>
      </c>
      <c r="C129" s="1" t="s">
        <v>193</v>
      </c>
      <c r="D129" s="1" t="s">
        <v>30</v>
      </c>
      <c r="E129" s="9">
        <v>2</v>
      </c>
      <c r="G129" s="1" t="s">
        <v>922</v>
      </c>
    </row>
    <row r="130" spans="1:7" x14ac:dyDescent="0.25">
      <c r="A130" s="1">
        <v>229</v>
      </c>
      <c r="B130" s="1">
        <f t="shared" ref="B130:B193" si="6">A130</f>
        <v>229</v>
      </c>
      <c r="C130" s="1" t="s">
        <v>194</v>
      </c>
      <c r="D130" s="1" t="s">
        <v>30</v>
      </c>
      <c r="E130" s="9">
        <v>2</v>
      </c>
      <c r="G130" s="1" t="s">
        <v>922</v>
      </c>
    </row>
    <row r="131" spans="1:7" x14ac:dyDescent="0.25">
      <c r="A131" s="1">
        <v>230</v>
      </c>
      <c r="B131" s="1">
        <f t="shared" si="6"/>
        <v>230</v>
      </c>
      <c r="C131" s="1" t="s">
        <v>195</v>
      </c>
      <c r="D131" s="1" t="s">
        <v>30</v>
      </c>
      <c r="E131" s="9">
        <v>2</v>
      </c>
      <c r="G131" s="1" t="s">
        <v>922</v>
      </c>
    </row>
    <row r="132" spans="1:7" x14ac:dyDescent="0.25">
      <c r="A132" s="1">
        <v>231</v>
      </c>
      <c r="B132" s="1">
        <f t="shared" si="6"/>
        <v>231</v>
      </c>
      <c r="C132" s="1" t="s">
        <v>196</v>
      </c>
      <c r="D132" s="1" t="s">
        <v>30</v>
      </c>
      <c r="E132" s="9">
        <v>2</v>
      </c>
      <c r="G132" s="1" t="s">
        <v>922</v>
      </c>
    </row>
    <row r="133" spans="1:7" x14ac:dyDescent="0.25">
      <c r="A133" s="1">
        <v>232</v>
      </c>
      <c r="B133" s="1">
        <f t="shared" si="6"/>
        <v>232</v>
      </c>
      <c r="C133" s="1" t="s">
        <v>197</v>
      </c>
      <c r="D133" s="1" t="s">
        <v>30</v>
      </c>
      <c r="E133" s="9">
        <v>2</v>
      </c>
      <c r="G133" s="1" t="s">
        <v>922</v>
      </c>
    </row>
    <row r="134" spans="1:7" x14ac:dyDescent="0.25">
      <c r="A134" s="1">
        <v>233</v>
      </c>
      <c r="B134" s="1">
        <f t="shared" si="6"/>
        <v>233</v>
      </c>
      <c r="C134" s="1" t="s">
        <v>198</v>
      </c>
      <c r="D134" s="1" t="s">
        <v>30</v>
      </c>
      <c r="E134" s="9">
        <v>2</v>
      </c>
      <c r="G134" s="1" t="s">
        <v>922</v>
      </c>
    </row>
    <row r="135" spans="1:7" x14ac:dyDescent="0.25">
      <c r="A135" s="1">
        <v>234</v>
      </c>
      <c r="B135" s="1">
        <f t="shared" si="6"/>
        <v>234</v>
      </c>
      <c r="C135" s="1" t="s">
        <v>200</v>
      </c>
      <c r="D135" s="1" t="s">
        <v>30</v>
      </c>
      <c r="E135" s="9">
        <v>4</v>
      </c>
      <c r="G135" s="1" t="s">
        <v>922</v>
      </c>
    </row>
    <row r="136" spans="1:7" x14ac:dyDescent="0.25">
      <c r="A136" s="1">
        <v>235</v>
      </c>
      <c r="B136" s="1">
        <f t="shared" si="6"/>
        <v>235</v>
      </c>
      <c r="C136" s="1" t="s">
        <v>201</v>
      </c>
      <c r="D136" s="1" t="s">
        <v>30</v>
      </c>
      <c r="E136" s="9">
        <v>5</v>
      </c>
      <c r="G136" s="1" t="s">
        <v>922</v>
      </c>
    </row>
    <row r="137" spans="1:7" x14ac:dyDescent="0.25">
      <c r="A137" s="1">
        <v>236</v>
      </c>
      <c r="B137" s="1">
        <f t="shared" si="6"/>
        <v>236</v>
      </c>
      <c r="C137" s="1" t="s">
        <v>202</v>
      </c>
      <c r="D137" s="1" t="s">
        <v>30</v>
      </c>
      <c r="E137" s="9">
        <v>2</v>
      </c>
      <c r="G137" s="1" t="s">
        <v>922</v>
      </c>
    </row>
    <row r="138" spans="1:7" x14ac:dyDescent="0.25">
      <c r="A138" s="1">
        <v>237</v>
      </c>
      <c r="B138" s="1">
        <f t="shared" si="6"/>
        <v>237</v>
      </c>
      <c r="C138" s="1" t="s">
        <v>203</v>
      </c>
      <c r="D138" s="1" t="s">
        <v>30</v>
      </c>
      <c r="E138" s="9">
        <v>2</v>
      </c>
      <c r="G138" s="1" t="s">
        <v>922</v>
      </c>
    </row>
    <row r="139" spans="1:7" x14ac:dyDescent="0.25">
      <c r="A139" s="1">
        <v>238</v>
      </c>
      <c r="B139" s="1">
        <f t="shared" si="6"/>
        <v>238</v>
      </c>
      <c r="C139" s="1" t="s">
        <v>204</v>
      </c>
      <c r="D139" s="1" t="s">
        <v>30</v>
      </c>
      <c r="E139" s="9">
        <v>2</v>
      </c>
      <c r="G139" s="1" t="s">
        <v>922</v>
      </c>
    </row>
    <row r="140" spans="1:7" x14ac:dyDescent="0.25">
      <c r="A140" s="1">
        <v>239</v>
      </c>
      <c r="B140" s="1">
        <f t="shared" si="6"/>
        <v>239</v>
      </c>
      <c r="C140" s="1" t="s">
        <v>205</v>
      </c>
      <c r="D140" s="1" t="s">
        <v>30</v>
      </c>
      <c r="E140" s="9">
        <v>2</v>
      </c>
      <c r="G140" s="1" t="s">
        <v>922</v>
      </c>
    </row>
    <row r="141" spans="1:7" x14ac:dyDescent="0.25">
      <c r="A141" s="1">
        <v>240</v>
      </c>
      <c r="B141" s="1">
        <f t="shared" si="6"/>
        <v>240</v>
      </c>
      <c r="C141" s="1" t="s">
        <v>206</v>
      </c>
      <c r="D141" s="1" t="s">
        <v>30</v>
      </c>
      <c r="E141" s="9">
        <v>2</v>
      </c>
      <c r="G141" s="1" t="s">
        <v>922</v>
      </c>
    </row>
    <row r="142" spans="1:7" x14ac:dyDescent="0.25">
      <c r="A142" s="1">
        <v>241</v>
      </c>
      <c r="B142" s="1">
        <f t="shared" si="6"/>
        <v>241</v>
      </c>
      <c r="C142" s="1" t="s">
        <v>207</v>
      </c>
      <c r="D142" s="1" t="s">
        <v>30</v>
      </c>
      <c r="E142" s="9">
        <v>2</v>
      </c>
      <c r="G142" s="1" t="s">
        <v>922</v>
      </c>
    </row>
    <row r="143" spans="1:7" x14ac:dyDescent="0.25">
      <c r="A143" s="1">
        <v>242</v>
      </c>
      <c r="B143" s="1">
        <f t="shared" si="6"/>
        <v>242</v>
      </c>
      <c r="C143" s="1" t="s">
        <v>208</v>
      </c>
      <c r="D143" s="1" t="s">
        <v>30</v>
      </c>
      <c r="E143" s="9">
        <v>2</v>
      </c>
      <c r="G143" s="1" t="s">
        <v>922</v>
      </c>
    </row>
    <row r="144" spans="1:7" x14ac:dyDescent="0.25">
      <c r="A144" s="1">
        <v>243</v>
      </c>
      <c r="B144" s="1">
        <f t="shared" si="6"/>
        <v>243</v>
      </c>
      <c r="C144" s="1" t="s">
        <v>209</v>
      </c>
      <c r="D144" s="1" t="s">
        <v>30</v>
      </c>
      <c r="E144" s="9">
        <v>2</v>
      </c>
      <c r="G144" s="1" t="s">
        <v>922</v>
      </c>
    </row>
    <row r="145" spans="1:7" x14ac:dyDescent="0.25">
      <c r="A145" s="1">
        <v>244</v>
      </c>
      <c r="B145" s="1">
        <f t="shared" si="6"/>
        <v>244</v>
      </c>
      <c r="C145" s="1" t="s">
        <v>210</v>
      </c>
      <c r="D145" s="1" t="s">
        <v>30</v>
      </c>
      <c r="E145" s="9">
        <v>2</v>
      </c>
      <c r="G145" s="1" t="s">
        <v>922</v>
      </c>
    </row>
    <row r="146" spans="1:7" x14ac:dyDescent="0.25">
      <c r="A146" s="1">
        <v>245</v>
      </c>
      <c r="B146" s="1">
        <f t="shared" si="6"/>
        <v>245</v>
      </c>
      <c r="C146" s="1" t="s">
        <v>211</v>
      </c>
      <c r="D146" s="1" t="s">
        <v>30</v>
      </c>
      <c r="E146" s="9">
        <v>2</v>
      </c>
      <c r="G146" s="1" t="s">
        <v>922</v>
      </c>
    </row>
    <row r="147" spans="1:7" x14ac:dyDescent="0.25">
      <c r="A147" s="1">
        <v>246</v>
      </c>
      <c r="B147" s="1">
        <f t="shared" si="6"/>
        <v>246</v>
      </c>
      <c r="C147" s="1" t="s">
        <v>212</v>
      </c>
      <c r="D147" s="1" t="s">
        <v>30</v>
      </c>
      <c r="E147" s="9">
        <v>2</v>
      </c>
      <c r="G147" s="1" t="s">
        <v>922</v>
      </c>
    </row>
    <row r="148" spans="1:7" x14ac:dyDescent="0.25">
      <c r="A148" s="1">
        <v>247</v>
      </c>
      <c r="B148" s="1">
        <f t="shared" si="6"/>
        <v>247</v>
      </c>
      <c r="C148" s="1" t="s">
        <v>213</v>
      </c>
      <c r="D148" s="1" t="s">
        <v>30</v>
      </c>
      <c r="E148" s="9">
        <v>2</v>
      </c>
      <c r="G148" s="1" t="s">
        <v>922</v>
      </c>
    </row>
    <row r="149" spans="1:7" x14ac:dyDescent="0.25">
      <c r="A149" s="1">
        <v>248</v>
      </c>
      <c r="B149" s="1">
        <f t="shared" si="6"/>
        <v>248</v>
      </c>
      <c r="C149" s="1" t="s">
        <v>214</v>
      </c>
      <c r="D149" s="1" t="s">
        <v>30</v>
      </c>
      <c r="E149" s="9">
        <v>2</v>
      </c>
      <c r="G149" s="1" t="s">
        <v>922</v>
      </c>
    </row>
    <row r="150" spans="1:7" x14ac:dyDescent="0.25">
      <c r="A150" s="1">
        <v>249</v>
      </c>
      <c r="B150" s="1">
        <f t="shared" si="6"/>
        <v>249</v>
      </c>
      <c r="C150" s="1" t="s">
        <v>215</v>
      </c>
      <c r="D150" s="1" t="s">
        <v>30</v>
      </c>
      <c r="E150" s="9">
        <v>2</v>
      </c>
      <c r="G150" s="1" t="s">
        <v>922</v>
      </c>
    </row>
    <row r="151" spans="1:7" x14ac:dyDescent="0.25">
      <c r="A151" s="1">
        <v>250</v>
      </c>
      <c r="B151" s="1">
        <f t="shared" si="6"/>
        <v>250</v>
      </c>
      <c r="C151" s="1" t="s">
        <v>216</v>
      </c>
      <c r="D151" s="1" t="s">
        <v>30</v>
      </c>
      <c r="E151" s="9">
        <v>2</v>
      </c>
      <c r="G151" s="1" t="s">
        <v>922</v>
      </c>
    </row>
    <row r="152" spans="1:7" x14ac:dyDescent="0.25">
      <c r="A152" s="1">
        <v>251</v>
      </c>
      <c r="B152" s="1">
        <f t="shared" si="6"/>
        <v>251</v>
      </c>
      <c r="C152" s="1" t="s">
        <v>217</v>
      </c>
      <c r="D152" s="1" t="s">
        <v>30</v>
      </c>
      <c r="E152" s="9">
        <v>2</v>
      </c>
      <c r="G152" s="1" t="s">
        <v>922</v>
      </c>
    </row>
    <row r="153" spans="1:7" x14ac:dyDescent="0.25">
      <c r="A153" s="1">
        <v>252</v>
      </c>
      <c r="B153" s="1">
        <f t="shared" si="6"/>
        <v>252</v>
      </c>
      <c r="C153" s="1" t="s">
        <v>218</v>
      </c>
      <c r="D153" s="1" t="s">
        <v>30</v>
      </c>
      <c r="E153" s="9">
        <v>2</v>
      </c>
      <c r="G153" s="1" t="s">
        <v>922</v>
      </c>
    </row>
    <row r="154" spans="1:7" x14ac:dyDescent="0.25">
      <c r="A154" s="1">
        <v>253</v>
      </c>
      <c r="B154" s="1">
        <f t="shared" si="6"/>
        <v>253</v>
      </c>
      <c r="C154" s="1" t="s">
        <v>220</v>
      </c>
      <c r="D154" s="1" t="s">
        <v>30</v>
      </c>
      <c r="E154" s="9">
        <v>2</v>
      </c>
      <c r="G154" s="1" t="s">
        <v>922</v>
      </c>
    </row>
    <row r="155" spans="1:7" x14ac:dyDescent="0.25">
      <c r="A155" s="1">
        <v>254</v>
      </c>
      <c r="B155" s="1">
        <f t="shared" si="6"/>
        <v>254</v>
      </c>
      <c r="C155" s="1" t="s">
        <v>221</v>
      </c>
      <c r="D155" s="1" t="s">
        <v>30</v>
      </c>
      <c r="E155" s="9">
        <v>2</v>
      </c>
      <c r="G155" s="1" t="s">
        <v>922</v>
      </c>
    </row>
    <row r="156" spans="1:7" x14ac:dyDescent="0.25">
      <c r="A156" s="1">
        <v>255</v>
      </c>
      <c r="B156" s="1">
        <f t="shared" si="6"/>
        <v>255</v>
      </c>
      <c r="C156" s="1" t="s">
        <v>222</v>
      </c>
      <c r="D156" s="1" t="s">
        <v>30</v>
      </c>
      <c r="E156" s="9">
        <v>2</v>
      </c>
      <c r="G156" s="1" t="s">
        <v>922</v>
      </c>
    </row>
    <row r="157" spans="1:7" x14ac:dyDescent="0.25">
      <c r="A157" s="1">
        <v>256</v>
      </c>
      <c r="B157" s="1">
        <f t="shared" si="6"/>
        <v>256</v>
      </c>
      <c r="C157" s="1" t="s">
        <v>223</v>
      </c>
      <c r="D157" s="1" t="s">
        <v>30</v>
      </c>
      <c r="E157" s="9">
        <v>2</v>
      </c>
      <c r="G157" s="1" t="s">
        <v>922</v>
      </c>
    </row>
    <row r="158" spans="1:7" x14ac:dyDescent="0.25">
      <c r="A158" s="1">
        <v>257</v>
      </c>
      <c r="B158" s="1">
        <f t="shared" si="6"/>
        <v>257</v>
      </c>
      <c r="C158" s="1" t="s">
        <v>224</v>
      </c>
      <c r="D158" s="1" t="s">
        <v>30</v>
      </c>
      <c r="E158" s="9">
        <v>2</v>
      </c>
      <c r="G158" s="1" t="s">
        <v>922</v>
      </c>
    </row>
    <row r="159" spans="1:7" x14ac:dyDescent="0.25">
      <c r="A159" s="1">
        <v>258</v>
      </c>
      <c r="B159" s="1">
        <f t="shared" si="6"/>
        <v>258</v>
      </c>
      <c r="C159" s="1" t="s">
        <v>225</v>
      </c>
      <c r="D159" s="1" t="s">
        <v>30</v>
      </c>
      <c r="E159" s="9">
        <v>2</v>
      </c>
      <c r="G159" s="1" t="s">
        <v>922</v>
      </c>
    </row>
    <row r="160" spans="1:7" x14ac:dyDescent="0.25">
      <c r="A160" s="1">
        <v>259</v>
      </c>
      <c r="B160" s="1">
        <f t="shared" si="6"/>
        <v>259</v>
      </c>
      <c r="C160" s="1" t="s">
        <v>226</v>
      </c>
      <c r="D160" s="1" t="s">
        <v>30</v>
      </c>
      <c r="E160" s="9">
        <v>2</v>
      </c>
      <c r="G160" s="1" t="s">
        <v>922</v>
      </c>
    </row>
    <row r="161" spans="1:7" x14ac:dyDescent="0.25">
      <c r="A161" s="1">
        <v>260</v>
      </c>
      <c r="B161" s="1">
        <f t="shared" si="6"/>
        <v>260</v>
      </c>
      <c r="C161" s="1" t="s">
        <v>227</v>
      </c>
      <c r="D161" s="1" t="s">
        <v>30</v>
      </c>
      <c r="E161" s="9">
        <v>2</v>
      </c>
      <c r="G161" s="1" t="s">
        <v>922</v>
      </c>
    </row>
    <row r="162" spans="1:7" x14ac:dyDescent="0.25">
      <c r="A162" s="1">
        <v>261</v>
      </c>
      <c r="B162" s="1">
        <f t="shared" si="6"/>
        <v>261</v>
      </c>
      <c r="C162" s="1" t="s">
        <v>228</v>
      </c>
      <c r="D162" s="1" t="s">
        <v>30</v>
      </c>
      <c r="E162" s="9">
        <v>2</v>
      </c>
      <c r="G162" s="1" t="s">
        <v>922</v>
      </c>
    </row>
    <row r="163" spans="1:7" x14ac:dyDescent="0.25">
      <c r="A163" s="1">
        <v>262</v>
      </c>
      <c r="B163" s="1">
        <f t="shared" si="6"/>
        <v>262</v>
      </c>
      <c r="C163" s="1" t="s">
        <v>229</v>
      </c>
      <c r="D163" s="1" t="s">
        <v>30</v>
      </c>
      <c r="E163" s="9">
        <v>2</v>
      </c>
      <c r="G163" s="1" t="s">
        <v>922</v>
      </c>
    </row>
    <row r="164" spans="1:7" x14ac:dyDescent="0.25">
      <c r="A164" s="1">
        <v>263</v>
      </c>
      <c r="B164" s="1">
        <f t="shared" si="6"/>
        <v>263</v>
      </c>
      <c r="C164" s="1" t="s">
        <v>230</v>
      </c>
      <c r="D164" s="1" t="s">
        <v>30</v>
      </c>
      <c r="E164" s="9">
        <v>2</v>
      </c>
      <c r="G164" s="1" t="s">
        <v>922</v>
      </c>
    </row>
    <row r="165" spans="1:7" x14ac:dyDescent="0.25">
      <c r="A165" s="1">
        <v>264</v>
      </c>
      <c r="B165" s="1">
        <f t="shared" si="6"/>
        <v>264</v>
      </c>
      <c r="C165" s="1" t="s">
        <v>231</v>
      </c>
      <c r="D165" s="1" t="s">
        <v>30</v>
      </c>
      <c r="E165" s="9">
        <v>2</v>
      </c>
      <c r="G165" s="1" t="s">
        <v>922</v>
      </c>
    </row>
    <row r="166" spans="1:7" x14ac:dyDescent="0.25">
      <c r="A166" s="1">
        <v>265</v>
      </c>
      <c r="B166" s="1">
        <f t="shared" si="6"/>
        <v>265</v>
      </c>
      <c r="C166" s="1" t="s">
        <v>232</v>
      </c>
      <c r="D166" s="1" t="s">
        <v>30</v>
      </c>
      <c r="E166" s="9">
        <v>2</v>
      </c>
      <c r="G166" s="1" t="s">
        <v>922</v>
      </c>
    </row>
    <row r="167" spans="1:7" x14ac:dyDescent="0.25">
      <c r="A167" s="1">
        <v>266</v>
      </c>
      <c r="B167" s="1">
        <f t="shared" si="6"/>
        <v>266</v>
      </c>
      <c r="C167" s="1" t="s">
        <v>233</v>
      </c>
      <c r="D167" s="1" t="s">
        <v>30</v>
      </c>
      <c r="E167" s="9">
        <v>2</v>
      </c>
      <c r="G167" s="1" t="s">
        <v>922</v>
      </c>
    </row>
    <row r="168" spans="1:7" x14ac:dyDescent="0.25">
      <c r="A168" s="1">
        <v>267</v>
      </c>
      <c r="B168" s="1">
        <f t="shared" si="6"/>
        <v>267</v>
      </c>
      <c r="C168" s="1" t="s">
        <v>234</v>
      </c>
      <c r="D168" s="1" t="s">
        <v>30</v>
      </c>
      <c r="E168" s="9">
        <v>2</v>
      </c>
      <c r="G168" s="1" t="s">
        <v>922</v>
      </c>
    </row>
    <row r="169" spans="1:7" x14ac:dyDescent="0.25">
      <c r="A169" s="1">
        <v>268</v>
      </c>
      <c r="B169" s="1">
        <f t="shared" si="6"/>
        <v>268</v>
      </c>
      <c r="C169" s="1" t="s">
        <v>236</v>
      </c>
      <c r="D169" s="1" t="s">
        <v>30</v>
      </c>
      <c r="E169" s="9">
        <v>2</v>
      </c>
      <c r="G169" s="1" t="s">
        <v>922</v>
      </c>
    </row>
    <row r="170" spans="1:7" x14ac:dyDescent="0.25">
      <c r="A170" s="1">
        <v>269</v>
      </c>
      <c r="B170" s="1">
        <f t="shared" si="6"/>
        <v>269</v>
      </c>
      <c r="C170" s="1" t="s">
        <v>237</v>
      </c>
      <c r="D170" s="1" t="s">
        <v>30</v>
      </c>
      <c r="E170" s="9">
        <v>2</v>
      </c>
      <c r="G170" s="1" t="s">
        <v>922</v>
      </c>
    </row>
    <row r="171" spans="1:7" x14ac:dyDescent="0.25">
      <c r="A171" s="1">
        <v>270</v>
      </c>
      <c r="B171" s="1">
        <f t="shared" si="6"/>
        <v>270</v>
      </c>
      <c r="C171" s="1" t="s">
        <v>238</v>
      </c>
      <c r="D171" s="1" t="s">
        <v>30</v>
      </c>
      <c r="E171" s="9">
        <v>2</v>
      </c>
      <c r="G171" s="1" t="s">
        <v>922</v>
      </c>
    </row>
    <row r="172" spans="1:7" x14ac:dyDescent="0.25">
      <c r="A172" s="1">
        <v>271</v>
      </c>
      <c r="B172" s="1">
        <f t="shared" si="6"/>
        <v>271</v>
      </c>
      <c r="C172" s="1" t="s">
        <v>239</v>
      </c>
      <c r="D172" s="1" t="s">
        <v>30</v>
      </c>
      <c r="E172" s="9">
        <v>2</v>
      </c>
      <c r="G172" s="1" t="s">
        <v>922</v>
      </c>
    </row>
    <row r="173" spans="1:7" x14ac:dyDescent="0.25">
      <c r="A173" s="1">
        <v>272</v>
      </c>
      <c r="B173" s="1">
        <f t="shared" si="6"/>
        <v>272</v>
      </c>
      <c r="C173" s="1" t="s">
        <v>240</v>
      </c>
      <c r="D173" s="1" t="s">
        <v>30</v>
      </c>
      <c r="E173" s="9">
        <v>2</v>
      </c>
      <c r="G173" s="1" t="s">
        <v>922</v>
      </c>
    </row>
    <row r="174" spans="1:7" x14ac:dyDescent="0.25">
      <c r="A174" s="1">
        <v>273</v>
      </c>
      <c r="B174" s="1">
        <f t="shared" si="6"/>
        <v>273</v>
      </c>
      <c r="C174" s="1" t="s">
        <v>241</v>
      </c>
      <c r="D174" s="1" t="s">
        <v>30</v>
      </c>
      <c r="E174" s="9">
        <v>2</v>
      </c>
      <c r="G174" s="1" t="s">
        <v>922</v>
      </c>
    </row>
    <row r="175" spans="1:7" x14ac:dyDescent="0.25">
      <c r="A175" s="1">
        <v>274</v>
      </c>
      <c r="B175" s="1">
        <f t="shared" si="6"/>
        <v>274</v>
      </c>
      <c r="C175" s="1" t="s">
        <v>242</v>
      </c>
      <c r="D175" s="1" t="s">
        <v>30</v>
      </c>
      <c r="E175" s="9">
        <v>2</v>
      </c>
      <c r="G175" s="1" t="s">
        <v>922</v>
      </c>
    </row>
    <row r="176" spans="1:7" x14ac:dyDescent="0.25">
      <c r="A176" s="1">
        <v>275</v>
      </c>
      <c r="B176" s="1">
        <f t="shared" si="6"/>
        <v>275</v>
      </c>
      <c r="C176" s="1" t="s">
        <v>243</v>
      </c>
      <c r="D176" s="1" t="s">
        <v>30</v>
      </c>
      <c r="E176" s="9">
        <v>2</v>
      </c>
      <c r="G176" s="1" t="s">
        <v>922</v>
      </c>
    </row>
    <row r="177" spans="1:7" x14ac:dyDescent="0.25">
      <c r="A177" s="1">
        <v>276</v>
      </c>
      <c r="B177" s="1">
        <f t="shared" si="6"/>
        <v>276</v>
      </c>
      <c r="C177" s="1" t="s">
        <v>244</v>
      </c>
      <c r="D177" s="1" t="s">
        <v>30</v>
      </c>
      <c r="E177" s="9">
        <v>2</v>
      </c>
      <c r="G177" s="1" t="s">
        <v>922</v>
      </c>
    </row>
    <row r="178" spans="1:7" x14ac:dyDescent="0.25">
      <c r="A178" s="1">
        <v>277</v>
      </c>
      <c r="B178" s="1">
        <f t="shared" si="6"/>
        <v>277</v>
      </c>
      <c r="C178" s="1" t="s">
        <v>245</v>
      </c>
      <c r="D178" s="1" t="s">
        <v>30</v>
      </c>
      <c r="E178" s="9">
        <v>2</v>
      </c>
      <c r="G178" s="1" t="s">
        <v>922</v>
      </c>
    </row>
    <row r="179" spans="1:7" x14ac:dyDescent="0.25">
      <c r="A179" s="1">
        <v>278</v>
      </c>
      <c r="B179" s="1">
        <f t="shared" si="6"/>
        <v>278</v>
      </c>
      <c r="C179" s="1" t="s">
        <v>246</v>
      </c>
      <c r="D179" s="1" t="s">
        <v>30</v>
      </c>
      <c r="E179" s="9">
        <v>2</v>
      </c>
      <c r="G179" s="1" t="s">
        <v>922</v>
      </c>
    </row>
    <row r="180" spans="1:7" x14ac:dyDescent="0.25">
      <c r="A180" s="1">
        <v>279</v>
      </c>
      <c r="B180" s="1">
        <f t="shared" si="6"/>
        <v>279</v>
      </c>
      <c r="C180" s="1" t="s">
        <v>247</v>
      </c>
      <c r="D180" s="1" t="s">
        <v>30</v>
      </c>
      <c r="E180" s="9">
        <v>2</v>
      </c>
      <c r="G180" s="1" t="s">
        <v>922</v>
      </c>
    </row>
    <row r="181" spans="1:7" x14ac:dyDescent="0.25">
      <c r="A181" s="1">
        <v>280</v>
      </c>
      <c r="B181" s="1">
        <f t="shared" si="6"/>
        <v>280</v>
      </c>
      <c r="C181" s="1" t="s">
        <v>248</v>
      </c>
      <c r="D181" s="1" t="s">
        <v>30</v>
      </c>
      <c r="E181" s="9">
        <v>2</v>
      </c>
      <c r="G181" s="1" t="s">
        <v>922</v>
      </c>
    </row>
    <row r="182" spans="1:7" x14ac:dyDescent="0.25">
      <c r="A182" s="1">
        <v>281</v>
      </c>
      <c r="B182" s="1">
        <f t="shared" si="6"/>
        <v>281</v>
      </c>
      <c r="C182" s="1" t="s">
        <v>250</v>
      </c>
      <c r="D182" s="1" t="s">
        <v>30</v>
      </c>
      <c r="E182" s="9">
        <v>4</v>
      </c>
      <c r="G182" s="1" t="s">
        <v>922</v>
      </c>
    </row>
    <row r="183" spans="1:7" x14ac:dyDescent="0.25">
      <c r="A183" s="1">
        <v>282</v>
      </c>
      <c r="B183" s="1">
        <f t="shared" si="6"/>
        <v>282</v>
      </c>
      <c r="C183" s="1" t="s">
        <v>251</v>
      </c>
      <c r="D183" s="1" t="s">
        <v>30</v>
      </c>
      <c r="E183" s="9">
        <v>5</v>
      </c>
      <c r="G183" s="1" t="s">
        <v>922</v>
      </c>
    </row>
    <row r="184" spans="1:7" x14ac:dyDescent="0.25">
      <c r="A184" s="1">
        <v>283</v>
      </c>
      <c r="B184" s="1">
        <f t="shared" si="6"/>
        <v>283</v>
      </c>
      <c r="C184" s="1" t="s">
        <v>252</v>
      </c>
      <c r="D184" s="1" t="s">
        <v>30</v>
      </c>
      <c r="E184" s="9">
        <v>2</v>
      </c>
      <c r="G184" s="1" t="s">
        <v>922</v>
      </c>
    </row>
    <row r="185" spans="1:7" x14ac:dyDescent="0.25">
      <c r="A185" s="1">
        <v>284</v>
      </c>
      <c r="B185" s="1">
        <f t="shared" si="6"/>
        <v>284</v>
      </c>
      <c r="C185" s="1" t="s">
        <v>253</v>
      </c>
      <c r="D185" s="1" t="s">
        <v>30</v>
      </c>
      <c r="E185" s="9">
        <v>2</v>
      </c>
      <c r="G185" s="1" t="s">
        <v>922</v>
      </c>
    </row>
    <row r="186" spans="1:7" x14ac:dyDescent="0.25">
      <c r="A186" s="1">
        <v>285</v>
      </c>
      <c r="B186" s="1">
        <f t="shared" si="6"/>
        <v>285</v>
      </c>
      <c r="C186" s="1" t="s">
        <v>254</v>
      </c>
      <c r="D186" s="1" t="s">
        <v>30</v>
      </c>
      <c r="E186" s="9">
        <v>2</v>
      </c>
      <c r="G186" s="1" t="s">
        <v>922</v>
      </c>
    </row>
    <row r="187" spans="1:7" x14ac:dyDescent="0.25">
      <c r="A187" s="1">
        <v>286</v>
      </c>
      <c r="B187" s="1">
        <f t="shared" si="6"/>
        <v>286</v>
      </c>
      <c r="C187" s="1" t="s">
        <v>255</v>
      </c>
      <c r="D187" s="1" t="s">
        <v>30</v>
      </c>
      <c r="E187" s="9">
        <v>2</v>
      </c>
      <c r="G187" s="1" t="s">
        <v>922</v>
      </c>
    </row>
    <row r="188" spans="1:7" x14ac:dyDescent="0.25">
      <c r="A188" s="1">
        <v>287</v>
      </c>
      <c r="B188" s="1">
        <f t="shared" si="6"/>
        <v>287</v>
      </c>
      <c r="C188" s="1" t="s">
        <v>256</v>
      </c>
      <c r="D188" s="1" t="s">
        <v>30</v>
      </c>
      <c r="E188" s="9">
        <v>2</v>
      </c>
      <c r="G188" s="1" t="s">
        <v>922</v>
      </c>
    </row>
    <row r="189" spans="1:7" x14ac:dyDescent="0.25">
      <c r="A189" s="1">
        <v>288</v>
      </c>
      <c r="B189" s="1">
        <f t="shared" si="6"/>
        <v>288</v>
      </c>
      <c r="C189" s="1" t="s">
        <v>257</v>
      </c>
      <c r="D189" s="1" t="s">
        <v>30</v>
      </c>
      <c r="E189" s="9">
        <v>2</v>
      </c>
      <c r="G189" s="1" t="s">
        <v>922</v>
      </c>
    </row>
    <row r="190" spans="1:7" x14ac:dyDescent="0.25">
      <c r="A190" s="1">
        <v>289</v>
      </c>
      <c r="B190" s="1">
        <f t="shared" si="6"/>
        <v>289</v>
      </c>
      <c r="C190" s="1" t="s">
        <v>258</v>
      </c>
      <c r="D190" s="1" t="s">
        <v>30</v>
      </c>
      <c r="E190" s="9">
        <v>2</v>
      </c>
      <c r="G190" s="1" t="s">
        <v>922</v>
      </c>
    </row>
    <row r="191" spans="1:7" x14ac:dyDescent="0.25">
      <c r="A191" s="1">
        <v>290</v>
      </c>
      <c r="B191" s="1">
        <f t="shared" si="6"/>
        <v>290</v>
      </c>
      <c r="C191" s="1" t="s">
        <v>259</v>
      </c>
      <c r="D191" s="1" t="s">
        <v>30</v>
      </c>
      <c r="E191" s="9">
        <v>2</v>
      </c>
      <c r="G191" s="1" t="s">
        <v>922</v>
      </c>
    </row>
    <row r="192" spans="1:7" x14ac:dyDescent="0.25">
      <c r="A192" s="1">
        <v>291</v>
      </c>
      <c r="B192" s="1">
        <f t="shared" si="6"/>
        <v>291</v>
      </c>
      <c r="C192" s="1" t="s">
        <v>260</v>
      </c>
      <c r="D192" s="1" t="s">
        <v>30</v>
      </c>
      <c r="E192" s="9">
        <v>2</v>
      </c>
      <c r="G192" s="1" t="s">
        <v>922</v>
      </c>
    </row>
    <row r="193" spans="1:7" x14ac:dyDescent="0.25">
      <c r="A193" s="1">
        <v>292</v>
      </c>
      <c r="B193" s="1">
        <f t="shared" si="6"/>
        <v>292</v>
      </c>
      <c r="C193" s="1" t="s">
        <v>261</v>
      </c>
      <c r="D193" s="1" t="s">
        <v>30</v>
      </c>
      <c r="E193" s="9">
        <v>2</v>
      </c>
      <c r="G193" s="1" t="s">
        <v>922</v>
      </c>
    </row>
    <row r="194" spans="1:7" x14ac:dyDescent="0.25">
      <c r="A194" s="1">
        <v>293</v>
      </c>
      <c r="B194" s="1">
        <f t="shared" ref="B194:B257" si="7">A194</f>
        <v>293</v>
      </c>
      <c r="C194" s="1" t="s">
        <v>262</v>
      </c>
      <c r="D194" s="1" t="s">
        <v>30</v>
      </c>
      <c r="E194" s="9">
        <v>2</v>
      </c>
      <c r="G194" s="1" t="s">
        <v>922</v>
      </c>
    </row>
    <row r="195" spans="1:7" x14ac:dyDescent="0.25">
      <c r="A195" s="1">
        <v>294</v>
      </c>
      <c r="B195" s="1">
        <f t="shared" si="7"/>
        <v>294</v>
      </c>
      <c r="C195" s="1" t="s">
        <v>264</v>
      </c>
      <c r="D195" s="1" t="s">
        <v>30</v>
      </c>
      <c r="E195" s="9">
        <v>2</v>
      </c>
      <c r="G195" s="1" t="s">
        <v>922</v>
      </c>
    </row>
    <row r="196" spans="1:7" x14ac:dyDescent="0.25">
      <c r="A196" s="1">
        <v>295</v>
      </c>
      <c r="B196" s="1">
        <f t="shared" si="7"/>
        <v>295</v>
      </c>
      <c r="C196" s="1" t="s">
        <v>266</v>
      </c>
      <c r="D196" s="1" t="s">
        <v>30</v>
      </c>
      <c r="E196" s="9">
        <v>4</v>
      </c>
      <c r="G196" s="1" t="s">
        <v>922</v>
      </c>
    </row>
    <row r="197" spans="1:7" x14ac:dyDescent="0.25">
      <c r="A197" s="1">
        <v>296</v>
      </c>
      <c r="B197" s="1">
        <f t="shared" si="7"/>
        <v>296</v>
      </c>
      <c r="C197" s="1" t="s">
        <v>267</v>
      </c>
      <c r="D197" s="1" t="s">
        <v>30</v>
      </c>
      <c r="E197" s="9">
        <v>5</v>
      </c>
      <c r="G197" s="1" t="s">
        <v>922</v>
      </c>
    </row>
    <row r="198" spans="1:7" x14ac:dyDescent="0.25">
      <c r="A198" s="1">
        <v>297</v>
      </c>
      <c r="B198" s="1">
        <f t="shared" si="7"/>
        <v>297</v>
      </c>
      <c r="C198" s="1" t="s">
        <v>268</v>
      </c>
      <c r="D198" s="1" t="s">
        <v>30</v>
      </c>
      <c r="E198" s="9">
        <v>2</v>
      </c>
      <c r="G198" s="1" t="s">
        <v>922</v>
      </c>
    </row>
    <row r="199" spans="1:7" x14ac:dyDescent="0.25">
      <c r="A199" s="1">
        <v>298</v>
      </c>
      <c r="B199" s="1">
        <f t="shared" si="7"/>
        <v>298</v>
      </c>
      <c r="C199" s="1" t="s">
        <v>269</v>
      </c>
      <c r="D199" s="1" t="s">
        <v>30</v>
      </c>
      <c r="E199" s="9">
        <v>2</v>
      </c>
      <c r="G199" s="1" t="s">
        <v>922</v>
      </c>
    </row>
    <row r="200" spans="1:7" x14ac:dyDescent="0.25">
      <c r="A200" s="1">
        <v>299</v>
      </c>
      <c r="B200" s="1">
        <f t="shared" si="7"/>
        <v>299</v>
      </c>
      <c r="C200" s="1" t="s">
        <v>270</v>
      </c>
      <c r="D200" s="1" t="s">
        <v>30</v>
      </c>
      <c r="E200" s="9">
        <v>2</v>
      </c>
      <c r="G200" s="1" t="s">
        <v>922</v>
      </c>
    </row>
    <row r="201" spans="1:7" x14ac:dyDescent="0.25">
      <c r="A201" s="1">
        <v>300</v>
      </c>
      <c r="B201" s="1">
        <f t="shared" si="7"/>
        <v>300</v>
      </c>
      <c r="C201" s="1" t="s">
        <v>271</v>
      </c>
      <c r="D201" s="1" t="s">
        <v>30</v>
      </c>
      <c r="E201" s="9">
        <v>2</v>
      </c>
      <c r="G201" s="1" t="s">
        <v>922</v>
      </c>
    </row>
    <row r="202" spans="1:7" x14ac:dyDescent="0.25">
      <c r="A202" s="1">
        <v>301</v>
      </c>
      <c r="B202" s="1">
        <f t="shared" si="7"/>
        <v>301</v>
      </c>
      <c r="C202" s="1" t="s">
        <v>272</v>
      </c>
      <c r="D202" s="1" t="s">
        <v>30</v>
      </c>
      <c r="E202" s="9">
        <v>2</v>
      </c>
      <c r="G202" s="1" t="s">
        <v>922</v>
      </c>
    </row>
    <row r="203" spans="1:7" x14ac:dyDescent="0.25">
      <c r="A203" s="1">
        <v>302</v>
      </c>
      <c r="B203" s="1">
        <f t="shared" si="7"/>
        <v>302</v>
      </c>
      <c r="C203" s="1" t="s">
        <v>273</v>
      </c>
      <c r="D203" s="1" t="s">
        <v>30</v>
      </c>
      <c r="E203" s="9">
        <v>2</v>
      </c>
      <c r="G203" s="1" t="s">
        <v>922</v>
      </c>
    </row>
    <row r="204" spans="1:7" x14ac:dyDescent="0.25">
      <c r="A204" s="1">
        <v>303</v>
      </c>
      <c r="B204" s="1">
        <f t="shared" si="7"/>
        <v>303</v>
      </c>
      <c r="C204" s="1" t="s">
        <v>275</v>
      </c>
      <c r="D204" s="1" t="s">
        <v>30</v>
      </c>
      <c r="E204" s="9">
        <v>4</v>
      </c>
      <c r="G204" s="1" t="s">
        <v>922</v>
      </c>
    </row>
    <row r="205" spans="1:7" x14ac:dyDescent="0.25">
      <c r="A205" s="1">
        <v>304</v>
      </c>
      <c r="B205" s="1">
        <f t="shared" si="7"/>
        <v>304</v>
      </c>
      <c r="C205" s="1" t="s">
        <v>276</v>
      </c>
      <c r="D205" s="1" t="s">
        <v>30</v>
      </c>
      <c r="E205" s="9">
        <v>2</v>
      </c>
      <c r="G205" s="1" t="s">
        <v>922</v>
      </c>
    </row>
    <row r="206" spans="1:7" x14ac:dyDescent="0.25">
      <c r="A206" s="1">
        <v>305</v>
      </c>
      <c r="B206" s="1">
        <f t="shared" si="7"/>
        <v>305</v>
      </c>
      <c r="C206" s="1" t="s">
        <v>277</v>
      </c>
      <c r="D206" s="1" t="s">
        <v>30</v>
      </c>
      <c r="E206" s="9">
        <v>5</v>
      </c>
      <c r="G206" s="1" t="s">
        <v>922</v>
      </c>
    </row>
    <row r="207" spans="1:7" x14ac:dyDescent="0.25">
      <c r="A207" s="1">
        <v>306</v>
      </c>
      <c r="B207" s="1">
        <f t="shared" si="7"/>
        <v>306</v>
      </c>
      <c r="C207" s="1" t="s">
        <v>278</v>
      </c>
      <c r="D207" s="1" t="s">
        <v>30</v>
      </c>
      <c r="E207" s="9">
        <v>5</v>
      </c>
      <c r="G207" s="1" t="s">
        <v>922</v>
      </c>
    </row>
    <row r="208" spans="1:7" x14ac:dyDescent="0.25">
      <c r="A208" s="1">
        <v>307</v>
      </c>
      <c r="B208" s="1">
        <f t="shared" si="7"/>
        <v>307</v>
      </c>
      <c r="C208" s="1" t="s">
        <v>279</v>
      </c>
      <c r="D208" s="1" t="s">
        <v>30</v>
      </c>
      <c r="E208" s="9">
        <v>2</v>
      </c>
      <c r="G208" s="1" t="s">
        <v>922</v>
      </c>
    </row>
    <row r="209" spans="1:7" x14ac:dyDescent="0.25">
      <c r="A209" s="1">
        <v>308</v>
      </c>
      <c r="B209" s="1">
        <f t="shared" si="7"/>
        <v>308</v>
      </c>
      <c r="C209" s="1" t="s">
        <v>280</v>
      </c>
      <c r="D209" s="1" t="s">
        <v>30</v>
      </c>
      <c r="E209" s="9">
        <v>4</v>
      </c>
      <c r="G209" s="1" t="s">
        <v>922</v>
      </c>
    </row>
    <row r="210" spans="1:7" x14ac:dyDescent="0.25">
      <c r="A210" s="1">
        <v>309</v>
      </c>
      <c r="B210" s="1">
        <f t="shared" si="7"/>
        <v>309</v>
      </c>
      <c r="C210" s="1" t="s">
        <v>281</v>
      </c>
      <c r="D210" s="1" t="s">
        <v>30</v>
      </c>
      <c r="E210" s="9">
        <v>5</v>
      </c>
      <c r="G210" s="1" t="s">
        <v>922</v>
      </c>
    </row>
    <row r="211" spans="1:7" x14ac:dyDescent="0.25">
      <c r="A211" s="1">
        <v>310</v>
      </c>
      <c r="B211" s="1">
        <f t="shared" si="7"/>
        <v>310</v>
      </c>
      <c r="C211" s="1" t="s">
        <v>282</v>
      </c>
      <c r="D211" s="1" t="s">
        <v>30</v>
      </c>
      <c r="E211" s="9">
        <v>5</v>
      </c>
      <c r="G211" s="1" t="s">
        <v>922</v>
      </c>
    </row>
    <row r="212" spans="1:7" x14ac:dyDescent="0.25">
      <c r="A212" s="1">
        <v>311</v>
      </c>
      <c r="B212" s="1">
        <f t="shared" si="7"/>
        <v>311</v>
      </c>
      <c r="C212" s="1" t="s">
        <v>283</v>
      </c>
      <c r="D212" s="1" t="s">
        <v>30</v>
      </c>
      <c r="E212" s="9">
        <v>2</v>
      </c>
      <c r="G212" s="1" t="s">
        <v>922</v>
      </c>
    </row>
    <row r="213" spans="1:7" x14ac:dyDescent="0.25">
      <c r="A213" s="1">
        <v>312</v>
      </c>
      <c r="B213" s="1">
        <f t="shared" si="7"/>
        <v>312</v>
      </c>
      <c r="C213" s="1" t="s">
        <v>284</v>
      </c>
      <c r="D213" s="1" t="s">
        <v>30</v>
      </c>
      <c r="E213" s="9">
        <v>4</v>
      </c>
      <c r="G213" s="1" t="s">
        <v>922</v>
      </c>
    </row>
    <row r="214" spans="1:7" x14ac:dyDescent="0.25">
      <c r="A214" s="1">
        <v>313</v>
      </c>
      <c r="B214" s="1">
        <f t="shared" si="7"/>
        <v>313</v>
      </c>
      <c r="C214" s="1" t="s">
        <v>285</v>
      </c>
      <c r="D214" s="1" t="s">
        <v>30</v>
      </c>
      <c r="E214" s="9">
        <v>5</v>
      </c>
      <c r="G214" s="1" t="s">
        <v>922</v>
      </c>
    </row>
    <row r="215" spans="1:7" x14ac:dyDescent="0.25">
      <c r="A215" s="1">
        <v>314</v>
      </c>
      <c r="B215" s="1">
        <f t="shared" si="7"/>
        <v>314</v>
      </c>
      <c r="C215" s="1" t="s">
        <v>286</v>
      </c>
      <c r="D215" s="1" t="s">
        <v>30</v>
      </c>
      <c r="E215" s="9">
        <v>5</v>
      </c>
      <c r="G215" s="1" t="s">
        <v>922</v>
      </c>
    </row>
    <row r="216" spans="1:7" x14ac:dyDescent="0.25">
      <c r="A216" s="1">
        <v>315</v>
      </c>
      <c r="B216" s="1">
        <f t="shared" si="7"/>
        <v>315</v>
      </c>
      <c r="C216" s="1" t="s">
        <v>287</v>
      </c>
      <c r="D216" s="1" t="s">
        <v>30</v>
      </c>
      <c r="E216" s="9">
        <v>2</v>
      </c>
      <c r="G216" s="1" t="s">
        <v>922</v>
      </c>
    </row>
    <row r="217" spans="1:7" x14ac:dyDescent="0.25">
      <c r="A217" s="1">
        <v>316</v>
      </c>
      <c r="B217" s="1">
        <f t="shared" si="7"/>
        <v>316</v>
      </c>
      <c r="C217" s="1" t="s">
        <v>289</v>
      </c>
      <c r="D217" s="1" t="s">
        <v>30</v>
      </c>
      <c r="E217" s="9">
        <v>5</v>
      </c>
      <c r="G217" s="1" t="s">
        <v>922</v>
      </c>
    </row>
    <row r="218" spans="1:7" x14ac:dyDescent="0.25">
      <c r="A218" s="1">
        <v>317</v>
      </c>
      <c r="B218" s="1">
        <f t="shared" si="7"/>
        <v>317</v>
      </c>
      <c r="C218" s="1" t="s">
        <v>290</v>
      </c>
      <c r="D218" s="1" t="s">
        <v>30</v>
      </c>
      <c r="E218" s="9">
        <v>2</v>
      </c>
      <c r="G218" s="1" t="s">
        <v>922</v>
      </c>
    </row>
    <row r="219" spans="1:7" x14ac:dyDescent="0.25">
      <c r="A219" s="1">
        <v>318</v>
      </c>
      <c r="B219" s="1">
        <f t="shared" si="7"/>
        <v>318</v>
      </c>
      <c r="C219" s="1" t="s">
        <v>291</v>
      </c>
      <c r="D219" s="1" t="s">
        <v>30</v>
      </c>
      <c r="E219" s="9">
        <v>2</v>
      </c>
      <c r="G219" s="1" t="s">
        <v>922</v>
      </c>
    </row>
    <row r="220" spans="1:7" x14ac:dyDescent="0.25">
      <c r="A220" s="1">
        <v>319</v>
      </c>
      <c r="B220" s="1">
        <f t="shared" si="7"/>
        <v>319</v>
      </c>
      <c r="C220" s="1" t="s">
        <v>292</v>
      </c>
      <c r="D220" s="1" t="s">
        <v>30</v>
      </c>
      <c r="E220" s="9">
        <v>2</v>
      </c>
      <c r="G220" s="1" t="s">
        <v>922</v>
      </c>
    </row>
    <row r="221" spans="1:7" x14ac:dyDescent="0.25">
      <c r="A221" s="1">
        <v>320</v>
      </c>
      <c r="B221" s="1">
        <f t="shared" si="7"/>
        <v>320</v>
      </c>
      <c r="C221" s="1" t="s">
        <v>293</v>
      </c>
      <c r="D221" s="1" t="s">
        <v>30</v>
      </c>
      <c r="E221" s="9">
        <v>2</v>
      </c>
      <c r="G221" s="1" t="s">
        <v>922</v>
      </c>
    </row>
    <row r="222" spans="1:7" x14ac:dyDescent="0.25">
      <c r="A222" s="1">
        <v>321</v>
      </c>
      <c r="B222" s="1">
        <f t="shared" si="7"/>
        <v>321</v>
      </c>
      <c r="C222" s="1" t="s">
        <v>294</v>
      </c>
      <c r="D222" s="1" t="s">
        <v>30</v>
      </c>
      <c r="E222" s="9">
        <v>2</v>
      </c>
      <c r="G222" s="1" t="s">
        <v>922</v>
      </c>
    </row>
    <row r="223" spans="1:7" x14ac:dyDescent="0.25">
      <c r="A223" s="1">
        <v>322</v>
      </c>
      <c r="B223" s="1">
        <f t="shared" si="7"/>
        <v>322</v>
      </c>
      <c r="C223" s="1" t="s">
        <v>295</v>
      </c>
      <c r="D223" s="1" t="s">
        <v>30</v>
      </c>
      <c r="E223" s="9">
        <v>2</v>
      </c>
      <c r="G223" s="1" t="s">
        <v>922</v>
      </c>
    </row>
    <row r="224" spans="1:7" x14ac:dyDescent="0.25">
      <c r="A224" s="1">
        <v>323</v>
      </c>
      <c r="B224" s="1">
        <f t="shared" si="7"/>
        <v>323</v>
      </c>
      <c r="C224" s="1" t="s">
        <v>296</v>
      </c>
      <c r="D224" s="1" t="s">
        <v>30</v>
      </c>
      <c r="E224" s="9">
        <v>2</v>
      </c>
      <c r="G224" s="1" t="s">
        <v>922</v>
      </c>
    </row>
    <row r="225" spans="1:7" x14ac:dyDescent="0.25">
      <c r="A225" s="1">
        <v>324</v>
      </c>
      <c r="B225" s="1">
        <f t="shared" si="7"/>
        <v>324</v>
      </c>
      <c r="C225" s="1" t="s">
        <v>298</v>
      </c>
      <c r="D225" s="1" t="s">
        <v>30</v>
      </c>
      <c r="E225" s="9">
        <v>7</v>
      </c>
      <c r="G225" s="1" t="s">
        <v>922</v>
      </c>
    </row>
    <row r="226" spans="1:7" x14ac:dyDescent="0.25">
      <c r="A226" s="1">
        <v>325</v>
      </c>
      <c r="B226" s="1">
        <f t="shared" si="7"/>
        <v>325</v>
      </c>
      <c r="C226" s="1" t="s">
        <v>299</v>
      </c>
      <c r="D226" s="1" t="s">
        <v>30</v>
      </c>
      <c r="E226" s="9">
        <v>2</v>
      </c>
      <c r="G226" s="1" t="s">
        <v>922</v>
      </c>
    </row>
    <row r="227" spans="1:7" x14ac:dyDescent="0.25">
      <c r="A227" s="1">
        <v>326</v>
      </c>
      <c r="B227" s="1">
        <f t="shared" si="7"/>
        <v>326</v>
      </c>
      <c r="C227" s="1" t="s">
        <v>300</v>
      </c>
      <c r="D227" s="1" t="s">
        <v>30</v>
      </c>
      <c r="E227" s="9">
        <v>2</v>
      </c>
      <c r="G227" s="1" t="s">
        <v>922</v>
      </c>
    </row>
    <row r="228" spans="1:7" x14ac:dyDescent="0.25">
      <c r="A228" s="1">
        <v>327</v>
      </c>
      <c r="B228" s="1">
        <f t="shared" si="7"/>
        <v>327</v>
      </c>
      <c r="C228" s="1" t="s">
        <v>301</v>
      </c>
      <c r="D228" s="1" t="s">
        <v>30</v>
      </c>
      <c r="E228" s="9">
        <v>2</v>
      </c>
      <c r="G228" s="1" t="s">
        <v>922</v>
      </c>
    </row>
    <row r="229" spans="1:7" x14ac:dyDescent="0.25">
      <c r="A229" s="1">
        <v>328</v>
      </c>
      <c r="B229" s="1">
        <f t="shared" si="7"/>
        <v>328</v>
      </c>
      <c r="C229" s="1" t="s">
        <v>302</v>
      </c>
      <c r="D229" s="1" t="s">
        <v>30</v>
      </c>
      <c r="E229" s="9">
        <v>2</v>
      </c>
      <c r="G229" s="1" t="s">
        <v>922</v>
      </c>
    </row>
    <row r="230" spans="1:7" x14ac:dyDescent="0.25">
      <c r="A230" s="1">
        <v>329</v>
      </c>
      <c r="B230" s="1">
        <f t="shared" si="7"/>
        <v>329</v>
      </c>
      <c r="C230" s="1" t="s">
        <v>303</v>
      </c>
      <c r="D230" s="1" t="s">
        <v>30</v>
      </c>
      <c r="E230" s="9">
        <v>2</v>
      </c>
      <c r="G230" s="1" t="s">
        <v>922</v>
      </c>
    </row>
    <row r="231" spans="1:7" x14ac:dyDescent="0.25">
      <c r="A231" s="1">
        <v>330</v>
      </c>
      <c r="B231" s="1">
        <f t="shared" si="7"/>
        <v>330</v>
      </c>
      <c r="C231" s="1" t="s">
        <v>304</v>
      </c>
      <c r="D231" s="1" t="s">
        <v>30</v>
      </c>
      <c r="E231" s="9">
        <v>2</v>
      </c>
      <c r="G231" s="1" t="s">
        <v>922</v>
      </c>
    </row>
    <row r="232" spans="1:7" x14ac:dyDescent="0.25">
      <c r="A232" s="1">
        <v>331</v>
      </c>
      <c r="B232" s="1">
        <f t="shared" si="7"/>
        <v>331</v>
      </c>
      <c r="C232" s="1" t="s">
        <v>305</v>
      </c>
      <c r="D232" s="1" t="s">
        <v>30</v>
      </c>
      <c r="E232" s="9">
        <v>2</v>
      </c>
      <c r="G232" s="1" t="s">
        <v>922</v>
      </c>
    </row>
    <row r="233" spans="1:7" x14ac:dyDescent="0.25">
      <c r="A233" s="1">
        <v>332</v>
      </c>
      <c r="B233" s="1">
        <f t="shared" si="7"/>
        <v>332</v>
      </c>
      <c r="C233" s="1" t="s">
        <v>306</v>
      </c>
      <c r="D233" s="1" t="s">
        <v>30</v>
      </c>
      <c r="E233" s="9">
        <v>2</v>
      </c>
      <c r="G233" s="1" t="s">
        <v>922</v>
      </c>
    </row>
    <row r="234" spans="1:7" x14ac:dyDescent="0.25">
      <c r="A234" s="1">
        <v>333</v>
      </c>
      <c r="B234" s="1">
        <f t="shared" si="7"/>
        <v>333</v>
      </c>
      <c r="C234" s="1" t="s">
        <v>307</v>
      </c>
      <c r="D234" s="1" t="s">
        <v>30</v>
      </c>
      <c r="E234" s="9">
        <v>2</v>
      </c>
      <c r="G234" s="1" t="s">
        <v>922</v>
      </c>
    </row>
    <row r="235" spans="1:7" x14ac:dyDescent="0.25">
      <c r="A235" s="1">
        <v>334</v>
      </c>
      <c r="B235" s="1">
        <f t="shared" si="7"/>
        <v>334</v>
      </c>
      <c r="C235" s="1" t="s">
        <v>308</v>
      </c>
      <c r="D235" s="1" t="s">
        <v>30</v>
      </c>
      <c r="E235" s="9">
        <v>2</v>
      </c>
      <c r="G235" s="1" t="s">
        <v>922</v>
      </c>
    </row>
    <row r="236" spans="1:7" x14ac:dyDescent="0.25">
      <c r="A236" s="1">
        <v>335</v>
      </c>
      <c r="B236" s="1">
        <f t="shared" si="7"/>
        <v>335</v>
      </c>
      <c r="C236" s="1" t="s">
        <v>309</v>
      </c>
      <c r="D236" s="1" t="s">
        <v>30</v>
      </c>
      <c r="E236" s="9">
        <v>2</v>
      </c>
      <c r="G236" s="1" t="s">
        <v>922</v>
      </c>
    </row>
    <row r="237" spans="1:7" x14ac:dyDescent="0.25">
      <c r="A237" s="1">
        <v>336</v>
      </c>
      <c r="B237" s="1">
        <f t="shared" si="7"/>
        <v>336</v>
      </c>
      <c r="C237" s="1" t="s">
        <v>310</v>
      </c>
      <c r="D237" s="1" t="s">
        <v>30</v>
      </c>
      <c r="E237" s="9">
        <v>2</v>
      </c>
      <c r="G237" s="1" t="s">
        <v>922</v>
      </c>
    </row>
    <row r="238" spans="1:7" x14ac:dyDescent="0.25">
      <c r="A238" s="1">
        <v>337</v>
      </c>
      <c r="B238" s="1">
        <f t="shared" si="7"/>
        <v>337</v>
      </c>
      <c r="C238" s="1" t="s">
        <v>311</v>
      </c>
      <c r="D238" s="1" t="s">
        <v>30</v>
      </c>
      <c r="E238" s="9">
        <v>2</v>
      </c>
      <c r="G238" s="1" t="s">
        <v>922</v>
      </c>
    </row>
    <row r="239" spans="1:7" x14ac:dyDescent="0.25">
      <c r="A239" s="1">
        <v>338</v>
      </c>
      <c r="B239" s="1">
        <f t="shared" si="7"/>
        <v>338</v>
      </c>
      <c r="C239" s="1" t="s">
        <v>312</v>
      </c>
      <c r="D239" s="1" t="s">
        <v>30</v>
      </c>
      <c r="E239" s="9">
        <v>2</v>
      </c>
      <c r="G239" s="1" t="s">
        <v>922</v>
      </c>
    </row>
    <row r="240" spans="1:7" x14ac:dyDescent="0.25">
      <c r="A240" s="1">
        <v>339</v>
      </c>
      <c r="B240" s="1">
        <f t="shared" si="7"/>
        <v>339</v>
      </c>
      <c r="C240" s="1" t="s">
        <v>314</v>
      </c>
      <c r="D240" s="1" t="s">
        <v>30</v>
      </c>
      <c r="E240" s="9">
        <v>2</v>
      </c>
      <c r="G240" s="1" t="s">
        <v>922</v>
      </c>
    </row>
    <row r="241" spans="1:7" x14ac:dyDescent="0.25">
      <c r="A241" s="1">
        <v>340</v>
      </c>
      <c r="B241" s="1">
        <f t="shared" si="7"/>
        <v>340</v>
      </c>
      <c r="C241" s="1" t="s">
        <v>315</v>
      </c>
      <c r="D241" s="1" t="s">
        <v>30</v>
      </c>
      <c r="E241" s="9">
        <v>2</v>
      </c>
      <c r="G241" s="1" t="s">
        <v>922</v>
      </c>
    </row>
    <row r="242" spans="1:7" x14ac:dyDescent="0.25">
      <c r="A242" s="1">
        <v>341</v>
      </c>
      <c r="B242" s="1">
        <f t="shared" si="7"/>
        <v>341</v>
      </c>
      <c r="C242" s="1" t="s">
        <v>316</v>
      </c>
      <c r="D242" s="1" t="s">
        <v>30</v>
      </c>
      <c r="E242" s="9">
        <v>2</v>
      </c>
      <c r="G242" s="1" t="s">
        <v>922</v>
      </c>
    </row>
    <row r="243" spans="1:7" x14ac:dyDescent="0.25">
      <c r="A243" s="1">
        <v>342</v>
      </c>
      <c r="B243" s="1">
        <f t="shared" si="7"/>
        <v>342</v>
      </c>
      <c r="C243" s="1" t="s">
        <v>317</v>
      </c>
      <c r="D243" s="1" t="s">
        <v>30</v>
      </c>
      <c r="E243" s="9">
        <v>2</v>
      </c>
      <c r="G243" s="1" t="s">
        <v>922</v>
      </c>
    </row>
    <row r="244" spans="1:7" x14ac:dyDescent="0.25">
      <c r="A244" s="1">
        <v>343</v>
      </c>
      <c r="B244" s="1">
        <f t="shared" si="7"/>
        <v>343</v>
      </c>
      <c r="C244" s="1" t="s">
        <v>318</v>
      </c>
      <c r="D244" s="1" t="s">
        <v>30</v>
      </c>
      <c r="E244" s="9">
        <v>2</v>
      </c>
      <c r="G244" s="1" t="s">
        <v>922</v>
      </c>
    </row>
    <row r="245" spans="1:7" x14ac:dyDescent="0.25">
      <c r="A245" s="1">
        <v>344</v>
      </c>
      <c r="B245" s="1">
        <f t="shared" si="7"/>
        <v>344</v>
      </c>
      <c r="C245" s="1" t="s">
        <v>319</v>
      </c>
      <c r="D245" s="1" t="s">
        <v>30</v>
      </c>
      <c r="E245" s="9">
        <v>2</v>
      </c>
      <c r="G245" s="1" t="s">
        <v>922</v>
      </c>
    </row>
    <row r="246" spans="1:7" x14ac:dyDescent="0.25">
      <c r="A246" s="1">
        <v>345</v>
      </c>
      <c r="B246" s="1">
        <f t="shared" si="7"/>
        <v>345</v>
      </c>
      <c r="C246" s="1" t="s">
        <v>320</v>
      </c>
      <c r="D246" s="1" t="s">
        <v>30</v>
      </c>
      <c r="E246" s="9">
        <v>2</v>
      </c>
      <c r="G246" s="1" t="s">
        <v>922</v>
      </c>
    </row>
    <row r="247" spans="1:7" x14ac:dyDescent="0.25">
      <c r="A247" s="1">
        <v>346</v>
      </c>
      <c r="B247" s="1">
        <f t="shared" si="7"/>
        <v>346</v>
      </c>
      <c r="C247" s="1" t="s">
        <v>321</v>
      </c>
      <c r="D247" s="1" t="s">
        <v>30</v>
      </c>
      <c r="E247" s="9">
        <v>2</v>
      </c>
      <c r="G247" s="1" t="s">
        <v>922</v>
      </c>
    </row>
    <row r="248" spans="1:7" x14ac:dyDescent="0.25">
      <c r="A248" s="1">
        <v>347</v>
      </c>
      <c r="B248" s="1">
        <f t="shared" si="7"/>
        <v>347</v>
      </c>
      <c r="C248" s="1" t="s">
        <v>322</v>
      </c>
      <c r="D248" s="1" t="s">
        <v>30</v>
      </c>
      <c r="E248" s="9">
        <v>2</v>
      </c>
      <c r="G248" s="1" t="s">
        <v>922</v>
      </c>
    </row>
    <row r="249" spans="1:7" x14ac:dyDescent="0.25">
      <c r="A249" s="1">
        <v>348</v>
      </c>
      <c r="B249" s="1">
        <f t="shared" si="7"/>
        <v>348</v>
      </c>
      <c r="C249" s="1" t="s">
        <v>323</v>
      </c>
      <c r="D249" s="1" t="s">
        <v>30</v>
      </c>
      <c r="E249" s="9">
        <v>2</v>
      </c>
      <c r="G249" s="1" t="s">
        <v>922</v>
      </c>
    </row>
    <row r="250" spans="1:7" x14ac:dyDescent="0.25">
      <c r="A250" s="1">
        <v>349</v>
      </c>
      <c r="B250" s="1">
        <f t="shared" si="7"/>
        <v>349</v>
      </c>
      <c r="C250" s="1" t="s">
        <v>324</v>
      </c>
      <c r="D250" s="1" t="s">
        <v>30</v>
      </c>
      <c r="E250" s="9">
        <v>2</v>
      </c>
      <c r="G250" s="1" t="s">
        <v>922</v>
      </c>
    </row>
    <row r="251" spans="1:7" x14ac:dyDescent="0.25">
      <c r="A251" s="1">
        <v>350</v>
      </c>
      <c r="B251" s="1">
        <f t="shared" si="7"/>
        <v>350</v>
      </c>
      <c r="C251" s="1" t="s">
        <v>325</v>
      </c>
      <c r="D251" s="1" t="s">
        <v>30</v>
      </c>
      <c r="E251" s="9">
        <v>2</v>
      </c>
      <c r="G251" s="1" t="s">
        <v>922</v>
      </c>
    </row>
    <row r="252" spans="1:7" x14ac:dyDescent="0.25">
      <c r="A252" s="1">
        <v>351</v>
      </c>
      <c r="B252" s="1">
        <f t="shared" si="7"/>
        <v>351</v>
      </c>
      <c r="C252" s="1" t="s">
        <v>326</v>
      </c>
      <c r="D252" s="1" t="s">
        <v>30</v>
      </c>
      <c r="E252" s="9">
        <v>2</v>
      </c>
      <c r="G252" s="1" t="s">
        <v>922</v>
      </c>
    </row>
    <row r="253" spans="1:7" x14ac:dyDescent="0.25">
      <c r="A253" s="1">
        <v>352</v>
      </c>
      <c r="B253" s="1">
        <f t="shared" si="7"/>
        <v>352</v>
      </c>
      <c r="C253" s="1" t="s">
        <v>327</v>
      </c>
      <c r="D253" s="1" t="s">
        <v>30</v>
      </c>
      <c r="E253" s="9">
        <v>2</v>
      </c>
      <c r="G253" s="1" t="s">
        <v>922</v>
      </c>
    </row>
    <row r="254" spans="1:7" x14ac:dyDescent="0.25">
      <c r="A254" s="1">
        <v>353</v>
      </c>
      <c r="B254" s="1">
        <f t="shared" si="7"/>
        <v>353</v>
      </c>
      <c r="C254" s="1" t="s">
        <v>328</v>
      </c>
      <c r="D254" s="1" t="s">
        <v>30</v>
      </c>
      <c r="E254" s="9">
        <v>2</v>
      </c>
      <c r="G254" s="1" t="s">
        <v>922</v>
      </c>
    </row>
    <row r="255" spans="1:7" x14ac:dyDescent="0.25">
      <c r="A255" s="1">
        <v>354</v>
      </c>
      <c r="B255" s="1">
        <f t="shared" si="7"/>
        <v>354</v>
      </c>
      <c r="C255" s="1" t="s">
        <v>329</v>
      </c>
      <c r="D255" s="1" t="s">
        <v>30</v>
      </c>
      <c r="E255" s="9">
        <v>2</v>
      </c>
      <c r="G255" s="1" t="s">
        <v>922</v>
      </c>
    </row>
    <row r="256" spans="1:7" x14ac:dyDescent="0.25">
      <c r="A256" s="1">
        <v>355</v>
      </c>
      <c r="B256" s="1">
        <f t="shared" si="7"/>
        <v>355</v>
      </c>
      <c r="C256" s="1" t="s">
        <v>330</v>
      </c>
      <c r="D256" s="1" t="s">
        <v>30</v>
      </c>
      <c r="E256" s="9">
        <v>2</v>
      </c>
      <c r="G256" s="1" t="s">
        <v>922</v>
      </c>
    </row>
    <row r="257" spans="1:7" x14ac:dyDescent="0.25">
      <c r="A257" s="1">
        <v>356</v>
      </c>
      <c r="B257" s="1">
        <f t="shared" si="7"/>
        <v>356</v>
      </c>
      <c r="C257" s="1" t="s">
        <v>331</v>
      </c>
      <c r="D257" s="1" t="s">
        <v>30</v>
      </c>
      <c r="E257" s="9">
        <v>2</v>
      </c>
      <c r="G257" s="1" t="s">
        <v>922</v>
      </c>
    </row>
    <row r="258" spans="1:7" x14ac:dyDescent="0.25">
      <c r="A258" s="1">
        <v>357</v>
      </c>
      <c r="B258" s="1">
        <f t="shared" ref="B258:B321" si="8">A258</f>
        <v>357</v>
      </c>
      <c r="C258" s="1" t="s">
        <v>333</v>
      </c>
      <c r="D258" s="1" t="s">
        <v>30</v>
      </c>
      <c r="E258" s="9">
        <v>2</v>
      </c>
      <c r="G258" s="1" t="s">
        <v>922</v>
      </c>
    </row>
    <row r="259" spans="1:7" x14ac:dyDescent="0.25">
      <c r="A259" s="1">
        <v>358</v>
      </c>
      <c r="B259" s="1">
        <f t="shared" si="8"/>
        <v>358</v>
      </c>
      <c r="C259" s="1" t="s">
        <v>334</v>
      </c>
      <c r="D259" s="1" t="s">
        <v>30</v>
      </c>
      <c r="E259" s="9">
        <v>2</v>
      </c>
      <c r="G259" s="1" t="s">
        <v>922</v>
      </c>
    </row>
    <row r="260" spans="1:7" x14ac:dyDescent="0.25">
      <c r="A260" s="1">
        <v>359</v>
      </c>
      <c r="B260" s="1">
        <f t="shared" si="8"/>
        <v>359</v>
      </c>
      <c r="C260" s="1" t="s">
        <v>335</v>
      </c>
      <c r="D260" s="1" t="s">
        <v>30</v>
      </c>
      <c r="E260" s="9">
        <v>2</v>
      </c>
      <c r="G260" s="1" t="s">
        <v>922</v>
      </c>
    </row>
    <row r="261" spans="1:7" x14ac:dyDescent="0.25">
      <c r="A261" s="1">
        <v>360</v>
      </c>
      <c r="B261" s="1">
        <f t="shared" si="8"/>
        <v>360</v>
      </c>
      <c r="C261" s="1" t="s">
        <v>336</v>
      </c>
      <c r="D261" s="1" t="s">
        <v>30</v>
      </c>
      <c r="E261" s="9">
        <v>2</v>
      </c>
      <c r="G261" s="1" t="s">
        <v>922</v>
      </c>
    </row>
    <row r="262" spans="1:7" x14ac:dyDescent="0.25">
      <c r="A262" s="1">
        <v>361</v>
      </c>
      <c r="B262" s="1">
        <f t="shared" si="8"/>
        <v>361</v>
      </c>
      <c r="C262" s="1" t="s">
        <v>337</v>
      </c>
      <c r="D262" s="1" t="s">
        <v>30</v>
      </c>
      <c r="E262" s="9">
        <v>2</v>
      </c>
      <c r="G262" s="1" t="s">
        <v>922</v>
      </c>
    </row>
    <row r="263" spans="1:7" x14ac:dyDescent="0.25">
      <c r="A263" s="1">
        <v>362</v>
      </c>
      <c r="B263" s="1">
        <f t="shared" si="8"/>
        <v>362</v>
      </c>
      <c r="C263" s="1" t="s">
        <v>338</v>
      </c>
      <c r="D263" s="1" t="s">
        <v>30</v>
      </c>
      <c r="E263" s="9">
        <v>2</v>
      </c>
      <c r="G263" s="1" t="s">
        <v>922</v>
      </c>
    </row>
    <row r="264" spans="1:7" x14ac:dyDescent="0.25">
      <c r="A264" s="1">
        <v>363</v>
      </c>
      <c r="B264" s="1">
        <f t="shared" si="8"/>
        <v>363</v>
      </c>
      <c r="C264" s="1" t="s">
        <v>339</v>
      </c>
      <c r="D264" s="1" t="s">
        <v>30</v>
      </c>
      <c r="E264" s="9">
        <v>2</v>
      </c>
      <c r="G264" s="1" t="s">
        <v>922</v>
      </c>
    </row>
    <row r="265" spans="1:7" x14ac:dyDescent="0.25">
      <c r="A265" s="1">
        <v>364</v>
      </c>
      <c r="B265" s="1">
        <f t="shared" si="8"/>
        <v>364</v>
      </c>
      <c r="C265" s="1" t="s">
        <v>340</v>
      </c>
      <c r="D265" s="1" t="s">
        <v>30</v>
      </c>
      <c r="E265" s="9">
        <v>2</v>
      </c>
      <c r="G265" s="1" t="s">
        <v>922</v>
      </c>
    </row>
    <row r="266" spans="1:7" x14ac:dyDescent="0.25">
      <c r="A266" s="1">
        <v>365</v>
      </c>
      <c r="B266" s="1">
        <f t="shared" si="8"/>
        <v>365</v>
      </c>
      <c r="C266" s="1" t="s">
        <v>341</v>
      </c>
      <c r="D266" s="1" t="s">
        <v>30</v>
      </c>
      <c r="E266" s="9">
        <v>2</v>
      </c>
      <c r="G266" s="1" t="s">
        <v>922</v>
      </c>
    </row>
    <row r="267" spans="1:7" x14ac:dyDescent="0.25">
      <c r="A267" s="1">
        <v>366</v>
      </c>
      <c r="B267" s="1">
        <f t="shared" si="8"/>
        <v>366</v>
      </c>
      <c r="C267" s="1" t="s">
        <v>342</v>
      </c>
      <c r="D267" s="1" t="s">
        <v>30</v>
      </c>
      <c r="E267" s="9">
        <v>2</v>
      </c>
      <c r="G267" s="1" t="s">
        <v>922</v>
      </c>
    </row>
    <row r="268" spans="1:7" x14ac:dyDescent="0.25">
      <c r="A268" s="1">
        <v>367</v>
      </c>
      <c r="B268" s="1">
        <f t="shared" si="8"/>
        <v>367</v>
      </c>
      <c r="C268" s="1" t="s">
        <v>343</v>
      </c>
      <c r="D268" s="1" t="s">
        <v>30</v>
      </c>
      <c r="E268" s="9">
        <v>2</v>
      </c>
      <c r="G268" s="1" t="s">
        <v>922</v>
      </c>
    </row>
    <row r="269" spans="1:7" x14ac:dyDescent="0.25">
      <c r="A269" s="1">
        <v>368</v>
      </c>
      <c r="B269" s="1">
        <f t="shared" si="8"/>
        <v>368</v>
      </c>
      <c r="C269" s="1" t="s">
        <v>344</v>
      </c>
      <c r="D269" s="1" t="s">
        <v>30</v>
      </c>
      <c r="E269" s="9">
        <v>2</v>
      </c>
      <c r="G269" s="1" t="s">
        <v>922</v>
      </c>
    </row>
    <row r="270" spans="1:7" x14ac:dyDescent="0.25">
      <c r="A270" s="1">
        <v>369</v>
      </c>
      <c r="B270" s="1">
        <f t="shared" si="8"/>
        <v>369</v>
      </c>
      <c r="C270" s="1" t="s">
        <v>345</v>
      </c>
      <c r="D270" s="1" t="s">
        <v>30</v>
      </c>
      <c r="E270" s="9">
        <v>2</v>
      </c>
      <c r="G270" s="1" t="s">
        <v>922</v>
      </c>
    </row>
    <row r="271" spans="1:7" x14ac:dyDescent="0.25">
      <c r="A271" s="1">
        <v>370</v>
      </c>
      <c r="B271" s="1">
        <f t="shared" si="8"/>
        <v>370</v>
      </c>
      <c r="C271" s="1" t="s">
        <v>346</v>
      </c>
      <c r="D271" s="1" t="s">
        <v>30</v>
      </c>
      <c r="E271" s="9">
        <v>2</v>
      </c>
      <c r="G271" s="1" t="s">
        <v>922</v>
      </c>
    </row>
    <row r="272" spans="1:7" x14ac:dyDescent="0.25">
      <c r="A272" s="1">
        <v>371</v>
      </c>
      <c r="B272" s="1">
        <f t="shared" si="8"/>
        <v>371</v>
      </c>
      <c r="C272" s="1" t="s">
        <v>347</v>
      </c>
      <c r="D272" s="1" t="s">
        <v>30</v>
      </c>
      <c r="E272" s="9">
        <v>2</v>
      </c>
      <c r="G272" s="1" t="s">
        <v>922</v>
      </c>
    </row>
    <row r="273" spans="1:7" x14ac:dyDescent="0.25">
      <c r="A273" s="1">
        <v>372</v>
      </c>
      <c r="B273" s="1">
        <f t="shared" si="8"/>
        <v>372</v>
      </c>
      <c r="C273" s="1" t="s">
        <v>349</v>
      </c>
      <c r="D273" s="1" t="s">
        <v>30</v>
      </c>
      <c r="E273" s="9">
        <v>2</v>
      </c>
      <c r="G273" s="1" t="s">
        <v>922</v>
      </c>
    </row>
    <row r="274" spans="1:7" x14ac:dyDescent="0.25">
      <c r="A274" s="1">
        <v>373</v>
      </c>
      <c r="B274" s="1">
        <f t="shared" si="8"/>
        <v>373</v>
      </c>
      <c r="C274" s="1" t="s">
        <v>350</v>
      </c>
      <c r="D274" s="1" t="s">
        <v>30</v>
      </c>
      <c r="E274" s="9">
        <v>2</v>
      </c>
      <c r="G274" s="1" t="s">
        <v>922</v>
      </c>
    </row>
    <row r="275" spans="1:7" x14ac:dyDescent="0.25">
      <c r="A275" s="1">
        <v>374</v>
      </c>
      <c r="B275" s="1">
        <f t="shared" si="8"/>
        <v>374</v>
      </c>
      <c r="C275" s="1" t="s">
        <v>351</v>
      </c>
      <c r="D275" s="1" t="s">
        <v>30</v>
      </c>
      <c r="E275" s="9">
        <v>2</v>
      </c>
      <c r="G275" s="1" t="s">
        <v>922</v>
      </c>
    </row>
    <row r="276" spans="1:7" x14ac:dyDescent="0.25">
      <c r="A276" s="1">
        <v>375</v>
      </c>
      <c r="B276" s="1">
        <f t="shared" si="8"/>
        <v>375</v>
      </c>
      <c r="C276" s="1" t="s">
        <v>352</v>
      </c>
      <c r="D276" s="1" t="s">
        <v>30</v>
      </c>
      <c r="E276" s="9">
        <v>2</v>
      </c>
      <c r="G276" s="1" t="s">
        <v>922</v>
      </c>
    </row>
    <row r="277" spans="1:7" x14ac:dyDescent="0.25">
      <c r="A277" s="1">
        <v>376</v>
      </c>
      <c r="B277" s="1">
        <f t="shared" si="8"/>
        <v>376</v>
      </c>
      <c r="C277" s="1" t="s">
        <v>353</v>
      </c>
      <c r="D277" s="1" t="s">
        <v>30</v>
      </c>
      <c r="E277" s="9">
        <v>2</v>
      </c>
      <c r="G277" s="1" t="s">
        <v>922</v>
      </c>
    </row>
    <row r="278" spans="1:7" x14ac:dyDescent="0.25">
      <c r="A278" s="1">
        <v>377</v>
      </c>
      <c r="B278" s="1">
        <f t="shared" si="8"/>
        <v>377</v>
      </c>
      <c r="C278" s="1" t="s">
        <v>354</v>
      </c>
      <c r="D278" s="1" t="s">
        <v>30</v>
      </c>
      <c r="E278" s="9">
        <v>2</v>
      </c>
      <c r="G278" s="1" t="s">
        <v>922</v>
      </c>
    </row>
    <row r="279" spans="1:7" x14ac:dyDescent="0.25">
      <c r="A279" s="1">
        <v>378</v>
      </c>
      <c r="B279" s="1">
        <f t="shared" si="8"/>
        <v>378</v>
      </c>
      <c r="C279" s="1" t="s">
        <v>355</v>
      </c>
      <c r="D279" s="1" t="s">
        <v>30</v>
      </c>
      <c r="E279" s="9">
        <v>2</v>
      </c>
      <c r="G279" s="1" t="s">
        <v>922</v>
      </c>
    </row>
    <row r="280" spans="1:7" x14ac:dyDescent="0.25">
      <c r="A280" s="1">
        <v>379</v>
      </c>
      <c r="B280" s="1">
        <f t="shared" si="8"/>
        <v>379</v>
      </c>
      <c r="C280" s="1" t="s">
        <v>356</v>
      </c>
      <c r="D280" s="1" t="s">
        <v>30</v>
      </c>
      <c r="E280" s="9">
        <v>2</v>
      </c>
      <c r="G280" s="1" t="s">
        <v>922</v>
      </c>
    </row>
    <row r="281" spans="1:7" x14ac:dyDescent="0.25">
      <c r="A281" s="1">
        <v>380</v>
      </c>
      <c r="B281" s="1">
        <f t="shared" si="8"/>
        <v>380</v>
      </c>
      <c r="C281" s="1" t="s">
        <v>357</v>
      </c>
      <c r="D281" s="1" t="s">
        <v>30</v>
      </c>
      <c r="E281" s="9">
        <v>2</v>
      </c>
      <c r="G281" s="1" t="s">
        <v>922</v>
      </c>
    </row>
    <row r="282" spans="1:7" x14ac:dyDescent="0.25">
      <c r="A282" s="1">
        <v>381</v>
      </c>
      <c r="B282" s="1">
        <f t="shared" si="8"/>
        <v>381</v>
      </c>
      <c r="C282" s="1" t="s">
        <v>358</v>
      </c>
      <c r="D282" s="1" t="s">
        <v>30</v>
      </c>
      <c r="E282" s="9">
        <v>2</v>
      </c>
      <c r="G282" s="1" t="s">
        <v>922</v>
      </c>
    </row>
    <row r="283" spans="1:7" x14ac:dyDescent="0.25">
      <c r="A283" s="1">
        <v>382</v>
      </c>
      <c r="B283" s="1">
        <f t="shared" si="8"/>
        <v>382</v>
      </c>
      <c r="C283" s="1" t="s">
        <v>359</v>
      </c>
      <c r="D283" s="1" t="s">
        <v>30</v>
      </c>
      <c r="E283" s="9">
        <v>2</v>
      </c>
      <c r="G283" s="1" t="s">
        <v>922</v>
      </c>
    </row>
    <row r="284" spans="1:7" x14ac:dyDescent="0.25">
      <c r="A284" s="1">
        <v>383</v>
      </c>
      <c r="B284" s="1">
        <f t="shared" si="8"/>
        <v>383</v>
      </c>
      <c r="C284" s="1" t="s">
        <v>360</v>
      </c>
      <c r="D284" s="1" t="s">
        <v>30</v>
      </c>
      <c r="E284" s="9">
        <v>2</v>
      </c>
      <c r="G284" s="1" t="s">
        <v>922</v>
      </c>
    </row>
    <row r="285" spans="1:7" x14ac:dyDescent="0.25">
      <c r="A285" s="1">
        <v>384</v>
      </c>
      <c r="B285" s="1">
        <f t="shared" si="8"/>
        <v>384</v>
      </c>
      <c r="C285" s="1" t="s">
        <v>361</v>
      </c>
      <c r="D285" s="1" t="s">
        <v>30</v>
      </c>
      <c r="E285" s="9">
        <v>2</v>
      </c>
      <c r="G285" s="1" t="s">
        <v>922</v>
      </c>
    </row>
    <row r="286" spans="1:7" x14ac:dyDescent="0.25">
      <c r="A286" s="1">
        <v>385</v>
      </c>
      <c r="B286" s="1">
        <f t="shared" si="8"/>
        <v>385</v>
      </c>
      <c r="C286" s="1" t="s">
        <v>362</v>
      </c>
      <c r="D286" s="1" t="s">
        <v>30</v>
      </c>
      <c r="E286" s="9">
        <v>2</v>
      </c>
      <c r="G286" s="1" t="s">
        <v>922</v>
      </c>
    </row>
    <row r="287" spans="1:7" x14ac:dyDescent="0.25">
      <c r="A287" s="1">
        <v>386</v>
      </c>
      <c r="B287" s="1">
        <f t="shared" si="8"/>
        <v>386</v>
      </c>
      <c r="C287" s="1" t="s">
        <v>363</v>
      </c>
      <c r="D287" s="1" t="s">
        <v>30</v>
      </c>
      <c r="E287" s="9">
        <v>2</v>
      </c>
      <c r="G287" s="1" t="s">
        <v>922</v>
      </c>
    </row>
    <row r="288" spans="1:7" x14ac:dyDescent="0.25">
      <c r="A288" s="1">
        <v>387</v>
      </c>
      <c r="B288" s="1">
        <f t="shared" si="8"/>
        <v>387</v>
      </c>
      <c r="C288" s="1" t="s">
        <v>364</v>
      </c>
      <c r="D288" s="1" t="s">
        <v>30</v>
      </c>
      <c r="E288" s="9">
        <v>2</v>
      </c>
      <c r="G288" s="1" t="s">
        <v>922</v>
      </c>
    </row>
    <row r="289" spans="1:7" x14ac:dyDescent="0.25">
      <c r="A289" s="1">
        <v>388</v>
      </c>
      <c r="B289" s="1">
        <f t="shared" si="8"/>
        <v>388</v>
      </c>
      <c r="C289" s="1" t="s">
        <v>365</v>
      </c>
      <c r="D289" s="1" t="s">
        <v>30</v>
      </c>
      <c r="E289" s="9">
        <v>2</v>
      </c>
      <c r="G289" s="1" t="s">
        <v>922</v>
      </c>
    </row>
    <row r="290" spans="1:7" x14ac:dyDescent="0.25">
      <c r="A290" s="1">
        <v>389</v>
      </c>
      <c r="B290" s="1">
        <f t="shared" si="8"/>
        <v>389</v>
      </c>
      <c r="C290" s="1" t="s">
        <v>366</v>
      </c>
      <c r="D290" s="1" t="s">
        <v>30</v>
      </c>
      <c r="E290" s="9">
        <v>2</v>
      </c>
      <c r="G290" s="1" t="s">
        <v>922</v>
      </c>
    </row>
    <row r="291" spans="1:7" x14ac:dyDescent="0.25">
      <c r="A291" s="1">
        <v>390</v>
      </c>
      <c r="B291" s="1">
        <f t="shared" si="8"/>
        <v>390</v>
      </c>
      <c r="C291" s="1" t="s">
        <v>367</v>
      </c>
      <c r="D291" s="1" t="s">
        <v>30</v>
      </c>
      <c r="E291" s="9">
        <v>2</v>
      </c>
      <c r="G291" s="1" t="s">
        <v>922</v>
      </c>
    </row>
    <row r="292" spans="1:7" x14ac:dyDescent="0.25">
      <c r="A292" s="1">
        <v>391</v>
      </c>
      <c r="B292" s="1">
        <f t="shared" si="8"/>
        <v>391</v>
      </c>
      <c r="C292" s="1" t="s">
        <v>368</v>
      </c>
      <c r="D292" s="1" t="s">
        <v>30</v>
      </c>
      <c r="E292" s="9">
        <v>2</v>
      </c>
      <c r="G292" s="1" t="s">
        <v>922</v>
      </c>
    </row>
    <row r="293" spans="1:7" x14ac:dyDescent="0.25">
      <c r="A293" s="1">
        <v>392</v>
      </c>
      <c r="B293" s="1">
        <f t="shared" si="8"/>
        <v>392</v>
      </c>
      <c r="C293" s="1" t="s">
        <v>369</v>
      </c>
      <c r="D293" s="1" t="s">
        <v>30</v>
      </c>
      <c r="E293" s="9">
        <v>2</v>
      </c>
      <c r="G293" s="1" t="s">
        <v>922</v>
      </c>
    </row>
    <row r="294" spans="1:7" x14ac:dyDescent="0.25">
      <c r="A294" s="1">
        <v>393</v>
      </c>
      <c r="B294" s="1">
        <f t="shared" si="8"/>
        <v>393</v>
      </c>
      <c r="C294" s="1" t="s">
        <v>371</v>
      </c>
      <c r="D294" s="1" t="s">
        <v>30</v>
      </c>
      <c r="E294" s="9">
        <v>2</v>
      </c>
      <c r="G294" s="1" t="s">
        <v>922</v>
      </c>
    </row>
    <row r="295" spans="1:7" x14ac:dyDescent="0.25">
      <c r="A295" s="1">
        <v>394</v>
      </c>
      <c r="B295" s="1">
        <f t="shared" si="8"/>
        <v>394</v>
      </c>
      <c r="C295" s="1" t="s">
        <v>372</v>
      </c>
      <c r="D295" s="1" t="s">
        <v>30</v>
      </c>
      <c r="E295" s="9">
        <v>2</v>
      </c>
      <c r="G295" s="1" t="s">
        <v>922</v>
      </c>
    </row>
    <row r="296" spans="1:7" x14ac:dyDescent="0.25">
      <c r="A296" s="1">
        <v>395</v>
      </c>
      <c r="B296" s="1">
        <f t="shared" si="8"/>
        <v>395</v>
      </c>
      <c r="C296" s="1" t="s">
        <v>373</v>
      </c>
      <c r="D296" s="1" t="s">
        <v>30</v>
      </c>
      <c r="E296" s="9">
        <v>2</v>
      </c>
      <c r="G296" s="1" t="s">
        <v>922</v>
      </c>
    </row>
    <row r="297" spans="1:7" x14ac:dyDescent="0.25">
      <c r="A297" s="1">
        <v>396</v>
      </c>
      <c r="B297" s="1">
        <f t="shared" si="8"/>
        <v>396</v>
      </c>
      <c r="C297" s="1" t="s">
        <v>374</v>
      </c>
      <c r="D297" s="1" t="s">
        <v>30</v>
      </c>
      <c r="E297" s="9">
        <v>2</v>
      </c>
      <c r="G297" s="1" t="s">
        <v>922</v>
      </c>
    </row>
    <row r="298" spans="1:7" x14ac:dyDescent="0.25">
      <c r="A298" s="1">
        <v>397</v>
      </c>
      <c r="B298" s="1">
        <f t="shared" si="8"/>
        <v>397</v>
      </c>
      <c r="C298" s="1" t="s">
        <v>375</v>
      </c>
      <c r="D298" s="1" t="s">
        <v>30</v>
      </c>
      <c r="E298" s="9">
        <v>2</v>
      </c>
      <c r="G298" s="1" t="s">
        <v>922</v>
      </c>
    </row>
    <row r="299" spans="1:7" x14ac:dyDescent="0.25">
      <c r="A299" s="1">
        <v>398</v>
      </c>
      <c r="B299" s="1">
        <f t="shared" si="8"/>
        <v>398</v>
      </c>
      <c r="C299" s="1" t="s">
        <v>376</v>
      </c>
      <c r="D299" s="1" t="s">
        <v>30</v>
      </c>
      <c r="E299" s="9">
        <v>2</v>
      </c>
      <c r="G299" s="1" t="s">
        <v>922</v>
      </c>
    </row>
    <row r="300" spans="1:7" x14ac:dyDescent="0.25">
      <c r="A300" s="1">
        <v>399</v>
      </c>
      <c r="B300" s="1">
        <f t="shared" si="8"/>
        <v>399</v>
      </c>
      <c r="C300" s="1" t="s">
        <v>377</v>
      </c>
      <c r="D300" s="1" t="s">
        <v>30</v>
      </c>
      <c r="E300" s="9">
        <v>2</v>
      </c>
      <c r="G300" s="1" t="s">
        <v>922</v>
      </c>
    </row>
    <row r="301" spans="1:7" x14ac:dyDescent="0.25">
      <c r="A301" s="1">
        <v>400</v>
      </c>
      <c r="B301" s="1">
        <f t="shared" si="8"/>
        <v>400</v>
      </c>
      <c r="C301" s="1" t="s">
        <v>379</v>
      </c>
      <c r="D301" s="1" t="s">
        <v>30</v>
      </c>
      <c r="E301" s="9">
        <v>4</v>
      </c>
      <c r="G301" s="1" t="s">
        <v>922</v>
      </c>
    </row>
    <row r="302" spans="1:7" x14ac:dyDescent="0.25">
      <c r="A302" s="1">
        <v>401</v>
      </c>
      <c r="B302" s="1">
        <f t="shared" si="8"/>
        <v>401</v>
      </c>
      <c r="C302" s="1" t="s">
        <v>380</v>
      </c>
      <c r="D302" s="1" t="s">
        <v>30</v>
      </c>
      <c r="E302" s="9">
        <v>5</v>
      </c>
      <c r="G302" s="1" t="s">
        <v>922</v>
      </c>
    </row>
    <row r="303" spans="1:7" x14ac:dyDescent="0.25">
      <c r="A303" s="1">
        <v>402</v>
      </c>
      <c r="B303" s="1">
        <f t="shared" si="8"/>
        <v>402</v>
      </c>
      <c r="C303" s="1" t="s">
        <v>381</v>
      </c>
      <c r="D303" s="1" t="s">
        <v>30</v>
      </c>
      <c r="E303" s="9">
        <v>4</v>
      </c>
      <c r="G303" s="1" t="s">
        <v>922</v>
      </c>
    </row>
    <row r="304" spans="1:7" x14ac:dyDescent="0.25">
      <c r="A304" s="1">
        <v>403</v>
      </c>
      <c r="B304" s="1">
        <f t="shared" si="8"/>
        <v>403</v>
      </c>
      <c r="C304" s="1" t="s">
        <v>382</v>
      </c>
      <c r="D304" s="1" t="s">
        <v>30</v>
      </c>
      <c r="E304" s="9">
        <v>5</v>
      </c>
      <c r="G304" s="1" t="s">
        <v>922</v>
      </c>
    </row>
    <row r="305" spans="1:7" x14ac:dyDescent="0.25">
      <c r="A305" s="1">
        <v>404</v>
      </c>
      <c r="B305" s="1">
        <f t="shared" si="8"/>
        <v>404</v>
      </c>
      <c r="C305" s="1" t="s">
        <v>383</v>
      </c>
      <c r="D305" s="1" t="s">
        <v>30</v>
      </c>
      <c r="E305" s="9">
        <v>4</v>
      </c>
      <c r="G305" s="1" t="s">
        <v>922</v>
      </c>
    </row>
    <row r="306" spans="1:7" x14ac:dyDescent="0.25">
      <c r="A306" s="1">
        <v>405</v>
      </c>
      <c r="B306" s="1">
        <f t="shared" si="8"/>
        <v>405</v>
      </c>
      <c r="C306" s="1" t="s">
        <v>384</v>
      </c>
      <c r="D306" s="1" t="s">
        <v>30</v>
      </c>
      <c r="E306" s="9">
        <v>5</v>
      </c>
      <c r="G306" s="1" t="s">
        <v>922</v>
      </c>
    </row>
    <row r="307" spans="1:7" x14ac:dyDescent="0.25">
      <c r="A307" s="1">
        <v>406</v>
      </c>
      <c r="B307" s="1">
        <f t="shared" si="8"/>
        <v>406</v>
      </c>
      <c r="C307" s="1" t="s">
        <v>385</v>
      </c>
      <c r="D307" s="1" t="s">
        <v>30</v>
      </c>
      <c r="E307" s="9">
        <v>4</v>
      </c>
      <c r="G307" s="1" t="s">
        <v>922</v>
      </c>
    </row>
    <row r="308" spans="1:7" x14ac:dyDescent="0.25">
      <c r="A308" s="1">
        <v>407</v>
      </c>
      <c r="B308" s="1">
        <f t="shared" si="8"/>
        <v>407</v>
      </c>
      <c r="C308" s="1" t="s">
        <v>386</v>
      </c>
      <c r="D308" s="1" t="s">
        <v>30</v>
      </c>
      <c r="E308" s="9">
        <v>2</v>
      </c>
      <c r="G308" s="1" t="s">
        <v>922</v>
      </c>
    </row>
    <row r="309" spans="1:7" x14ac:dyDescent="0.25">
      <c r="A309" s="1">
        <v>408</v>
      </c>
      <c r="B309" s="1">
        <f t="shared" si="8"/>
        <v>408</v>
      </c>
      <c r="C309" s="1" t="s">
        <v>387</v>
      </c>
      <c r="D309" s="1" t="s">
        <v>30</v>
      </c>
      <c r="E309" s="9">
        <v>5</v>
      </c>
      <c r="G309" s="1" t="s">
        <v>922</v>
      </c>
    </row>
    <row r="310" spans="1:7" x14ac:dyDescent="0.25">
      <c r="A310" s="1">
        <v>409</v>
      </c>
      <c r="B310" s="1">
        <f t="shared" si="8"/>
        <v>409</v>
      </c>
      <c r="C310" s="1" t="s">
        <v>388</v>
      </c>
      <c r="D310" s="1" t="s">
        <v>30</v>
      </c>
      <c r="E310" s="9">
        <v>2</v>
      </c>
      <c r="G310" s="1" t="s">
        <v>922</v>
      </c>
    </row>
    <row r="311" spans="1:7" x14ac:dyDescent="0.25">
      <c r="A311" s="1">
        <v>410</v>
      </c>
      <c r="B311" s="1">
        <f t="shared" si="8"/>
        <v>410</v>
      </c>
      <c r="C311" s="1" t="s">
        <v>389</v>
      </c>
      <c r="D311" s="1" t="s">
        <v>30</v>
      </c>
      <c r="E311" s="9">
        <v>2</v>
      </c>
      <c r="G311" s="1" t="s">
        <v>922</v>
      </c>
    </row>
    <row r="312" spans="1:7" x14ac:dyDescent="0.25">
      <c r="A312" s="1">
        <v>411</v>
      </c>
      <c r="B312" s="1">
        <f t="shared" si="8"/>
        <v>411</v>
      </c>
      <c r="C312" s="1" t="s">
        <v>390</v>
      </c>
      <c r="D312" s="1" t="s">
        <v>30</v>
      </c>
      <c r="E312" s="9">
        <v>2</v>
      </c>
      <c r="G312" s="1" t="s">
        <v>922</v>
      </c>
    </row>
    <row r="313" spans="1:7" x14ac:dyDescent="0.25">
      <c r="A313" s="1">
        <v>412</v>
      </c>
      <c r="B313" s="1">
        <f t="shared" si="8"/>
        <v>412</v>
      </c>
      <c r="C313" s="1" t="s">
        <v>391</v>
      </c>
      <c r="D313" s="1" t="s">
        <v>30</v>
      </c>
      <c r="E313" s="9">
        <v>2</v>
      </c>
      <c r="G313" s="1" t="s">
        <v>922</v>
      </c>
    </row>
    <row r="314" spans="1:7" x14ac:dyDescent="0.25">
      <c r="A314" s="1">
        <v>413</v>
      </c>
      <c r="B314" s="1">
        <f t="shared" si="8"/>
        <v>413</v>
      </c>
      <c r="C314" s="1" t="s">
        <v>392</v>
      </c>
      <c r="D314" s="1" t="s">
        <v>30</v>
      </c>
      <c r="E314" s="9">
        <v>2</v>
      </c>
      <c r="G314" s="1" t="s">
        <v>922</v>
      </c>
    </row>
    <row r="315" spans="1:7" x14ac:dyDescent="0.25">
      <c r="A315" s="1">
        <v>414</v>
      </c>
      <c r="B315" s="1">
        <f t="shared" si="8"/>
        <v>414</v>
      </c>
      <c r="C315" s="1" t="s">
        <v>393</v>
      </c>
      <c r="D315" s="1" t="s">
        <v>30</v>
      </c>
      <c r="E315" s="9">
        <v>2</v>
      </c>
      <c r="G315" s="1" t="s">
        <v>922</v>
      </c>
    </row>
    <row r="316" spans="1:7" x14ac:dyDescent="0.25">
      <c r="A316" s="1">
        <v>415</v>
      </c>
      <c r="B316" s="1">
        <f t="shared" si="8"/>
        <v>415</v>
      </c>
      <c r="C316" s="1" t="s">
        <v>394</v>
      </c>
      <c r="D316" s="1" t="s">
        <v>30</v>
      </c>
      <c r="E316" s="9">
        <v>2</v>
      </c>
      <c r="G316" s="1" t="s">
        <v>922</v>
      </c>
    </row>
    <row r="317" spans="1:7" x14ac:dyDescent="0.25">
      <c r="A317" s="1">
        <v>416</v>
      </c>
      <c r="B317" s="1">
        <f t="shared" si="8"/>
        <v>416</v>
      </c>
      <c r="C317" s="1" t="s">
        <v>395</v>
      </c>
      <c r="D317" s="1" t="s">
        <v>30</v>
      </c>
      <c r="E317" s="9">
        <v>2</v>
      </c>
      <c r="G317" s="1" t="s">
        <v>922</v>
      </c>
    </row>
    <row r="318" spans="1:7" x14ac:dyDescent="0.25">
      <c r="A318" s="1">
        <v>417</v>
      </c>
      <c r="B318" s="1">
        <f t="shared" si="8"/>
        <v>417</v>
      </c>
      <c r="C318" s="1" t="s">
        <v>396</v>
      </c>
      <c r="D318" s="1" t="s">
        <v>30</v>
      </c>
      <c r="E318" s="9">
        <v>2</v>
      </c>
      <c r="G318" s="1" t="s">
        <v>922</v>
      </c>
    </row>
    <row r="319" spans="1:7" x14ac:dyDescent="0.25">
      <c r="A319" s="1">
        <v>418</v>
      </c>
      <c r="B319" s="1">
        <f t="shared" si="8"/>
        <v>418</v>
      </c>
      <c r="C319" s="1" t="s">
        <v>397</v>
      </c>
      <c r="D319" s="1" t="s">
        <v>30</v>
      </c>
      <c r="E319" s="9">
        <v>2</v>
      </c>
      <c r="G319" s="1" t="s">
        <v>922</v>
      </c>
    </row>
    <row r="320" spans="1:7" x14ac:dyDescent="0.25">
      <c r="A320" s="1">
        <v>419</v>
      </c>
      <c r="B320" s="1">
        <f t="shared" si="8"/>
        <v>419</v>
      </c>
      <c r="C320" s="1" t="s">
        <v>398</v>
      </c>
      <c r="D320" s="1" t="s">
        <v>30</v>
      </c>
      <c r="E320" s="9">
        <v>2</v>
      </c>
      <c r="G320" s="1" t="s">
        <v>922</v>
      </c>
    </row>
    <row r="321" spans="1:7" x14ac:dyDescent="0.25">
      <c r="A321" s="1">
        <v>420</v>
      </c>
      <c r="B321" s="1">
        <f t="shared" si="8"/>
        <v>420</v>
      </c>
      <c r="C321" s="1" t="s">
        <v>399</v>
      </c>
      <c r="D321" s="1" t="s">
        <v>30</v>
      </c>
      <c r="E321" s="9">
        <v>2</v>
      </c>
      <c r="G321" s="1" t="s">
        <v>922</v>
      </c>
    </row>
    <row r="322" spans="1:7" x14ac:dyDescent="0.25">
      <c r="A322" s="1">
        <v>421</v>
      </c>
      <c r="B322" s="1">
        <f t="shared" ref="B322:B385" si="9">A322</f>
        <v>421</v>
      </c>
      <c r="C322" s="1" t="s">
        <v>400</v>
      </c>
      <c r="D322" s="1" t="s">
        <v>30</v>
      </c>
      <c r="E322" s="9">
        <v>2</v>
      </c>
      <c r="G322" s="1" t="s">
        <v>922</v>
      </c>
    </row>
    <row r="323" spans="1:7" x14ac:dyDescent="0.25">
      <c r="A323" s="1">
        <v>422</v>
      </c>
      <c r="B323" s="1">
        <f t="shared" si="9"/>
        <v>422</v>
      </c>
      <c r="C323" s="1" t="s">
        <v>401</v>
      </c>
      <c r="D323" s="1" t="s">
        <v>30</v>
      </c>
      <c r="E323" s="9">
        <v>2</v>
      </c>
      <c r="G323" s="1" t="s">
        <v>922</v>
      </c>
    </row>
    <row r="324" spans="1:7" x14ac:dyDescent="0.25">
      <c r="A324" s="1">
        <v>423</v>
      </c>
      <c r="B324" s="1">
        <f t="shared" si="9"/>
        <v>423</v>
      </c>
      <c r="C324" s="1" t="s">
        <v>402</v>
      </c>
      <c r="D324" s="1" t="s">
        <v>30</v>
      </c>
      <c r="E324" s="9">
        <v>2</v>
      </c>
      <c r="G324" s="1" t="s">
        <v>922</v>
      </c>
    </row>
    <row r="325" spans="1:7" x14ac:dyDescent="0.25">
      <c r="A325" s="1">
        <v>424</v>
      </c>
      <c r="B325" s="1">
        <f t="shared" si="9"/>
        <v>424</v>
      </c>
      <c r="C325" s="1" t="s">
        <v>403</v>
      </c>
      <c r="D325" s="1" t="s">
        <v>30</v>
      </c>
      <c r="E325" s="9">
        <v>2</v>
      </c>
      <c r="G325" s="1" t="s">
        <v>922</v>
      </c>
    </row>
    <row r="326" spans="1:7" x14ac:dyDescent="0.25">
      <c r="A326" s="1">
        <v>425</v>
      </c>
      <c r="B326" s="1">
        <f t="shared" si="9"/>
        <v>425</v>
      </c>
      <c r="C326" s="1" t="s">
        <v>404</v>
      </c>
      <c r="D326" s="1" t="s">
        <v>30</v>
      </c>
      <c r="E326" s="9">
        <v>2</v>
      </c>
      <c r="G326" s="1" t="s">
        <v>922</v>
      </c>
    </row>
    <row r="327" spans="1:7" x14ac:dyDescent="0.25">
      <c r="A327" s="1">
        <v>426</v>
      </c>
      <c r="B327" s="1">
        <f t="shared" si="9"/>
        <v>426</v>
      </c>
      <c r="C327" s="1" t="s">
        <v>405</v>
      </c>
      <c r="D327" s="1" t="s">
        <v>30</v>
      </c>
      <c r="E327" s="9">
        <v>2</v>
      </c>
      <c r="G327" s="1" t="s">
        <v>922</v>
      </c>
    </row>
    <row r="328" spans="1:7" x14ac:dyDescent="0.25">
      <c r="A328" s="1">
        <v>427</v>
      </c>
      <c r="B328" s="1">
        <f t="shared" si="9"/>
        <v>427</v>
      </c>
      <c r="C328" s="1" t="s">
        <v>406</v>
      </c>
      <c r="D328" s="1" t="s">
        <v>30</v>
      </c>
      <c r="E328" s="9">
        <v>2</v>
      </c>
      <c r="G328" s="1" t="s">
        <v>922</v>
      </c>
    </row>
    <row r="329" spans="1:7" x14ac:dyDescent="0.25">
      <c r="A329" s="1">
        <v>428</v>
      </c>
      <c r="B329" s="1">
        <f t="shared" si="9"/>
        <v>428</v>
      </c>
      <c r="C329" s="1" t="s">
        <v>407</v>
      </c>
      <c r="D329" s="1" t="s">
        <v>30</v>
      </c>
      <c r="E329" s="9">
        <v>2</v>
      </c>
      <c r="G329" s="1" t="s">
        <v>922</v>
      </c>
    </row>
    <row r="330" spans="1:7" x14ac:dyDescent="0.25">
      <c r="A330" s="1">
        <v>429</v>
      </c>
      <c r="B330" s="1">
        <f t="shared" si="9"/>
        <v>429</v>
      </c>
      <c r="C330" s="1" t="s">
        <v>408</v>
      </c>
      <c r="D330" s="1" t="s">
        <v>30</v>
      </c>
      <c r="E330" s="9">
        <v>2</v>
      </c>
      <c r="G330" s="1" t="s">
        <v>922</v>
      </c>
    </row>
    <row r="331" spans="1:7" x14ac:dyDescent="0.25">
      <c r="A331" s="1">
        <v>430</v>
      </c>
      <c r="B331" s="1">
        <f t="shared" si="9"/>
        <v>430</v>
      </c>
      <c r="C331" s="1" t="s">
        <v>409</v>
      </c>
      <c r="D331" s="1" t="s">
        <v>30</v>
      </c>
      <c r="E331" s="9">
        <v>2</v>
      </c>
      <c r="G331" s="1" t="s">
        <v>922</v>
      </c>
    </row>
    <row r="332" spans="1:7" x14ac:dyDescent="0.25">
      <c r="A332" s="1">
        <v>431</v>
      </c>
      <c r="B332" s="1">
        <f t="shared" si="9"/>
        <v>431</v>
      </c>
      <c r="C332" s="1" t="s">
        <v>410</v>
      </c>
      <c r="D332" s="1" t="s">
        <v>30</v>
      </c>
      <c r="E332" s="9">
        <v>2</v>
      </c>
      <c r="G332" s="1" t="s">
        <v>922</v>
      </c>
    </row>
    <row r="333" spans="1:7" x14ac:dyDescent="0.25">
      <c r="A333" s="1">
        <v>432</v>
      </c>
      <c r="B333" s="1">
        <f t="shared" si="9"/>
        <v>432</v>
      </c>
      <c r="C333" s="1" t="s">
        <v>411</v>
      </c>
      <c r="D333" s="1" t="s">
        <v>30</v>
      </c>
      <c r="E333" s="9">
        <v>2</v>
      </c>
      <c r="G333" s="1" t="s">
        <v>922</v>
      </c>
    </row>
    <row r="334" spans="1:7" x14ac:dyDescent="0.25">
      <c r="A334" s="1">
        <v>433</v>
      </c>
      <c r="B334" s="1">
        <f t="shared" si="9"/>
        <v>433</v>
      </c>
      <c r="C334" s="1" t="s">
        <v>412</v>
      </c>
      <c r="D334" s="1" t="s">
        <v>30</v>
      </c>
      <c r="E334" s="9">
        <v>2</v>
      </c>
      <c r="G334" s="1" t="s">
        <v>922</v>
      </c>
    </row>
    <row r="335" spans="1:7" x14ac:dyDescent="0.25">
      <c r="A335" s="1">
        <v>434</v>
      </c>
      <c r="B335" s="1">
        <f t="shared" si="9"/>
        <v>434</v>
      </c>
      <c r="C335" s="1" t="s">
        <v>413</v>
      </c>
      <c r="D335" s="1" t="s">
        <v>30</v>
      </c>
      <c r="E335" s="9">
        <v>2</v>
      </c>
      <c r="G335" s="1" t="s">
        <v>922</v>
      </c>
    </row>
    <row r="336" spans="1:7" x14ac:dyDescent="0.25">
      <c r="A336" s="1">
        <v>435</v>
      </c>
      <c r="B336" s="1">
        <f t="shared" si="9"/>
        <v>435</v>
      </c>
      <c r="C336" s="1" t="s">
        <v>414</v>
      </c>
      <c r="D336" s="1" t="s">
        <v>30</v>
      </c>
      <c r="E336" s="9">
        <v>2</v>
      </c>
      <c r="G336" s="1" t="s">
        <v>922</v>
      </c>
    </row>
    <row r="337" spans="1:7" x14ac:dyDescent="0.25">
      <c r="A337" s="1">
        <v>436</v>
      </c>
      <c r="B337" s="1">
        <f t="shared" si="9"/>
        <v>436</v>
      </c>
      <c r="C337" s="1" t="s">
        <v>415</v>
      </c>
      <c r="D337" s="1" t="s">
        <v>30</v>
      </c>
      <c r="E337" s="9">
        <v>2</v>
      </c>
      <c r="G337" s="1" t="s">
        <v>922</v>
      </c>
    </row>
    <row r="338" spans="1:7" x14ac:dyDescent="0.25">
      <c r="A338" s="1">
        <v>437</v>
      </c>
      <c r="B338" s="1">
        <f t="shared" si="9"/>
        <v>437</v>
      </c>
      <c r="C338" s="1" t="s">
        <v>416</v>
      </c>
      <c r="D338" s="1" t="s">
        <v>30</v>
      </c>
      <c r="E338" s="9">
        <v>2</v>
      </c>
      <c r="G338" s="1" t="s">
        <v>922</v>
      </c>
    </row>
    <row r="339" spans="1:7" x14ac:dyDescent="0.25">
      <c r="A339" s="1">
        <v>438</v>
      </c>
      <c r="B339" s="1">
        <f t="shared" si="9"/>
        <v>438</v>
      </c>
      <c r="C339" s="1" t="s">
        <v>417</v>
      </c>
      <c r="D339" s="1" t="s">
        <v>30</v>
      </c>
      <c r="E339" s="9">
        <v>2</v>
      </c>
      <c r="G339" s="1" t="s">
        <v>922</v>
      </c>
    </row>
    <row r="340" spans="1:7" x14ac:dyDescent="0.25">
      <c r="A340" s="1">
        <v>439</v>
      </c>
      <c r="B340" s="1">
        <f t="shared" si="9"/>
        <v>439</v>
      </c>
      <c r="C340" s="1" t="s">
        <v>418</v>
      </c>
      <c r="D340" s="1" t="s">
        <v>30</v>
      </c>
      <c r="E340" s="9">
        <v>2</v>
      </c>
      <c r="G340" s="1" t="s">
        <v>922</v>
      </c>
    </row>
    <row r="341" spans="1:7" x14ac:dyDescent="0.25">
      <c r="A341" s="1">
        <v>440</v>
      </c>
      <c r="B341" s="1">
        <f t="shared" si="9"/>
        <v>440</v>
      </c>
      <c r="C341" s="1" t="s">
        <v>419</v>
      </c>
      <c r="D341" s="1" t="s">
        <v>30</v>
      </c>
      <c r="E341" s="9">
        <v>2</v>
      </c>
      <c r="G341" s="1" t="s">
        <v>922</v>
      </c>
    </row>
    <row r="342" spans="1:7" x14ac:dyDescent="0.25">
      <c r="A342" s="1">
        <v>441</v>
      </c>
      <c r="B342" s="1">
        <f t="shared" si="9"/>
        <v>441</v>
      </c>
      <c r="C342" s="1" t="s">
        <v>420</v>
      </c>
      <c r="D342" s="1" t="s">
        <v>30</v>
      </c>
      <c r="E342" s="9">
        <v>2</v>
      </c>
      <c r="G342" s="1" t="s">
        <v>922</v>
      </c>
    </row>
    <row r="343" spans="1:7" x14ac:dyDescent="0.25">
      <c r="A343" s="1">
        <v>442</v>
      </c>
      <c r="B343" s="1">
        <f t="shared" si="9"/>
        <v>442</v>
      </c>
      <c r="C343" s="1" t="s">
        <v>421</v>
      </c>
      <c r="D343" s="1" t="s">
        <v>30</v>
      </c>
      <c r="E343" s="9">
        <v>2</v>
      </c>
      <c r="G343" s="1" t="s">
        <v>922</v>
      </c>
    </row>
    <row r="344" spans="1:7" x14ac:dyDescent="0.25">
      <c r="A344" s="1">
        <v>443</v>
      </c>
      <c r="B344" s="1">
        <f t="shared" si="9"/>
        <v>443</v>
      </c>
      <c r="C344" s="1" t="s">
        <v>422</v>
      </c>
      <c r="D344" s="1" t="s">
        <v>30</v>
      </c>
      <c r="E344" s="9">
        <v>2</v>
      </c>
      <c r="G344" s="1" t="s">
        <v>922</v>
      </c>
    </row>
    <row r="345" spans="1:7" x14ac:dyDescent="0.25">
      <c r="A345" s="1">
        <v>444</v>
      </c>
      <c r="B345" s="1">
        <f t="shared" si="9"/>
        <v>444</v>
      </c>
      <c r="C345" s="1" t="s">
        <v>423</v>
      </c>
      <c r="D345" s="1" t="s">
        <v>30</v>
      </c>
      <c r="E345" s="9">
        <v>2</v>
      </c>
      <c r="G345" s="1" t="s">
        <v>922</v>
      </c>
    </row>
    <row r="346" spans="1:7" x14ac:dyDescent="0.25">
      <c r="A346" s="1">
        <v>445</v>
      </c>
      <c r="B346" s="1">
        <f t="shared" si="9"/>
        <v>445</v>
      </c>
      <c r="C346" s="1" t="s">
        <v>424</v>
      </c>
      <c r="D346" s="1" t="s">
        <v>30</v>
      </c>
      <c r="E346" s="9">
        <v>2</v>
      </c>
      <c r="G346" s="1" t="s">
        <v>922</v>
      </c>
    </row>
    <row r="347" spans="1:7" x14ac:dyDescent="0.25">
      <c r="A347" s="1">
        <v>446</v>
      </c>
      <c r="B347" s="1">
        <f t="shared" si="9"/>
        <v>446</v>
      </c>
      <c r="C347" s="1" t="s">
        <v>425</v>
      </c>
      <c r="D347" s="1" t="s">
        <v>30</v>
      </c>
      <c r="E347" s="9">
        <v>2</v>
      </c>
      <c r="G347" s="1" t="s">
        <v>922</v>
      </c>
    </row>
    <row r="348" spans="1:7" x14ac:dyDescent="0.25">
      <c r="A348" s="1">
        <v>447</v>
      </c>
      <c r="B348" s="1">
        <f t="shared" si="9"/>
        <v>447</v>
      </c>
      <c r="C348" s="1" t="s">
        <v>426</v>
      </c>
      <c r="D348" s="1" t="s">
        <v>30</v>
      </c>
      <c r="E348" s="9">
        <v>2</v>
      </c>
      <c r="G348" s="1" t="s">
        <v>922</v>
      </c>
    </row>
    <row r="349" spans="1:7" x14ac:dyDescent="0.25">
      <c r="A349" s="1">
        <v>448</v>
      </c>
      <c r="B349" s="1">
        <f t="shared" si="9"/>
        <v>448</v>
      </c>
      <c r="C349" s="1" t="s">
        <v>427</v>
      </c>
      <c r="D349" s="1" t="s">
        <v>30</v>
      </c>
      <c r="E349" s="9">
        <v>2</v>
      </c>
      <c r="G349" s="1" t="s">
        <v>922</v>
      </c>
    </row>
    <row r="350" spans="1:7" x14ac:dyDescent="0.25">
      <c r="A350" s="1">
        <v>449</v>
      </c>
      <c r="B350" s="1">
        <f t="shared" si="9"/>
        <v>449</v>
      </c>
      <c r="C350" s="1" t="s">
        <v>428</v>
      </c>
      <c r="D350" s="1" t="s">
        <v>30</v>
      </c>
      <c r="E350" s="9">
        <v>2</v>
      </c>
      <c r="G350" s="1" t="s">
        <v>922</v>
      </c>
    </row>
    <row r="351" spans="1:7" x14ac:dyDescent="0.25">
      <c r="A351" s="1">
        <v>450</v>
      </c>
      <c r="B351" s="1">
        <f t="shared" si="9"/>
        <v>450</v>
      </c>
      <c r="C351" s="1" t="s">
        <v>429</v>
      </c>
      <c r="D351" s="1" t="s">
        <v>30</v>
      </c>
      <c r="E351" s="9">
        <v>2</v>
      </c>
      <c r="G351" s="1" t="s">
        <v>922</v>
      </c>
    </row>
    <row r="352" spans="1:7" x14ac:dyDescent="0.25">
      <c r="A352" s="1">
        <v>451</v>
      </c>
      <c r="B352" s="1">
        <f t="shared" si="9"/>
        <v>451</v>
      </c>
      <c r="C352" s="1" t="s">
        <v>430</v>
      </c>
      <c r="D352" s="1" t="s">
        <v>30</v>
      </c>
      <c r="E352" s="9">
        <v>2</v>
      </c>
      <c r="G352" s="1" t="s">
        <v>922</v>
      </c>
    </row>
    <row r="353" spans="1:7" x14ac:dyDescent="0.25">
      <c r="A353" s="1">
        <v>452</v>
      </c>
      <c r="B353" s="1">
        <f t="shared" si="9"/>
        <v>452</v>
      </c>
      <c r="C353" s="1" t="s">
        <v>431</v>
      </c>
      <c r="D353" s="1" t="s">
        <v>30</v>
      </c>
      <c r="E353" s="9">
        <v>2</v>
      </c>
      <c r="G353" s="1" t="s">
        <v>922</v>
      </c>
    </row>
    <row r="354" spans="1:7" x14ac:dyDescent="0.25">
      <c r="A354" s="1">
        <v>453</v>
      </c>
      <c r="B354" s="1">
        <f t="shared" si="9"/>
        <v>453</v>
      </c>
      <c r="C354" s="1" t="s">
        <v>432</v>
      </c>
      <c r="D354" s="1" t="s">
        <v>30</v>
      </c>
      <c r="E354" s="9">
        <v>2</v>
      </c>
      <c r="G354" s="1" t="s">
        <v>922</v>
      </c>
    </row>
    <row r="355" spans="1:7" x14ac:dyDescent="0.25">
      <c r="A355" s="1">
        <v>454</v>
      </c>
      <c r="B355" s="1">
        <f t="shared" si="9"/>
        <v>454</v>
      </c>
      <c r="C355" s="1" t="s">
        <v>433</v>
      </c>
      <c r="D355" s="1" t="s">
        <v>30</v>
      </c>
      <c r="E355" s="9">
        <v>2</v>
      </c>
      <c r="G355" s="1" t="s">
        <v>922</v>
      </c>
    </row>
    <row r="356" spans="1:7" x14ac:dyDescent="0.25">
      <c r="A356" s="1">
        <v>455</v>
      </c>
      <c r="B356" s="1">
        <f t="shared" si="9"/>
        <v>455</v>
      </c>
      <c r="C356" s="1" t="s">
        <v>434</v>
      </c>
      <c r="D356" s="1" t="s">
        <v>30</v>
      </c>
      <c r="E356" s="9">
        <v>2</v>
      </c>
      <c r="G356" s="1" t="s">
        <v>922</v>
      </c>
    </row>
    <row r="357" spans="1:7" x14ac:dyDescent="0.25">
      <c r="A357" s="1">
        <v>456</v>
      </c>
      <c r="B357" s="1">
        <f t="shared" si="9"/>
        <v>456</v>
      </c>
      <c r="C357" s="1" t="s">
        <v>435</v>
      </c>
      <c r="D357" s="1" t="s">
        <v>30</v>
      </c>
      <c r="E357" s="9">
        <v>2</v>
      </c>
      <c r="G357" s="1" t="s">
        <v>922</v>
      </c>
    </row>
    <row r="358" spans="1:7" x14ac:dyDescent="0.25">
      <c r="A358" s="1">
        <v>457</v>
      </c>
      <c r="B358" s="1">
        <f t="shared" si="9"/>
        <v>457</v>
      </c>
      <c r="C358" s="1" t="s">
        <v>436</v>
      </c>
      <c r="D358" s="1" t="s">
        <v>30</v>
      </c>
      <c r="E358" s="9">
        <v>2</v>
      </c>
      <c r="G358" s="1" t="s">
        <v>922</v>
      </c>
    </row>
    <row r="359" spans="1:7" x14ac:dyDescent="0.25">
      <c r="A359" s="1">
        <v>458</v>
      </c>
      <c r="B359" s="1">
        <f t="shared" si="9"/>
        <v>458</v>
      </c>
      <c r="C359" s="1" t="s">
        <v>437</v>
      </c>
      <c r="D359" s="1" t="s">
        <v>30</v>
      </c>
      <c r="E359" s="9">
        <v>2</v>
      </c>
      <c r="G359" s="1" t="s">
        <v>922</v>
      </c>
    </row>
    <row r="360" spans="1:7" x14ac:dyDescent="0.25">
      <c r="A360" s="1">
        <v>459</v>
      </c>
      <c r="B360" s="1">
        <f t="shared" si="9"/>
        <v>459</v>
      </c>
      <c r="C360" s="1" t="s">
        <v>438</v>
      </c>
      <c r="D360" s="1" t="s">
        <v>30</v>
      </c>
      <c r="E360" s="9">
        <v>2</v>
      </c>
      <c r="G360" s="1" t="s">
        <v>922</v>
      </c>
    </row>
    <row r="361" spans="1:7" x14ac:dyDescent="0.25">
      <c r="A361" s="1">
        <v>460</v>
      </c>
      <c r="B361" s="1">
        <f t="shared" si="9"/>
        <v>460</v>
      </c>
      <c r="C361" s="1" t="s">
        <v>439</v>
      </c>
      <c r="D361" s="1" t="s">
        <v>30</v>
      </c>
      <c r="E361" s="9">
        <v>2</v>
      </c>
      <c r="G361" s="1" t="s">
        <v>922</v>
      </c>
    </row>
    <row r="362" spans="1:7" x14ac:dyDescent="0.25">
      <c r="A362" s="1">
        <v>461</v>
      </c>
      <c r="B362" s="1">
        <f t="shared" si="9"/>
        <v>461</v>
      </c>
      <c r="C362" s="1" t="s">
        <v>440</v>
      </c>
      <c r="D362" s="1" t="s">
        <v>30</v>
      </c>
      <c r="E362" s="9">
        <v>2</v>
      </c>
      <c r="G362" s="1" t="s">
        <v>922</v>
      </c>
    </row>
    <row r="363" spans="1:7" x14ac:dyDescent="0.25">
      <c r="A363" s="1">
        <v>462</v>
      </c>
      <c r="B363" s="1">
        <f t="shared" si="9"/>
        <v>462</v>
      </c>
      <c r="C363" s="1" t="s">
        <v>441</v>
      </c>
      <c r="D363" s="1" t="s">
        <v>30</v>
      </c>
      <c r="E363" s="9">
        <v>2</v>
      </c>
      <c r="G363" s="1" t="s">
        <v>922</v>
      </c>
    </row>
    <row r="364" spans="1:7" x14ac:dyDescent="0.25">
      <c r="A364" s="1">
        <v>463</v>
      </c>
      <c r="B364" s="1">
        <f t="shared" si="9"/>
        <v>463</v>
      </c>
      <c r="C364" s="1" t="s">
        <v>442</v>
      </c>
      <c r="D364" s="1" t="s">
        <v>30</v>
      </c>
      <c r="E364" s="9">
        <v>2</v>
      </c>
      <c r="G364" s="1" t="s">
        <v>922</v>
      </c>
    </row>
    <row r="365" spans="1:7" x14ac:dyDescent="0.25">
      <c r="A365" s="1">
        <v>464</v>
      </c>
      <c r="B365" s="1">
        <f t="shared" si="9"/>
        <v>464</v>
      </c>
      <c r="C365" s="1" t="s">
        <v>444</v>
      </c>
      <c r="D365" s="1" t="s">
        <v>30</v>
      </c>
      <c r="E365" s="9">
        <v>2</v>
      </c>
      <c r="G365" s="1" t="s">
        <v>922</v>
      </c>
    </row>
    <row r="366" spans="1:7" x14ac:dyDescent="0.25">
      <c r="A366" s="1">
        <v>465</v>
      </c>
      <c r="B366" s="1">
        <f t="shared" si="9"/>
        <v>465</v>
      </c>
      <c r="C366" s="1" t="s">
        <v>446</v>
      </c>
      <c r="D366" s="1" t="s">
        <v>30</v>
      </c>
      <c r="E366" s="9">
        <v>2</v>
      </c>
      <c r="G366" s="1" t="s">
        <v>922</v>
      </c>
    </row>
    <row r="367" spans="1:7" x14ac:dyDescent="0.25">
      <c r="A367" s="1">
        <v>466</v>
      </c>
      <c r="B367" s="1">
        <f t="shared" si="9"/>
        <v>466</v>
      </c>
      <c r="C367" s="1" t="s">
        <v>447</v>
      </c>
      <c r="D367" s="1" t="s">
        <v>30</v>
      </c>
      <c r="E367" s="9">
        <v>2</v>
      </c>
      <c r="G367" s="1" t="s">
        <v>922</v>
      </c>
    </row>
    <row r="368" spans="1:7" x14ac:dyDescent="0.25">
      <c r="A368" s="1">
        <v>467</v>
      </c>
      <c r="B368" s="1">
        <f t="shared" si="9"/>
        <v>467</v>
      </c>
      <c r="C368" s="1" t="s">
        <v>448</v>
      </c>
      <c r="D368" s="1" t="s">
        <v>30</v>
      </c>
      <c r="E368" s="9">
        <v>2</v>
      </c>
      <c r="G368" s="1" t="s">
        <v>922</v>
      </c>
    </row>
    <row r="369" spans="1:7" x14ac:dyDescent="0.25">
      <c r="A369" s="1">
        <v>468</v>
      </c>
      <c r="B369" s="1">
        <f t="shared" si="9"/>
        <v>468</v>
      </c>
      <c r="C369" s="1" t="s">
        <v>449</v>
      </c>
      <c r="D369" s="1" t="s">
        <v>30</v>
      </c>
      <c r="E369" s="9">
        <v>2</v>
      </c>
      <c r="G369" s="1" t="s">
        <v>922</v>
      </c>
    </row>
    <row r="370" spans="1:7" x14ac:dyDescent="0.25">
      <c r="A370" s="1">
        <v>469</v>
      </c>
      <c r="B370" s="1">
        <f t="shared" si="9"/>
        <v>469</v>
      </c>
      <c r="C370" s="1" t="s">
        <v>450</v>
      </c>
      <c r="D370" s="1" t="s">
        <v>30</v>
      </c>
      <c r="E370" s="9">
        <v>2</v>
      </c>
      <c r="G370" s="1" t="s">
        <v>922</v>
      </c>
    </row>
    <row r="371" spans="1:7" x14ac:dyDescent="0.25">
      <c r="A371" s="1">
        <v>470</v>
      </c>
      <c r="B371" s="1">
        <f t="shared" si="9"/>
        <v>470</v>
      </c>
      <c r="C371" s="1" t="s">
        <v>451</v>
      </c>
      <c r="D371" s="1" t="s">
        <v>30</v>
      </c>
      <c r="E371" s="9">
        <v>2</v>
      </c>
      <c r="G371" s="1" t="s">
        <v>922</v>
      </c>
    </row>
    <row r="372" spans="1:7" x14ac:dyDescent="0.25">
      <c r="A372" s="1">
        <v>471</v>
      </c>
      <c r="B372" s="1">
        <f t="shared" si="9"/>
        <v>471</v>
      </c>
      <c r="C372" s="1" t="s">
        <v>452</v>
      </c>
      <c r="D372" s="1" t="s">
        <v>30</v>
      </c>
      <c r="E372" s="9">
        <v>2</v>
      </c>
      <c r="G372" s="1" t="s">
        <v>922</v>
      </c>
    </row>
    <row r="373" spans="1:7" x14ac:dyDescent="0.25">
      <c r="A373" s="1">
        <v>472</v>
      </c>
      <c r="B373" s="1">
        <f t="shared" si="9"/>
        <v>472</v>
      </c>
      <c r="C373" s="1" t="s">
        <v>453</v>
      </c>
      <c r="D373" s="1" t="s">
        <v>30</v>
      </c>
      <c r="E373" s="9">
        <v>2</v>
      </c>
      <c r="G373" s="1" t="s">
        <v>922</v>
      </c>
    </row>
    <row r="374" spans="1:7" x14ac:dyDescent="0.25">
      <c r="A374" s="1">
        <v>473</v>
      </c>
      <c r="B374" s="1">
        <f t="shared" si="9"/>
        <v>473</v>
      </c>
      <c r="C374" s="1" t="s">
        <v>454</v>
      </c>
      <c r="D374" s="1" t="s">
        <v>30</v>
      </c>
      <c r="E374" s="9">
        <v>2</v>
      </c>
      <c r="G374" s="1" t="s">
        <v>922</v>
      </c>
    </row>
    <row r="375" spans="1:7" x14ac:dyDescent="0.25">
      <c r="A375" s="1">
        <v>474</v>
      </c>
      <c r="B375" s="1">
        <f t="shared" si="9"/>
        <v>474</v>
      </c>
      <c r="C375" s="1" t="s">
        <v>455</v>
      </c>
      <c r="D375" s="1" t="s">
        <v>30</v>
      </c>
      <c r="E375" s="9">
        <v>2</v>
      </c>
      <c r="G375" s="1" t="s">
        <v>922</v>
      </c>
    </row>
    <row r="376" spans="1:7" x14ac:dyDescent="0.25">
      <c r="A376" s="1">
        <v>475</v>
      </c>
      <c r="B376" s="1">
        <f t="shared" si="9"/>
        <v>475</v>
      </c>
      <c r="C376" s="1" t="s">
        <v>456</v>
      </c>
      <c r="D376" s="1" t="s">
        <v>30</v>
      </c>
      <c r="E376" s="9">
        <v>2</v>
      </c>
      <c r="G376" s="1" t="s">
        <v>922</v>
      </c>
    </row>
    <row r="377" spans="1:7" x14ac:dyDescent="0.25">
      <c r="A377" s="1">
        <v>476</v>
      </c>
      <c r="B377" s="1">
        <f t="shared" si="9"/>
        <v>476</v>
      </c>
      <c r="C377" s="1" t="s">
        <v>458</v>
      </c>
      <c r="D377" s="1" t="s">
        <v>30</v>
      </c>
      <c r="E377" s="9">
        <v>4</v>
      </c>
      <c r="G377" s="1" t="s">
        <v>922</v>
      </c>
    </row>
    <row r="378" spans="1:7" x14ac:dyDescent="0.25">
      <c r="A378" s="1">
        <v>477</v>
      </c>
      <c r="B378" s="1">
        <f t="shared" si="9"/>
        <v>477</v>
      </c>
      <c r="C378" s="1" t="s">
        <v>459</v>
      </c>
      <c r="D378" s="1" t="s">
        <v>30</v>
      </c>
      <c r="E378" s="9">
        <v>5</v>
      </c>
      <c r="G378" s="1" t="s">
        <v>922</v>
      </c>
    </row>
    <row r="379" spans="1:7" x14ac:dyDescent="0.25">
      <c r="A379" s="1">
        <v>478</v>
      </c>
      <c r="B379" s="1">
        <f t="shared" si="9"/>
        <v>478</v>
      </c>
      <c r="C379" s="1" t="s">
        <v>460</v>
      </c>
      <c r="D379" s="1" t="s">
        <v>30</v>
      </c>
      <c r="E379" s="9">
        <v>4</v>
      </c>
      <c r="G379" s="1" t="s">
        <v>922</v>
      </c>
    </row>
    <row r="380" spans="1:7" x14ac:dyDescent="0.25">
      <c r="A380" s="1">
        <v>479</v>
      </c>
      <c r="B380" s="1">
        <f t="shared" si="9"/>
        <v>479</v>
      </c>
      <c r="C380" s="1" t="s">
        <v>461</v>
      </c>
      <c r="D380" s="1" t="s">
        <v>30</v>
      </c>
      <c r="E380" s="9">
        <v>5</v>
      </c>
      <c r="G380" s="1" t="s">
        <v>922</v>
      </c>
    </row>
    <row r="381" spans="1:7" x14ac:dyDescent="0.25">
      <c r="A381" s="1">
        <v>480</v>
      </c>
      <c r="B381" s="1">
        <f t="shared" si="9"/>
        <v>480</v>
      </c>
      <c r="C381" s="1" t="s">
        <v>462</v>
      </c>
      <c r="D381" s="1" t="s">
        <v>30</v>
      </c>
      <c r="E381" s="9">
        <v>2</v>
      </c>
      <c r="G381" s="1" t="s">
        <v>922</v>
      </c>
    </row>
    <row r="382" spans="1:7" x14ac:dyDescent="0.25">
      <c r="A382" s="1">
        <v>481</v>
      </c>
      <c r="B382" s="1">
        <f t="shared" si="9"/>
        <v>481</v>
      </c>
      <c r="C382" s="1" t="s">
        <v>463</v>
      </c>
      <c r="D382" s="1" t="s">
        <v>30</v>
      </c>
      <c r="E382" s="9">
        <v>4</v>
      </c>
      <c r="G382" s="1" t="s">
        <v>922</v>
      </c>
    </row>
    <row r="383" spans="1:7" x14ac:dyDescent="0.25">
      <c r="A383" s="1">
        <v>482</v>
      </c>
      <c r="B383" s="1">
        <f t="shared" si="9"/>
        <v>482</v>
      </c>
      <c r="C383" s="1" t="s">
        <v>464</v>
      </c>
      <c r="D383" s="1" t="s">
        <v>30</v>
      </c>
      <c r="E383" s="9">
        <v>5</v>
      </c>
      <c r="G383" s="1" t="s">
        <v>922</v>
      </c>
    </row>
    <row r="384" spans="1:7" x14ac:dyDescent="0.25">
      <c r="A384" s="1">
        <v>483</v>
      </c>
      <c r="B384" s="1">
        <f t="shared" si="9"/>
        <v>483</v>
      </c>
      <c r="C384" s="1" t="s">
        <v>465</v>
      </c>
      <c r="D384" s="1" t="s">
        <v>30</v>
      </c>
      <c r="E384" s="9">
        <v>2</v>
      </c>
      <c r="G384" s="1" t="s">
        <v>922</v>
      </c>
    </row>
    <row r="385" spans="1:7" x14ac:dyDescent="0.25">
      <c r="A385" s="1">
        <v>484</v>
      </c>
      <c r="B385" s="1">
        <f t="shared" si="9"/>
        <v>484</v>
      </c>
      <c r="C385" s="1" t="s">
        <v>466</v>
      </c>
      <c r="D385" s="1" t="s">
        <v>30</v>
      </c>
      <c r="E385" s="9">
        <v>2</v>
      </c>
      <c r="G385" s="1" t="s">
        <v>922</v>
      </c>
    </row>
    <row r="386" spans="1:7" x14ac:dyDescent="0.25">
      <c r="A386" s="1">
        <v>485</v>
      </c>
      <c r="B386" s="1">
        <f t="shared" ref="B386:B449" si="10">A386</f>
        <v>485</v>
      </c>
      <c r="C386" s="1" t="s">
        <v>467</v>
      </c>
      <c r="D386" s="1" t="s">
        <v>30</v>
      </c>
      <c r="E386" s="9">
        <v>2</v>
      </c>
      <c r="G386" s="1" t="s">
        <v>922</v>
      </c>
    </row>
    <row r="387" spans="1:7" x14ac:dyDescent="0.25">
      <c r="A387" s="1">
        <v>486</v>
      </c>
      <c r="B387" s="1">
        <f t="shared" si="10"/>
        <v>486</v>
      </c>
      <c r="C387" s="1" t="s">
        <v>468</v>
      </c>
      <c r="D387" s="1" t="s">
        <v>30</v>
      </c>
      <c r="E387" s="9">
        <v>2</v>
      </c>
      <c r="G387" s="1" t="s">
        <v>922</v>
      </c>
    </row>
    <row r="388" spans="1:7" x14ac:dyDescent="0.25">
      <c r="A388" s="1">
        <v>487</v>
      </c>
      <c r="B388" s="1">
        <f t="shared" si="10"/>
        <v>487</v>
      </c>
      <c r="C388" s="1" t="s">
        <v>469</v>
      </c>
      <c r="D388" s="1" t="s">
        <v>30</v>
      </c>
      <c r="E388" s="9">
        <v>2</v>
      </c>
      <c r="G388" s="1" t="s">
        <v>922</v>
      </c>
    </row>
    <row r="389" spans="1:7" x14ac:dyDescent="0.25">
      <c r="A389" s="1">
        <v>488</v>
      </c>
      <c r="B389" s="1">
        <f t="shared" si="10"/>
        <v>488</v>
      </c>
      <c r="C389" s="1" t="s">
        <v>470</v>
      </c>
      <c r="D389" s="1" t="s">
        <v>30</v>
      </c>
      <c r="E389" s="9">
        <v>2</v>
      </c>
      <c r="G389" s="1" t="s">
        <v>922</v>
      </c>
    </row>
    <row r="390" spans="1:7" x14ac:dyDescent="0.25">
      <c r="A390" s="1">
        <v>489</v>
      </c>
      <c r="B390" s="1">
        <f t="shared" si="10"/>
        <v>489</v>
      </c>
      <c r="C390" s="1" t="s">
        <v>471</v>
      </c>
      <c r="D390" s="1" t="s">
        <v>30</v>
      </c>
      <c r="E390" s="9">
        <v>2</v>
      </c>
      <c r="G390" s="1" t="s">
        <v>922</v>
      </c>
    </row>
    <row r="391" spans="1:7" x14ac:dyDescent="0.25">
      <c r="A391" s="1">
        <v>490</v>
      </c>
      <c r="B391" s="1">
        <f t="shared" si="10"/>
        <v>490</v>
      </c>
      <c r="C391" s="1" t="s">
        <v>472</v>
      </c>
      <c r="D391" s="1" t="s">
        <v>30</v>
      </c>
      <c r="E391" s="9">
        <v>2</v>
      </c>
      <c r="G391" s="1" t="s">
        <v>922</v>
      </c>
    </row>
    <row r="392" spans="1:7" x14ac:dyDescent="0.25">
      <c r="A392" s="1">
        <v>491</v>
      </c>
      <c r="B392" s="1">
        <f t="shared" si="10"/>
        <v>491</v>
      </c>
      <c r="C392" s="1" t="s">
        <v>473</v>
      </c>
      <c r="D392" s="1" t="s">
        <v>30</v>
      </c>
      <c r="E392" s="9">
        <v>2</v>
      </c>
      <c r="G392" s="1" t="s">
        <v>922</v>
      </c>
    </row>
    <row r="393" spans="1:7" x14ac:dyDescent="0.25">
      <c r="A393" s="1">
        <v>492</v>
      </c>
      <c r="B393" s="1">
        <f t="shared" si="10"/>
        <v>492</v>
      </c>
      <c r="C393" s="1" t="s">
        <v>474</v>
      </c>
      <c r="D393" s="1" t="s">
        <v>30</v>
      </c>
      <c r="E393" s="9">
        <v>2</v>
      </c>
      <c r="G393" s="1" t="s">
        <v>922</v>
      </c>
    </row>
    <row r="394" spans="1:7" x14ac:dyDescent="0.25">
      <c r="A394" s="1">
        <v>493</v>
      </c>
      <c r="B394" s="1">
        <f t="shared" si="10"/>
        <v>493</v>
      </c>
      <c r="C394" s="1" t="s">
        <v>475</v>
      </c>
      <c r="D394" s="1" t="s">
        <v>30</v>
      </c>
      <c r="E394" s="9">
        <v>2</v>
      </c>
      <c r="G394" s="1" t="s">
        <v>922</v>
      </c>
    </row>
    <row r="395" spans="1:7" x14ac:dyDescent="0.25">
      <c r="A395" s="1">
        <v>494</v>
      </c>
      <c r="B395" s="1">
        <f t="shared" si="10"/>
        <v>494</v>
      </c>
      <c r="C395" s="1" t="s">
        <v>476</v>
      </c>
      <c r="D395" s="1" t="s">
        <v>30</v>
      </c>
      <c r="E395" s="9">
        <v>2</v>
      </c>
      <c r="G395" s="1" t="s">
        <v>922</v>
      </c>
    </row>
    <row r="396" spans="1:7" x14ac:dyDescent="0.25">
      <c r="A396" s="1">
        <v>495</v>
      </c>
      <c r="B396" s="1">
        <f t="shared" si="10"/>
        <v>495</v>
      </c>
      <c r="C396" s="1" t="s">
        <v>477</v>
      </c>
      <c r="D396" s="1" t="s">
        <v>30</v>
      </c>
      <c r="E396" s="9">
        <v>2</v>
      </c>
      <c r="G396" s="1" t="s">
        <v>922</v>
      </c>
    </row>
    <row r="397" spans="1:7" x14ac:dyDescent="0.25">
      <c r="A397" s="1">
        <v>496</v>
      </c>
      <c r="B397" s="1">
        <f t="shared" si="10"/>
        <v>496</v>
      </c>
      <c r="C397" s="1" t="s">
        <v>478</v>
      </c>
      <c r="D397" s="1" t="s">
        <v>30</v>
      </c>
      <c r="E397" s="9">
        <v>2</v>
      </c>
      <c r="G397" s="1" t="s">
        <v>922</v>
      </c>
    </row>
    <row r="398" spans="1:7" x14ac:dyDescent="0.25">
      <c r="A398" s="1">
        <v>497</v>
      </c>
      <c r="B398" s="1">
        <f t="shared" si="10"/>
        <v>497</v>
      </c>
      <c r="C398" s="1" t="s">
        <v>479</v>
      </c>
      <c r="D398" s="1" t="s">
        <v>30</v>
      </c>
      <c r="E398" s="9">
        <v>2</v>
      </c>
      <c r="G398" s="1" t="s">
        <v>922</v>
      </c>
    </row>
    <row r="399" spans="1:7" x14ac:dyDescent="0.25">
      <c r="A399" s="1">
        <v>498</v>
      </c>
      <c r="B399" s="1">
        <f t="shared" si="10"/>
        <v>498</v>
      </c>
      <c r="C399" s="1" t="s">
        <v>480</v>
      </c>
      <c r="D399" s="1" t="s">
        <v>30</v>
      </c>
      <c r="E399" s="9">
        <v>2</v>
      </c>
      <c r="G399" s="1" t="s">
        <v>922</v>
      </c>
    </row>
    <row r="400" spans="1:7" x14ac:dyDescent="0.25">
      <c r="A400" s="1">
        <v>499</v>
      </c>
      <c r="B400" s="1">
        <f t="shared" si="10"/>
        <v>499</v>
      </c>
      <c r="C400" s="1" t="s">
        <v>481</v>
      </c>
      <c r="D400" s="1" t="s">
        <v>30</v>
      </c>
      <c r="E400" s="9">
        <v>2</v>
      </c>
      <c r="G400" s="1" t="s">
        <v>922</v>
      </c>
    </row>
    <row r="401" spans="1:7" x14ac:dyDescent="0.25">
      <c r="A401" s="1">
        <v>500</v>
      </c>
      <c r="B401" s="1">
        <f t="shared" si="10"/>
        <v>500</v>
      </c>
      <c r="C401" s="1" t="s">
        <v>482</v>
      </c>
      <c r="D401" s="1" t="s">
        <v>30</v>
      </c>
      <c r="E401" s="9">
        <v>2</v>
      </c>
      <c r="G401" s="1" t="s">
        <v>922</v>
      </c>
    </row>
    <row r="402" spans="1:7" x14ac:dyDescent="0.25">
      <c r="A402" s="1">
        <v>501</v>
      </c>
      <c r="B402" s="1">
        <f t="shared" si="10"/>
        <v>501</v>
      </c>
      <c r="C402" s="1" t="s">
        <v>483</v>
      </c>
      <c r="D402" s="1" t="s">
        <v>30</v>
      </c>
      <c r="E402" s="9">
        <v>2</v>
      </c>
      <c r="G402" s="1" t="s">
        <v>922</v>
      </c>
    </row>
    <row r="403" spans="1:7" x14ac:dyDescent="0.25">
      <c r="A403" s="1">
        <v>502</v>
      </c>
      <c r="B403" s="1">
        <f t="shared" si="10"/>
        <v>502</v>
      </c>
      <c r="C403" s="1" t="s">
        <v>484</v>
      </c>
      <c r="D403" s="1" t="s">
        <v>30</v>
      </c>
      <c r="E403" s="9">
        <v>2</v>
      </c>
      <c r="G403" s="1" t="s">
        <v>922</v>
      </c>
    </row>
    <row r="404" spans="1:7" x14ac:dyDescent="0.25">
      <c r="A404" s="1">
        <v>503</v>
      </c>
      <c r="B404" s="1">
        <f t="shared" si="10"/>
        <v>503</v>
      </c>
      <c r="C404" s="1" t="s">
        <v>485</v>
      </c>
      <c r="D404" s="1" t="s">
        <v>30</v>
      </c>
      <c r="E404" s="9">
        <v>2</v>
      </c>
      <c r="G404" s="1" t="s">
        <v>922</v>
      </c>
    </row>
    <row r="405" spans="1:7" x14ac:dyDescent="0.25">
      <c r="A405" s="1">
        <v>504</v>
      </c>
      <c r="B405" s="1">
        <f t="shared" si="10"/>
        <v>504</v>
      </c>
      <c r="C405" s="1" t="s">
        <v>486</v>
      </c>
      <c r="D405" s="1" t="s">
        <v>30</v>
      </c>
      <c r="E405" s="9">
        <v>2</v>
      </c>
      <c r="G405" s="1" t="s">
        <v>922</v>
      </c>
    </row>
    <row r="406" spans="1:7" x14ac:dyDescent="0.25">
      <c r="A406" s="1">
        <v>505</v>
      </c>
      <c r="B406" s="1">
        <f t="shared" si="10"/>
        <v>505</v>
      </c>
      <c r="C406" s="1" t="s">
        <v>487</v>
      </c>
      <c r="D406" s="1" t="s">
        <v>30</v>
      </c>
      <c r="E406" s="9">
        <v>2</v>
      </c>
      <c r="G406" s="1" t="s">
        <v>922</v>
      </c>
    </row>
    <row r="407" spans="1:7" x14ac:dyDescent="0.25">
      <c r="A407" s="1">
        <v>506</v>
      </c>
      <c r="B407" s="1">
        <f t="shared" si="10"/>
        <v>506</v>
      </c>
      <c r="C407" s="1" t="s">
        <v>488</v>
      </c>
      <c r="D407" s="1" t="s">
        <v>30</v>
      </c>
      <c r="E407" s="9">
        <v>2</v>
      </c>
      <c r="G407" s="1" t="s">
        <v>922</v>
      </c>
    </row>
    <row r="408" spans="1:7" x14ac:dyDescent="0.25">
      <c r="A408" s="1">
        <v>507</v>
      </c>
      <c r="B408" s="1">
        <f t="shared" si="10"/>
        <v>507</v>
      </c>
      <c r="C408" s="1" t="s">
        <v>489</v>
      </c>
      <c r="D408" s="1" t="s">
        <v>30</v>
      </c>
      <c r="E408" s="9">
        <v>2</v>
      </c>
      <c r="G408" s="1" t="s">
        <v>922</v>
      </c>
    </row>
    <row r="409" spans="1:7" x14ac:dyDescent="0.25">
      <c r="A409" s="1">
        <v>508</v>
      </c>
      <c r="B409" s="1">
        <f t="shared" si="10"/>
        <v>508</v>
      </c>
      <c r="C409" s="1" t="s">
        <v>490</v>
      </c>
      <c r="D409" s="1" t="s">
        <v>30</v>
      </c>
      <c r="E409" s="9">
        <v>2</v>
      </c>
      <c r="G409" s="1" t="s">
        <v>922</v>
      </c>
    </row>
    <row r="410" spans="1:7" x14ac:dyDescent="0.25">
      <c r="A410" s="1">
        <v>509</v>
      </c>
      <c r="B410" s="1">
        <f t="shared" si="10"/>
        <v>509</v>
      </c>
      <c r="C410" s="1" t="s">
        <v>491</v>
      </c>
      <c r="D410" s="1" t="s">
        <v>30</v>
      </c>
      <c r="E410" s="9">
        <v>2</v>
      </c>
      <c r="G410" s="1" t="s">
        <v>922</v>
      </c>
    </row>
    <row r="411" spans="1:7" x14ac:dyDescent="0.25">
      <c r="A411" s="1">
        <v>510</v>
      </c>
      <c r="B411" s="1">
        <f t="shared" si="10"/>
        <v>510</v>
      </c>
      <c r="C411" s="1" t="s">
        <v>492</v>
      </c>
      <c r="D411" s="1" t="s">
        <v>30</v>
      </c>
      <c r="E411" s="9">
        <v>2</v>
      </c>
      <c r="G411" s="1" t="s">
        <v>922</v>
      </c>
    </row>
    <row r="412" spans="1:7" x14ac:dyDescent="0.25">
      <c r="A412" s="1">
        <v>511</v>
      </c>
      <c r="B412" s="1">
        <f t="shared" si="10"/>
        <v>511</v>
      </c>
      <c r="C412" s="1" t="s">
        <v>493</v>
      </c>
      <c r="D412" s="1" t="s">
        <v>30</v>
      </c>
      <c r="E412" s="9">
        <v>2</v>
      </c>
      <c r="G412" s="1" t="s">
        <v>922</v>
      </c>
    </row>
    <row r="413" spans="1:7" x14ac:dyDescent="0.25">
      <c r="A413" s="1">
        <v>512</v>
      </c>
      <c r="B413" s="1">
        <f t="shared" si="10"/>
        <v>512</v>
      </c>
      <c r="C413" s="1" t="s">
        <v>494</v>
      </c>
      <c r="D413" s="1" t="s">
        <v>30</v>
      </c>
      <c r="E413" s="9">
        <v>2</v>
      </c>
      <c r="G413" s="1" t="s">
        <v>922</v>
      </c>
    </row>
    <row r="414" spans="1:7" x14ac:dyDescent="0.25">
      <c r="A414" s="1">
        <v>513</v>
      </c>
      <c r="B414" s="1">
        <f t="shared" si="10"/>
        <v>513</v>
      </c>
      <c r="C414" s="1" t="s">
        <v>495</v>
      </c>
      <c r="D414" s="1" t="s">
        <v>30</v>
      </c>
      <c r="E414" s="9">
        <v>2</v>
      </c>
      <c r="G414" s="1" t="s">
        <v>922</v>
      </c>
    </row>
    <row r="415" spans="1:7" x14ac:dyDescent="0.25">
      <c r="A415" s="1">
        <v>514</v>
      </c>
      <c r="B415" s="1">
        <f t="shared" si="10"/>
        <v>514</v>
      </c>
      <c r="C415" s="1" t="s">
        <v>496</v>
      </c>
      <c r="D415" s="1" t="s">
        <v>30</v>
      </c>
      <c r="E415" s="9">
        <v>2</v>
      </c>
      <c r="G415" s="1" t="s">
        <v>922</v>
      </c>
    </row>
    <row r="416" spans="1:7" x14ac:dyDescent="0.25">
      <c r="A416" s="1">
        <v>515</v>
      </c>
      <c r="B416" s="1">
        <f t="shared" si="10"/>
        <v>515</v>
      </c>
      <c r="C416" s="1" t="s">
        <v>497</v>
      </c>
      <c r="D416" s="1" t="s">
        <v>30</v>
      </c>
      <c r="E416" s="9">
        <v>2</v>
      </c>
      <c r="G416" s="1" t="s">
        <v>922</v>
      </c>
    </row>
    <row r="417" spans="1:7" x14ac:dyDescent="0.25">
      <c r="A417" s="1">
        <v>516</v>
      </c>
      <c r="B417" s="1">
        <f t="shared" si="10"/>
        <v>516</v>
      </c>
      <c r="C417" s="1" t="s">
        <v>499</v>
      </c>
      <c r="D417" s="1" t="s">
        <v>30</v>
      </c>
      <c r="E417" s="9">
        <v>2</v>
      </c>
      <c r="G417" s="1" t="s">
        <v>922</v>
      </c>
    </row>
    <row r="418" spans="1:7" x14ac:dyDescent="0.25">
      <c r="A418" s="1">
        <v>517</v>
      </c>
      <c r="B418" s="1">
        <f t="shared" si="10"/>
        <v>517</v>
      </c>
      <c r="C418" s="1" t="s">
        <v>500</v>
      </c>
      <c r="D418" s="1" t="s">
        <v>30</v>
      </c>
      <c r="E418" s="9">
        <v>5</v>
      </c>
      <c r="G418" s="1" t="s">
        <v>922</v>
      </c>
    </row>
    <row r="419" spans="1:7" x14ac:dyDescent="0.25">
      <c r="A419" s="1">
        <v>518</v>
      </c>
      <c r="B419" s="1">
        <f t="shared" si="10"/>
        <v>518</v>
      </c>
      <c r="C419" s="1" t="s">
        <v>501</v>
      </c>
      <c r="D419" s="1" t="s">
        <v>30</v>
      </c>
      <c r="E419" s="9">
        <v>5</v>
      </c>
      <c r="G419" s="1" t="s">
        <v>922</v>
      </c>
    </row>
    <row r="420" spans="1:7" x14ac:dyDescent="0.25">
      <c r="A420" s="1">
        <v>519</v>
      </c>
      <c r="B420" s="1">
        <f t="shared" si="10"/>
        <v>519</v>
      </c>
      <c r="C420" s="1" t="s">
        <v>502</v>
      </c>
      <c r="D420" s="1" t="s">
        <v>30</v>
      </c>
      <c r="E420" s="9">
        <v>5</v>
      </c>
      <c r="G420" s="1" t="s">
        <v>922</v>
      </c>
    </row>
    <row r="421" spans="1:7" x14ac:dyDescent="0.25">
      <c r="A421" s="1">
        <v>520</v>
      </c>
      <c r="B421" s="1">
        <f t="shared" si="10"/>
        <v>520</v>
      </c>
      <c r="C421" s="1" t="s">
        <v>503</v>
      </c>
      <c r="D421" s="1" t="s">
        <v>30</v>
      </c>
      <c r="E421" s="9">
        <v>5</v>
      </c>
      <c r="G421" s="1" t="s">
        <v>922</v>
      </c>
    </row>
    <row r="422" spans="1:7" x14ac:dyDescent="0.25">
      <c r="A422" s="1">
        <v>521</v>
      </c>
      <c r="B422" s="1">
        <f t="shared" si="10"/>
        <v>521</v>
      </c>
      <c r="C422" s="1" t="s">
        <v>504</v>
      </c>
      <c r="D422" s="1" t="s">
        <v>30</v>
      </c>
      <c r="E422" s="9">
        <v>2</v>
      </c>
      <c r="G422" s="1" t="s">
        <v>922</v>
      </c>
    </row>
    <row r="423" spans="1:7" x14ac:dyDescent="0.25">
      <c r="A423" s="1">
        <v>522</v>
      </c>
      <c r="B423" s="1">
        <f t="shared" si="10"/>
        <v>522</v>
      </c>
      <c r="C423" s="1" t="s">
        <v>505</v>
      </c>
      <c r="D423" s="1" t="s">
        <v>30</v>
      </c>
      <c r="E423" s="9">
        <v>2</v>
      </c>
      <c r="G423" s="1" t="s">
        <v>922</v>
      </c>
    </row>
    <row r="424" spans="1:7" x14ac:dyDescent="0.25">
      <c r="A424" s="1">
        <v>523</v>
      </c>
      <c r="B424" s="1">
        <f t="shared" si="10"/>
        <v>523</v>
      </c>
      <c r="C424" s="1" t="s">
        <v>506</v>
      </c>
      <c r="D424" s="1" t="s">
        <v>30</v>
      </c>
      <c r="E424" s="9">
        <v>2</v>
      </c>
      <c r="G424" s="1" t="s">
        <v>922</v>
      </c>
    </row>
    <row r="425" spans="1:7" x14ac:dyDescent="0.25">
      <c r="A425" s="1">
        <v>524</v>
      </c>
      <c r="B425" s="1">
        <f t="shared" si="10"/>
        <v>524</v>
      </c>
      <c r="C425" s="1" t="s">
        <v>507</v>
      </c>
      <c r="D425" s="1" t="s">
        <v>30</v>
      </c>
      <c r="E425" s="9">
        <v>2</v>
      </c>
      <c r="G425" s="1" t="s">
        <v>922</v>
      </c>
    </row>
    <row r="426" spans="1:7" x14ac:dyDescent="0.25">
      <c r="A426" s="1">
        <v>525</v>
      </c>
      <c r="B426" s="1">
        <f t="shared" si="10"/>
        <v>525</v>
      </c>
      <c r="C426" s="1" t="s">
        <v>508</v>
      </c>
      <c r="D426" s="1" t="s">
        <v>30</v>
      </c>
      <c r="E426" s="9">
        <v>2</v>
      </c>
      <c r="G426" s="1" t="s">
        <v>922</v>
      </c>
    </row>
    <row r="427" spans="1:7" x14ac:dyDescent="0.25">
      <c r="A427" s="1">
        <v>526</v>
      </c>
      <c r="B427" s="1">
        <f t="shared" si="10"/>
        <v>526</v>
      </c>
      <c r="C427" s="1" t="s">
        <v>509</v>
      </c>
      <c r="D427" s="1" t="s">
        <v>30</v>
      </c>
      <c r="E427" s="9">
        <v>2</v>
      </c>
      <c r="G427" s="1" t="s">
        <v>922</v>
      </c>
    </row>
    <row r="428" spans="1:7" x14ac:dyDescent="0.25">
      <c r="A428" s="1">
        <v>527</v>
      </c>
      <c r="B428" s="1">
        <f t="shared" si="10"/>
        <v>527</v>
      </c>
      <c r="C428" s="1" t="s">
        <v>510</v>
      </c>
      <c r="D428" s="1" t="s">
        <v>30</v>
      </c>
      <c r="E428" s="9">
        <v>2</v>
      </c>
      <c r="G428" s="1" t="s">
        <v>922</v>
      </c>
    </row>
    <row r="429" spans="1:7" x14ac:dyDescent="0.25">
      <c r="A429" s="1">
        <v>528</v>
      </c>
      <c r="B429" s="1">
        <f t="shared" si="10"/>
        <v>528</v>
      </c>
      <c r="C429" s="1" t="s">
        <v>511</v>
      </c>
      <c r="D429" s="1" t="s">
        <v>30</v>
      </c>
      <c r="E429" s="9">
        <v>2</v>
      </c>
      <c r="G429" s="1" t="s">
        <v>922</v>
      </c>
    </row>
    <row r="430" spans="1:7" x14ac:dyDescent="0.25">
      <c r="A430" s="1">
        <v>529</v>
      </c>
      <c r="B430" s="1">
        <f t="shared" si="10"/>
        <v>529</v>
      </c>
      <c r="C430" s="1" t="s">
        <v>512</v>
      </c>
      <c r="D430" s="1" t="s">
        <v>30</v>
      </c>
      <c r="E430" s="9">
        <v>2</v>
      </c>
      <c r="G430" s="1" t="s">
        <v>922</v>
      </c>
    </row>
    <row r="431" spans="1:7" x14ac:dyDescent="0.25">
      <c r="A431" s="1">
        <v>530</v>
      </c>
      <c r="B431" s="1">
        <f t="shared" si="10"/>
        <v>530</v>
      </c>
      <c r="C431" s="1" t="s">
        <v>514</v>
      </c>
      <c r="D431" s="1" t="s">
        <v>30</v>
      </c>
      <c r="E431" s="9">
        <v>4</v>
      </c>
      <c r="G431" s="1" t="s">
        <v>922</v>
      </c>
    </row>
    <row r="432" spans="1:7" x14ac:dyDescent="0.25">
      <c r="A432" s="1">
        <v>531</v>
      </c>
      <c r="B432" s="1">
        <f t="shared" si="10"/>
        <v>531</v>
      </c>
      <c r="C432" s="1" t="s">
        <v>515</v>
      </c>
      <c r="D432" s="1" t="s">
        <v>30</v>
      </c>
      <c r="E432" s="9">
        <v>5</v>
      </c>
      <c r="G432" s="1" t="s">
        <v>922</v>
      </c>
    </row>
    <row r="433" spans="1:7" x14ac:dyDescent="0.25">
      <c r="A433" s="1">
        <v>532</v>
      </c>
      <c r="B433" s="1">
        <f t="shared" si="10"/>
        <v>532</v>
      </c>
      <c r="C433" s="1" t="s">
        <v>516</v>
      </c>
      <c r="D433" s="1" t="s">
        <v>30</v>
      </c>
      <c r="E433" s="9">
        <v>2</v>
      </c>
      <c r="G433" s="1" t="s">
        <v>922</v>
      </c>
    </row>
    <row r="434" spans="1:7" x14ac:dyDescent="0.25">
      <c r="A434" s="1">
        <v>533</v>
      </c>
      <c r="B434" s="1">
        <f t="shared" si="10"/>
        <v>533</v>
      </c>
      <c r="C434" s="1" t="s">
        <v>517</v>
      </c>
      <c r="D434" s="1" t="s">
        <v>30</v>
      </c>
      <c r="E434" s="9">
        <v>2</v>
      </c>
      <c r="G434" s="1" t="s">
        <v>922</v>
      </c>
    </row>
    <row r="435" spans="1:7" x14ac:dyDescent="0.25">
      <c r="A435" s="1">
        <v>534</v>
      </c>
      <c r="B435" s="1">
        <f t="shared" si="10"/>
        <v>534</v>
      </c>
      <c r="C435" s="1" t="s">
        <v>518</v>
      </c>
      <c r="D435" s="1" t="s">
        <v>30</v>
      </c>
      <c r="E435" s="9">
        <v>2</v>
      </c>
      <c r="G435" s="1" t="s">
        <v>922</v>
      </c>
    </row>
    <row r="436" spans="1:7" x14ac:dyDescent="0.25">
      <c r="A436" s="1">
        <v>535</v>
      </c>
      <c r="B436" s="1">
        <f t="shared" si="10"/>
        <v>535</v>
      </c>
      <c r="C436" s="1" t="s">
        <v>519</v>
      </c>
      <c r="D436" s="1" t="s">
        <v>30</v>
      </c>
      <c r="E436" s="9">
        <v>2</v>
      </c>
      <c r="G436" s="1" t="s">
        <v>922</v>
      </c>
    </row>
    <row r="437" spans="1:7" x14ac:dyDescent="0.25">
      <c r="A437" s="1">
        <v>536</v>
      </c>
      <c r="B437" s="1">
        <f t="shared" si="10"/>
        <v>536</v>
      </c>
      <c r="C437" s="1" t="s">
        <v>520</v>
      </c>
      <c r="D437" s="1" t="s">
        <v>30</v>
      </c>
      <c r="E437" s="9">
        <v>2</v>
      </c>
      <c r="G437" s="1" t="s">
        <v>922</v>
      </c>
    </row>
    <row r="438" spans="1:7" x14ac:dyDescent="0.25">
      <c r="A438" s="1">
        <v>537</v>
      </c>
      <c r="B438" s="1">
        <f t="shared" si="10"/>
        <v>537</v>
      </c>
      <c r="C438" s="1" t="s">
        <v>521</v>
      </c>
      <c r="D438" s="1" t="s">
        <v>30</v>
      </c>
      <c r="E438" s="9">
        <v>2</v>
      </c>
      <c r="G438" s="1" t="s">
        <v>922</v>
      </c>
    </row>
    <row r="439" spans="1:7" x14ac:dyDescent="0.25">
      <c r="A439" s="1">
        <v>538</v>
      </c>
      <c r="B439" s="1">
        <f t="shared" si="10"/>
        <v>538</v>
      </c>
      <c r="C439" s="1" t="s">
        <v>522</v>
      </c>
      <c r="D439" s="1" t="s">
        <v>30</v>
      </c>
      <c r="E439" s="9">
        <v>2</v>
      </c>
      <c r="G439" s="1" t="s">
        <v>922</v>
      </c>
    </row>
    <row r="440" spans="1:7" x14ac:dyDescent="0.25">
      <c r="A440" s="1">
        <v>539</v>
      </c>
      <c r="B440" s="1">
        <f t="shared" si="10"/>
        <v>539</v>
      </c>
      <c r="C440" s="1" t="s">
        <v>523</v>
      </c>
      <c r="D440" s="1" t="s">
        <v>30</v>
      </c>
      <c r="E440" s="9">
        <v>2</v>
      </c>
      <c r="G440" s="1" t="s">
        <v>922</v>
      </c>
    </row>
    <row r="441" spans="1:7" x14ac:dyDescent="0.25">
      <c r="A441" s="1">
        <v>540</v>
      </c>
      <c r="B441" s="1">
        <f t="shared" si="10"/>
        <v>540</v>
      </c>
      <c r="C441" s="1" t="s">
        <v>524</v>
      </c>
      <c r="D441" s="1" t="s">
        <v>30</v>
      </c>
      <c r="E441" s="9">
        <v>2</v>
      </c>
      <c r="G441" s="1" t="s">
        <v>922</v>
      </c>
    </row>
    <row r="442" spans="1:7" x14ac:dyDescent="0.25">
      <c r="A442" s="1">
        <v>541</v>
      </c>
      <c r="B442" s="1">
        <f t="shared" si="10"/>
        <v>541</v>
      </c>
      <c r="C442" s="1" t="s">
        <v>525</v>
      </c>
      <c r="D442" s="1" t="s">
        <v>30</v>
      </c>
      <c r="E442" s="9">
        <v>2</v>
      </c>
      <c r="G442" s="1" t="s">
        <v>922</v>
      </c>
    </row>
    <row r="443" spans="1:7" x14ac:dyDescent="0.25">
      <c r="A443" s="1">
        <v>542</v>
      </c>
      <c r="B443" s="1">
        <f t="shared" si="10"/>
        <v>542</v>
      </c>
      <c r="C443" s="1" t="s">
        <v>526</v>
      </c>
      <c r="D443" s="1" t="s">
        <v>30</v>
      </c>
      <c r="E443" s="9">
        <v>2</v>
      </c>
      <c r="G443" s="1" t="s">
        <v>922</v>
      </c>
    </row>
    <row r="444" spans="1:7" x14ac:dyDescent="0.25">
      <c r="A444" s="1">
        <v>543</v>
      </c>
      <c r="B444" s="1">
        <f t="shared" si="10"/>
        <v>543</v>
      </c>
      <c r="C444" s="1" t="s">
        <v>527</v>
      </c>
      <c r="D444" s="1" t="s">
        <v>30</v>
      </c>
      <c r="E444" s="9">
        <v>2</v>
      </c>
      <c r="G444" s="1" t="s">
        <v>922</v>
      </c>
    </row>
    <row r="445" spans="1:7" x14ac:dyDescent="0.25">
      <c r="A445" s="1">
        <v>544</v>
      </c>
      <c r="B445" s="1">
        <f t="shared" si="10"/>
        <v>544</v>
      </c>
      <c r="C445" s="1" t="s">
        <v>529</v>
      </c>
      <c r="D445" s="1" t="s">
        <v>30</v>
      </c>
      <c r="E445" s="9">
        <v>4</v>
      </c>
      <c r="G445" s="1" t="s">
        <v>922</v>
      </c>
    </row>
    <row r="446" spans="1:7" x14ac:dyDescent="0.25">
      <c r="A446" s="1">
        <v>545</v>
      </c>
      <c r="B446" s="1">
        <f t="shared" si="10"/>
        <v>545</v>
      </c>
      <c r="C446" s="1" t="s">
        <v>530</v>
      </c>
      <c r="D446" s="1" t="s">
        <v>30</v>
      </c>
      <c r="E446" s="9">
        <v>4</v>
      </c>
      <c r="G446" s="1" t="s">
        <v>922</v>
      </c>
    </row>
    <row r="447" spans="1:7" x14ac:dyDescent="0.25">
      <c r="A447" s="1">
        <v>546</v>
      </c>
      <c r="B447" s="1">
        <f t="shared" si="10"/>
        <v>546</v>
      </c>
      <c r="C447" s="1" t="s">
        <v>531</v>
      </c>
      <c r="D447" s="1" t="s">
        <v>30</v>
      </c>
      <c r="E447" s="9">
        <v>4</v>
      </c>
      <c r="G447" s="1" t="s">
        <v>922</v>
      </c>
    </row>
    <row r="448" spans="1:7" x14ac:dyDescent="0.25">
      <c r="A448" s="1">
        <v>547</v>
      </c>
      <c r="B448" s="1">
        <f t="shared" si="10"/>
        <v>547</v>
      </c>
      <c r="C448" s="1" t="s">
        <v>532</v>
      </c>
      <c r="D448" s="1" t="s">
        <v>30</v>
      </c>
      <c r="E448" s="9">
        <v>4</v>
      </c>
      <c r="G448" s="1" t="s">
        <v>922</v>
      </c>
    </row>
    <row r="449" spans="1:7" x14ac:dyDescent="0.25">
      <c r="A449" s="1">
        <v>548</v>
      </c>
      <c r="B449" s="1">
        <f t="shared" si="10"/>
        <v>548</v>
      </c>
      <c r="C449" s="1" t="s">
        <v>533</v>
      </c>
      <c r="D449" s="1" t="s">
        <v>30</v>
      </c>
      <c r="E449" s="9">
        <v>4</v>
      </c>
      <c r="G449" s="1" t="s">
        <v>922</v>
      </c>
    </row>
    <row r="450" spans="1:7" x14ac:dyDescent="0.25">
      <c r="A450" s="1">
        <v>549</v>
      </c>
      <c r="B450" s="1">
        <f t="shared" ref="B450:B513" si="11">A450</f>
        <v>549</v>
      </c>
      <c r="C450" s="1" t="s">
        <v>534</v>
      </c>
      <c r="D450" s="1" t="s">
        <v>30</v>
      </c>
      <c r="E450" s="9">
        <v>2</v>
      </c>
      <c r="G450" s="1" t="s">
        <v>922</v>
      </c>
    </row>
    <row r="451" spans="1:7" x14ac:dyDescent="0.25">
      <c r="A451" s="1">
        <v>550</v>
      </c>
      <c r="B451" s="1">
        <f t="shared" si="11"/>
        <v>550</v>
      </c>
      <c r="C451" s="1" t="s">
        <v>535</v>
      </c>
      <c r="D451" s="1" t="s">
        <v>30</v>
      </c>
      <c r="E451" s="9">
        <v>2</v>
      </c>
      <c r="G451" s="1" t="s">
        <v>922</v>
      </c>
    </row>
    <row r="452" spans="1:7" x14ac:dyDescent="0.25">
      <c r="A452" s="1">
        <v>551</v>
      </c>
      <c r="B452" s="1">
        <f t="shared" si="11"/>
        <v>551</v>
      </c>
      <c r="C452" s="1" t="s">
        <v>536</v>
      </c>
      <c r="D452" s="1" t="s">
        <v>30</v>
      </c>
      <c r="E452" s="9">
        <v>2</v>
      </c>
      <c r="G452" s="1" t="s">
        <v>922</v>
      </c>
    </row>
    <row r="453" spans="1:7" x14ac:dyDescent="0.25">
      <c r="A453" s="1">
        <v>552</v>
      </c>
      <c r="B453" s="1">
        <f t="shared" si="11"/>
        <v>552</v>
      </c>
      <c r="C453" s="1" t="s">
        <v>537</v>
      </c>
      <c r="D453" s="1" t="s">
        <v>30</v>
      </c>
      <c r="E453" s="9">
        <v>2</v>
      </c>
      <c r="G453" s="1" t="s">
        <v>922</v>
      </c>
    </row>
    <row r="454" spans="1:7" x14ac:dyDescent="0.25">
      <c r="A454" s="1">
        <v>553</v>
      </c>
      <c r="B454" s="1">
        <f t="shared" si="11"/>
        <v>553</v>
      </c>
      <c r="C454" s="1" t="s">
        <v>538</v>
      </c>
      <c r="D454" s="1" t="s">
        <v>30</v>
      </c>
      <c r="E454" s="9">
        <v>2</v>
      </c>
      <c r="G454" s="1" t="s">
        <v>922</v>
      </c>
    </row>
    <row r="455" spans="1:7" x14ac:dyDescent="0.25">
      <c r="A455" s="1">
        <v>554</v>
      </c>
      <c r="B455" s="1">
        <f t="shared" si="11"/>
        <v>554</v>
      </c>
      <c r="C455" s="1" t="s">
        <v>539</v>
      </c>
      <c r="D455" s="1" t="s">
        <v>30</v>
      </c>
      <c r="E455" s="9">
        <v>2</v>
      </c>
      <c r="G455" s="1" t="s">
        <v>922</v>
      </c>
    </row>
    <row r="456" spans="1:7" x14ac:dyDescent="0.25">
      <c r="A456" s="1">
        <v>555</v>
      </c>
      <c r="B456" s="1">
        <f t="shared" si="11"/>
        <v>555</v>
      </c>
      <c r="C456" s="1" t="s">
        <v>540</v>
      </c>
      <c r="D456" s="1" t="s">
        <v>30</v>
      </c>
      <c r="E456" s="9">
        <v>2</v>
      </c>
      <c r="G456" s="1" t="s">
        <v>922</v>
      </c>
    </row>
    <row r="457" spans="1:7" x14ac:dyDescent="0.25">
      <c r="A457" s="1">
        <v>556</v>
      </c>
      <c r="B457" s="1">
        <f t="shared" si="11"/>
        <v>556</v>
      </c>
      <c r="C457" s="1" t="s">
        <v>541</v>
      </c>
      <c r="D457" s="1" t="s">
        <v>30</v>
      </c>
      <c r="E457" s="9">
        <v>2</v>
      </c>
      <c r="G457" s="1" t="s">
        <v>922</v>
      </c>
    </row>
    <row r="458" spans="1:7" x14ac:dyDescent="0.25">
      <c r="A458" s="1">
        <v>557</v>
      </c>
      <c r="B458" s="1">
        <f t="shared" si="11"/>
        <v>557</v>
      </c>
      <c r="C458" s="1" t="s">
        <v>542</v>
      </c>
      <c r="D458" s="1" t="s">
        <v>30</v>
      </c>
      <c r="E458" s="9">
        <v>2</v>
      </c>
      <c r="G458" s="1" t="s">
        <v>922</v>
      </c>
    </row>
    <row r="459" spans="1:7" x14ac:dyDescent="0.25">
      <c r="A459" s="1">
        <v>558</v>
      </c>
      <c r="B459" s="1">
        <f t="shared" si="11"/>
        <v>558</v>
      </c>
      <c r="C459" s="1" t="s">
        <v>543</v>
      </c>
      <c r="D459" s="1" t="s">
        <v>30</v>
      </c>
      <c r="E459" s="9">
        <v>2</v>
      </c>
      <c r="G459" s="1" t="s">
        <v>922</v>
      </c>
    </row>
    <row r="460" spans="1:7" x14ac:dyDescent="0.25">
      <c r="A460" s="1">
        <v>559</v>
      </c>
      <c r="B460" s="1">
        <f t="shared" si="11"/>
        <v>559</v>
      </c>
      <c r="C460" s="1" t="s">
        <v>544</v>
      </c>
      <c r="D460" s="1" t="s">
        <v>30</v>
      </c>
      <c r="E460" s="9">
        <v>2</v>
      </c>
      <c r="G460" s="1" t="s">
        <v>922</v>
      </c>
    </row>
    <row r="461" spans="1:7" x14ac:dyDescent="0.25">
      <c r="A461" s="1">
        <v>560</v>
      </c>
      <c r="B461" s="1">
        <f t="shared" si="11"/>
        <v>560</v>
      </c>
      <c r="C461" s="1" t="s">
        <v>545</v>
      </c>
      <c r="D461" s="1" t="s">
        <v>30</v>
      </c>
      <c r="E461" s="9">
        <v>2</v>
      </c>
      <c r="G461" s="1" t="s">
        <v>922</v>
      </c>
    </row>
    <row r="462" spans="1:7" x14ac:dyDescent="0.25">
      <c r="A462" s="1">
        <v>561</v>
      </c>
      <c r="B462" s="1">
        <f t="shared" si="11"/>
        <v>561</v>
      </c>
      <c r="C462" s="1" t="s">
        <v>546</v>
      </c>
      <c r="D462" s="1" t="s">
        <v>30</v>
      </c>
      <c r="E462" s="9">
        <v>2</v>
      </c>
      <c r="G462" s="1" t="s">
        <v>922</v>
      </c>
    </row>
    <row r="463" spans="1:7" x14ac:dyDescent="0.25">
      <c r="A463" s="1">
        <v>562</v>
      </c>
      <c r="B463" s="1">
        <f t="shared" si="11"/>
        <v>562</v>
      </c>
      <c r="C463" s="1" t="s">
        <v>548</v>
      </c>
      <c r="D463" s="1" t="s">
        <v>30</v>
      </c>
      <c r="E463" s="9">
        <v>2</v>
      </c>
      <c r="G463" s="1" t="s">
        <v>922</v>
      </c>
    </row>
    <row r="464" spans="1:7" x14ac:dyDescent="0.25">
      <c r="A464" s="1">
        <v>563</v>
      </c>
      <c r="B464" s="1">
        <f t="shared" si="11"/>
        <v>563</v>
      </c>
      <c r="C464" s="1" t="s">
        <v>549</v>
      </c>
      <c r="D464" s="1" t="s">
        <v>30</v>
      </c>
      <c r="E464" s="9">
        <v>2</v>
      </c>
      <c r="G464" s="1" t="s">
        <v>922</v>
      </c>
    </row>
    <row r="465" spans="1:7" x14ac:dyDescent="0.25">
      <c r="A465" s="1">
        <v>564</v>
      </c>
      <c r="B465" s="1">
        <f t="shared" si="11"/>
        <v>564</v>
      </c>
      <c r="C465" s="1" t="s">
        <v>550</v>
      </c>
      <c r="D465" s="1" t="s">
        <v>30</v>
      </c>
      <c r="E465" s="9">
        <v>2</v>
      </c>
      <c r="G465" s="1" t="s">
        <v>922</v>
      </c>
    </row>
    <row r="466" spans="1:7" x14ac:dyDescent="0.25">
      <c r="A466" s="1">
        <v>565</v>
      </c>
      <c r="B466" s="1">
        <f t="shared" si="11"/>
        <v>565</v>
      </c>
      <c r="C466" s="1" t="s">
        <v>551</v>
      </c>
      <c r="D466" s="1" t="s">
        <v>30</v>
      </c>
      <c r="E466" s="9">
        <v>2</v>
      </c>
      <c r="G466" s="1" t="s">
        <v>922</v>
      </c>
    </row>
    <row r="467" spans="1:7" x14ac:dyDescent="0.25">
      <c r="A467" s="1">
        <v>566</v>
      </c>
      <c r="B467" s="1">
        <f t="shared" si="11"/>
        <v>566</v>
      </c>
      <c r="C467" s="1" t="s">
        <v>552</v>
      </c>
      <c r="D467" s="1" t="s">
        <v>30</v>
      </c>
      <c r="E467" s="9">
        <v>2</v>
      </c>
      <c r="G467" s="1" t="s">
        <v>922</v>
      </c>
    </row>
    <row r="468" spans="1:7" x14ac:dyDescent="0.25">
      <c r="A468" s="1">
        <v>567</v>
      </c>
      <c r="B468" s="1">
        <f t="shared" si="11"/>
        <v>567</v>
      </c>
      <c r="C468" s="1" t="s">
        <v>553</v>
      </c>
      <c r="D468" s="1" t="s">
        <v>30</v>
      </c>
      <c r="E468" s="9">
        <v>2</v>
      </c>
      <c r="G468" s="1" t="s">
        <v>922</v>
      </c>
    </row>
    <row r="469" spans="1:7" x14ac:dyDescent="0.25">
      <c r="A469" s="1">
        <v>568</v>
      </c>
      <c r="B469" s="1">
        <f t="shared" si="11"/>
        <v>568</v>
      </c>
      <c r="C469" s="1" t="s">
        <v>554</v>
      </c>
      <c r="D469" s="1" t="s">
        <v>30</v>
      </c>
      <c r="E469" s="9">
        <v>2</v>
      </c>
      <c r="G469" s="1" t="s">
        <v>922</v>
      </c>
    </row>
    <row r="470" spans="1:7" x14ac:dyDescent="0.25">
      <c r="A470" s="1">
        <v>569</v>
      </c>
      <c r="B470" s="1">
        <f t="shared" si="11"/>
        <v>569</v>
      </c>
      <c r="C470" s="1" t="s">
        <v>555</v>
      </c>
      <c r="D470" s="1" t="s">
        <v>30</v>
      </c>
      <c r="E470" s="9">
        <v>2</v>
      </c>
      <c r="G470" s="1" t="s">
        <v>922</v>
      </c>
    </row>
    <row r="471" spans="1:7" x14ac:dyDescent="0.25">
      <c r="A471" s="1">
        <v>570</v>
      </c>
      <c r="B471" s="1">
        <f t="shared" si="11"/>
        <v>570</v>
      </c>
      <c r="C471" s="1" t="s">
        <v>556</v>
      </c>
      <c r="D471" s="1" t="s">
        <v>30</v>
      </c>
      <c r="E471" s="9">
        <v>2</v>
      </c>
      <c r="G471" s="1" t="s">
        <v>922</v>
      </c>
    </row>
    <row r="472" spans="1:7" x14ac:dyDescent="0.25">
      <c r="A472" s="1">
        <v>571</v>
      </c>
      <c r="B472" s="1">
        <f t="shared" si="11"/>
        <v>571</v>
      </c>
      <c r="C472" s="1" t="s">
        <v>558</v>
      </c>
      <c r="D472" s="1" t="s">
        <v>30</v>
      </c>
      <c r="E472" s="9">
        <v>4</v>
      </c>
      <c r="G472" s="1" t="s">
        <v>922</v>
      </c>
    </row>
    <row r="473" spans="1:7" x14ac:dyDescent="0.25">
      <c r="A473" s="1">
        <v>572</v>
      </c>
      <c r="B473" s="1">
        <f t="shared" si="11"/>
        <v>572</v>
      </c>
      <c r="C473" s="1" t="s">
        <v>559</v>
      </c>
      <c r="D473" s="1" t="s">
        <v>30</v>
      </c>
      <c r="E473" s="9">
        <v>2</v>
      </c>
      <c r="G473" s="1" t="s">
        <v>922</v>
      </c>
    </row>
    <row r="474" spans="1:7" x14ac:dyDescent="0.25">
      <c r="A474" s="1">
        <v>573</v>
      </c>
      <c r="B474" s="1">
        <f t="shared" si="11"/>
        <v>573</v>
      </c>
      <c r="C474" s="1" t="s">
        <v>560</v>
      </c>
      <c r="D474" s="1" t="s">
        <v>30</v>
      </c>
      <c r="E474" s="9">
        <v>2</v>
      </c>
      <c r="G474" s="1" t="s">
        <v>922</v>
      </c>
    </row>
    <row r="475" spans="1:7" x14ac:dyDescent="0.25">
      <c r="A475" s="1">
        <v>574</v>
      </c>
      <c r="B475" s="1">
        <f t="shared" si="11"/>
        <v>574</v>
      </c>
      <c r="C475" s="1" t="s">
        <v>561</v>
      </c>
      <c r="D475" s="1" t="s">
        <v>30</v>
      </c>
      <c r="E475" s="9">
        <v>4</v>
      </c>
      <c r="G475" s="1" t="s">
        <v>922</v>
      </c>
    </row>
    <row r="476" spans="1:7" x14ac:dyDescent="0.25">
      <c r="A476" s="1">
        <v>575</v>
      </c>
      <c r="B476" s="1">
        <f t="shared" si="11"/>
        <v>575</v>
      </c>
      <c r="C476" s="1" t="s">
        <v>562</v>
      </c>
      <c r="D476" s="1" t="s">
        <v>30</v>
      </c>
      <c r="E476" s="9">
        <v>2</v>
      </c>
      <c r="G476" s="1" t="s">
        <v>922</v>
      </c>
    </row>
    <row r="477" spans="1:7" x14ac:dyDescent="0.25">
      <c r="A477" s="1">
        <v>576</v>
      </c>
      <c r="B477" s="1">
        <f t="shared" si="11"/>
        <v>576</v>
      </c>
      <c r="C477" s="1" t="s">
        <v>563</v>
      </c>
      <c r="D477" s="1" t="s">
        <v>30</v>
      </c>
      <c r="E477" s="9">
        <v>2</v>
      </c>
      <c r="G477" s="1" t="s">
        <v>922</v>
      </c>
    </row>
    <row r="478" spans="1:7" x14ac:dyDescent="0.25">
      <c r="A478" s="1">
        <v>577</v>
      </c>
      <c r="B478" s="1">
        <f t="shared" si="11"/>
        <v>577</v>
      </c>
      <c r="C478" s="1" t="s">
        <v>564</v>
      </c>
      <c r="D478" s="1" t="s">
        <v>30</v>
      </c>
      <c r="E478" s="9">
        <v>4</v>
      </c>
      <c r="G478" s="1" t="s">
        <v>922</v>
      </c>
    </row>
    <row r="479" spans="1:7" x14ac:dyDescent="0.25">
      <c r="A479" s="1">
        <v>578</v>
      </c>
      <c r="B479" s="1">
        <f t="shared" si="11"/>
        <v>578</v>
      </c>
      <c r="C479" s="1" t="s">
        <v>565</v>
      </c>
      <c r="D479" s="1" t="s">
        <v>30</v>
      </c>
      <c r="E479" s="9">
        <v>4</v>
      </c>
      <c r="G479" s="1" t="s">
        <v>922</v>
      </c>
    </row>
    <row r="480" spans="1:7" x14ac:dyDescent="0.25">
      <c r="A480" s="1">
        <v>579</v>
      </c>
      <c r="B480" s="1">
        <f t="shared" si="11"/>
        <v>579</v>
      </c>
      <c r="C480" s="1" t="s">
        <v>566</v>
      </c>
      <c r="D480" s="1" t="s">
        <v>30</v>
      </c>
      <c r="E480" s="9">
        <v>4</v>
      </c>
      <c r="G480" s="1" t="s">
        <v>922</v>
      </c>
    </row>
    <row r="481" spans="1:7" x14ac:dyDescent="0.25">
      <c r="A481" s="1">
        <v>580</v>
      </c>
      <c r="B481" s="1">
        <f t="shared" si="11"/>
        <v>580</v>
      </c>
      <c r="C481" s="1" t="s">
        <v>567</v>
      </c>
      <c r="D481" s="1" t="s">
        <v>30</v>
      </c>
      <c r="E481" s="9">
        <v>4</v>
      </c>
      <c r="G481" s="1" t="s">
        <v>922</v>
      </c>
    </row>
    <row r="482" spans="1:7" x14ac:dyDescent="0.25">
      <c r="A482" s="1">
        <v>581</v>
      </c>
      <c r="B482" s="1">
        <f t="shared" si="11"/>
        <v>581</v>
      </c>
      <c r="C482" s="1" t="s">
        <v>568</v>
      </c>
      <c r="D482" s="1" t="s">
        <v>30</v>
      </c>
      <c r="E482" s="9">
        <v>14</v>
      </c>
      <c r="G482" s="1" t="s">
        <v>922</v>
      </c>
    </row>
    <row r="483" spans="1:7" x14ac:dyDescent="0.25">
      <c r="A483" s="1">
        <v>582</v>
      </c>
      <c r="B483" s="1">
        <f t="shared" si="11"/>
        <v>582</v>
      </c>
      <c r="C483" s="1" t="s">
        <v>569</v>
      </c>
      <c r="D483" s="1" t="s">
        <v>30</v>
      </c>
      <c r="E483" s="9">
        <v>14</v>
      </c>
      <c r="G483" s="1" t="s">
        <v>922</v>
      </c>
    </row>
    <row r="484" spans="1:7" x14ac:dyDescent="0.25">
      <c r="A484" s="1">
        <v>583</v>
      </c>
      <c r="B484" s="1">
        <f t="shared" si="11"/>
        <v>583</v>
      </c>
      <c r="C484" s="1" t="s">
        <v>570</v>
      </c>
      <c r="D484" s="1" t="s">
        <v>30</v>
      </c>
      <c r="E484" s="9">
        <v>14</v>
      </c>
      <c r="G484" s="1" t="s">
        <v>922</v>
      </c>
    </row>
    <row r="485" spans="1:7" x14ac:dyDescent="0.25">
      <c r="A485" s="1">
        <v>584</v>
      </c>
      <c r="B485" s="1">
        <f t="shared" si="11"/>
        <v>584</v>
      </c>
      <c r="C485" s="1" t="s">
        <v>571</v>
      </c>
      <c r="D485" s="1" t="s">
        <v>30</v>
      </c>
      <c r="E485" s="9">
        <v>14</v>
      </c>
      <c r="G485" s="1" t="s">
        <v>922</v>
      </c>
    </row>
    <row r="486" spans="1:7" x14ac:dyDescent="0.25">
      <c r="A486" s="1">
        <v>585</v>
      </c>
      <c r="B486" s="1">
        <f t="shared" si="11"/>
        <v>585</v>
      </c>
      <c r="C486" s="1" t="s">
        <v>572</v>
      </c>
      <c r="D486" s="1" t="s">
        <v>30</v>
      </c>
      <c r="E486" s="9">
        <v>4</v>
      </c>
      <c r="G486" s="1" t="s">
        <v>922</v>
      </c>
    </row>
    <row r="487" spans="1:7" x14ac:dyDescent="0.25">
      <c r="A487" s="1">
        <v>586</v>
      </c>
      <c r="B487" s="1">
        <f t="shared" si="11"/>
        <v>586</v>
      </c>
      <c r="C487" s="1" t="s">
        <v>573</v>
      </c>
      <c r="D487" s="1" t="s">
        <v>30</v>
      </c>
      <c r="E487" s="9">
        <v>4</v>
      </c>
      <c r="G487" s="1" t="s">
        <v>922</v>
      </c>
    </row>
    <row r="488" spans="1:7" x14ac:dyDescent="0.25">
      <c r="A488" s="1">
        <v>587</v>
      </c>
      <c r="B488" s="1">
        <f t="shared" si="11"/>
        <v>587</v>
      </c>
      <c r="C488" s="1" t="s">
        <v>574</v>
      </c>
      <c r="D488" s="1" t="s">
        <v>30</v>
      </c>
      <c r="E488" s="9">
        <v>3</v>
      </c>
      <c r="G488" s="1" t="s">
        <v>922</v>
      </c>
    </row>
    <row r="489" spans="1:7" x14ac:dyDescent="0.25">
      <c r="A489" s="1">
        <v>588</v>
      </c>
      <c r="B489" s="1">
        <f t="shared" si="11"/>
        <v>588</v>
      </c>
      <c r="C489" s="1" t="s">
        <v>575</v>
      </c>
      <c r="D489" s="1" t="s">
        <v>30</v>
      </c>
      <c r="E489" s="9">
        <v>2</v>
      </c>
      <c r="G489" s="1" t="s">
        <v>922</v>
      </c>
    </row>
    <row r="490" spans="1:7" x14ac:dyDescent="0.25">
      <c r="A490" s="1">
        <v>589</v>
      </c>
      <c r="B490" s="1">
        <f t="shared" si="11"/>
        <v>589</v>
      </c>
      <c r="C490" s="1" t="s">
        <v>576</v>
      </c>
      <c r="D490" s="1" t="s">
        <v>30</v>
      </c>
      <c r="E490" s="9">
        <v>2</v>
      </c>
      <c r="G490" s="1" t="s">
        <v>922</v>
      </c>
    </row>
    <row r="491" spans="1:7" x14ac:dyDescent="0.25">
      <c r="A491" s="1">
        <v>590</v>
      </c>
      <c r="B491" s="1">
        <f t="shared" si="11"/>
        <v>590</v>
      </c>
      <c r="C491" s="1" t="s">
        <v>577</v>
      </c>
      <c r="D491" s="1" t="s">
        <v>30</v>
      </c>
      <c r="E491" s="9">
        <v>2</v>
      </c>
      <c r="G491" s="1" t="s">
        <v>922</v>
      </c>
    </row>
    <row r="492" spans="1:7" x14ac:dyDescent="0.25">
      <c r="A492" s="1">
        <v>591</v>
      </c>
      <c r="B492" s="1">
        <f t="shared" si="11"/>
        <v>591</v>
      </c>
      <c r="C492" s="1" t="s">
        <v>578</v>
      </c>
      <c r="D492" s="1" t="s">
        <v>30</v>
      </c>
      <c r="E492" s="9">
        <v>2</v>
      </c>
      <c r="G492" s="1" t="s">
        <v>922</v>
      </c>
    </row>
    <row r="493" spans="1:7" x14ac:dyDescent="0.25">
      <c r="A493" s="1">
        <v>592</v>
      </c>
      <c r="B493" s="1">
        <f t="shared" si="11"/>
        <v>592</v>
      </c>
      <c r="C493" s="1" t="s">
        <v>579</v>
      </c>
      <c r="D493" s="1" t="s">
        <v>30</v>
      </c>
      <c r="E493" s="9">
        <v>2</v>
      </c>
      <c r="G493" s="1" t="s">
        <v>922</v>
      </c>
    </row>
    <row r="494" spans="1:7" x14ac:dyDescent="0.25">
      <c r="A494" s="1">
        <v>593</v>
      </c>
      <c r="B494" s="1">
        <f t="shared" si="11"/>
        <v>593</v>
      </c>
      <c r="C494" s="1" t="s">
        <v>580</v>
      </c>
      <c r="D494" s="1" t="s">
        <v>30</v>
      </c>
      <c r="E494" s="9">
        <v>2</v>
      </c>
      <c r="G494" s="1" t="s">
        <v>922</v>
      </c>
    </row>
    <row r="495" spans="1:7" x14ac:dyDescent="0.25">
      <c r="A495" s="1">
        <v>594</v>
      </c>
      <c r="B495" s="1">
        <f t="shared" si="11"/>
        <v>594</v>
      </c>
      <c r="C495" s="1" t="s">
        <v>581</v>
      </c>
      <c r="D495" s="1" t="s">
        <v>30</v>
      </c>
      <c r="E495" s="9">
        <v>2</v>
      </c>
      <c r="G495" s="1" t="s">
        <v>922</v>
      </c>
    </row>
    <row r="496" spans="1:7" x14ac:dyDescent="0.25">
      <c r="A496" s="1">
        <v>595</v>
      </c>
      <c r="B496" s="1">
        <f t="shared" si="11"/>
        <v>595</v>
      </c>
      <c r="C496" s="1" t="s">
        <v>582</v>
      </c>
      <c r="D496" s="1" t="s">
        <v>30</v>
      </c>
      <c r="E496" s="9">
        <v>2</v>
      </c>
      <c r="G496" s="1" t="s">
        <v>922</v>
      </c>
    </row>
    <row r="497" spans="1:7" x14ac:dyDescent="0.25">
      <c r="A497" s="1">
        <v>596</v>
      </c>
      <c r="B497" s="1">
        <f t="shared" si="11"/>
        <v>596</v>
      </c>
      <c r="C497" s="1" t="s">
        <v>583</v>
      </c>
      <c r="D497" s="1" t="s">
        <v>30</v>
      </c>
      <c r="E497" s="9">
        <v>2</v>
      </c>
      <c r="G497" s="1" t="s">
        <v>922</v>
      </c>
    </row>
    <row r="498" spans="1:7" x14ac:dyDescent="0.25">
      <c r="A498" s="1">
        <v>597</v>
      </c>
      <c r="B498" s="1">
        <f t="shared" si="11"/>
        <v>597</v>
      </c>
      <c r="C498" s="1" t="s">
        <v>584</v>
      </c>
      <c r="D498" s="1" t="s">
        <v>30</v>
      </c>
      <c r="E498" s="9">
        <v>2</v>
      </c>
      <c r="G498" s="1" t="s">
        <v>922</v>
      </c>
    </row>
    <row r="499" spans="1:7" x14ac:dyDescent="0.25">
      <c r="A499" s="1">
        <v>598</v>
      </c>
      <c r="B499" s="1">
        <f t="shared" si="11"/>
        <v>598</v>
      </c>
      <c r="C499" s="1" t="s">
        <v>585</v>
      </c>
      <c r="D499" s="1" t="s">
        <v>30</v>
      </c>
      <c r="E499" s="9">
        <v>2</v>
      </c>
      <c r="G499" s="1" t="s">
        <v>922</v>
      </c>
    </row>
    <row r="500" spans="1:7" x14ac:dyDescent="0.25">
      <c r="A500" s="1">
        <v>599</v>
      </c>
      <c r="B500" s="1">
        <f t="shared" si="11"/>
        <v>599</v>
      </c>
      <c r="C500" s="1" t="s">
        <v>586</v>
      </c>
      <c r="D500" s="1" t="s">
        <v>30</v>
      </c>
      <c r="E500" s="9">
        <v>2</v>
      </c>
      <c r="G500" s="1" t="s">
        <v>922</v>
      </c>
    </row>
    <row r="501" spans="1:7" x14ac:dyDescent="0.25">
      <c r="A501" s="1">
        <v>600</v>
      </c>
      <c r="B501" s="1">
        <f t="shared" si="11"/>
        <v>600</v>
      </c>
      <c r="C501" s="1" t="s">
        <v>587</v>
      </c>
      <c r="D501" s="1" t="s">
        <v>30</v>
      </c>
      <c r="E501" s="9">
        <v>2</v>
      </c>
      <c r="G501" s="1" t="s">
        <v>922</v>
      </c>
    </row>
    <row r="502" spans="1:7" x14ac:dyDescent="0.25">
      <c r="A502" s="1">
        <v>601</v>
      </c>
      <c r="B502" s="1">
        <f t="shared" si="11"/>
        <v>601</v>
      </c>
      <c r="C502" s="1" t="s">
        <v>588</v>
      </c>
      <c r="D502" s="1" t="s">
        <v>30</v>
      </c>
      <c r="E502" s="9">
        <v>2</v>
      </c>
      <c r="G502" s="1" t="s">
        <v>922</v>
      </c>
    </row>
    <row r="503" spans="1:7" x14ac:dyDescent="0.25">
      <c r="A503" s="1">
        <v>602</v>
      </c>
      <c r="B503" s="1">
        <f t="shared" si="11"/>
        <v>602</v>
      </c>
      <c r="C503" s="1" t="s">
        <v>589</v>
      </c>
      <c r="D503" s="1" t="s">
        <v>30</v>
      </c>
      <c r="E503" s="9">
        <v>2</v>
      </c>
      <c r="G503" s="1" t="s">
        <v>922</v>
      </c>
    </row>
    <row r="504" spans="1:7" x14ac:dyDescent="0.25">
      <c r="A504" s="1">
        <v>603</v>
      </c>
      <c r="B504" s="1">
        <f t="shared" si="11"/>
        <v>603</v>
      </c>
      <c r="C504" s="1" t="s">
        <v>590</v>
      </c>
      <c r="D504" s="1" t="s">
        <v>30</v>
      </c>
      <c r="E504" s="9">
        <v>2</v>
      </c>
      <c r="G504" s="1" t="s">
        <v>922</v>
      </c>
    </row>
    <row r="505" spans="1:7" x14ac:dyDescent="0.25">
      <c r="A505" s="1">
        <v>604</v>
      </c>
      <c r="B505" s="1">
        <f t="shared" si="11"/>
        <v>604</v>
      </c>
      <c r="C505" s="1" t="s">
        <v>591</v>
      </c>
      <c r="D505" s="1" t="s">
        <v>30</v>
      </c>
      <c r="E505" s="9">
        <v>2</v>
      </c>
      <c r="G505" s="1" t="s">
        <v>922</v>
      </c>
    </row>
    <row r="506" spans="1:7" x14ac:dyDescent="0.25">
      <c r="A506" s="1">
        <v>605</v>
      </c>
      <c r="B506" s="1">
        <f t="shared" si="11"/>
        <v>605</v>
      </c>
      <c r="C506" s="1" t="s">
        <v>593</v>
      </c>
      <c r="D506" s="1" t="s">
        <v>30</v>
      </c>
      <c r="E506" s="9">
        <v>2</v>
      </c>
      <c r="G506" s="1" t="s">
        <v>922</v>
      </c>
    </row>
    <row r="507" spans="1:7" x14ac:dyDescent="0.25">
      <c r="A507" s="1">
        <v>606</v>
      </c>
      <c r="B507" s="1">
        <f t="shared" si="11"/>
        <v>606</v>
      </c>
      <c r="C507" s="1" t="s">
        <v>594</v>
      </c>
      <c r="D507" s="1" t="s">
        <v>30</v>
      </c>
      <c r="E507" s="9">
        <v>2</v>
      </c>
      <c r="G507" s="1" t="s">
        <v>922</v>
      </c>
    </row>
    <row r="508" spans="1:7" x14ac:dyDescent="0.25">
      <c r="A508" s="1">
        <v>607</v>
      </c>
      <c r="B508" s="1">
        <f t="shared" si="11"/>
        <v>607</v>
      </c>
      <c r="C508" s="1" t="s">
        <v>595</v>
      </c>
      <c r="D508" s="1" t="s">
        <v>30</v>
      </c>
      <c r="E508" s="9">
        <v>2</v>
      </c>
      <c r="G508" s="1" t="s">
        <v>922</v>
      </c>
    </row>
    <row r="509" spans="1:7" x14ac:dyDescent="0.25">
      <c r="A509" s="1">
        <v>608</v>
      </c>
      <c r="B509" s="1">
        <f t="shared" si="11"/>
        <v>608</v>
      </c>
      <c r="C509" s="1" t="s">
        <v>596</v>
      </c>
      <c r="D509" s="1" t="s">
        <v>30</v>
      </c>
      <c r="E509" s="9">
        <v>2</v>
      </c>
      <c r="G509" s="1" t="s">
        <v>922</v>
      </c>
    </row>
    <row r="510" spans="1:7" x14ac:dyDescent="0.25">
      <c r="A510" s="1">
        <v>609</v>
      </c>
      <c r="B510" s="1">
        <f t="shared" si="11"/>
        <v>609</v>
      </c>
      <c r="C510" s="1" t="s">
        <v>597</v>
      </c>
      <c r="D510" s="1" t="s">
        <v>30</v>
      </c>
      <c r="E510" s="9">
        <v>2</v>
      </c>
      <c r="G510" s="1" t="s">
        <v>922</v>
      </c>
    </row>
    <row r="511" spans="1:7" x14ac:dyDescent="0.25">
      <c r="A511" s="1">
        <v>610</v>
      </c>
      <c r="B511" s="1">
        <f t="shared" si="11"/>
        <v>610</v>
      </c>
      <c r="C511" s="1" t="s">
        <v>598</v>
      </c>
      <c r="D511" s="1" t="s">
        <v>30</v>
      </c>
      <c r="E511" s="9">
        <v>2</v>
      </c>
      <c r="G511" s="1" t="s">
        <v>922</v>
      </c>
    </row>
    <row r="512" spans="1:7" x14ac:dyDescent="0.25">
      <c r="A512" s="1">
        <v>611</v>
      </c>
      <c r="B512" s="1">
        <f t="shared" si="11"/>
        <v>611</v>
      </c>
      <c r="C512" s="1" t="s">
        <v>599</v>
      </c>
      <c r="D512" s="1" t="s">
        <v>30</v>
      </c>
      <c r="E512" s="9">
        <v>2</v>
      </c>
      <c r="G512" s="1" t="s">
        <v>922</v>
      </c>
    </row>
    <row r="513" spans="1:7" x14ac:dyDescent="0.25">
      <c r="A513" s="1">
        <v>612</v>
      </c>
      <c r="B513" s="1">
        <f t="shared" si="11"/>
        <v>612</v>
      </c>
      <c r="C513" s="1" t="s">
        <v>600</v>
      </c>
      <c r="D513" s="1" t="s">
        <v>30</v>
      </c>
      <c r="E513" s="9">
        <v>2</v>
      </c>
      <c r="G513" s="1" t="s">
        <v>922</v>
      </c>
    </row>
    <row r="514" spans="1:7" x14ac:dyDescent="0.25">
      <c r="A514" s="1">
        <v>613</v>
      </c>
      <c r="B514" s="1">
        <f t="shared" ref="B514:B577" si="12">A514</f>
        <v>613</v>
      </c>
      <c r="C514" s="1" t="s">
        <v>601</v>
      </c>
      <c r="D514" s="1" t="s">
        <v>30</v>
      </c>
      <c r="E514" s="9">
        <v>2</v>
      </c>
      <c r="G514" s="1" t="s">
        <v>922</v>
      </c>
    </row>
    <row r="515" spans="1:7" x14ac:dyDescent="0.25">
      <c r="A515" s="1">
        <v>614</v>
      </c>
      <c r="B515" s="1">
        <f t="shared" si="12"/>
        <v>614</v>
      </c>
      <c r="C515" s="1" t="s">
        <v>602</v>
      </c>
      <c r="D515" s="1" t="s">
        <v>30</v>
      </c>
      <c r="E515" s="9">
        <v>2</v>
      </c>
      <c r="G515" s="1" t="s">
        <v>922</v>
      </c>
    </row>
    <row r="516" spans="1:7" x14ac:dyDescent="0.25">
      <c r="A516" s="1">
        <v>615</v>
      </c>
      <c r="B516" s="1">
        <f t="shared" si="12"/>
        <v>615</v>
      </c>
      <c r="C516" s="1" t="s">
        <v>603</v>
      </c>
      <c r="D516" s="1" t="s">
        <v>30</v>
      </c>
      <c r="E516" s="9">
        <v>2</v>
      </c>
      <c r="G516" s="1" t="s">
        <v>922</v>
      </c>
    </row>
    <row r="517" spans="1:7" x14ac:dyDescent="0.25">
      <c r="A517" s="1">
        <v>616</v>
      </c>
      <c r="B517" s="1">
        <f t="shared" si="12"/>
        <v>616</v>
      </c>
      <c r="C517" s="1" t="s">
        <v>604</v>
      </c>
      <c r="D517" s="1" t="s">
        <v>30</v>
      </c>
      <c r="E517" s="9">
        <v>2</v>
      </c>
      <c r="G517" s="1" t="s">
        <v>922</v>
      </c>
    </row>
    <row r="518" spans="1:7" x14ac:dyDescent="0.25">
      <c r="A518" s="1">
        <v>617</v>
      </c>
      <c r="B518" s="1">
        <f t="shared" si="12"/>
        <v>617</v>
      </c>
      <c r="C518" s="1" t="s">
        <v>605</v>
      </c>
      <c r="D518" s="1" t="s">
        <v>30</v>
      </c>
      <c r="E518" s="9">
        <v>2</v>
      </c>
      <c r="G518" s="1" t="s">
        <v>922</v>
      </c>
    </row>
    <row r="519" spans="1:7" x14ac:dyDescent="0.25">
      <c r="A519" s="1">
        <v>618</v>
      </c>
      <c r="B519" s="1">
        <f t="shared" si="12"/>
        <v>618</v>
      </c>
      <c r="C519" s="1" t="s">
        <v>606</v>
      </c>
      <c r="D519" s="1" t="s">
        <v>30</v>
      </c>
      <c r="E519" s="9">
        <v>2</v>
      </c>
      <c r="G519" s="1" t="s">
        <v>922</v>
      </c>
    </row>
    <row r="520" spans="1:7" x14ac:dyDescent="0.25">
      <c r="A520" s="1">
        <v>619</v>
      </c>
      <c r="B520" s="1">
        <f t="shared" si="12"/>
        <v>619</v>
      </c>
      <c r="C520" s="1" t="s">
        <v>608</v>
      </c>
      <c r="D520" s="1" t="s">
        <v>30</v>
      </c>
      <c r="E520" s="9">
        <v>2</v>
      </c>
      <c r="G520" s="1" t="s">
        <v>922</v>
      </c>
    </row>
    <row r="521" spans="1:7" x14ac:dyDescent="0.25">
      <c r="A521" s="1">
        <v>620</v>
      </c>
      <c r="B521" s="1">
        <f t="shared" si="12"/>
        <v>620</v>
      </c>
      <c r="C521" s="1" t="s">
        <v>609</v>
      </c>
      <c r="D521" s="1" t="s">
        <v>30</v>
      </c>
      <c r="E521" s="9">
        <v>2</v>
      </c>
      <c r="G521" s="1" t="s">
        <v>922</v>
      </c>
    </row>
    <row r="522" spans="1:7" x14ac:dyDescent="0.25">
      <c r="A522" s="1">
        <v>621</v>
      </c>
      <c r="B522" s="1">
        <f t="shared" si="12"/>
        <v>621</v>
      </c>
      <c r="C522" s="1" t="s">
        <v>610</v>
      </c>
      <c r="D522" s="1" t="s">
        <v>30</v>
      </c>
      <c r="E522" s="9">
        <v>2</v>
      </c>
      <c r="G522" s="1" t="s">
        <v>922</v>
      </c>
    </row>
    <row r="523" spans="1:7" x14ac:dyDescent="0.25">
      <c r="A523" s="1">
        <v>622</v>
      </c>
      <c r="B523" s="1">
        <f t="shared" si="12"/>
        <v>622</v>
      </c>
      <c r="C523" s="1" t="s">
        <v>611</v>
      </c>
      <c r="D523" s="1" t="s">
        <v>30</v>
      </c>
      <c r="E523" s="9">
        <v>2</v>
      </c>
      <c r="G523" s="1" t="s">
        <v>922</v>
      </c>
    </row>
    <row r="524" spans="1:7" x14ac:dyDescent="0.25">
      <c r="A524" s="1">
        <v>623</v>
      </c>
      <c r="B524" s="1">
        <f t="shared" si="12"/>
        <v>623</v>
      </c>
      <c r="C524" s="1" t="s">
        <v>612</v>
      </c>
      <c r="D524" s="1" t="s">
        <v>30</v>
      </c>
      <c r="E524" s="9">
        <v>2</v>
      </c>
      <c r="G524" s="1" t="s">
        <v>922</v>
      </c>
    </row>
    <row r="525" spans="1:7" x14ac:dyDescent="0.25">
      <c r="A525" s="1">
        <v>624</v>
      </c>
      <c r="B525" s="1">
        <f t="shared" si="12"/>
        <v>624</v>
      </c>
      <c r="C525" s="1" t="s">
        <v>613</v>
      </c>
      <c r="D525" s="1" t="s">
        <v>30</v>
      </c>
      <c r="E525" s="9">
        <v>2</v>
      </c>
      <c r="G525" s="1" t="s">
        <v>922</v>
      </c>
    </row>
    <row r="526" spans="1:7" x14ac:dyDescent="0.25">
      <c r="A526" s="1">
        <v>625</v>
      </c>
      <c r="B526" s="1">
        <f t="shared" si="12"/>
        <v>625</v>
      </c>
      <c r="C526" s="1" t="s">
        <v>614</v>
      </c>
      <c r="D526" s="1" t="s">
        <v>30</v>
      </c>
      <c r="E526" s="9">
        <v>2</v>
      </c>
      <c r="G526" s="1" t="s">
        <v>922</v>
      </c>
    </row>
    <row r="527" spans="1:7" x14ac:dyDescent="0.25">
      <c r="A527" s="1">
        <v>626</v>
      </c>
      <c r="B527" s="1">
        <f t="shared" si="12"/>
        <v>626</v>
      </c>
      <c r="C527" s="1" t="s">
        <v>615</v>
      </c>
      <c r="D527" s="1" t="s">
        <v>30</v>
      </c>
      <c r="E527" s="9">
        <v>2</v>
      </c>
      <c r="G527" s="1" t="s">
        <v>922</v>
      </c>
    </row>
    <row r="528" spans="1:7" x14ac:dyDescent="0.25">
      <c r="A528" s="1">
        <v>627</v>
      </c>
      <c r="B528" s="1">
        <f t="shared" si="12"/>
        <v>627</v>
      </c>
      <c r="C528" s="1" t="s">
        <v>616</v>
      </c>
      <c r="D528" s="1" t="s">
        <v>30</v>
      </c>
      <c r="E528" s="9">
        <v>2</v>
      </c>
      <c r="G528" s="1" t="s">
        <v>922</v>
      </c>
    </row>
    <row r="529" spans="1:7" x14ac:dyDescent="0.25">
      <c r="A529" s="1">
        <v>628</v>
      </c>
      <c r="B529" s="1">
        <f t="shared" si="12"/>
        <v>628</v>
      </c>
      <c r="C529" s="1" t="s">
        <v>617</v>
      </c>
      <c r="D529" s="1" t="s">
        <v>30</v>
      </c>
      <c r="E529" s="9">
        <v>2</v>
      </c>
      <c r="G529" s="1" t="s">
        <v>922</v>
      </c>
    </row>
    <row r="530" spans="1:7" x14ac:dyDescent="0.25">
      <c r="A530" s="1">
        <v>629</v>
      </c>
      <c r="B530" s="1">
        <f t="shared" si="12"/>
        <v>629</v>
      </c>
      <c r="C530" s="1" t="s">
        <v>618</v>
      </c>
      <c r="D530" s="1" t="s">
        <v>30</v>
      </c>
      <c r="E530" s="9">
        <v>2</v>
      </c>
      <c r="G530" s="1" t="s">
        <v>922</v>
      </c>
    </row>
    <row r="531" spans="1:7" x14ac:dyDescent="0.25">
      <c r="A531" s="1">
        <v>630</v>
      </c>
      <c r="B531" s="1">
        <f t="shared" si="12"/>
        <v>630</v>
      </c>
      <c r="C531" s="1" t="s">
        <v>619</v>
      </c>
      <c r="D531" s="1" t="s">
        <v>30</v>
      </c>
      <c r="E531" s="9">
        <v>2</v>
      </c>
      <c r="G531" s="1" t="s">
        <v>922</v>
      </c>
    </row>
    <row r="532" spans="1:7" x14ac:dyDescent="0.25">
      <c r="A532" s="1">
        <v>631</v>
      </c>
      <c r="B532" s="1">
        <f t="shared" si="12"/>
        <v>631</v>
      </c>
      <c r="C532" s="1" t="s">
        <v>620</v>
      </c>
      <c r="D532" s="1" t="s">
        <v>30</v>
      </c>
      <c r="E532" s="9">
        <v>2</v>
      </c>
      <c r="G532" s="1" t="s">
        <v>922</v>
      </c>
    </row>
    <row r="533" spans="1:7" x14ac:dyDescent="0.25">
      <c r="A533" s="1">
        <v>632</v>
      </c>
      <c r="B533" s="1">
        <f t="shared" si="12"/>
        <v>632</v>
      </c>
      <c r="C533" s="1" t="s">
        <v>621</v>
      </c>
      <c r="D533" s="1" t="s">
        <v>30</v>
      </c>
      <c r="E533" s="9">
        <v>2</v>
      </c>
      <c r="G533" s="1" t="s">
        <v>922</v>
      </c>
    </row>
    <row r="534" spans="1:7" x14ac:dyDescent="0.25">
      <c r="A534" s="1">
        <v>633</v>
      </c>
      <c r="B534" s="1">
        <f t="shared" si="12"/>
        <v>633</v>
      </c>
      <c r="C534" s="1" t="s">
        <v>622</v>
      </c>
      <c r="D534" s="1" t="s">
        <v>30</v>
      </c>
      <c r="E534" s="9">
        <v>2</v>
      </c>
      <c r="G534" s="1" t="s">
        <v>922</v>
      </c>
    </row>
    <row r="535" spans="1:7" x14ac:dyDescent="0.25">
      <c r="A535" s="1">
        <v>634</v>
      </c>
      <c r="B535" s="1">
        <f t="shared" si="12"/>
        <v>634</v>
      </c>
      <c r="C535" s="1" t="s">
        <v>623</v>
      </c>
      <c r="D535" s="1" t="s">
        <v>30</v>
      </c>
      <c r="E535" s="9">
        <v>2</v>
      </c>
      <c r="G535" s="1" t="s">
        <v>922</v>
      </c>
    </row>
    <row r="536" spans="1:7" x14ac:dyDescent="0.25">
      <c r="A536" s="1">
        <v>635</v>
      </c>
      <c r="B536" s="1">
        <f t="shared" si="12"/>
        <v>635</v>
      </c>
      <c r="C536" s="1" t="s">
        <v>624</v>
      </c>
      <c r="D536" s="1" t="s">
        <v>30</v>
      </c>
      <c r="E536" s="9">
        <v>2</v>
      </c>
      <c r="G536" s="1" t="s">
        <v>922</v>
      </c>
    </row>
    <row r="537" spans="1:7" x14ac:dyDescent="0.25">
      <c r="A537" s="1">
        <v>636</v>
      </c>
      <c r="B537" s="1">
        <f t="shared" si="12"/>
        <v>636</v>
      </c>
      <c r="C537" s="1" t="s">
        <v>625</v>
      </c>
      <c r="D537" s="1" t="s">
        <v>30</v>
      </c>
      <c r="E537" s="9">
        <v>2</v>
      </c>
      <c r="G537" s="1" t="s">
        <v>922</v>
      </c>
    </row>
    <row r="538" spans="1:7" x14ac:dyDescent="0.25">
      <c r="A538" s="1">
        <v>637</v>
      </c>
      <c r="B538" s="1">
        <f t="shared" si="12"/>
        <v>637</v>
      </c>
      <c r="C538" s="1" t="s">
        <v>626</v>
      </c>
      <c r="D538" s="1" t="s">
        <v>30</v>
      </c>
      <c r="E538" s="9">
        <v>2</v>
      </c>
      <c r="G538" s="1" t="s">
        <v>922</v>
      </c>
    </row>
    <row r="539" spans="1:7" x14ac:dyDescent="0.25">
      <c r="A539" s="1">
        <v>638</v>
      </c>
      <c r="B539" s="1">
        <f t="shared" si="12"/>
        <v>638</v>
      </c>
      <c r="C539" s="1" t="s">
        <v>627</v>
      </c>
      <c r="D539" s="1" t="s">
        <v>30</v>
      </c>
      <c r="E539" s="9">
        <v>2</v>
      </c>
      <c r="G539" s="1" t="s">
        <v>922</v>
      </c>
    </row>
    <row r="540" spans="1:7" x14ac:dyDescent="0.25">
      <c r="A540" s="1">
        <v>639</v>
      </c>
      <c r="B540" s="1">
        <f t="shared" si="12"/>
        <v>639</v>
      </c>
      <c r="C540" s="1" t="s">
        <v>628</v>
      </c>
      <c r="D540" s="1" t="s">
        <v>30</v>
      </c>
      <c r="E540" s="9">
        <v>2</v>
      </c>
      <c r="G540" s="1" t="s">
        <v>922</v>
      </c>
    </row>
    <row r="541" spans="1:7" x14ac:dyDescent="0.25">
      <c r="A541" s="1">
        <v>640</v>
      </c>
      <c r="B541" s="1">
        <f t="shared" si="12"/>
        <v>640</v>
      </c>
      <c r="C541" s="1" t="s">
        <v>629</v>
      </c>
      <c r="D541" s="1" t="s">
        <v>30</v>
      </c>
      <c r="E541" s="9">
        <v>2</v>
      </c>
      <c r="G541" s="1" t="s">
        <v>922</v>
      </c>
    </row>
    <row r="542" spans="1:7" x14ac:dyDescent="0.25">
      <c r="A542" s="1">
        <v>641</v>
      </c>
      <c r="B542" s="1">
        <f t="shared" si="12"/>
        <v>641</v>
      </c>
      <c r="C542" s="1" t="s">
        <v>630</v>
      </c>
      <c r="D542" s="1" t="s">
        <v>30</v>
      </c>
      <c r="E542" s="9">
        <v>2</v>
      </c>
      <c r="G542" s="1" t="s">
        <v>922</v>
      </c>
    </row>
    <row r="543" spans="1:7" x14ac:dyDescent="0.25">
      <c r="A543" s="1">
        <v>642</v>
      </c>
      <c r="B543" s="1">
        <f t="shared" si="12"/>
        <v>642</v>
      </c>
      <c r="C543" s="1" t="s">
        <v>631</v>
      </c>
      <c r="D543" s="1" t="s">
        <v>30</v>
      </c>
      <c r="E543" s="9">
        <v>2</v>
      </c>
      <c r="G543" s="1" t="s">
        <v>922</v>
      </c>
    </row>
    <row r="544" spans="1:7" x14ac:dyDescent="0.25">
      <c r="A544" s="1">
        <v>643</v>
      </c>
      <c r="B544" s="1">
        <f t="shared" si="12"/>
        <v>643</v>
      </c>
      <c r="C544" s="1" t="s">
        <v>632</v>
      </c>
      <c r="D544" s="1" t="s">
        <v>30</v>
      </c>
      <c r="E544" s="9">
        <v>2</v>
      </c>
      <c r="G544" s="1" t="s">
        <v>922</v>
      </c>
    </row>
    <row r="545" spans="1:7" x14ac:dyDescent="0.25">
      <c r="A545" s="1">
        <v>644</v>
      </c>
      <c r="B545" s="1">
        <f t="shared" si="12"/>
        <v>644</v>
      </c>
      <c r="C545" s="1" t="s">
        <v>633</v>
      </c>
      <c r="D545" s="1" t="s">
        <v>30</v>
      </c>
      <c r="E545" s="9">
        <v>2</v>
      </c>
      <c r="G545" s="1" t="s">
        <v>922</v>
      </c>
    </row>
    <row r="546" spans="1:7" x14ac:dyDescent="0.25">
      <c r="A546" s="1">
        <v>645</v>
      </c>
      <c r="B546" s="1">
        <f t="shared" si="12"/>
        <v>645</v>
      </c>
      <c r="C546" s="1" t="s">
        <v>634</v>
      </c>
      <c r="D546" s="1" t="s">
        <v>30</v>
      </c>
      <c r="E546" s="9">
        <v>2</v>
      </c>
      <c r="G546" s="1" t="s">
        <v>922</v>
      </c>
    </row>
    <row r="547" spans="1:7" x14ac:dyDescent="0.25">
      <c r="A547" s="1">
        <v>646</v>
      </c>
      <c r="B547" s="1">
        <f t="shared" si="12"/>
        <v>646</v>
      </c>
      <c r="C547" s="1" t="s">
        <v>635</v>
      </c>
      <c r="D547" s="1" t="s">
        <v>30</v>
      </c>
      <c r="E547" s="9">
        <v>2</v>
      </c>
      <c r="G547" s="1" t="s">
        <v>922</v>
      </c>
    </row>
    <row r="548" spans="1:7" x14ac:dyDescent="0.25">
      <c r="A548" s="1">
        <v>647</v>
      </c>
      <c r="B548" s="1">
        <f t="shared" si="12"/>
        <v>647</v>
      </c>
      <c r="C548" s="1" t="s">
        <v>636</v>
      </c>
      <c r="D548" s="1" t="s">
        <v>30</v>
      </c>
      <c r="E548" s="9">
        <v>2</v>
      </c>
      <c r="G548" s="1" t="s">
        <v>922</v>
      </c>
    </row>
    <row r="549" spans="1:7" x14ac:dyDescent="0.25">
      <c r="A549" s="1">
        <v>648</v>
      </c>
      <c r="B549" s="1">
        <f t="shared" si="12"/>
        <v>648</v>
      </c>
      <c r="C549" s="1" t="s">
        <v>637</v>
      </c>
      <c r="D549" s="1" t="s">
        <v>30</v>
      </c>
      <c r="E549" s="9">
        <v>2</v>
      </c>
      <c r="G549" s="1" t="s">
        <v>922</v>
      </c>
    </row>
    <row r="550" spans="1:7" x14ac:dyDescent="0.25">
      <c r="A550" s="1">
        <v>649</v>
      </c>
      <c r="B550" s="1">
        <f t="shared" si="12"/>
        <v>649</v>
      </c>
      <c r="C550" s="1" t="s">
        <v>638</v>
      </c>
      <c r="D550" s="1" t="s">
        <v>30</v>
      </c>
      <c r="E550" s="9">
        <v>2</v>
      </c>
      <c r="G550" s="1" t="s">
        <v>922</v>
      </c>
    </row>
    <row r="551" spans="1:7" x14ac:dyDescent="0.25">
      <c r="A551" s="1">
        <v>650</v>
      </c>
      <c r="B551" s="1">
        <f t="shared" si="12"/>
        <v>650</v>
      </c>
      <c r="C551" s="1" t="s">
        <v>639</v>
      </c>
      <c r="D551" s="1" t="s">
        <v>30</v>
      </c>
      <c r="E551" s="9">
        <v>2</v>
      </c>
      <c r="G551" s="1" t="s">
        <v>922</v>
      </c>
    </row>
    <row r="552" spans="1:7" x14ac:dyDescent="0.25">
      <c r="A552" s="1">
        <v>651</v>
      </c>
      <c r="B552" s="1">
        <f t="shared" si="12"/>
        <v>651</v>
      </c>
      <c r="C552" s="1" t="s">
        <v>640</v>
      </c>
      <c r="D552" s="1" t="s">
        <v>30</v>
      </c>
      <c r="E552" s="9">
        <v>3</v>
      </c>
      <c r="G552" s="1" t="s">
        <v>922</v>
      </c>
    </row>
    <row r="553" spans="1:7" x14ac:dyDescent="0.25">
      <c r="A553" s="1">
        <v>652</v>
      </c>
      <c r="B553" s="1">
        <f t="shared" si="12"/>
        <v>652</v>
      </c>
      <c r="C553" s="1" t="s">
        <v>641</v>
      </c>
      <c r="D553" s="1" t="s">
        <v>30</v>
      </c>
      <c r="E553" s="9">
        <v>3</v>
      </c>
      <c r="G553" s="1" t="s">
        <v>922</v>
      </c>
    </row>
    <row r="554" spans="1:7" x14ac:dyDescent="0.25">
      <c r="A554" s="1">
        <v>653</v>
      </c>
      <c r="B554" s="1">
        <f t="shared" si="12"/>
        <v>653</v>
      </c>
      <c r="C554" s="1" t="s">
        <v>642</v>
      </c>
      <c r="D554" s="1" t="s">
        <v>30</v>
      </c>
      <c r="E554" s="9">
        <v>3</v>
      </c>
      <c r="G554" s="1" t="s">
        <v>922</v>
      </c>
    </row>
    <row r="555" spans="1:7" x14ac:dyDescent="0.25">
      <c r="A555" s="1">
        <v>654</v>
      </c>
      <c r="B555" s="1">
        <f t="shared" si="12"/>
        <v>654</v>
      </c>
      <c r="C555" s="1" t="s">
        <v>643</v>
      </c>
      <c r="D555" s="1" t="s">
        <v>30</v>
      </c>
      <c r="E555" s="9">
        <v>2</v>
      </c>
      <c r="G555" s="1" t="s">
        <v>922</v>
      </c>
    </row>
    <row r="556" spans="1:7" x14ac:dyDescent="0.25">
      <c r="A556" s="1">
        <v>655</v>
      </c>
      <c r="B556" s="1">
        <f t="shared" si="12"/>
        <v>655</v>
      </c>
      <c r="C556" s="1" t="s">
        <v>644</v>
      </c>
      <c r="D556" s="1" t="s">
        <v>30</v>
      </c>
      <c r="E556" s="9">
        <v>2</v>
      </c>
      <c r="G556" s="1" t="s">
        <v>922</v>
      </c>
    </row>
    <row r="557" spans="1:7" x14ac:dyDescent="0.25">
      <c r="A557" s="1">
        <v>656</v>
      </c>
      <c r="B557" s="1">
        <f t="shared" si="12"/>
        <v>656</v>
      </c>
      <c r="C557" s="1" t="s">
        <v>645</v>
      </c>
      <c r="D557" s="1" t="s">
        <v>30</v>
      </c>
      <c r="E557" s="9">
        <v>2</v>
      </c>
      <c r="G557" s="1" t="s">
        <v>922</v>
      </c>
    </row>
    <row r="558" spans="1:7" x14ac:dyDescent="0.25">
      <c r="A558" s="1">
        <v>657</v>
      </c>
      <c r="B558" s="1">
        <f t="shared" si="12"/>
        <v>657</v>
      </c>
      <c r="C558" s="1" t="s">
        <v>646</v>
      </c>
      <c r="D558" s="1" t="s">
        <v>30</v>
      </c>
      <c r="E558" s="9">
        <v>2</v>
      </c>
      <c r="G558" s="1" t="s">
        <v>922</v>
      </c>
    </row>
    <row r="559" spans="1:7" x14ac:dyDescent="0.25">
      <c r="A559" s="1">
        <v>658</v>
      </c>
      <c r="B559" s="1">
        <f t="shared" si="12"/>
        <v>658</v>
      </c>
      <c r="C559" s="1" t="s">
        <v>647</v>
      </c>
      <c r="D559" s="1" t="s">
        <v>30</v>
      </c>
      <c r="E559" s="9">
        <v>2</v>
      </c>
      <c r="G559" s="1" t="s">
        <v>922</v>
      </c>
    </row>
    <row r="560" spans="1:7" x14ac:dyDescent="0.25">
      <c r="A560" s="1">
        <v>659</v>
      </c>
      <c r="B560" s="1">
        <f t="shared" si="12"/>
        <v>659</v>
      </c>
      <c r="C560" s="1" t="s">
        <v>648</v>
      </c>
      <c r="D560" s="1" t="s">
        <v>30</v>
      </c>
      <c r="E560" s="9">
        <v>2</v>
      </c>
      <c r="G560" s="1" t="s">
        <v>922</v>
      </c>
    </row>
    <row r="561" spans="1:7" x14ac:dyDescent="0.25">
      <c r="A561" s="1">
        <v>660</v>
      </c>
      <c r="B561" s="1">
        <f t="shared" si="12"/>
        <v>660</v>
      </c>
      <c r="C561" s="1" t="s">
        <v>649</v>
      </c>
      <c r="D561" s="1" t="s">
        <v>30</v>
      </c>
      <c r="E561" s="9">
        <v>2</v>
      </c>
      <c r="G561" s="1" t="s">
        <v>922</v>
      </c>
    </row>
    <row r="562" spans="1:7" x14ac:dyDescent="0.25">
      <c r="A562" s="1">
        <v>661</v>
      </c>
      <c r="B562" s="1">
        <f t="shared" si="12"/>
        <v>661</v>
      </c>
      <c r="C562" s="1" t="s">
        <v>650</v>
      </c>
      <c r="D562" s="1" t="s">
        <v>30</v>
      </c>
      <c r="E562" s="9">
        <v>14</v>
      </c>
      <c r="G562" s="1" t="s">
        <v>922</v>
      </c>
    </row>
    <row r="563" spans="1:7" x14ac:dyDescent="0.25">
      <c r="A563" s="1">
        <v>662</v>
      </c>
      <c r="B563" s="1">
        <f t="shared" si="12"/>
        <v>662</v>
      </c>
      <c r="C563" s="1" t="s">
        <v>651</v>
      </c>
      <c r="D563" s="1" t="s">
        <v>30</v>
      </c>
      <c r="E563" s="9">
        <v>2</v>
      </c>
      <c r="G563" s="1" t="s">
        <v>922</v>
      </c>
    </row>
    <row r="564" spans="1:7" x14ac:dyDescent="0.25">
      <c r="A564" s="1">
        <v>663</v>
      </c>
      <c r="B564" s="1">
        <f t="shared" si="12"/>
        <v>663</v>
      </c>
      <c r="C564" s="1" t="s">
        <v>652</v>
      </c>
      <c r="D564" s="1" t="s">
        <v>30</v>
      </c>
      <c r="E564" s="9">
        <v>2</v>
      </c>
      <c r="G564" s="1" t="s">
        <v>922</v>
      </c>
    </row>
    <row r="565" spans="1:7" x14ac:dyDescent="0.25">
      <c r="A565" s="1">
        <v>664</v>
      </c>
      <c r="B565" s="1">
        <f t="shared" si="12"/>
        <v>664</v>
      </c>
      <c r="C565" s="1" t="s">
        <v>653</v>
      </c>
      <c r="D565" s="1" t="s">
        <v>30</v>
      </c>
      <c r="E565" s="9">
        <v>2</v>
      </c>
      <c r="G565" s="1" t="s">
        <v>922</v>
      </c>
    </row>
    <row r="566" spans="1:7" x14ac:dyDescent="0.25">
      <c r="A566" s="1">
        <v>665</v>
      </c>
      <c r="B566" s="1">
        <f t="shared" si="12"/>
        <v>665</v>
      </c>
      <c r="C566" s="1" t="s">
        <v>654</v>
      </c>
      <c r="D566" s="1" t="s">
        <v>30</v>
      </c>
      <c r="E566" s="9">
        <v>2</v>
      </c>
      <c r="G566" s="1" t="s">
        <v>922</v>
      </c>
    </row>
    <row r="567" spans="1:7" x14ac:dyDescent="0.25">
      <c r="A567" s="1">
        <v>666</v>
      </c>
      <c r="B567" s="1">
        <f t="shared" si="12"/>
        <v>666</v>
      </c>
      <c r="C567" s="1" t="s">
        <v>655</v>
      </c>
      <c r="D567" s="1" t="s">
        <v>30</v>
      </c>
      <c r="E567" s="9">
        <v>2</v>
      </c>
      <c r="G567" s="1" t="s">
        <v>922</v>
      </c>
    </row>
    <row r="568" spans="1:7" x14ac:dyDescent="0.25">
      <c r="A568" s="1">
        <v>667</v>
      </c>
      <c r="B568" s="1">
        <f t="shared" si="12"/>
        <v>667</v>
      </c>
      <c r="C568" s="1" t="s">
        <v>656</v>
      </c>
      <c r="D568" s="1" t="s">
        <v>30</v>
      </c>
      <c r="E568" s="9">
        <v>2</v>
      </c>
      <c r="G568" s="1" t="s">
        <v>922</v>
      </c>
    </row>
    <row r="569" spans="1:7" x14ac:dyDescent="0.25">
      <c r="A569" s="1">
        <v>668</v>
      </c>
      <c r="B569" s="1">
        <f t="shared" si="12"/>
        <v>668</v>
      </c>
      <c r="C569" s="1" t="s">
        <v>657</v>
      </c>
      <c r="D569" s="1" t="s">
        <v>30</v>
      </c>
      <c r="E569" s="9">
        <v>2</v>
      </c>
      <c r="G569" s="1" t="s">
        <v>922</v>
      </c>
    </row>
    <row r="570" spans="1:7" x14ac:dyDescent="0.25">
      <c r="A570" s="1">
        <v>669</v>
      </c>
      <c r="B570" s="1">
        <f t="shared" si="12"/>
        <v>669</v>
      </c>
      <c r="C570" s="1" t="s">
        <v>658</v>
      </c>
      <c r="D570" s="1" t="s">
        <v>30</v>
      </c>
      <c r="E570" s="9">
        <v>2</v>
      </c>
      <c r="G570" s="1" t="s">
        <v>922</v>
      </c>
    </row>
    <row r="571" spans="1:7" x14ac:dyDescent="0.25">
      <c r="A571" s="1">
        <v>670</v>
      </c>
      <c r="B571" s="1">
        <f t="shared" si="12"/>
        <v>670</v>
      </c>
      <c r="C571" s="1" t="s">
        <v>659</v>
      </c>
      <c r="D571" s="1" t="s">
        <v>30</v>
      </c>
      <c r="E571" s="9">
        <v>2</v>
      </c>
      <c r="G571" s="1" t="s">
        <v>922</v>
      </c>
    </row>
    <row r="572" spans="1:7" x14ac:dyDescent="0.25">
      <c r="A572" s="1">
        <v>671</v>
      </c>
      <c r="B572" s="1">
        <f t="shared" si="12"/>
        <v>671</v>
      </c>
      <c r="C572" s="1" t="s">
        <v>660</v>
      </c>
      <c r="D572" s="1" t="s">
        <v>30</v>
      </c>
      <c r="E572" s="9">
        <v>2</v>
      </c>
      <c r="G572" s="1" t="s">
        <v>922</v>
      </c>
    </row>
    <row r="573" spans="1:7" x14ac:dyDescent="0.25">
      <c r="A573" s="1">
        <v>672</v>
      </c>
      <c r="B573" s="1">
        <f t="shared" si="12"/>
        <v>672</v>
      </c>
      <c r="C573" s="1" t="s">
        <v>661</v>
      </c>
      <c r="D573" s="1" t="s">
        <v>30</v>
      </c>
      <c r="E573" s="9">
        <v>2</v>
      </c>
      <c r="G573" s="1" t="s">
        <v>922</v>
      </c>
    </row>
    <row r="574" spans="1:7" x14ac:dyDescent="0.25">
      <c r="A574" s="1">
        <v>673</v>
      </c>
      <c r="B574" s="1">
        <f t="shared" si="12"/>
        <v>673</v>
      </c>
      <c r="C574" s="1" t="s">
        <v>662</v>
      </c>
      <c r="D574" s="1" t="s">
        <v>30</v>
      </c>
      <c r="E574" s="9">
        <v>2</v>
      </c>
      <c r="G574" s="1" t="s">
        <v>922</v>
      </c>
    </row>
    <row r="575" spans="1:7" x14ac:dyDescent="0.25">
      <c r="A575" s="1">
        <v>674</v>
      </c>
      <c r="B575" s="1">
        <f t="shared" si="12"/>
        <v>674</v>
      </c>
      <c r="C575" s="1" t="s">
        <v>663</v>
      </c>
      <c r="D575" s="1" t="s">
        <v>30</v>
      </c>
      <c r="E575" s="9">
        <v>2</v>
      </c>
      <c r="G575" s="1" t="s">
        <v>922</v>
      </c>
    </row>
    <row r="576" spans="1:7" x14ac:dyDescent="0.25">
      <c r="A576" s="1">
        <v>675</v>
      </c>
      <c r="B576" s="1">
        <f t="shared" si="12"/>
        <v>675</v>
      </c>
      <c r="C576" s="1" t="s">
        <v>664</v>
      </c>
      <c r="D576" s="1" t="s">
        <v>30</v>
      </c>
      <c r="E576" s="9">
        <v>2</v>
      </c>
      <c r="G576" s="1" t="s">
        <v>922</v>
      </c>
    </row>
    <row r="577" spans="1:7" x14ac:dyDescent="0.25">
      <c r="A577" s="1">
        <v>676</v>
      </c>
      <c r="B577" s="1">
        <f t="shared" si="12"/>
        <v>676</v>
      </c>
      <c r="C577" s="1" t="s">
        <v>665</v>
      </c>
      <c r="D577" s="1" t="s">
        <v>30</v>
      </c>
      <c r="E577" s="9">
        <v>2</v>
      </c>
      <c r="G577" s="1" t="s">
        <v>922</v>
      </c>
    </row>
    <row r="578" spans="1:7" x14ac:dyDescent="0.25">
      <c r="A578" s="1">
        <v>677</v>
      </c>
      <c r="B578" s="1">
        <f t="shared" ref="B578:B641" si="13">A578</f>
        <v>677</v>
      </c>
      <c r="C578" s="1" t="s">
        <v>666</v>
      </c>
      <c r="D578" s="1" t="s">
        <v>30</v>
      </c>
      <c r="E578" s="9">
        <v>2</v>
      </c>
      <c r="G578" s="1" t="s">
        <v>922</v>
      </c>
    </row>
    <row r="579" spans="1:7" x14ac:dyDescent="0.25">
      <c r="A579" s="1">
        <v>678</v>
      </c>
      <c r="B579" s="1">
        <f t="shared" si="13"/>
        <v>678</v>
      </c>
      <c r="C579" s="1" t="s">
        <v>667</v>
      </c>
      <c r="D579" s="1" t="s">
        <v>30</v>
      </c>
      <c r="E579" s="9">
        <v>2</v>
      </c>
      <c r="G579" s="1" t="s">
        <v>922</v>
      </c>
    </row>
    <row r="580" spans="1:7" x14ac:dyDescent="0.25">
      <c r="A580" s="1">
        <v>679</v>
      </c>
      <c r="B580" s="1">
        <f t="shared" si="13"/>
        <v>679</v>
      </c>
      <c r="C580" s="1" t="s">
        <v>668</v>
      </c>
      <c r="D580" s="1" t="s">
        <v>30</v>
      </c>
      <c r="E580" s="9">
        <v>2</v>
      </c>
      <c r="G580" s="1" t="s">
        <v>922</v>
      </c>
    </row>
    <row r="581" spans="1:7" x14ac:dyDescent="0.25">
      <c r="A581" s="1">
        <v>680</v>
      </c>
      <c r="B581" s="1">
        <f t="shared" si="13"/>
        <v>680</v>
      </c>
      <c r="C581" s="1" t="s">
        <v>669</v>
      </c>
      <c r="D581" s="1" t="s">
        <v>30</v>
      </c>
      <c r="E581" s="9">
        <v>2</v>
      </c>
      <c r="G581" s="1" t="s">
        <v>922</v>
      </c>
    </row>
    <row r="582" spans="1:7" x14ac:dyDescent="0.25">
      <c r="A582" s="1">
        <v>681</v>
      </c>
      <c r="B582" s="1">
        <f t="shared" si="13"/>
        <v>681</v>
      </c>
      <c r="C582" s="1" t="s">
        <v>670</v>
      </c>
      <c r="D582" s="1" t="s">
        <v>30</v>
      </c>
      <c r="E582" s="9">
        <v>2</v>
      </c>
      <c r="G582" s="1" t="s">
        <v>922</v>
      </c>
    </row>
    <row r="583" spans="1:7" x14ac:dyDescent="0.25">
      <c r="A583" s="1">
        <v>682</v>
      </c>
      <c r="B583" s="1">
        <f t="shared" si="13"/>
        <v>682</v>
      </c>
      <c r="C583" s="1" t="s">
        <v>671</v>
      </c>
      <c r="D583" s="1" t="s">
        <v>30</v>
      </c>
      <c r="E583" s="9">
        <v>2</v>
      </c>
      <c r="G583" s="1" t="s">
        <v>922</v>
      </c>
    </row>
    <row r="584" spans="1:7" x14ac:dyDescent="0.25">
      <c r="A584" s="1">
        <v>683</v>
      </c>
      <c r="B584" s="1">
        <f t="shared" si="13"/>
        <v>683</v>
      </c>
      <c r="C584" s="1" t="s">
        <v>672</v>
      </c>
      <c r="D584" s="1" t="s">
        <v>30</v>
      </c>
      <c r="E584" s="9">
        <v>2</v>
      </c>
      <c r="G584" s="1" t="s">
        <v>922</v>
      </c>
    </row>
    <row r="585" spans="1:7" x14ac:dyDescent="0.25">
      <c r="A585" s="1">
        <v>684</v>
      </c>
      <c r="B585" s="1">
        <f t="shared" si="13"/>
        <v>684</v>
      </c>
      <c r="C585" s="1" t="s">
        <v>673</v>
      </c>
      <c r="D585" s="1" t="s">
        <v>30</v>
      </c>
      <c r="E585" s="9">
        <v>2</v>
      </c>
      <c r="G585" s="1" t="s">
        <v>922</v>
      </c>
    </row>
    <row r="586" spans="1:7" x14ac:dyDescent="0.25">
      <c r="A586" s="1">
        <v>685</v>
      </c>
      <c r="B586" s="1">
        <f t="shared" si="13"/>
        <v>685</v>
      </c>
      <c r="C586" s="1" t="s">
        <v>674</v>
      </c>
      <c r="D586" s="1" t="s">
        <v>30</v>
      </c>
      <c r="E586" s="9">
        <v>2</v>
      </c>
      <c r="G586" s="1" t="s">
        <v>922</v>
      </c>
    </row>
    <row r="587" spans="1:7" x14ac:dyDescent="0.25">
      <c r="A587" s="1">
        <v>686</v>
      </c>
      <c r="B587" s="1">
        <f t="shared" si="13"/>
        <v>686</v>
      </c>
      <c r="C587" s="1" t="s">
        <v>675</v>
      </c>
      <c r="D587" s="1" t="s">
        <v>30</v>
      </c>
      <c r="E587" s="9">
        <v>2</v>
      </c>
      <c r="G587" s="1" t="s">
        <v>922</v>
      </c>
    </row>
    <row r="588" spans="1:7" x14ac:dyDescent="0.25">
      <c r="A588" s="1">
        <v>687</v>
      </c>
      <c r="B588" s="1">
        <f t="shared" si="13"/>
        <v>687</v>
      </c>
      <c r="C588" s="1" t="s">
        <v>676</v>
      </c>
      <c r="D588" s="1" t="s">
        <v>30</v>
      </c>
      <c r="E588" s="9">
        <v>2</v>
      </c>
      <c r="G588" s="1" t="s">
        <v>922</v>
      </c>
    </row>
    <row r="589" spans="1:7" x14ac:dyDescent="0.25">
      <c r="A589" s="1">
        <v>688</v>
      </c>
      <c r="B589" s="1">
        <f t="shared" si="13"/>
        <v>688</v>
      </c>
      <c r="C589" s="1" t="s">
        <v>677</v>
      </c>
      <c r="D589" s="1" t="s">
        <v>30</v>
      </c>
      <c r="E589" s="9">
        <v>2</v>
      </c>
      <c r="G589" s="1" t="s">
        <v>922</v>
      </c>
    </row>
    <row r="590" spans="1:7" x14ac:dyDescent="0.25">
      <c r="A590" s="1">
        <v>689</v>
      </c>
      <c r="B590" s="1">
        <f t="shared" si="13"/>
        <v>689</v>
      </c>
      <c r="C590" s="1" t="s">
        <v>678</v>
      </c>
      <c r="D590" s="1" t="s">
        <v>30</v>
      </c>
      <c r="E590" s="9">
        <v>2</v>
      </c>
      <c r="G590" s="1" t="s">
        <v>922</v>
      </c>
    </row>
    <row r="591" spans="1:7" x14ac:dyDescent="0.25">
      <c r="A591" s="1">
        <v>690</v>
      </c>
      <c r="B591" s="1">
        <f t="shared" si="13"/>
        <v>690</v>
      </c>
      <c r="C591" s="1" t="s">
        <v>680</v>
      </c>
      <c r="D591" s="1" t="s">
        <v>30</v>
      </c>
      <c r="E591" s="9">
        <v>2</v>
      </c>
      <c r="G591" s="1" t="s">
        <v>922</v>
      </c>
    </row>
    <row r="592" spans="1:7" x14ac:dyDescent="0.25">
      <c r="A592" s="1">
        <v>691</v>
      </c>
      <c r="B592" s="1">
        <f t="shared" si="13"/>
        <v>691</v>
      </c>
      <c r="C592" s="1" t="s">
        <v>681</v>
      </c>
      <c r="D592" s="1" t="s">
        <v>30</v>
      </c>
      <c r="E592" s="9">
        <v>2</v>
      </c>
      <c r="G592" s="1" t="s">
        <v>922</v>
      </c>
    </row>
    <row r="593" spans="1:7" x14ac:dyDescent="0.25">
      <c r="A593" s="1">
        <v>692</v>
      </c>
      <c r="B593" s="1">
        <f t="shared" si="13"/>
        <v>692</v>
      </c>
      <c r="C593" s="1" t="s">
        <v>682</v>
      </c>
      <c r="D593" s="1" t="s">
        <v>30</v>
      </c>
      <c r="E593" s="9">
        <v>4</v>
      </c>
      <c r="G593" s="1" t="s">
        <v>922</v>
      </c>
    </row>
    <row r="594" spans="1:7" x14ac:dyDescent="0.25">
      <c r="A594" s="1">
        <v>693</v>
      </c>
      <c r="B594" s="1">
        <f t="shared" si="13"/>
        <v>693</v>
      </c>
      <c r="C594" s="1" t="s">
        <v>683</v>
      </c>
      <c r="D594" s="1" t="s">
        <v>30</v>
      </c>
      <c r="E594" s="9">
        <v>3</v>
      </c>
      <c r="G594" s="1" t="s">
        <v>922</v>
      </c>
    </row>
    <row r="595" spans="1:7" x14ac:dyDescent="0.25">
      <c r="A595" s="1">
        <v>694</v>
      </c>
      <c r="B595" s="1">
        <f t="shared" si="13"/>
        <v>694</v>
      </c>
      <c r="C595" s="1" t="s">
        <v>684</v>
      </c>
      <c r="D595" s="1" t="s">
        <v>30</v>
      </c>
      <c r="E595" s="9">
        <v>2</v>
      </c>
      <c r="G595" s="1" t="s">
        <v>922</v>
      </c>
    </row>
    <row r="596" spans="1:7" x14ac:dyDescent="0.25">
      <c r="A596" s="1">
        <v>695</v>
      </c>
      <c r="B596" s="1">
        <f t="shared" si="13"/>
        <v>695</v>
      </c>
      <c r="C596" s="1" t="s">
        <v>685</v>
      </c>
      <c r="D596" s="1" t="s">
        <v>30</v>
      </c>
      <c r="E596" s="9">
        <v>2</v>
      </c>
      <c r="G596" s="1" t="s">
        <v>922</v>
      </c>
    </row>
    <row r="597" spans="1:7" x14ac:dyDescent="0.25">
      <c r="A597" s="1">
        <v>696</v>
      </c>
      <c r="B597" s="1">
        <f t="shared" si="13"/>
        <v>696</v>
      </c>
      <c r="C597" s="1" t="s">
        <v>686</v>
      </c>
      <c r="D597" s="1" t="s">
        <v>30</v>
      </c>
      <c r="E597" s="9">
        <v>2</v>
      </c>
      <c r="G597" s="1" t="s">
        <v>922</v>
      </c>
    </row>
    <row r="598" spans="1:7" x14ac:dyDescent="0.25">
      <c r="A598" s="1">
        <v>697</v>
      </c>
      <c r="B598" s="1">
        <f t="shared" si="13"/>
        <v>697</v>
      </c>
      <c r="C598" s="1" t="s">
        <v>687</v>
      </c>
      <c r="D598" s="1" t="s">
        <v>30</v>
      </c>
      <c r="E598" s="9">
        <v>2</v>
      </c>
      <c r="G598" s="1" t="s">
        <v>922</v>
      </c>
    </row>
    <row r="599" spans="1:7" x14ac:dyDescent="0.25">
      <c r="A599" s="1">
        <v>698</v>
      </c>
      <c r="B599" s="1">
        <f t="shared" si="13"/>
        <v>698</v>
      </c>
      <c r="C599" s="1" t="s">
        <v>688</v>
      </c>
      <c r="D599" s="1" t="s">
        <v>30</v>
      </c>
      <c r="E599" s="9">
        <v>2</v>
      </c>
      <c r="G599" s="1" t="s">
        <v>922</v>
      </c>
    </row>
    <row r="600" spans="1:7" x14ac:dyDescent="0.25">
      <c r="A600" s="1">
        <v>699</v>
      </c>
      <c r="B600" s="1">
        <f t="shared" si="13"/>
        <v>699</v>
      </c>
      <c r="C600" s="1" t="s">
        <v>689</v>
      </c>
      <c r="D600" s="1" t="s">
        <v>30</v>
      </c>
      <c r="E600" s="9">
        <v>2</v>
      </c>
      <c r="G600" s="1" t="s">
        <v>922</v>
      </c>
    </row>
    <row r="601" spans="1:7" x14ac:dyDescent="0.25">
      <c r="A601" s="1">
        <v>700</v>
      </c>
      <c r="B601" s="1">
        <f t="shared" si="13"/>
        <v>700</v>
      </c>
      <c r="C601" s="1" t="s">
        <v>690</v>
      </c>
      <c r="D601" s="1" t="s">
        <v>30</v>
      </c>
      <c r="E601" s="9">
        <v>2</v>
      </c>
      <c r="G601" s="1" t="s">
        <v>922</v>
      </c>
    </row>
    <row r="602" spans="1:7" x14ac:dyDescent="0.25">
      <c r="A602" s="1">
        <v>701</v>
      </c>
      <c r="B602" s="1">
        <f t="shared" si="13"/>
        <v>701</v>
      </c>
      <c r="C602" s="1" t="s">
        <v>691</v>
      </c>
      <c r="D602" s="1" t="s">
        <v>30</v>
      </c>
      <c r="E602" s="9">
        <v>2</v>
      </c>
      <c r="G602" s="1" t="s">
        <v>922</v>
      </c>
    </row>
    <row r="603" spans="1:7" x14ac:dyDescent="0.25">
      <c r="A603" s="1">
        <v>702</v>
      </c>
      <c r="B603" s="1">
        <f t="shared" si="13"/>
        <v>702</v>
      </c>
      <c r="C603" s="1" t="s">
        <v>692</v>
      </c>
      <c r="D603" s="1" t="s">
        <v>30</v>
      </c>
      <c r="E603" s="9">
        <v>2</v>
      </c>
      <c r="G603" s="1" t="s">
        <v>922</v>
      </c>
    </row>
    <row r="604" spans="1:7" x14ac:dyDescent="0.25">
      <c r="A604" s="1">
        <v>703</v>
      </c>
      <c r="B604" s="1">
        <f t="shared" si="13"/>
        <v>703</v>
      </c>
      <c r="C604" s="1" t="s">
        <v>693</v>
      </c>
      <c r="D604" s="1" t="s">
        <v>30</v>
      </c>
      <c r="E604" s="9">
        <v>2</v>
      </c>
      <c r="G604" s="1" t="s">
        <v>922</v>
      </c>
    </row>
    <row r="605" spans="1:7" x14ac:dyDescent="0.25">
      <c r="A605" s="1">
        <v>704</v>
      </c>
      <c r="B605" s="1">
        <f t="shared" si="13"/>
        <v>704</v>
      </c>
      <c r="C605" s="1" t="s">
        <v>694</v>
      </c>
      <c r="D605" s="1" t="s">
        <v>30</v>
      </c>
      <c r="E605" s="9">
        <v>2</v>
      </c>
      <c r="G605" s="1" t="s">
        <v>922</v>
      </c>
    </row>
    <row r="606" spans="1:7" x14ac:dyDescent="0.25">
      <c r="A606" s="1">
        <v>705</v>
      </c>
      <c r="B606" s="1">
        <f t="shared" si="13"/>
        <v>705</v>
      </c>
      <c r="C606" s="1" t="s">
        <v>695</v>
      </c>
      <c r="D606" s="1" t="s">
        <v>30</v>
      </c>
      <c r="E606" s="9">
        <v>2</v>
      </c>
      <c r="G606" s="1" t="s">
        <v>922</v>
      </c>
    </row>
    <row r="607" spans="1:7" x14ac:dyDescent="0.25">
      <c r="A607" s="1">
        <v>706</v>
      </c>
      <c r="B607" s="1">
        <f t="shared" si="13"/>
        <v>706</v>
      </c>
      <c r="C607" s="1" t="s">
        <v>696</v>
      </c>
      <c r="D607" s="1" t="s">
        <v>30</v>
      </c>
      <c r="E607" s="9">
        <v>2</v>
      </c>
      <c r="G607" s="1" t="s">
        <v>922</v>
      </c>
    </row>
    <row r="608" spans="1:7" x14ac:dyDescent="0.25">
      <c r="A608" s="1">
        <v>707</v>
      </c>
      <c r="B608" s="1">
        <f t="shared" si="13"/>
        <v>707</v>
      </c>
      <c r="C608" s="1" t="s">
        <v>697</v>
      </c>
      <c r="D608" s="1" t="s">
        <v>30</v>
      </c>
      <c r="E608" s="9">
        <v>2</v>
      </c>
      <c r="G608" s="1" t="s">
        <v>922</v>
      </c>
    </row>
    <row r="609" spans="1:7" x14ac:dyDescent="0.25">
      <c r="A609" s="1">
        <v>708</v>
      </c>
      <c r="B609" s="1">
        <f t="shared" si="13"/>
        <v>708</v>
      </c>
      <c r="C609" s="1" t="s">
        <v>698</v>
      </c>
      <c r="D609" s="1" t="s">
        <v>30</v>
      </c>
      <c r="E609" s="9">
        <v>2</v>
      </c>
      <c r="G609" s="1" t="s">
        <v>922</v>
      </c>
    </row>
    <row r="610" spans="1:7" x14ac:dyDescent="0.25">
      <c r="A610" s="1">
        <v>709</v>
      </c>
      <c r="B610" s="1">
        <f t="shared" si="13"/>
        <v>709</v>
      </c>
      <c r="C610" s="1" t="s">
        <v>699</v>
      </c>
      <c r="D610" s="1" t="s">
        <v>30</v>
      </c>
      <c r="E610" s="9">
        <v>2</v>
      </c>
      <c r="G610" s="1" t="s">
        <v>922</v>
      </c>
    </row>
    <row r="611" spans="1:7" x14ac:dyDescent="0.25">
      <c r="A611" s="1">
        <v>710</v>
      </c>
      <c r="B611" s="1">
        <f t="shared" si="13"/>
        <v>710</v>
      </c>
      <c r="C611" s="1" t="s">
        <v>700</v>
      </c>
      <c r="D611" s="1" t="s">
        <v>30</v>
      </c>
      <c r="E611" s="9">
        <v>2</v>
      </c>
      <c r="G611" s="1" t="s">
        <v>922</v>
      </c>
    </row>
    <row r="612" spans="1:7" x14ac:dyDescent="0.25">
      <c r="A612" s="1">
        <v>711</v>
      </c>
      <c r="B612" s="1">
        <f t="shared" si="13"/>
        <v>711</v>
      </c>
      <c r="C612" s="1" t="s">
        <v>701</v>
      </c>
      <c r="D612" s="1" t="s">
        <v>30</v>
      </c>
      <c r="E612" s="9">
        <v>2</v>
      </c>
      <c r="G612" s="1" t="s">
        <v>922</v>
      </c>
    </row>
    <row r="613" spans="1:7" x14ac:dyDescent="0.25">
      <c r="A613" s="1">
        <v>712</v>
      </c>
      <c r="B613" s="1">
        <f t="shared" si="13"/>
        <v>712</v>
      </c>
      <c r="C613" s="1" t="s">
        <v>702</v>
      </c>
      <c r="D613" s="1" t="s">
        <v>30</v>
      </c>
      <c r="E613" s="9">
        <v>2</v>
      </c>
      <c r="G613" s="1" t="s">
        <v>922</v>
      </c>
    </row>
    <row r="614" spans="1:7" x14ac:dyDescent="0.25">
      <c r="A614" s="1">
        <v>713</v>
      </c>
      <c r="B614" s="1">
        <f t="shared" si="13"/>
        <v>713</v>
      </c>
      <c r="C614" s="1" t="s">
        <v>703</v>
      </c>
      <c r="D614" s="1" t="s">
        <v>30</v>
      </c>
      <c r="E614" s="9">
        <v>2</v>
      </c>
      <c r="G614" s="1" t="s">
        <v>922</v>
      </c>
    </row>
    <row r="615" spans="1:7" x14ac:dyDescent="0.25">
      <c r="A615" s="1">
        <v>714</v>
      </c>
      <c r="B615" s="1">
        <f t="shared" si="13"/>
        <v>714</v>
      </c>
      <c r="C615" s="1" t="s">
        <v>704</v>
      </c>
      <c r="D615" s="1" t="s">
        <v>30</v>
      </c>
      <c r="E615" s="9">
        <v>2</v>
      </c>
      <c r="G615" s="1" t="s">
        <v>922</v>
      </c>
    </row>
    <row r="616" spans="1:7" x14ac:dyDescent="0.25">
      <c r="A616" s="1">
        <v>715</v>
      </c>
      <c r="B616" s="1">
        <f t="shared" si="13"/>
        <v>715</v>
      </c>
      <c r="C616" s="1" t="s">
        <v>705</v>
      </c>
      <c r="D616" s="1" t="s">
        <v>30</v>
      </c>
      <c r="E616" s="9">
        <v>2</v>
      </c>
      <c r="G616" s="1" t="s">
        <v>922</v>
      </c>
    </row>
    <row r="617" spans="1:7" x14ac:dyDescent="0.25">
      <c r="A617" s="1">
        <v>716</v>
      </c>
      <c r="B617" s="1">
        <f t="shared" si="13"/>
        <v>716</v>
      </c>
      <c r="C617" s="1" t="s">
        <v>706</v>
      </c>
      <c r="D617" s="1" t="s">
        <v>30</v>
      </c>
      <c r="E617" s="9">
        <v>2</v>
      </c>
      <c r="G617" s="1" t="s">
        <v>922</v>
      </c>
    </row>
    <row r="618" spans="1:7" x14ac:dyDescent="0.25">
      <c r="A618" s="1">
        <v>717</v>
      </c>
      <c r="B618" s="1">
        <f t="shared" si="13"/>
        <v>717</v>
      </c>
      <c r="C618" s="1" t="s">
        <v>707</v>
      </c>
      <c r="D618" s="1" t="s">
        <v>30</v>
      </c>
      <c r="E618" s="9">
        <v>2</v>
      </c>
      <c r="G618" s="1" t="s">
        <v>922</v>
      </c>
    </row>
    <row r="619" spans="1:7" x14ac:dyDescent="0.25">
      <c r="A619" s="1">
        <v>718</v>
      </c>
      <c r="B619" s="1">
        <f t="shared" si="13"/>
        <v>718</v>
      </c>
      <c r="C619" s="1" t="s">
        <v>708</v>
      </c>
      <c r="D619" s="1" t="s">
        <v>30</v>
      </c>
      <c r="E619" s="9">
        <v>2</v>
      </c>
      <c r="G619" s="1" t="s">
        <v>922</v>
      </c>
    </row>
    <row r="620" spans="1:7" x14ac:dyDescent="0.25">
      <c r="A620" s="1">
        <v>719</v>
      </c>
      <c r="B620" s="1">
        <f t="shared" si="13"/>
        <v>719</v>
      </c>
      <c r="C620" s="1" t="s">
        <v>709</v>
      </c>
      <c r="D620" s="1" t="s">
        <v>30</v>
      </c>
      <c r="E620" s="9">
        <v>2</v>
      </c>
      <c r="G620" s="1" t="s">
        <v>922</v>
      </c>
    </row>
    <row r="621" spans="1:7" x14ac:dyDescent="0.25">
      <c r="A621" s="1">
        <v>720</v>
      </c>
      <c r="B621" s="1">
        <f t="shared" si="13"/>
        <v>720</v>
      </c>
      <c r="C621" s="1" t="s">
        <v>710</v>
      </c>
      <c r="D621" s="1" t="s">
        <v>30</v>
      </c>
      <c r="E621" s="9">
        <v>2</v>
      </c>
      <c r="G621" s="1" t="s">
        <v>922</v>
      </c>
    </row>
    <row r="622" spans="1:7" x14ac:dyDescent="0.25">
      <c r="A622" s="1">
        <v>721</v>
      </c>
      <c r="B622" s="1">
        <f t="shared" si="13"/>
        <v>721</v>
      </c>
      <c r="C622" s="1" t="s">
        <v>711</v>
      </c>
      <c r="D622" s="1" t="s">
        <v>30</v>
      </c>
      <c r="E622" s="9">
        <v>2</v>
      </c>
      <c r="G622" s="1" t="s">
        <v>922</v>
      </c>
    </row>
    <row r="623" spans="1:7" x14ac:dyDescent="0.25">
      <c r="A623" s="1">
        <v>722</v>
      </c>
      <c r="B623" s="1">
        <f t="shared" si="13"/>
        <v>722</v>
      </c>
      <c r="C623" s="1" t="s">
        <v>712</v>
      </c>
      <c r="D623" s="1" t="s">
        <v>30</v>
      </c>
      <c r="E623" s="9">
        <v>2</v>
      </c>
      <c r="G623" s="1" t="s">
        <v>922</v>
      </c>
    </row>
    <row r="624" spans="1:7" x14ac:dyDescent="0.25">
      <c r="A624" s="1">
        <v>723</v>
      </c>
      <c r="B624" s="1">
        <f t="shared" si="13"/>
        <v>723</v>
      </c>
      <c r="C624" s="1" t="s">
        <v>713</v>
      </c>
      <c r="D624" s="1" t="s">
        <v>30</v>
      </c>
      <c r="E624" s="9">
        <v>2</v>
      </c>
      <c r="G624" s="1" t="s">
        <v>922</v>
      </c>
    </row>
    <row r="625" spans="1:7" x14ac:dyDescent="0.25">
      <c r="A625" s="1">
        <v>724</v>
      </c>
      <c r="B625" s="1">
        <f t="shared" si="13"/>
        <v>724</v>
      </c>
      <c r="C625" s="1" t="s">
        <v>714</v>
      </c>
      <c r="D625" s="1" t="s">
        <v>30</v>
      </c>
      <c r="E625" s="9">
        <v>2</v>
      </c>
      <c r="G625" s="1" t="s">
        <v>922</v>
      </c>
    </row>
    <row r="626" spans="1:7" x14ac:dyDescent="0.25">
      <c r="A626" s="1">
        <v>725</v>
      </c>
      <c r="B626" s="1">
        <f t="shared" si="13"/>
        <v>725</v>
      </c>
      <c r="C626" s="1" t="s">
        <v>715</v>
      </c>
      <c r="D626" s="1" t="s">
        <v>30</v>
      </c>
      <c r="E626" s="9">
        <v>2</v>
      </c>
      <c r="G626" s="1" t="s">
        <v>922</v>
      </c>
    </row>
    <row r="627" spans="1:7" x14ac:dyDescent="0.25">
      <c r="A627" s="1">
        <v>726</v>
      </c>
      <c r="B627" s="1">
        <f t="shared" si="13"/>
        <v>726</v>
      </c>
      <c r="C627" s="1" t="s">
        <v>716</v>
      </c>
      <c r="D627" s="1" t="s">
        <v>30</v>
      </c>
      <c r="E627" s="9">
        <v>2</v>
      </c>
      <c r="G627" s="1" t="s">
        <v>922</v>
      </c>
    </row>
    <row r="628" spans="1:7" x14ac:dyDescent="0.25">
      <c r="A628" s="1">
        <v>727</v>
      </c>
      <c r="B628" s="1">
        <f t="shared" si="13"/>
        <v>727</v>
      </c>
      <c r="C628" s="1" t="s">
        <v>718</v>
      </c>
      <c r="D628" s="1" t="s">
        <v>30</v>
      </c>
      <c r="E628" s="9">
        <v>4</v>
      </c>
      <c r="G628" s="1" t="s">
        <v>922</v>
      </c>
    </row>
    <row r="629" spans="1:7" x14ac:dyDescent="0.25">
      <c r="A629" s="1">
        <v>728</v>
      </c>
      <c r="B629" s="1">
        <f t="shared" si="13"/>
        <v>728</v>
      </c>
      <c r="C629" s="1" t="s">
        <v>719</v>
      </c>
      <c r="D629" s="1" t="s">
        <v>30</v>
      </c>
      <c r="E629" s="9">
        <v>3</v>
      </c>
      <c r="G629" s="1" t="s">
        <v>922</v>
      </c>
    </row>
    <row r="630" spans="1:7" x14ac:dyDescent="0.25">
      <c r="A630" s="1">
        <v>729</v>
      </c>
      <c r="B630" s="1">
        <f t="shared" si="13"/>
        <v>729</v>
      </c>
      <c r="C630" s="1" t="s">
        <v>720</v>
      </c>
      <c r="D630" s="1" t="s">
        <v>30</v>
      </c>
      <c r="E630" s="9">
        <v>2</v>
      </c>
      <c r="G630" s="1" t="s">
        <v>922</v>
      </c>
    </row>
    <row r="631" spans="1:7" x14ac:dyDescent="0.25">
      <c r="A631" s="1">
        <v>730</v>
      </c>
      <c r="B631" s="1">
        <f t="shared" si="13"/>
        <v>730</v>
      </c>
      <c r="C631" s="1" t="s">
        <v>721</v>
      </c>
      <c r="D631" s="1" t="s">
        <v>30</v>
      </c>
      <c r="E631" s="9">
        <v>2</v>
      </c>
      <c r="G631" s="1" t="s">
        <v>922</v>
      </c>
    </row>
    <row r="632" spans="1:7" x14ac:dyDescent="0.25">
      <c r="A632" s="1">
        <v>731</v>
      </c>
      <c r="B632" s="1">
        <f t="shared" si="13"/>
        <v>731</v>
      </c>
      <c r="C632" s="1" t="s">
        <v>722</v>
      </c>
      <c r="D632" s="1" t="s">
        <v>30</v>
      </c>
      <c r="E632" s="9">
        <v>2</v>
      </c>
      <c r="G632" s="1" t="s">
        <v>922</v>
      </c>
    </row>
    <row r="633" spans="1:7" x14ac:dyDescent="0.25">
      <c r="A633" s="1">
        <v>732</v>
      </c>
      <c r="B633" s="1">
        <f t="shared" si="13"/>
        <v>732</v>
      </c>
      <c r="C633" s="1" t="s">
        <v>723</v>
      </c>
      <c r="D633" s="1" t="s">
        <v>30</v>
      </c>
      <c r="E633" s="9">
        <v>2</v>
      </c>
      <c r="G633" s="1" t="s">
        <v>922</v>
      </c>
    </row>
    <row r="634" spans="1:7" x14ac:dyDescent="0.25">
      <c r="A634" s="1">
        <v>733</v>
      </c>
      <c r="B634" s="1">
        <f t="shared" si="13"/>
        <v>733</v>
      </c>
      <c r="C634" s="1" t="s">
        <v>724</v>
      </c>
      <c r="D634" s="1" t="s">
        <v>30</v>
      </c>
      <c r="E634" s="9">
        <v>2</v>
      </c>
      <c r="G634" s="1" t="s">
        <v>922</v>
      </c>
    </row>
    <row r="635" spans="1:7" x14ac:dyDescent="0.25">
      <c r="A635" s="1">
        <v>734</v>
      </c>
      <c r="B635" s="1">
        <f t="shared" si="13"/>
        <v>734</v>
      </c>
      <c r="C635" s="1" t="s">
        <v>725</v>
      </c>
      <c r="D635" s="1" t="s">
        <v>30</v>
      </c>
      <c r="E635" s="9">
        <v>2</v>
      </c>
      <c r="G635" s="1" t="s">
        <v>922</v>
      </c>
    </row>
    <row r="636" spans="1:7" x14ac:dyDescent="0.25">
      <c r="A636" s="1">
        <v>735</v>
      </c>
      <c r="B636" s="1">
        <f t="shared" si="13"/>
        <v>735</v>
      </c>
      <c r="C636" s="1" t="s">
        <v>726</v>
      </c>
      <c r="D636" s="1" t="s">
        <v>30</v>
      </c>
      <c r="E636" s="9">
        <v>2</v>
      </c>
      <c r="G636" s="1" t="s">
        <v>922</v>
      </c>
    </row>
    <row r="637" spans="1:7" x14ac:dyDescent="0.25">
      <c r="A637" s="1">
        <v>736</v>
      </c>
      <c r="B637" s="1">
        <f t="shared" si="13"/>
        <v>736</v>
      </c>
      <c r="C637" s="1" t="s">
        <v>727</v>
      </c>
      <c r="D637" s="1" t="s">
        <v>30</v>
      </c>
      <c r="E637" s="9">
        <v>2</v>
      </c>
      <c r="G637" s="1" t="s">
        <v>922</v>
      </c>
    </row>
    <row r="638" spans="1:7" x14ac:dyDescent="0.25">
      <c r="A638" s="1">
        <v>737</v>
      </c>
      <c r="B638" s="1">
        <f t="shared" si="13"/>
        <v>737</v>
      </c>
      <c r="C638" s="1" t="s">
        <v>728</v>
      </c>
      <c r="D638" s="1" t="s">
        <v>30</v>
      </c>
      <c r="E638" s="9">
        <v>2</v>
      </c>
      <c r="G638" s="1" t="s">
        <v>922</v>
      </c>
    </row>
    <row r="639" spans="1:7" x14ac:dyDescent="0.25">
      <c r="A639" s="1">
        <v>738</v>
      </c>
      <c r="B639" s="1">
        <f t="shared" si="13"/>
        <v>738</v>
      </c>
      <c r="C639" s="1" t="s">
        <v>729</v>
      </c>
      <c r="D639" s="1" t="s">
        <v>30</v>
      </c>
      <c r="E639" s="9">
        <v>2</v>
      </c>
      <c r="G639" s="1" t="s">
        <v>922</v>
      </c>
    </row>
    <row r="640" spans="1:7" x14ac:dyDescent="0.25">
      <c r="A640" s="1">
        <v>739</v>
      </c>
      <c r="B640" s="1">
        <f t="shared" si="13"/>
        <v>739</v>
      </c>
      <c r="C640" s="1" t="s">
        <v>730</v>
      </c>
      <c r="D640" s="1" t="s">
        <v>30</v>
      </c>
      <c r="E640" s="9">
        <v>2</v>
      </c>
      <c r="G640" s="1" t="s">
        <v>922</v>
      </c>
    </row>
    <row r="641" spans="1:7" x14ac:dyDescent="0.25">
      <c r="A641" s="1">
        <v>740</v>
      </c>
      <c r="B641" s="1">
        <f t="shared" si="13"/>
        <v>740</v>
      </c>
      <c r="C641" s="1" t="s">
        <v>731</v>
      </c>
      <c r="D641" s="1" t="s">
        <v>30</v>
      </c>
      <c r="E641" s="9">
        <v>2</v>
      </c>
      <c r="G641" s="1" t="s">
        <v>922</v>
      </c>
    </row>
    <row r="642" spans="1:7" x14ac:dyDescent="0.25">
      <c r="A642" s="1">
        <v>741</v>
      </c>
      <c r="B642" s="1">
        <f t="shared" ref="B642:B705" si="14">A642</f>
        <v>741</v>
      </c>
      <c r="C642" s="1" t="s">
        <v>732</v>
      </c>
      <c r="D642" s="1" t="s">
        <v>30</v>
      </c>
      <c r="E642" s="9">
        <v>2</v>
      </c>
      <c r="G642" s="1" t="s">
        <v>922</v>
      </c>
    </row>
    <row r="643" spans="1:7" x14ac:dyDescent="0.25">
      <c r="A643" s="1">
        <v>742</v>
      </c>
      <c r="B643" s="1">
        <f t="shared" si="14"/>
        <v>742</v>
      </c>
      <c r="C643" s="1" t="s">
        <v>733</v>
      </c>
      <c r="D643" s="1" t="s">
        <v>30</v>
      </c>
      <c r="E643" s="9">
        <v>2</v>
      </c>
      <c r="G643" s="1" t="s">
        <v>922</v>
      </c>
    </row>
    <row r="644" spans="1:7" x14ac:dyDescent="0.25">
      <c r="A644" s="1">
        <v>743</v>
      </c>
      <c r="B644" s="1">
        <f t="shared" si="14"/>
        <v>743</v>
      </c>
      <c r="C644" s="1" t="s">
        <v>734</v>
      </c>
      <c r="D644" s="1" t="s">
        <v>30</v>
      </c>
      <c r="E644" s="9">
        <v>2</v>
      </c>
      <c r="G644" s="1" t="s">
        <v>922</v>
      </c>
    </row>
    <row r="645" spans="1:7" x14ac:dyDescent="0.25">
      <c r="A645" s="1">
        <v>744</v>
      </c>
      <c r="B645" s="1">
        <f t="shared" si="14"/>
        <v>744</v>
      </c>
      <c r="C645" s="1" t="s">
        <v>735</v>
      </c>
      <c r="D645" s="1" t="s">
        <v>30</v>
      </c>
      <c r="E645" s="9">
        <v>2</v>
      </c>
      <c r="G645" s="1" t="s">
        <v>922</v>
      </c>
    </row>
    <row r="646" spans="1:7" x14ac:dyDescent="0.25">
      <c r="A646" s="1">
        <v>745</v>
      </c>
      <c r="B646" s="1">
        <f t="shared" si="14"/>
        <v>745</v>
      </c>
      <c r="C646" s="1" t="s">
        <v>736</v>
      </c>
      <c r="D646" s="1" t="s">
        <v>30</v>
      </c>
      <c r="E646" s="9">
        <v>2</v>
      </c>
      <c r="G646" s="1" t="s">
        <v>922</v>
      </c>
    </row>
    <row r="647" spans="1:7" x14ac:dyDescent="0.25">
      <c r="A647" s="1">
        <v>746</v>
      </c>
      <c r="B647" s="1">
        <f t="shared" si="14"/>
        <v>746</v>
      </c>
      <c r="C647" s="1" t="s">
        <v>737</v>
      </c>
      <c r="D647" s="1" t="s">
        <v>30</v>
      </c>
      <c r="E647" s="9">
        <v>2</v>
      </c>
      <c r="G647" s="1" t="s">
        <v>922</v>
      </c>
    </row>
    <row r="648" spans="1:7" x14ac:dyDescent="0.25">
      <c r="A648" s="1">
        <v>747</v>
      </c>
      <c r="B648" s="1">
        <f t="shared" si="14"/>
        <v>747</v>
      </c>
      <c r="C648" s="1" t="s">
        <v>738</v>
      </c>
      <c r="D648" s="1" t="s">
        <v>30</v>
      </c>
      <c r="E648" s="9">
        <v>2</v>
      </c>
      <c r="G648" s="1" t="s">
        <v>922</v>
      </c>
    </row>
    <row r="649" spans="1:7" x14ac:dyDescent="0.25">
      <c r="A649" s="1">
        <v>748</v>
      </c>
      <c r="B649" s="1">
        <f t="shared" si="14"/>
        <v>748</v>
      </c>
      <c r="C649" s="1" t="s">
        <v>739</v>
      </c>
      <c r="D649" s="1" t="s">
        <v>30</v>
      </c>
      <c r="E649" s="9">
        <v>2</v>
      </c>
      <c r="G649" s="1" t="s">
        <v>922</v>
      </c>
    </row>
    <row r="650" spans="1:7" x14ac:dyDescent="0.25">
      <c r="A650" s="1">
        <v>749</v>
      </c>
      <c r="B650" s="1">
        <f t="shared" si="14"/>
        <v>749</v>
      </c>
      <c r="C650" s="1" t="s">
        <v>740</v>
      </c>
      <c r="D650" s="1" t="s">
        <v>30</v>
      </c>
      <c r="E650" s="9">
        <v>2</v>
      </c>
      <c r="G650" s="1" t="s">
        <v>922</v>
      </c>
    </row>
    <row r="651" spans="1:7" x14ac:dyDescent="0.25">
      <c r="A651" s="1">
        <v>750</v>
      </c>
      <c r="B651" s="1">
        <f t="shared" si="14"/>
        <v>750</v>
      </c>
      <c r="C651" s="1" t="s">
        <v>741</v>
      </c>
      <c r="D651" s="1" t="s">
        <v>30</v>
      </c>
      <c r="E651" s="9">
        <v>2</v>
      </c>
      <c r="G651" s="1" t="s">
        <v>922</v>
      </c>
    </row>
    <row r="652" spans="1:7" x14ac:dyDescent="0.25">
      <c r="A652" s="1">
        <v>751</v>
      </c>
      <c r="B652" s="1">
        <f t="shared" si="14"/>
        <v>751</v>
      </c>
      <c r="C652" s="1" t="s">
        <v>742</v>
      </c>
      <c r="D652" s="1" t="s">
        <v>30</v>
      </c>
      <c r="E652" s="9">
        <v>2</v>
      </c>
      <c r="G652" s="1" t="s">
        <v>922</v>
      </c>
    </row>
    <row r="653" spans="1:7" x14ac:dyDescent="0.25">
      <c r="A653" s="1">
        <v>752</v>
      </c>
      <c r="B653" s="1">
        <f t="shared" si="14"/>
        <v>752</v>
      </c>
      <c r="C653" s="1" t="s">
        <v>743</v>
      </c>
      <c r="D653" s="1" t="s">
        <v>30</v>
      </c>
      <c r="E653" s="9">
        <v>2</v>
      </c>
      <c r="G653" s="1" t="s">
        <v>922</v>
      </c>
    </row>
    <row r="654" spans="1:7" x14ac:dyDescent="0.25">
      <c r="A654" s="1">
        <v>753</v>
      </c>
      <c r="B654" s="1">
        <f t="shared" si="14"/>
        <v>753</v>
      </c>
      <c r="C654" s="1" t="s">
        <v>744</v>
      </c>
      <c r="D654" s="1" t="s">
        <v>30</v>
      </c>
      <c r="E654" s="9">
        <v>2</v>
      </c>
      <c r="G654" s="1" t="s">
        <v>922</v>
      </c>
    </row>
    <row r="655" spans="1:7" x14ac:dyDescent="0.25">
      <c r="A655" s="1">
        <v>754</v>
      </c>
      <c r="B655" s="1">
        <f t="shared" si="14"/>
        <v>754</v>
      </c>
      <c r="C655" s="1" t="s">
        <v>745</v>
      </c>
      <c r="D655" s="1" t="s">
        <v>30</v>
      </c>
      <c r="E655" s="9">
        <v>2</v>
      </c>
      <c r="G655" s="1" t="s">
        <v>922</v>
      </c>
    </row>
    <row r="656" spans="1:7" x14ac:dyDescent="0.25">
      <c r="A656" s="1">
        <v>755</v>
      </c>
      <c r="B656" s="1">
        <f t="shared" si="14"/>
        <v>755</v>
      </c>
      <c r="C656" s="1" t="s">
        <v>746</v>
      </c>
      <c r="D656" s="1" t="s">
        <v>30</v>
      </c>
      <c r="E656" s="9">
        <v>2</v>
      </c>
      <c r="G656" s="1" t="s">
        <v>922</v>
      </c>
    </row>
    <row r="657" spans="1:7" x14ac:dyDescent="0.25">
      <c r="A657" s="1">
        <v>756</v>
      </c>
      <c r="B657" s="1">
        <f t="shared" si="14"/>
        <v>756</v>
      </c>
      <c r="C657" s="1" t="s">
        <v>747</v>
      </c>
      <c r="D657" s="1" t="s">
        <v>30</v>
      </c>
      <c r="E657" s="9">
        <v>2</v>
      </c>
      <c r="G657" s="1" t="s">
        <v>922</v>
      </c>
    </row>
    <row r="658" spans="1:7" x14ac:dyDescent="0.25">
      <c r="A658" s="1">
        <v>757</v>
      </c>
      <c r="B658" s="1">
        <f t="shared" si="14"/>
        <v>757</v>
      </c>
      <c r="C658" s="1" t="s">
        <v>748</v>
      </c>
      <c r="D658" s="1" t="s">
        <v>30</v>
      </c>
      <c r="E658" s="9">
        <v>2</v>
      </c>
      <c r="G658" s="1" t="s">
        <v>922</v>
      </c>
    </row>
    <row r="659" spans="1:7" x14ac:dyDescent="0.25">
      <c r="A659" s="1">
        <v>758</v>
      </c>
      <c r="B659" s="1">
        <f t="shared" si="14"/>
        <v>758</v>
      </c>
      <c r="C659" s="1" t="s">
        <v>749</v>
      </c>
      <c r="D659" s="1" t="s">
        <v>30</v>
      </c>
      <c r="E659" s="9">
        <v>2</v>
      </c>
      <c r="G659" s="1" t="s">
        <v>922</v>
      </c>
    </row>
    <row r="660" spans="1:7" x14ac:dyDescent="0.25">
      <c r="A660" s="1">
        <v>759</v>
      </c>
      <c r="B660" s="1">
        <f t="shared" si="14"/>
        <v>759</v>
      </c>
      <c r="C660" s="1" t="s">
        <v>750</v>
      </c>
      <c r="D660" s="1" t="s">
        <v>30</v>
      </c>
      <c r="E660" s="9">
        <v>2</v>
      </c>
      <c r="G660" s="1" t="s">
        <v>922</v>
      </c>
    </row>
    <row r="661" spans="1:7" x14ac:dyDescent="0.25">
      <c r="A661" s="1">
        <v>760</v>
      </c>
      <c r="B661" s="1">
        <f t="shared" si="14"/>
        <v>760</v>
      </c>
      <c r="C661" s="1" t="s">
        <v>751</v>
      </c>
      <c r="D661" s="1" t="s">
        <v>30</v>
      </c>
      <c r="E661" s="9">
        <v>2</v>
      </c>
      <c r="G661" s="1" t="s">
        <v>922</v>
      </c>
    </row>
    <row r="662" spans="1:7" x14ac:dyDescent="0.25">
      <c r="A662" s="1">
        <v>761</v>
      </c>
      <c r="B662" s="1">
        <f t="shared" si="14"/>
        <v>761</v>
      </c>
      <c r="C662" s="1" t="s">
        <v>752</v>
      </c>
      <c r="D662" s="1" t="s">
        <v>30</v>
      </c>
      <c r="E662" s="9">
        <v>2</v>
      </c>
      <c r="G662" s="1" t="s">
        <v>922</v>
      </c>
    </row>
    <row r="663" spans="1:7" x14ac:dyDescent="0.25">
      <c r="A663" s="1">
        <v>762</v>
      </c>
      <c r="B663" s="1">
        <f t="shared" si="14"/>
        <v>762</v>
      </c>
      <c r="C663" s="1" t="s">
        <v>753</v>
      </c>
      <c r="D663" s="1" t="s">
        <v>30</v>
      </c>
      <c r="E663" s="9">
        <v>2</v>
      </c>
      <c r="G663" s="1" t="s">
        <v>922</v>
      </c>
    </row>
    <row r="664" spans="1:7" x14ac:dyDescent="0.25">
      <c r="A664" s="1">
        <v>763</v>
      </c>
      <c r="B664" s="1">
        <f t="shared" si="14"/>
        <v>763</v>
      </c>
      <c r="C664" s="1" t="s">
        <v>754</v>
      </c>
      <c r="D664" s="1" t="s">
        <v>30</v>
      </c>
      <c r="E664" s="9">
        <v>2</v>
      </c>
      <c r="G664" s="1" t="s">
        <v>922</v>
      </c>
    </row>
    <row r="665" spans="1:7" x14ac:dyDescent="0.25">
      <c r="A665" s="1">
        <v>764</v>
      </c>
      <c r="B665" s="1">
        <f t="shared" si="14"/>
        <v>764</v>
      </c>
      <c r="C665" s="1" t="s">
        <v>755</v>
      </c>
      <c r="D665" s="1" t="s">
        <v>30</v>
      </c>
      <c r="E665" s="9">
        <v>2</v>
      </c>
      <c r="G665" s="1" t="s">
        <v>922</v>
      </c>
    </row>
    <row r="666" spans="1:7" x14ac:dyDescent="0.25">
      <c r="A666" s="1">
        <v>765</v>
      </c>
      <c r="B666" s="1">
        <f t="shared" si="14"/>
        <v>765</v>
      </c>
      <c r="C666" s="1" t="s">
        <v>756</v>
      </c>
      <c r="D666" s="1" t="s">
        <v>30</v>
      </c>
      <c r="E666" s="9">
        <v>2</v>
      </c>
      <c r="G666" s="1" t="s">
        <v>922</v>
      </c>
    </row>
    <row r="667" spans="1:7" x14ac:dyDescent="0.25">
      <c r="A667" s="1">
        <v>766</v>
      </c>
      <c r="B667" s="1">
        <f t="shared" si="14"/>
        <v>766</v>
      </c>
      <c r="C667" s="1" t="s">
        <v>757</v>
      </c>
      <c r="D667" s="1" t="s">
        <v>30</v>
      </c>
      <c r="E667" s="9">
        <v>2</v>
      </c>
      <c r="G667" s="1" t="s">
        <v>922</v>
      </c>
    </row>
    <row r="668" spans="1:7" x14ac:dyDescent="0.25">
      <c r="A668" s="1">
        <v>767</v>
      </c>
      <c r="B668" s="1">
        <f t="shared" si="14"/>
        <v>767</v>
      </c>
      <c r="C668" s="1" t="s">
        <v>758</v>
      </c>
      <c r="D668" s="1" t="s">
        <v>30</v>
      </c>
      <c r="E668" s="9">
        <v>2</v>
      </c>
      <c r="G668" s="1" t="s">
        <v>922</v>
      </c>
    </row>
    <row r="669" spans="1:7" x14ac:dyDescent="0.25">
      <c r="A669" s="1">
        <v>768</v>
      </c>
      <c r="B669" s="1">
        <f t="shared" si="14"/>
        <v>768</v>
      </c>
      <c r="C669" s="1" t="s">
        <v>759</v>
      </c>
      <c r="D669" s="1" t="s">
        <v>30</v>
      </c>
      <c r="E669" s="9">
        <v>2</v>
      </c>
      <c r="G669" s="1" t="s">
        <v>922</v>
      </c>
    </row>
    <row r="670" spans="1:7" x14ac:dyDescent="0.25">
      <c r="A670" s="1">
        <v>769</v>
      </c>
      <c r="B670" s="1">
        <f t="shared" si="14"/>
        <v>769</v>
      </c>
      <c r="C670" s="1" t="s">
        <v>760</v>
      </c>
      <c r="D670" s="1" t="s">
        <v>30</v>
      </c>
      <c r="E670" s="9">
        <v>2</v>
      </c>
      <c r="G670" s="1" t="s">
        <v>922</v>
      </c>
    </row>
    <row r="671" spans="1:7" x14ac:dyDescent="0.25">
      <c r="A671" s="1">
        <v>770</v>
      </c>
      <c r="B671" s="1">
        <f t="shared" si="14"/>
        <v>770</v>
      </c>
      <c r="C671" s="1" t="s">
        <v>761</v>
      </c>
      <c r="D671" s="1" t="s">
        <v>30</v>
      </c>
      <c r="E671" s="9">
        <v>2</v>
      </c>
      <c r="G671" s="1" t="s">
        <v>922</v>
      </c>
    </row>
    <row r="672" spans="1:7" x14ac:dyDescent="0.25">
      <c r="A672" s="1">
        <v>771</v>
      </c>
      <c r="B672" s="1">
        <f t="shared" si="14"/>
        <v>771</v>
      </c>
      <c r="C672" s="1" t="s">
        <v>763</v>
      </c>
      <c r="D672" s="1" t="s">
        <v>30</v>
      </c>
      <c r="E672" s="9">
        <v>2</v>
      </c>
      <c r="G672" s="1" t="s">
        <v>922</v>
      </c>
    </row>
    <row r="673" spans="1:7" x14ac:dyDescent="0.25">
      <c r="A673" s="1">
        <v>772</v>
      </c>
      <c r="B673" s="1">
        <f t="shared" si="14"/>
        <v>772</v>
      </c>
      <c r="C673" s="1" t="s">
        <v>764</v>
      </c>
      <c r="D673" s="1" t="s">
        <v>30</v>
      </c>
      <c r="E673" s="9">
        <v>2</v>
      </c>
      <c r="G673" s="1" t="s">
        <v>922</v>
      </c>
    </row>
    <row r="674" spans="1:7" x14ac:dyDescent="0.25">
      <c r="A674" s="1">
        <v>773</v>
      </c>
      <c r="B674" s="1">
        <f t="shared" si="14"/>
        <v>773</v>
      </c>
      <c r="C674" s="1" t="s">
        <v>765</v>
      </c>
      <c r="D674" s="1" t="s">
        <v>30</v>
      </c>
      <c r="E674" s="9">
        <v>2</v>
      </c>
      <c r="G674" s="1" t="s">
        <v>922</v>
      </c>
    </row>
    <row r="675" spans="1:7" x14ac:dyDescent="0.25">
      <c r="A675" s="1">
        <v>774</v>
      </c>
      <c r="B675" s="1">
        <f t="shared" si="14"/>
        <v>774</v>
      </c>
      <c r="C675" s="1" t="s">
        <v>766</v>
      </c>
      <c r="D675" s="1" t="s">
        <v>30</v>
      </c>
      <c r="E675" s="9">
        <v>2</v>
      </c>
      <c r="G675" s="1" t="s">
        <v>922</v>
      </c>
    </row>
    <row r="676" spans="1:7" x14ac:dyDescent="0.25">
      <c r="A676" s="1">
        <v>775</v>
      </c>
      <c r="B676" s="1">
        <f t="shared" si="14"/>
        <v>775</v>
      </c>
      <c r="C676" s="1" t="s">
        <v>767</v>
      </c>
      <c r="D676" s="1" t="s">
        <v>30</v>
      </c>
      <c r="E676" s="9">
        <v>2</v>
      </c>
      <c r="G676" s="1" t="s">
        <v>922</v>
      </c>
    </row>
    <row r="677" spans="1:7" x14ac:dyDescent="0.25">
      <c r="A677" s="1">
        <v>776</v>
      </c>
      <c r="B677" s="1">
        <f t="shared" si="14"/>
        <v>776</v>
      </c>
      <c r="C677" s="1" t="s">
        <v>768</v>
      </c>
      <c r="D677" s="1" t="s">
        <v>30</v>
      </c>
      <c r="E677" s="9">
        <v>2</v>
      </c>
      <c r="G677" s="1" t="s">
        <v>922</v>
      </c>
    </row>
    <row r="678" spans="1:7" x14ac:dyDescent="0.25">
      <c r="A678" s="1">
        <v>777</v>
      </c>
      <c r="B678" s="1">
        <f t="shared" si="14"/>
        <v>777</v>
      </c>
      <c r="C678" s="1" t="s">
        <v>769</v>
      </c>
      <c r="D678" s="1" t="s">
        <v>30</v>
      </c>
      <c r="E678" s="9">
        <v>2</v>
      </c>
      <c r="G678" s="1" t="s">
        <v>922</v>
      </c>
    </row>
    <row r="679" spans="1:7" x14ac:dyDescent="0.25">
      <c r="A679" s="1">
        <v>778</v>
      </c>
      <c r="B679" s="1">
        <f t="shared" si="14"/>
        <v>778</v>
      </c>
      <c r="C679" s="1" t="s">
        <v>770</v>
      </c>
      <c r="D679" s="1" t="s">
        <v>30</v>
      </c>
      <c r="E679" s="9">
        <v>2</v>
      </c>
      <c r="G679" s="1" t="s">
        <v>922</v>
      </c>
    </row>
    <row r="680" spans="1:7" x14ac:dyDescent="0.25">
      <c r="A680" s="1">
        <v>779</v>
      </c>
      <c r="B680" s="1">
        <f t="shared" si="14"/>
        <v>779</v>
      </c>
      <c r="C680" s="1" t="s">
        <v>771</v>
      </c>
      <c r="D680" s="1" t="s">
        <v>30</v>
      </c>
      <c r="E680" s="9">
        <v>2</v>
      </c>
      <c r="G680" s="1" t="s">
        <v>922</v>
      </c>
    </row>
    <row r="681" spans="1:7" x14ac:dyDescent="0.25">
      <c r="A681" s="1">
        <v>780</v>
      </c>
      <c r="B681" s="1">
        <f t="shared" si="14"/>
        <v>780</v>
      </c>
      <c r="C681" s="1" t="s">
        <v>772</v>
      </c>
      <c r="D681" s="1" t="s">
        <v>30</v>
      </c>
      <c r="E681" s="9">
        <v>2</v>
      </c>
      <c r="G681" s="1" t="s">
        <v>922</v>
      </c>
    </row>
    <row r="682" spans="1:7" x14ac:dyDescent="0.25">
      <c r="A682" s="1">
        <v>781</v>
      </c>
      <c r="B682" s="1">
        <f t="shared" si="14"/>
        <v>781</v>
      </c>
      <c r="C682" s="1" t="s">
        <v>773</v>
      </c>
      <c r="D682" s="1" t="s">
        <v>30</v>
      </c>
      <c r="E682" s="9">
        <v>2</v>
      </c>
      <c r="G682" s="1" t="s">
        <v>922</v>
      </c>
    </row>
    <row r="683" spans="1:7" x14ac:dyDescent="0.25">
      <c r="A683" s="1">
        <v>782</v>
      </c>
      <c r="B683" s="1">
        <f t="shared" si="14"/>
        <v>782</v>
      </c>
      <c r="C683" s="1" t="s">
        <v>774</v>
      </c>
      <c r="D683" s="1" t="s">
        <v>30</v>
      </c>
      <c r="E683" s="9">
        <v>2</v>
      </c>
      <c r="G683" s="1" t="s">
        <v>922</v>
      </c>
    </row>
    <row r="684" spans="1:7" x14ac:dyDescent="0.25">
      <c r="A684" s="1">
        <v>783</v>
      </c>
      <c r="B684" s="1">
        <f t="shared" si="14"/>
        <v>783</v>
      </c>
      <c r="C684" s="1" t="s">
        <v>775</v>
      </c>
      <c r="D684" s="1" t="s">
        <v>30</v>
      </c>
      <c r="E684" s="9">
        <v>2</v>
      </c>
      <c r="G684" s="1" t="s">
        <v>922</v>
      </c>
    </row>
    <row r="685" spans="1:7" x14ac:dyDescent="0.25">
      <c r="A685" s="1">
        <v>784</v>
      </c>
      <c r="B685" s="1">
        <f t="shared" si="14"/>
        <v>784</v>
      </c>
      <c r="C685" s="1" t="s">
        <v>776</v>
      </c>
      <c r="D685" s="1" t="s">
        <v>30</v>
      </c>
      <c r="E685" s="9">
        <v>2</v>
      </c>
      <c r="G685" s="1" t="s">
        <v>922</v>
      </c>
    </row>
    <row r="686" spans="1:7" x14ac:dyDescent="0.25">
      <c r="A686" s="1">
        <v>785</v>
      </c>
      <c r="B686" s="1">
        <f t="shared" si="14"/>
        <v>785</v>
      </c>
      <c r="C686" s="1" t="s">
        <v>777</v>
      </c>
      <c r="D686" s="1" t="s">
        <v>30</v>
      </c>
      <c r="E686" s="9">
        <v>2</v>
      </c>
      <c r="G686" s="1" t="s">
        <v>922</v>
      </c>
    </row>
    <row r="687" spans="1:7" x14ac:dyDescent="0.25">
      <c r="A687" s="1">
        <v>786</v>
      </c>
      <c r="B687" s="1">
        <f t="shared" si="14"/>
        <v>786</v>
      </c>
      <c r="C687" s="1" t="s">
        <v>778</v>
      </c>
      <c r="D687" s="1" t="s">
        <v>30</v>
      </c>
      <c r="E687" s="9">
        <v>2</v>
      </c>
      <c r="G687" s="1" t="s">
        <v>922</v>
      </c>
    </row>
    <row r="688" spans="1:7" x14ac:dyDescent="0.25">
      <c r="A688" s="1">
        <v>787</v>
      </c>
      <c r="B688" s="1">
        <f t="shared" si="14"/>
        <v>787</v>
      </c>
      <c r="C688" s="1" t="s">
        <v>779</v>
      </c>
      <c r="D688" s="1" t="s">
        <v>30</v>
      </c>
      <c r="E688" s="9">
        <v>2</v>
      </c>
      <c r="G688" s="1" t="s">
        <v>922</v>
      </c>
    </row>
    <row r="689" spans="1:7" x14ac:dyDescent="0.25">
      <c r="A689" s="1">
        <v>788</v>
      </c>
      <c r="B689" s="1">
        <f t="shared" si="14"/>
        <v>788</v>
      </c>
      <c r="C689" s="1" t="s">
        <v>780</v>
      </c>
      <c r="D689" s="1" t="s">
        <v>30</v>
      </c>
      <c r="E689" s="9">
        <v>2</v>
      </c>
      <c r="G689" s="1" t="s">
        <v>922</v>
      </c>
    </row>
    <row r="690" spans="1:7" x14ac:dyDescent="0.25">
      <c r="A690" s="1">
        <v>789</v>
      </c>
      <c r="B690" s="1">
        <f t="shared" si="14"/>
        <v>789</v>
      </c>
      <c r="C690" s="1" t="s">
        <v>781</v>
      </c>
      <c r="D690" s="1" t="s">
        <v>30</v>
      </c>
      <c r="E690" s="9">
        <v>2</v>
      </c>
      <c r="G690" s="1" t="s">
        <v>922</v>
      </c>
    </row>
    <row r="691" spans="1:7" x14ac:dyDescent="0.25">
      <c r="A691" s="1">
        <v>790</v>
      </c>
      <c r="B691" s="1">
        <f t="shared" si="14"/>
        <v>790</v>
      </c>
      <c r="C691" s="1" t="s">
        <v>782</v>
      </c>
      <c r="D691" s="1" t="s">
        <v>30</v>
      </c>
      <c r="E691" s="9">
        <v>2</v>
      </c>
      <c r="G691" s="1" t="s">
        <v>922</v>
      </c>
    </row>
    <row r="692" spans="1:7" x14ac:dyDescent="0.25">
      <c r="A692" s="1">
        <v>791</v>
      </c>
      <c r="B692" s="1">
        <f t="shared" si="14"/>
        <v>791</v>
      </c>
      <c r="C692" s="1" t="s">
        <v>783</v>
      </c>
      <c r="D692" s="1" t="s">
        <v>30</v>
      </c>
      <c r="E692" s="9">
        <v>2</v>
      </c>
      <c r="G692" s="1" t="s">
        <v>922</v>
      </c>
    </row>
    <row r="693" spans="1:7" x14ac:dyDescent="0.25">
      <c r="A693" s="1">
        <v>792</v>
      </c>
      <c r="B693" s="1">
        <f t="shared" si="14"/>
        <v>792</v>
      </c>
      <c r="C693" s="1" t="s">
        <v>784</v>
      </c>
      <c r="D693" s="1" t="s">
        <v>30</v>
      </c>
      <c r="E693" s="9">
        <v>2</v>
      </c>
      <c r="G693" s="1" t="s">
        <v>922</v>
      </c>
    </row>
    <row r="694" spans="1:7" x14ac:dyDescent="0.25">
      <c r="A694" s="1">
        <v>793</v>
      </c>
      <c r="B694" s="1">
        <f t="shared" si="14"/>
        <v>793</v>
      </c>
      <c r="C694" s="1" t="s">
        <v>785</v>
      </c>
      <c r="D694" s="1" t="s">
        <v>30</v>
      </c>
      <c r="E694" s="9">
        <v>2</v>
      </c>
      <c r="G694" s="1" t="s">
        <v>922</v>
      </c>
    </row>
    <row r="695" spans="1:7" x14ac:dyDescent="0.25">
      <c r="A695" s="1">
        <v>794</v>
      </c>
      <c r="B695" s="1">
        <f t="shared" si="14"/>
        <v>794</v>
      </c>
      <c r="C695" s="1" t="s">
        <v>786</v>
      </c>
      <c r="D695" s="1" t="s">
        <v>30</v>
      </c>
      <c r="E695" s="9">
        <v>2</v>
      </c>
      <c r="G695" s="1" t="s">
        <v>922</v>
      </c>
    </row>
    <row r="696" spans="1:7" x14ac:dyDescent="0.25">
      <c r="A696" s="1">
        <v>795</v>
      </c>
      <c r="B696" s="1">
        <f t="shared" si="14"/>
        <v>795</v>
      </c>
      <c r="C696" s="1" t="s">
        <v>787</v>
      </c>
      <c r="D696" s="1" t="s">
        <v>30</v>
      </c>
      <c r="E696" s="9">
        <v>2</v>
      </c>
      <c r="G696" s="1" t="s">
        <v>922</v>
      </c>
    </row>
    <row r="697" spans="1:7" x14ac:dyDescent="0.25">
      <c r="A697" s="1">
        <v>796</v>
      </c>
      <c r="B697" s="1">
        <f t="shared" si="14"/>
        <v>796</v>
      </c>
      <c r="C697" s="1" t="s">
        <v>788</v>
      </c>
      <c r="D697" s="1" t="s">
        <v>30</v>
      </c>
      <c r="E697" s="9">
        <v>2</v>
      </c>
      <c r="G697" s="1" t="s">
        <v>922</v>
      </c>
    </row>
    <row r="698" spans="1:7" x14ac:dyDescent="0.25">
      <c r="A698" s="1">
        <v>797</v>
      </c>
      <c r="B698" s="1">
        <f t="shared" si="14"/>
        <v>797</v>
      </c>
      <c r="C698" s="1" t="s">
        <v>789</v>
      </c>
      <c r="D698" s="1" t="s">
        <v>30</v>
      </c>
      <c r="E698" s="9">
        <v>2</v>
      </c>
      <c r="G698" s="1" t="s">
        <v>922</v>
      </c>
    </row>
    <row r="699" spans="1:7" x14ac:dyDescent="0.25">
      <c r="A699" s="1">
        <v>798</v>
      </c>
      <c r="B699" s="1">
        <f t="shared" si="14"/>
        <v>798</v>
      </c>
      <c r="C699" s="1" t="s">
        <v>790</v>
      </c>
      <c r="D699" s="1" t="s">
        <v>30</v>
      </c>
      <c r="E699" s="9">
        <v>2</v>
      </c>
      <c r="G699" s="1" t="s">
        <v>922</v>
      </c>
    </row>
    <row r="700" spans="1:7" x14ac:dyDescent="0.25">
      <c r="A700" s="1">
        <v>799</v>
      </c>
      <c r="B700" s="1">
        <f t="shared" si="14"/>
        <v>799</v>
      </c>
      <c r="C700" s="1" t="s">
        <v>792</v>
      </c>
      <c r="D700" s="1" t="s">
        <v>30</v>
      </c>
      <c r="E700" s="9">
        <v>4</v>
      </c>
      <c r="G700" s="1" t="s">
        <v>922</v>
      </c>
    </row>
    <row r="701" spans="1:7" x14ac:dyDescent="0.25">
      <c r="A701" s="1">
        <v>800</v>
      </c>
      <c r="B701" s="1">
        <f t="shared" si="14"/>
        <v>800</v>
      </c>
      <c r="C701" s="1" t="s">
        <v>793</v>
      </c>
      <c r="D701" s="1" t="s">
        <v>30</v>
      </c>
      <c r="E701" s="9">
        <v>3</v>
      </c>
      <c r="G701" s="1" t="s">
        <v>922</v>
      </c>
    </row>
    <row r="702" spans="1:7" x14ac:dyDescent="0.25">
      <c r="A702" s="1">
        <v>801</v>
      </c>
      <c r="B702" s="1">
        <f t="shared" si="14"/>
        <v>801</v>
      </c>
      <c r="C702" s="1" t="s">
        <v>794</v>
      </c>
      <c r="D702" s="1" t="s">
        <v>30</v>
      </c>
      <c r="E702" s="9">
        <v>2</v>
      </c>
      <c r="G702" s="1" t="s">
        <v>922</v>
      </c>
    </row>
    <row r="703" spans="1:7" x14ac:dyDescent="0.25">
      <c r="A703" s="1">
        <v>802</v>
      </c>
      <c r="B703" s="1">
        <f t="shared" si="14"/>
        <v>802</v>
      </c>
      <c r="C703" s="1" t="s">
        <v>795</v>
      </c>
      <c r="D703" s="1" t="s">
        <v>30</v>
      </c>
      <c r="E703" s="9">
        <v>2</v>
      </c>
      <c r="G703" s="1" t="s">
        <v>922</v>
      </c>
    </row>
    <row r="704" spans="1:7" x14ac:dyDescent="0.25">
      <c r="A704" s="1">
        <v>803</v>
      </c>
      <c r="B704" s="1">
        <f t="shared" si="14"/>
        <v>803</v>
      </c>
      <c r="C704" s="1" t="s">
        <v>796</v>
      </c>
      <c r="D704" s="1" t="s">
        <v>30</v>
      </c>
      <c r="E704" s="9">
        <v>2</v>
      </c>
      <c r="G704" s="1" t="s">
        <v>922</v>
      </c>
    </row>
    <row r="705" spans="1:7" x14ac:dyDescent="0.25">
      <c r="A705" s="1">
        <v>804</v>
      </c>
      <c r="B705" s="1">
        <f t="shared" si="14"/>
        <v>804</v>
      </c>
      <c r="C705" s="1" t="s">
        <v>797</v>
      </c>
      <c r="D705" s="1" t="s">
        <v>30</v>
      </c>
      <c r="E705" s="9">
        <v>2</v>
      </c>
      <c r="G705" s="1" t="s">
        <v>922</v>
      </c>
    </row>
    <row r="706" spans="1:7" x14ac:dyDescent="0.25">
      <c r="A706" s="1">
        <v>805</v>
      </c>
      <c r="B706" s="1">
        <f t="shared" ref="B706:B769" si="15">A706</f>
        <v>805</v>
      </c>
      <c r="C706" s="1" t="s">
        <v>798</v>
      </c>
      <c r="D706" s="1" t="s">
        <v>30</v>
      </c>
      <c r="E706" s="9">
        <v>2</v>
      </c>
      <c r="G706" s="1" t="s">
        <v>922</v>
      </c>
    </row>
    <row r="707" spans="1:7" x14ac:dyDescent="0.25">
      <c r="A707" s="1">
        <v>806</v>
      </c>
      <c r="B707" s="1">
        <f t="shared" si="15"/>
        <v>806</v>
      </c>
      <c r="C707" s="1" t="s">
        <v>799</v>
      </c>
      <c r="D707" s="1" t="s">
        <v>30</v>
      </c>
      <c r="E707" s="9">
        <v>2</v>
      </c>
      <c r="G707" s="1" t="s">
        <v>922</v>
      </c>
    </row>
    <row r="708" spans="1:7" x14ac:dyDescent="0.25">
      <c r="A708" s="1">
        <v>807</v>
      </c>
      <c r="B708" s="1">
        <f t="shared" si="15"/>
        <v>807</v>
      </c>
      <c r="C708" s="1" t="s">
        <v>800</v>
      </c>
      <c r="D708" s="1" t="s">
        <v>30</v>
      </c>
      <c r="E708" s="9">
        <v>2</v>
      </c>
      <c r="G708" s="1" t="s">
        <v>922</v>
      </c>
    </row>
    <row r="709" spans="1:7" x14ac:dyDescent="0.25">
      <c r="A709" s="1">
        <v>808</v>
      </c>
      <c r="B709" s="1">
        <f t="shared" si="15"/>
        <v>808</v>
      </c>
      <c r="C709" s="1" t="s">
        <v>801</v>
      </c>
      <c r="D709" s="1" t="s">
        <v>30</v>
      </c>
      <c r="E709" s="9">
        <v>2</v>
      </c>
      <c r="G709" s="1" t="s">
        <v>922</v>
      </c>
    </row>
    <row r="710" spans="1:7" x14ac:dyDescent="0.25">
      <c r="A710" s="1">
        <v>809</v>
      </c>
      <c r="B710" s="1">
        <f t="shared" si="15"/>
        <v>809</v>
      </c>
      <c r="C710" s="1" t="s">
        <v>802</v>
      </c>
      <c r="D710" s="1" t="s">
        <v>30</v>
      </c>
      <c r="E710" s="9">
        <v>2</v>
      </c>
      <c r="G710" s="1" t="s">
        <v>922</v>
      </c>
    </row>
    <row r="711" spans="1:7" x14ac:dyDescent="0.25">
      <c r="A711" s="1">
        <v>810</v>
      </c>
      <c r="B711" s="1">
        <f t="shared" si="15"/>
        <v>810</v>
      </c>
      <c r="C711" s="1" t="s">
        <v>803</v>
      </c>
      <c r="D711" s="1" t="s">
        <v>30</v>
      </c>
      <c r="E711" s="9">
        <v>2</v>
      </c>
      <c r="G711" s="1" t="s">
        <v>922</v>
      </c>
    </row>
    <row r="712" spans="1:7" x14ac:dyDescent="0.25">
      <c r="A712" s="1">
        <v>811</v>
      </c>
      <c r="B712" s="1">
        <f t="shared" si="15"/>
        <v>811</v>
      </c>
      <c r="C712" s="1" t="s">
        <v>804</v>
      </c>
      <c r="D712" s="1" t="s">
        <v>30</v>
      </c>
      <c r="E712" s="9">
        <v>2</v>
      </c>
      <c r="G712" s="1" t="s">
        <v>922</v>
      </c>
    </row>
    <row r="713" spans="1:7" x14ac:dyDescent="0.25">
      <c r="A713" s="1">
        <v>812</v>
      </c>
      <c r="B713" s="1">
        <f t="shared" si="15"/>
        <v>812</v>
      </c>
      <c r="C713" s="1" t="s">
        <v>805</v>
      </c>
      <c r="D713" s="1" t="s">
        <v>30</v>
      </c>
      <c r="E713" s="9">
        <v>2</v>
      </c>
      <c r="G713" s="1" t="s">
        <v>922</v>
      </c>
    </row>
    <row r="714" spans="1:7" x14ac:dyDescent="0.25">
      <c r="A714" s="1">
        <v>813</v>
      </c>
      <c r="B714" s="1">
        <f t="shared" si="15"/>
        <v>813</v>
      </c>
      <c r="C714" s="1" t="s">
        <v>806</v>
      </c>
      <c r="D714" s="1" t="s">
        <v>30</v>
      </c>
      <c r="E714" s="9">
        <v>2</v>
      </c>
      <c r="G714" s="1" t="s">
        <v>922</v>
      </c>
    </row>
    <row r="715" spans="1:7" x14ac:dyDescent="0.25">
      <c r="A715" s="1">
        <v>814</v>
      </c>
      <c r="B715" s="1">
        <f t="shared" si="15"/>
        <v>814</v>
      </c>
      <c r="C715" s="1" t="s">
        <v>807</v>
      </c>
      <c r="D715" s="1" t="s">
        <v>30</v>
      </c>
      <c r="E715" s="9">
        <v>2</v>
      </c>
      <c r="G715" s="1" t="s">
        <v>922</v>
      </c>
    </row>
    <row r="716" spans="1:7" x14ac:dyDescent="0.25">
      <c r="A716" s="1">
        <v>815</v>
      </c>
      <c r="B716" s="1">
        <f t="shared" si="15"/>
        <v>815</v>
      </c>
      <c r="C716" s="1" t="s">
        <v>808</v>
      </c>
      <c r="D716" s="1" t="s">
        <v>30</v>
      </c>
      <c r="E716" s="9">
        <v>2</v>
      </c>
      <c r="G716" s="1" t="s">
        <v>922</v>
      </c>
    </row>
    <row r="717" spans="1:7" x14ac:dyDescent="0.25">
      <c r="A717" s="1">
        <v>816</v>
      </c>
      <c r="B717" s="1">
        <f t="shared" si="15"/>
        <v>816</v>
      </c>
      <c r="C717" s="1" t="s">
        <v>809</v>
      </c>
      <c r="D717" s="1" t="s">
        <v>30</v>
      </c>
      <c r="E717" s="9">
        <v>2</v>
      </c>
      <c r="G717" s="1" t="s">
        <v>922</v>
      </c>
    </row>
    <row r="718" spans="1:7" x14ac:dyDescent="0.25">
      <c r="A718" s="1">
        <v>817</v>
      </c>
      <c r="B718" s="1">
        <f t="shared" si="15"/>
        <v>817</v>
      </c>
      <c r="C718" s="1" t="s">
        <v>810</v>
      </c>
      <c r="D718" s="1" t="s">
        <v>30</v>
      </c>
      <c r="E718" s="9">
        <v>2</v>
      </c>
      <c r="G718" s="1" t="s">
        <v>922</v>
      </c>
    </row>
    <row r="719" spans="1:7" x14ac:dyDescent="0.25">
      <c r="A719" s="1">
        <v>818</v>
      </c>
      <c r="B719" s="1">
        <f t="shared" si="15"/>
        <v>818</v>
      </c>
      <c r="C719" s="1" t="s">
        <v>811</v>
      </c>
      <c r="D719" s="1" t="s">
        <v>30</v>
      </c>
      <c r="E719" s="9">
        <v>2</v>
      </c>
      <c r="G719" s="1" t="s">
        <v>922</v>
      </c>
    </row>
    <row r="720" spans="1:7" x14ac:dyDescent="0.25">
      <c r="A720" s="1">
        <v>819</v>
      </c>
      <c r="B720" s="1">
        <f t="shared" si="15"/>
        <v>819</v>
      </c>
      <c r="C720" s="1" t="s">
        <v>812</v>
      </c>
      <c r="D720" s="1" t="s">
        <v>30</v>
      </c>
      <c r="E720" s="9">
        <v>2</v>
      </c>
      <c r="G720" s="1" t="s">
        <v>922</v>
      </c>
    </row>
    <row r="721" spans="1:7" x14ac:dyDescent="0.25">
      <c r="A721" s="1">
        <v>820</v>
      </c>
      <c r="B721" s="1">
        <f t="shared" si="15"/>
        <v>820</v>
      </c>
      <c r="C721" s="1" t="s">
        <v>813</v>
      </c>
      <c r="D721" s="1" t="s">
        <v>30</v>
      </c>
      <c r="E721" s="9">
        <v>2</v>
      </c>
      <c r="G721" s="1" t="s">
        <v>922</v>
      </c>
    </row>
    <row r="722" spans="1:7" x14ac:dyDescent="0.25">
      <c r="A722" s="1">
        <v>821</v>
      </c>
      <c r="B722" s="1">
        <f t="shared" si="15"/>
        <v>821</v>
      </c>
      <c r="C722" s="1" t="s">
        <v>814</v>
      </c>
      <c r="D722" s="1" t="s">
        <v>30</v>
      </c>
      <c r="E722" s="9">
        <v>2</v>
      </c>
      <c r="G722" s="1" t="s">
        <v>922</v>
      </c>
    </row>
    <row r="723" spans="1:7" x14ac:dyDescent="0.25">
      <c r="A723" s="1">
        <v>822</v>
      </c>
      <c r="B723" s="1">
        <f t="shared" si="15"/>
        <v>822</v>
      </c>
      <c r="C723" s="1" t="s">
        <v>815</v>
      </c>
      <c r="D723" s="1" t="s">
        <v>30</v>
      </c>
      <c r="E723" s="9">
        <v>2</v>
      </c>
      <c r="G723" s="1" t="s">
        <v>922</v>
      </c>
    </row>
    <row r="724" spans="1:7" x14ac:dyDescent="0.25">
      <c r="A724" s="1">
        <v>823</v>
      </c>
      <c r="B724" s="1">
        <f t="shared" si="15"/>
        <v>823</v>
      </c>
      <c r="C724" s="1" t="s">
        <v>816</v>
      </c>
      <c r="D724" s="1" t="s">
        <v>30</v>
      </c>
      <c r="E724" s="9">
        <v>2</v>
      </c>
      <c r="G724" s="1" t="s">
        <v>922</v>
      </c>
    </row>
    <row r="725" spans="1:7" x14ac:dyDescent="0.25">
      <c r="A725" s="1">
        <v>824</v>
      </c>
      <c r="B725" s="1">
        <f t="shared" si="15"/>
        <v>824</v>
      </c>
      <c r="C725" s="1" t="s">
        <v>817</v>
      </c>
      <c r="D725" s="1" t="s">
        <v>30</v>
      </c>
      <c r="E725" s="9">
        <v>2</v>
      </c>
      <c r="G725" s="1" t="s">
        <v>922</v>
      </c>
    </row>
    <row r="726" spans="1:7" x14ac:dyDescent="0.25">
      <c r="A726" s="1">
        <v>825</v>
      </c>
      <c r="B726" s="1">
        <f t="shared" si="15"/>
        <v>825</v>
      </c>
      <c r="C726" s="1" t="s">
        <v>818</v>
      </c>
      <c r="D726" s="1" t="s">
        <v>30</v>
      </c>
      <c r="E726" s="9">
        <v>2</v>
      </c>
      <c r="G726" s="1" t="s">
        <v>922</v>
      </c>
    </row>
    <row r="727" spans="1:7" x14ac:dyDescent="0.25">
      <c r="A727" s="1">
        <v>826</v>
      </c>
      <c r="B727" s="1">
        <f t="shared" si="15"/>
        <v>826</v>
      </c>
      <c r="C727" s="1" t="s">
        <v>819</v>
      </c>
      <c r="D727" s="1" t="s">
        <v>30</v>
      </c>
      <c r="E727" s="9">
        <v>2</v>
      </c>
      <c r="G727" s="1" t="s">
        <v>922</v>
      </c>
    </row>
    <row r="728" spans="1:7" x14ac:dyDescent="0.25">
      <c r="A728" s="1">
        <v>827</v>
      </c>
      <c r="B728" s="1">
        <f t="shared" si="15"/>
        <v>827</v>
      </c>
      <c r="C728" s="1" t="s">
        <v>820</v>
      </c>
      <c r="D728" s="1" t="s">
        <v>30</v>
      </c>
      <c r="E728" s="9">
        <v>2</v>
      </c>
      <c r="G728" s="1" t="s">
        <v>922</v>
      </c>
    </row>
    <row r="729" spans="1:7" x14ac:dyDescent="0.25">
      <c r="A729" s="1">
        <v>828</v>
      </c>
      <c r="B729" s="1">
        <f t="shared" si="15"/>
        <v>828</v>
      </c>
      <c r="C729" s="1" t="s">
        <v>821</v>
      </c>
      <c r="D729" s="1" t="s">
        <v>30</v>
      </c>
      <c r="E729" s="9">
        <v>2</v>
      </c>
      <c r="G729" s="1" t="s">
        <v>922</v>
      </c>
    </row>
    <row r="730" spans="1:7" x14ac:dyDescent="0.25">
      <c r="A730" s="1">
        <v>829</v>
      </c>
      <c r="B730" s="1">
        <f t="shared" si="15"/>
        <v>829</v>
      </c>
      <c r="C730" s="1" t="s">
        <v>822</v>
      </c>
      <c r="D730" s="1" t="s">
        <v>30</v>
      </c>
      <c r="E730" s="9">
        <v>2</v>
      </c>
      <c r="G730" s="1" t="s">
        <v>922</v>
      </c>
    </row>
    <row r="731" spans="1:7" x14ac:dyDescent="0.25">
      <c r="A731" s="1">
        <v>830</v>
      </c>
      <c r="B731" s="1">
        <f t="shared" si="15"/>
        <v>830</v>
      </c>
      <c r="C731" s="1" t="s">
        <v>823</v>
      </c>
      <c r="D731" s="1" t="s">
        <v>30</v>
      </c>
      <c r="E731" s="9">
        <v>2</v>
      </c>
      <c r="G731" s="1" t="s">
        <v>922</v>
      </c>
    </row>
    <row r="732" spans="1:7" x14ac:dyDescent="0.25">
      <c r="A732" s="1">
        <v>831</v>
      </c>
      <c r="B732" s="1">
        <f t="shared" si="15"/>
        <v>831</v>
      </c>
      <c r="C732" s="1" t="s">
        <v>824</v>
      </c>
      <c r="D732" s="1" t="s">
        <v>30</v>
      </c>
      <c r="E732" s="9">
        <v>2</v>
      </c>
      <c r="G732" s="1" t="s">
        <v>922</v>
      </c>
    </row>
    <row r="733" spans="1:7" x14ac:dyDescent="0.25">
      <c r="A733" s="1">
        <v>832</v>
      </c>
      <c r="B733" s="1">
        <f t="shared" si="15"/>
        <v>832</v>
      </c>
      <c r="C733" s="1" t="s">
        <v>826</v>
      </c>
      <c r="D733" s="1" t="s">
        <v>30</v>
      </c>
      <c r="E733" s="9">
        <v>2</v>
      </c>
      <c r="G733" s="1" t="s">
        <v>922</v>
      </c>
    </row>
    <row r="734" spans="1:7" x14ac:dyDescent="0.25">
      <c r="A734" s="1">
        <v>833</v>
      </c>
      <c r="B734" s="1">
        <f t="shared" si="15"/>
        <v>833</v>
      </c>
      <c r="C734" s="1" t="s">
        <v>827</v>
      </c>
      <c r="D734" s="1" t="s">
        <v>30</v>
      </c>
      <c r="E734" s="9">
        <v>2</v>
      </c>
      <c r="G734" s="1" t="s">
        <v>922</v>
      </c>
    </row>
    <row r="735" spans="1:7" x14ac:dyDescent="0.25">
      <c r="A735" s="1">
        <v>834</v>
      </c>
      <c r="B735" s="1">
        <f t="shared" si="15"/>
        <v>834</v>
      </c>
      <c r="C735" s="1" t="s">
        <v>828</v>
      </c>
      <c r="D735" s="1" t="s">
        <v>30</v>
      </c>
      <c r="E735" s="9">
        <v>2</v>
      </c>
      <c r="G735" s="1" t="s">
        <v>922</v>
      </c>
    </row>
    <row r="736" spans="1:7" x14ac:dyDescent="0.25">
      <c r="A736" s="1">
        <v>835</v>
      </c>
      <c r="B736" s="1">
        <f t="shared" si="15"/>
        <v>835</v>
      </c>
      <c r="C736" s="1" t="s">
        <v>829</v>
      </c>
      <c r="D736" s="1" t="s">
        <v>30</v>
      </c>
      <c r="E736" s="9">
        <v>2</v>
      </c>
      <c r="G736" s="1" t="s">
        <v>922</v>
      </c>
    </row>
    <row r="737" spans="1:7" x14ac:dyDescent="0.25">
      <c r="A737" s="1">
        <v>836</v>
      </c>
      <c r="B737" s="1">
        <f t="shared" si="15"/>
        <v>836</v>
      </c>
      <c r="C737" s="1" t="s">
        <v>830</v>
      </c>
      <c r="D737" s="1" t="s">
        <v>30</v>
      </c>
      <c r="E737" s="9">
        <v>2</v>
      </c>
      <c r="G737" s="1" t="s">
        <v>922</v>
      </c>
    </row>
    <row r="738" spans="1:7" x14ac:dyDescent="0.25">
      <c r="A738" s="1">
        <v>837</v>
      </c>
      <c r="B738" s="1">
        <f t="shared" si="15"/>
        <v>837</v>
      </c>
      <c r="C738" s="1" t="s">
        <v>831</v>
      </c>
      <c r="D738" s="1" t="s">
        <v>30</v>
      </c>
      <c r="E738" s="9">
        <v>2</v>
      </c>
      <c r="G738" s="1" t="s">
        <v>922</v>
      </c>
    </row>
    <row r="739" spans="1:7" x14ac:dyDescent="0.25">
      <c r="A739" s="1">
        <v>838</v>
      </c>
      <c r="B739" s="1">
        <f t="shared" si="15"/>
        <v>838</v>
      </c>
      <c r="C739" s="1" t="s">
        <v>832</v>
      </c>
      <c r="D739" s="1" t="s">
        <v>30</v>
      </c>
      <c r="E739" s="9">
        <v>2</v>
      </c>
      <c r="G739" s="1" t="s">
        <v>922</v>
      </c>
    </row>
    <row r="740" spans="1:7" x14ac:dyDescent="0.25">
      <c r="A740" s="1">
        <v>839</v>
      </c>
      <c r="B740" s="1">
        <f t="shared" si="15"/>
        <v>839</v>
      </c>
      <c r="C740" s="1" t="s">
        <v>833</v>
      </c>
      <c r="D740" s="1" t="s">
        <v>30</v>
      </c>
      <c r="E740" s="9">
        <v>2</v>
      </c>
      <c r="G740" s="1" t="s">
        <v>922</v>
      </c>
    </row>
    <row r="741" spans="1:7" x14ac:dyDescent="0.25">
      <c r="A741" s="1">
        <v>840</v>
      </c>
      <c r="B741" s="1">
        <f t="shared" si="15"/>
        <v>840</v>
      </c>
      <c r="C741" s="1" t="s">
        <v>835</v>
      </c>
      <c r="D741" s="1" t="s">
        <v>30</v>
      </c>
      <c r="E741" s="9">
        <v>2</v>
      </c>
      <c r="G741" s="1" t="s">
        <v>922</v>
      </c>
    </row>
    <row r="742" spans="1:7" x14ac:dyDescent="0.25">
      <c r="A742" s="1">
        <v>841</v>
      </c>
      <c r="B742" s="1">
        <f t="shared" si="15"/>
        <v>841</v>
      </c>
      <c r="C742" s="1" t="s">
        <v>836</v>
      </c>
      <c r="D742" s="1" t="s">
        <v>30</v>
      </c>
      <c r="E742" s="9">
        <v>2</v>
      </c>
      <c r="G742" s="1" t="s">
        <v>922</v>
      </c>
    </row>
    <row r="743" spans="1:7" x14ac:dyDescent="0.25">
      <c r="A743" s="1">
        <v>842</v>
      </c>
      <c r="B743" s="1">
        <f t="shared" si="15"/>
        <v>842</v>
      </c>
      <c r="C743" s="1" t="s">
        <v>837</v>
      </c>
      <c r="D743" s="1" t="s">
        <v>30</v>
      </c>
      <c r="E743" s="9">
        <v>2</v>
      </c>
      <c r="G743" s="1" t="s">
        <v>922</v>
      </c>
    </row>
    <row r="744" spans="1:7" x14ac:dyDescent="0.25">
      <c r="A744" s="1">
        <v>843</v>
      </c>
      <c r="B744" s="1">
        <f t="shared" si="15"/>
        <v>843</v>
      </c>
      <c r="C744" s="1" t="s">
        <v>838</v>
      </c>
      <c r="D744" s="1" t="s">
        <v>30</v>
      </c>
      <c r="E744" s="9">
        <v>2</v>
      </c>
      <c r="G744" s="1" t="s">
        <v>922</v>
      </c>
    </row>
    <row r="745" spans="1:7" x14ac:dyDescent="0.25">
      <c r="A745" s="1">
        <v>844</v>
      </c>
      <c r="B745" s="1">
        <f t="shared" si="15"/>
        <v>844</v>
      </c>
      <c r="C745" s="1" t="s">
        <v>839</v>
      </c>
      <c r="D745" s="1" t="s">
        <v>30</v>
      </c>
      <c r="E745" s="9">
        <v>2</v>
      </c>
      <c r="G745" s="1" t="s">
        <v>922</v>
      </c>
    </row>
    <row r="746" spans="1:7" x14ac:dyDescent="0.25">
      <c r="A746" s="1">
        <v>845</v>
      </c>
      <c r="B746" s="1">
        <f t="shared" si="15"/>
        <v>845</v>
      </c>
      <c r="C746" s="1" t="s">
        <v>840</v>
      </c>
      <c r="D746" s="1" t="s">
        <v>30</v>
      </c>
      <c r="E746" s="9">
        <v>2</v>
      </c>
      <c r="G746" s="1" t="s">
        <v>922</v>
      </c>
    </row>
    <row r="747" spans="1:7" x14ac:dyDescent="0.25">
      <c r="A747" s="1">
        <v>846</v>
      </c>
      <c r="B747" s="1">
        <f t="shared" si="15"/>
        <v>846</v>
      </c>
      <c r="C747" s="1" t="s">
        <v>841</v>
      </c>
      <c r="D747" s="1" t="s">
        <v>30</v>
      </c>
      <c r="E747" s="9">
        <v>2</v>
      </c>
      <c r="G747" s="1" t="s">
        <v>922</v>
      </c>
    </row>
    <row r="748" spans="1:7" x14ac:dyDescent="0.25">
      <c r="A748" s="1">
        <v>847</v>
      </c>
      <c r="B748" s="1">
        <f t="shared" si="15"/>
        <v>847</v>
      </c>
      <c r="C748" s="1" t="s">
        <v>842</v>
      </c>
      <c r="D748" s="1" t="s">
        <v>30</v>
      </c>
      <c r="E748" s="9">
        <v>4</v>
      </c>
      <c r="G748" s="1" t="s">
        <v>922</v>
      </c>
    </row>
    <row r="749" spans="1:7" x14ac:dyDescent="0.25">
      <c r="A749" s="1">
        <v>848</v>
      </c>
      <c r="B749" s="1">
        <f t="shared" si="15"/>
        <v>848</v>
      </c>
      <c r="C749" s="1" t="s">
        <v>843</v>
      </c>
      <c r="D749" s="1" t="s">
        <v>30</v>
      </c>
      <c r="E749" s="9">
        <v>2</v>
      </c>
      <c r="G749" s="1" t="s">
        <v>922</v>
      </c>
    </row>
    <row r="750" spans="1:7" x14ac:dyDescent="0.25">
      <c r="A750" s="1">
        <v>849</v>
      </c>
      <c r="B750" s="1">
        <f t="shared" si="15"/>
        <v>849</v>
      </c>
      <c r="C750" s="1" t="s">
        <v>844</v>
      </c>
      <c r="D750" s="1" t="s">
        <v>30</v>
      </c>
      <c r="E750" s="9">
        <v>2</v>
      </c>
      <c r="G750" s="1" t="s">
        <v>922</v>
      </c>
    </row>
    <row r="751" spans="1:7" x14ac:dyDescent="0.25">
      <c r="A751" s="1">
        <v>850</v>
      </c>
      <c r="B751" s="1">
        <f t="shared" si="15"/>
        <v>850</v>
      </c>
      <c r="C751" s="1" t="s">
        <v>845</v>
      </c>
      <c r="D751" s="1" t="s">
        <v>30</v>
      </c>
      <c r="E751" s="9">
        <v>2</v>
      </c>
      <c r="G751" s="1" t="s">
        <v>922</v>
      </c>
    </row>
    <row r="752" spans="1:7" x14ac:dyDescent="0.25">
      <c r="A752" s="1">
        <v>851</v>
      </c>
      <c r="B752" s="1">
        <f t="shared" si="15"/>
        <v>851</v>
      </c>
      <c r="C752" s="1" t="s">
        <v>846</v>
      </c>
      <c r="D752" s="1" t="s">
        <v>30</v>
      </c>
      <c r="E752" s="9">
        <v>2</v>
      </c>
      <c r="G752" s="1" t="s">
        <v>922</v>
      </c>
    </row>
    <row r="753" spans="1:7" x14ac:dyDescent="0.25">
      <c r="A753" s="1">
        <v>852</v>
      </c>
      <c r="B753" s="1">
        <f t="shared" si="15"/>
        <v>852</v>
      </c>
      <c r="C753" s="1" t="s">
        <v>847</v>
      </c>
      <c r="D753" s="1" t="s">
        <v>30</v>
      </c>
      <c r="E753" s="9">
        <v>2</v>
      </c>
      <c r="G753" s="1" t="s">
        <v>922</v>
      </c>
    </row>
    <row r="754" spans="1:7" x14ac:dyDescent="0.25">
      <c r="A754" s="1">
        <v>853</v>
      </c>
      <c r="B754" s="1">
        <f t="shared" si="15"/>
        <v>853</v>
      </c>
      <c r="C754" s="1" t="s">
        <v>848</v>
      </c>
      <c r="D754" s="1" t="s">
        <v>30</v>
      </c>
      <c r="E754" s="9">
        <v>2</v>
      </c>
      <c r="G754" s="1" t="s">
        <v>922</v>
      </c>
    </row>
    <row r="755" spans="1:7" x14ac:dyDescent="0.25">
      <c r="A755" s="1">
        <v>854</v>
      </c>
      <c r="B755" s="1">
        <f t="shared" si="15"/>
        <v>854</v>
      </c>
      <c r="C755" s="1" t="s">
        <v>849</v>
      </c>
      <c r="D755" s="1" t="s">
        <v>30</v>
      </c>
      <c r="E755" s="9">
        <v>2</v>
      </c>
      <c r="G755" s="1" t="s">
        <v>922</v>
      </c>
    </row>
    <row r="756" spans="1:7" x14ac:dyDescent="0.25">
      <c r="A756" s="1">
        <v>855</v>
      </c>
      <c r="B756" s="1">
        <f t="shared" si="15"/>
        <v>855</v>
      </c>
      <c r="C756" s="1" t="s">
        <v>850</v>
      </c>
      <c r="D756" s="1" t="s">
        <v>30</v>
      </c>
      <c r="E756" s="9">
        <v>2</v>
      </c>
      <c r="G756" s="1" t="s">
        <v>922</v>
      </c>
    </row>
    <row r="757" spans="1:7" x14ac:dyDescent="0.25">
      <c r="A757" s="1">
        <v>856</v>
      </c>
      <c r="B757" s="1">
        <f t="shared" si="15"/>
        <v>856</v>
      </c>
      <c r="C757" s="1" t="s">
        <v>851</v>
      </c>
      <c r="D757" s="1" t="s">
        <v>30</v>
      </c>
      <c r="E757" s="9">
        <v>2</v>
      </c>
      <c r="G757" s="1" t="s">
        <v>922</v>
      </c>
    </row>
    <row r="758" spans="1:7" x14ac:dyDescent="0.25">
      <c r="A758" s="1">
        <v>857</v>
      </c>
      <c r="B758" s="1">
        <f t="shared" si="15"/>
        <v>857</v>
      </c>
      <c r="C758" s="1" t="s">
        <v>852</v>
      </c>
      <c r="D758" s="1" t="s">
        <v>30</v>
      </c>
      <c r="E758" s="9">
        <v>2</v>
      </c>
      <c r="G758" s="1" t="s">
        <v>922</v>
      </c>
    </row>
    <row r="759" spans="1:7" x14ac:dyDescent="0.25">
      <c r="A759" s="1">
        <v>858</v>
      </c>
      <c r="B759" s="1">
        <f t="shared" si="15"/>
        <v>858</v>
      </c>
      <c r="C759" s="1" t="s">
        <v>853</v>
      </c>
      <c r="D759" s="1" t="s">
        <v>30</v>
      </c>
      <c r="E759" s="9">
        <v>2</v>
      </c>
      <c r="G759" s="1" t="s">
        <v>922</v>
      </c>
    </row>
    <row r="760" spans="1:7" x14ac:dyDescent="0.25">
      <c r="A760" s="1">
        <v>859</v>
      </c>
      <c r="B760" s="1">
        <f t="shared" si="15"/>
        <v>859</v>
      </c>
      <c r="C760" s="1" t="s">
        <v>854</v>
      </c>
      <c r="D760" s="1" t="s">
        <v>30</v>
      </c>
      <c r="E760" s="9">
        <v>2</v>
      </c>
      <c r="G760" s="1" t="s">
        <v>922</v>
      </c>
    </row>
    <row r="761" spans="1:7" x14ac:dyDescent="0.25">
      <c r="A761" s="1">
        <v>860</v>
      </c>
      <c r="B761" s="1">
        <f t="shared" si="15"/>
        <v>860</v>
      </c>
      <c r="C761" s="1" t="s">
        <v>855</v>
      </c>
      <c r="D761" s="1" t="s">
        <v>30</v>
      </c>
      <c r="E761" s="9">
        <v>2</v>
      </c>
      <c r="G761" s="1" t="s">
        <v>922</v>
      </c>
    </row>
    <row r="762" spans="1:7" x14ac:dyDescent="0.25">
      <c r="A762" s="1">
        <v>861</v>
      </c>
      <c r="B762" s="1">
        <f t="shared" si="15"/>
        <v>861</v>
      </c>
      <c r="C762" s="1" t="s">
        <v>856</v>
      </c>
      <c r="D762" s="1" t="s">
        <v>30</v>
      </c>
      <c r="E762" s="9">
        <v>2</v>
      </c>
      <c r="G762" s="1" t="s">
        <v>922</v>
      </c>
    </row>
    <row r="763" spans="1:7" x14ac:dyDescent="0.25">
      <c r="A763" s="1">
        <v>862</v>
      </c>
      <c r="B763" s="1">
        <f t="shared" si="15"/>
        <v>862</v>
      </c>
      <c r="C763" s="1" t="s">
        <v>857</v>
      </c>
      <c r="D763" s="1" t="s">
        <v>30</v>
      </c>
      <c r="E763" s="9">
        <v>2</v>
      </c>
      <c r="G763" s="1" t="s">
        <v>922</v>
      </c>
    </row>
    <row r="764" spans="1:7" x14ac:dyDescent="0.25">
      <c r="A764" s="1">
        <v>863</v>
      </c>
      <c r="B764" s="1">
        <f t="shared" si="15"/>
        <v>863</v>
      </c>
      <c r="C764" s="1" t="s">
        <v>858</v>
      </c>
      <c r="D764" s="1" t="s">
        <v>30</v>
      </c>
      <c r="E764" s="9">
        <v>2</v>
      </c>
      <c r="G764" s="1" t="s">
        <v>922</v>
      </c>
    </row>
    <row r="765" spans="1:7" x14ac:dyDescent="0.25">
      <c r="A765" s="1">
        <v>864</v>
      </c>
      <c r="B765" s="1">
        <f t="shared" si="15"/>
        <v>864</v>
      </c>
      <c r="C765" s="1" t="s">
        <v>859</v>
      </c>
      <c r="D765" s="1" t="s">
        <v>30</v>
      </c>
      <c r="E765" s="9">
        <v>2</v>
      </c>
      <c r="G765" s="1" t="s">
        <v>922</v>
      </c>
    </row>
    <row r="766" spans="1:7" x14ac:dyDescent="0.25">
      <c r="A766" s="1">
        <v>865</v>
      </c>
      <c r="B766" s="1">
        <f t="shared" si="15"/>
        <v>865</v>
      </c>
      <c r="C766" s="1" t="s">
        <v>860</v>
      </c>
      <c r="D766" s="1" t="s">
        <v>30</v>
      </c>
      <c r="E766" s="9">
        <v>2</v>
      </c>
      <c r="G766" s="1" t="s">
        <v>922</v>
      </c>
    </row>
    <row r="767" spans="1:7" x14ac:dyDescent="0.25">
      <c r="A767" s="1">
        <v>866</v>
      </c>
      <c r="B767" s="1">
        <f t="shared" si="15"/>
        <v>866</v>
      </c>
      <c r="C767" s="1" t="s">
        <v>861</v>
      </c>
      <c r="D767" s="1" t="s">
        <v>30</v>
      </c>
      <c r="E767" s="9">
        <v>2</v>
      </c>
      <c r="G767" s="1" t="s">
        <v>922</v>
      </c>
    </row>
    <row r="768" spans="1:7" x14ac:dyDescent="0.25">
      <c r="A768" s="1">
        <v>867</v>
      </c>
      <c r="B768" s="1">
        <f t="shared" si="15"/>
        <v>867</v>
      </c>
      <c r="C768" s="1" t="s">
        <v>862</v>
      </c>
      <c r="D768" s="1" t="s">
        <v>30</v>
      </c>
      <c r="E768" s="9">
        <v>2</v>
      </c>
      <c r="G768" s="1" t="s">
        <v>922</v>
      </c>
    </row>
    <row r="769" spans="1:7" x14ac:dyDescent="0.25">
      <c r="A769" s="1">
        <v>868</v>
      </c>
      <c r="B769" s="1">
        <f t="shared" si="15"/>
        <v>868</v>
      </c>
      <c r="C769" s="1" t="s">
        <v>863</v>
      </c>
      <c r="D769" s="1" t="s">
        <v>30</v>
      </c>
      <c r="E769" s="9">
        <v>2</v>
      </c>
      <c r="G769" s="1" t="s">
        <v>922</v>
      </c>
    </row>
    <row r="770" spans="1:7" x14ac:dyDescent="0.25">
      <c r="A770" s="1">
        <v>869</v>
      </c>
      <c r="B770" s="1">
        <f t="shared" ref="B770:B833" si="16">A770</f>
        <v>869</v>
      </c>
      <c r="C770" s="1" t="s">
        <v>864</v>
      </c>
      <c r="D770" s="1" t="s">
        <v>30</v>
      </c>
      <c r="E770" s="9">
        <v>2</v>
      </c>
      <c r="G770" s="1" t="s">
        <v>922</v>
      </c>
    </row>
    <row r="771" spans="1:7" x14ac:dyDescent="0.25">
      <c r="A771" s="1">
        <v>870</v>
      </c>
      <c r="B771" s="1">
        <f t="shared" si="16"/>
        <v>870</v>
      </c>
      <c r="C771" s="1" t="s">
        <v>865</v>
      </c>
      <c r="D771" s="1" t="s">
        <v>30</v>
      </c>
      <c r="E771" s="9">
        <v>2</v>
      </c>
      <c r="G771" s="1" t="s">
        <v>922</v>
      </c>
    </row>
    <row r="772" spans="1:7" x14ac:dyDescent="0.25">
      <c r="A772" s="1">
        <v>871</v>
      </c>
      <c r="B772" s="1">
        <f t="shared" si="16"/>
        <v>871</v>
      </c>
      <c r="C772" s="1" t="s">
        <v>866</v>
      </c>
      <c r="D772" s="1" t="s">
        <v>30</v>
      </c>
      <c r="E772" s="9">
        <v>2</v>
      </c>
      <c r="G772" s="1" t="s">
        <v>922</v>
      </c>
    </row>
    <row r="773" spans="1:7" x14ac:dyDescent="0.25">
      <c r="A773" s="1">
        <v>872</v>
      </c>
      <c r="B773" s="1">
        <f t="shared" si="16"/>
        <v>872</v>
      </c>
      <c r="C773" s="1" t="s">
        <v>867</v>
      </c>
      <c r="D773" s="1" t="s">
        <v>30</v>
      </c>
      <c r="E773" s="9">
        <v>2</v>
      </c>
      <c r="G773" s="1" t="s">
        <v>922</v>
      </c>
    </row>
    <row r="774" spans="1:7" x14ac:dyDescent="0.25">
      <c r="A774" s="1">
        <v>873</v>
      </c>
      <c r="B774" s="1">
        <f t="shared" si="16"/>
        <v>873</v>
      </c>
      <c r="C774" s="1" t="s">
        <v>868</v>
      </c>
      <c r="D774" s="1" t="s">
        <v>30</v>
      </c>
      <c r="E774" s="9">
        <v>2</v>
      </c>
      <c r="G774" s="1" t="s">
        <v>922</v>
      </c>
    </row>
    <row r="775" spans="1:7" x14ac:dyDescent="0.25">
      <c r="A775" s="1">
        <v>874</v>
      </c>
      <c r="B775" s="1">
        <f t="shared" si="16"/>
        <v>874</v>
      </c>
      <c r="C775" s="1" t="s">
        <v>869</v>
      </c>
      <c r="D775" s="1" t="s">
        <v>30</v>
      </c>
      <c r="E775" s="9">
        <v>2</v>
      </c>
      <c r="G775" s="1" t="s">
        <v>922</v>
      </c>
    </row>
    <row r="776" spans="1:7" x14ac:dyDescent="0.25">
      <c r="A776" s="1">
        <v>875</v>
      </c>
      <c r="B776" s="1">
        <f t="shared" si="16"/>
        <v>875</v>
      </c>
      <c r="C776" s="1" t="s">
        <v>870</v>
      </c>
      <c r="D776" s="1" t="s">
        <v>30</v>
      </c>
      <c r="E776" s="9">
        <v>2</v>
      </c>
      <c r="G776" s="1" t="s">
        <v>922</v>
      </c>
    </row>
    <row r="777" spans="1:7" x14ac:dyDescent="0.25">
      <c r="A777" s="1">
        <v>876</v>
      </c>
      <c r="B777" s="1">
        <f t="shared" si="16"/>
        <v>876</v>
      </c>
      <c r="C777" s="1" t="s">
        <v>871</v>
      </c>
      <c r="D777" s="1" t="s">
        <v>30</v>
      </c>
      <c r="E777" s="9">
        <v>2</v>
      </c>
      <c r="G777" s="1" t="s">
        <v>922</v>
      </c>
    </row>
    <row r="778" spans="1:7" x14ac:dyDescent="0.25">
      <c r="A778" s="1">
        <v>877</v>
      </c>
      <c r="B778" s="1">
        <f t="shared" si="16"/>
        <v>877</v>
      </c>
      <c r="C778" s="1" t="s">
        <v>872</v>
      </c>
      <c r="D778" s="1" t="s">
        <v>30</v>
      </c>
      <c r="E778" s="9">
        <v>2</v>
      </c>
      <c r="G778" s="1" t="s">
        <v>922</v>
      </c>
    </row>
    <row r="779" spans="1:7" x14ac:dyDescent="0.25">
      <c r="A779" s="1">
        <v>878</v>
      </c>
      <c r="B779" s="1">
        <f t="shared" si="16"/>
        <v>878</v>
      </c>
      <c r="C779" s="1" t="s">
        <v>873</v>
      </c>
      <c r="D779" s="1" t="s">
        <v>30</v>
      </c>
      <c r="E779" s="9">
        <v>2</v>
      </c>
      <c r="G779" s="1" t="s">
        <v>922</v>
      </c>
    </row>
    <row r="780" spans="1:7" x14ac:dyDescent="0.25">
      <c r="A780" s="1">
        <v>879</v>
      </c>
      <c r="B780" s="1">
        <f t="shared" si="16"/>
        <v>879</v>
      </c>
      <c r="C780" s="1" t="s">
        <v>874</v>
      </c>
      <c r="D780" s="1" t="s">
        <v>30</v>
      </c>
      <c r="E780" s="9">
        <v>2</v>
      </c>
      <c r="G780" s="1" t="s">
        <v>922</v>
      </c>
    </row>
    <row r="781" spans="1:7" x14ac:dyDescent="0.25">
      <c r="A781" s="1">
        <v>880</v>
      </c>
      <c r="B781" s="1">
        <f t="shared" si="16"/>
        <v>880</v>
      </c>
      <c r="C781" s="1" t="s">
        <v>875</v>
      </c>
      <c r="D781" s="1" t="s">
        <v>30</v>
      </c>
      <c r="E781" s="9">
        <v>2</v>
      </c>
      <c r="G781" s="1" t="s">
        <v>922</v>
      </c>
    </row>
    <row r="782" spans="1:7" x14ac:dyDescent="0.25">
      <c r="A782" s="1">
        <v>881</v>
      </c>
      <c r="B782" s="1">
        <f t="shared" si="16"/>
        <v>881</v>
      </c>
      <c r="C782" s="1" t="s">
        <v>876</v>
      </c>
      <c r="D782" s="1" t="s">
        <v>30</v>
      </c>
      <c r="E782" s="9">
        <v>2</v>
      </c>
      <c r="G782" s="1" t="s">
        <v>922</v>
      </c>
    </row>
    <row r="783" spans="1:7" x14ac:dyDescent="0.25">
      <c r="A783" s="1">
        <v>882</v>
      </c>
      <c r="B783" s="1">
        <f t="shared" si="16"/>
        <v>882</v>
      </c>
      <c r="C783" s="1" t="s">
        <v>877</v>
      </c>
      <c r="D783" s="1" t="s">
        <v>30</v>
      </c>
      <c r="E783" s="9">
        <v>2</v>
      </c>
      <c r="G783" s="1" t="s">
        <v>922</v>
      </c>
    </row>
    <row r="784" spans="1:7" x14ac:dyDescent="0.25">
      <c r="A784" s="1">
        <v>883</v>
      </c>
      <c r="B784" s="1">
        <f t="shared" si="16"/>
        <v>883</v>
      </c>
      <c r="C784" s="1" t="s">
        <v>878</v>
      </c>
      <c r="D784" s="1" t="s">
        <v>30</v>
      </c>
      <c r="E784" s="9">
        <v>2</v>
      </c>
      <c r="G784" s="1" t="s">
        <v>922</v>
      </c>
    </row>
    <row r="785" spans="1:7" x14ac:dyDescent="0.25">
      <c r="A785" s="1">
        <v>884</v>
      </c>
      <c r="B785" s="1">
        <f t="shared" si="16"/>
        <v>884</v>
      </c>
      <c r="C785" s="1" t="s">
        <v>880</v>
      </c>
      <c r="D785" s="1" t="s">
        <v>30</v>
      </c>
      <c r="E785" s="9">
        <v>2</v>
      </c>
      <c r="G785" s="1" t="s">
        <v>922</v>
      </c>
    </row>
    <row r="786" spans="1:7" x14ac:dyDescent="0.25">
      <c r="A786" s="1">
        <v>885</v>
      </c>
      <c r="B786" s="1">
        <f t="shared" si="16"/>
        <v>885</v>
      </c>
      <c r="C786" s="1" t="s">
        <v>882</v>
      </c>
      <c r="D786" s="1" t="s">
        <v>30</v>
      </c>
      <c r="E786" s="9">
        <v>4</v>
      </c>
      <c r="G786" s="1" t="s">
        <v>922</v>
      </c>
    </row>
    <row r="787" spans="1:7" x14ac:dyDescent="0.25">
      <c r="A787" s="1">
        <v>886</v>
      </c>
      <c r="B787" s="1">
        <f t="shared" si="16"/>
        <v>886</v>
      </c>
      <c r="C787" s="1" t="s">
        <v>883</v>
      </c>
      <c r="D787" s="1" t="s">
        <v>30</v>
      </c>
      <c r="E787" s="9">
        <v>4</v>
      </c>
      <c r="G787" s="1" t="s">
        <v>922</v>
      </c>
    </row>
    <row r="788" spans="1:7" x14ac:dyDescent="0.25">
      <c r="A788" s="1">
        <v>887</v>
      </c>
      <c r="B788" s="1">
        <f t="shared" si="16"/>
        <v>887</v>
      </c>
      <c r="C788" s="1" t="s">
        <v>884</v>
      </c>
      <c r="D788" s="1" t="s">
        <v>30</v>
      </c>
      <c r="E788" s="9">
        <v>4</v>
      </c>
      <c r="G788" s="1" t="s">
        <v>922</v>
      </c>
    </row>
    <row r="789" spans="1:7" x14ac:dyDescent="0.25">
      <c r="A789" s="1">
        <v>888</v>
      </c>
      <c r="B789" s="1">
        <f t="shared" si="16"/>
        <v>888</v>
      </c>
      <c r="C789" s="1" t="s">
        <v>885</v>
      </c>
      <c r="D789" s="1" t="s">
        <v>30</v>
      </c>
      <c r="E789" s="9">
        <v>2</v>
      </c>
      <c r="G789" s="1" t="s">
        <v>922</v>
      </c>
    </row>
    <row r="790" spans="1:7" x14ac:dyDescent="0.25">
      <c r="A790" s="1">
        <v>889</v>
      </c>
      <c r="B790" s="1">
        <f t="shared" si="16"/>
        <v>889</v>
      </c>
      <c r="C790" s="1" t="s">
        <v>886</v>
      </c>
      <c r="D790" s="1" t="s">
        <v>30</v>
      </c>
      <c r="E790" s="9">
        <v>2</v>
      </c>
      <c r="G790" s="1" t="s">
        <v>922</v>
      </c>
    </row>
    <row r="791" spans="1:7" x14ac:dyDescent="0.25">
      <c r="A791" s="1">
        <v>890</v>
      </c>
      <c r="B791" s="1">
        <f t="shared" si="16"/>
        <v>890</v>
      </c>
      <c r="C791" s="1" t="s">
        <v>887</v>
      </c>
      <c r="D791" s="1" t="s">
        <v>30</v>
      </c>
      <c r="E791" s="9">
        <v>2</v>
      </c>
      <c r="G791" s="1" t="s">
        <v>922</v>
      </c>
    </row>
    <row r="792" spans="1:7" x14ac:dyDescent="0.25">
      <c r="A792" s="1">
        <v>891</v>
      </c>
      <c r="B792" s="1">
        <f t="shared" si="16"/>
        <v>891</v>
      </c>
      <c r="C792" s="1" t="s">
        <v>889</v>
      </c>
      <c r="D792" s="1" t="s">
        <v>30</v>
      </c>
      <c r="E792" s="9">
        <v>2</v>
      </c>
      <c r="G792" s="1" t="s">
        <v>922</v>
      </c>
    </row>
    <row r="793" spans="1:7" x14ac:dyDescent="0.25">
      <c r="A793" s="1">
        <v>892</v>
      </c>
      <c r="B793" s="1">
        <f t="shared" si="16"/>
        <v>892</v>
      </c>
      <c r="C793" s="1" t="s">
        <v>890</v>
      </c>
      <c r="D793" s="1" t="s">
        <v>30</v>
      </c>
      <c r="E793" s="9">
        <v>2</v>
      </c>
      <c r="G793" s="1" t="s">
        <v>922</v>
      </c>
    </row>
    <row r="794" spans="1:7" x14ac:dyDescent="0.25">
      <c r="A794" s="1">
        <v>893</v>
      </c>
      <c r="B794" s="1">
        <f t="shared" si="16"/>
        <v>893</v>
      </c>
      <c r="C794" s="1" t="s">
        <v>892</v>
      </c>
      <c r="D794" s="1" t="s">
        <v>30</v>
      </c>
      <c r="E794" s="9">
        <v>3</v>
      </c>
      <c r="G794" s="1" t="s">
        <v>922</v>
      </c>
    </row>
    <row r="795" spans="1:7" x14ac:dyDescent="0.25">
      <c r="A795" s="1">
        <v>894</v>
      </c>
      <c r="B795" s="1">
        <f t="shared" si="16"/>
        <v>894</v>
      </c>
      <c r="C795" s="1" t="s">
        <v>893</v>
      </c>
      <c r="D795" s="1" t="s">
        <v>30</v>
      </c>
      <c r="E795" s="9">
        <v>2</v>
      </c>
      <c r="G795" s="1" t="s">
        <v>922</v>
      </c>
    </row>
    <row r="796" spans="1:7" x14ac:dyDescent="0.25">
      <c r="A796" s="1">
        <v>895</v>
      </c>
      <c r="B796" s="1">
        <f t="shared" si="16"/>
        <v>895</v>
      </c>
      <c r="C796" s="1" t="s">
        <v>895</v>
      </c>
      <c r="D796" s="1" t="s">
        <v>30</v>
      </c>
      <c r="E796" s="9">
        <v>2</v>
      </c>
      <c r="G796" s="1" t="s">
        <v>922</v>
      </c>
    </row>
    <row r="797" spans="1:7" x14ac:dyDescent="0.25">
      <c r="A797" s="1">
        <v>896</v>
      </c>
      <c r="B797" s="1">
        <f t="shared" si="16"/>
        <v>896</v>
      </c>
      <c r="C797" s="1" t="s">
        <v>896</v>
      </c>
      <c r="D797" s="1" t="s">
        <v>30</v>
      </c>
      <c r="E797" s="9">
        <v>2</v>
      </c>
      <c r="G797" s="1" t="s">
        <v>922</v>
      </c>
    </row>
    <row r="798" spans="1:7" x14ac:dyDescent="0.25">
      <c r="A798" s="1">
        <v>897</v>
      </c>
      <c r="B798" s="1">
        <f t="shared" si="16"/>
        <v>897</v>
      </c>
      <c r="C798" s="1" t="s">
        <v>897</v>
      </c>
      <c r="D798" s="1" t="s">
        <v>30</v>
      </c>
      <c r="E798" s="9">
        <v>2</v>
      </c>
      <c r="G798" s="1" t="s">
        <v>922</v>
      </c>
    </row>
    <row r="799" spans="1:7" x14ac:dyDescent="0.25">
      <c r="A799" s="1">
        <v>898</v>
      </c>
      <c r="B799" s="1">
        <f t="shared" si="16"/>
        <v>898</v>
      </c>
      <c r="C799" s="1" t="s">
        <v>898</v>
      </c>
      <c r="D799" s="1" t="s">
        <v>30</v>
      </c>
      <c r="E799" s="9">
        <v>2</v>
      </c>
      <c r="G799" s="1" t="s">
        <v>922</v>
      </c>
    </row>
    <row r="800" spans="1:7" x14ac:dyDescent="0.25">
      <c r="A800" s="1">
        <v>899</v>
      </c>
      <c r="B800" s="1">
        <f t="shared" si="16"/>
        <v>899</v>
      </c>
      <c r="C800" s="1" t="s">
        <v>899</v>
      </c>
      <c r="D800" s="1" t="s">
        <v>30</v>
      </c>
      <c r="E800" s="9">
        <v>11</v>
      </c>
      <c r="G800" s="1" t="s">
        <v>922</v>
      </c>
    </row>
    <row r="801" spans="1:7" x14ac:dyDescent="0.25">
      <c r="A801" s="1">
        <v>900</v>
      </c>
      <c r="B801" s="1">
        <f t="shared" si="16"/>
        <v>900</v>
      </c>
      <c r="C801" s="1" t="s">
        <v>900</v>
      </c>
      <c r="D801" s="1" t="s">
        <v>30</v>
      </c>
      <c r="E801" s="9">
        <v>9</v>
      </c>
      <c r="G801" s="1" t="s">
        <v>922</v>
      </c>
    </row>
    <row r="802" spans="1:7" x14ac:dyDescent="0.25">
      <c r="A802" s="1">
        <v>901</v>
      </c>
      <c r="B802" s="1">
        <f t="shared" si="16"/>
        <v>901</v>
      </c>
      <c r="C802" s="1" t="s">
        <v>901</v>
      </c>
      <c r="D802" s="1" t="s">
        <v>30</v>
      </c>
      <c r="E802" s="9">
        <v>11</v>
      </c>
      <c r="G802" s="1" t="s">
        <v>922</v>
      </c>
    </row>
    <row r="803" spans="1:7" x14ac:dyDescent="0.25">
      <c r="A803" s="1">
        <v>902</v>
      </c>
      <c r="B803" s="1">
        <f t="shared" si="16"/>
        <v>902</v>
      </c>
      <c r="C803" s="1" t="s">
        <v>902</v>
      </c>
      <c r="D803" s="1" t="s">
        <v>30</v>
      </c>
      <c r="E803" s="9">
        <v>2</v>
      </c>
      <c r="G803" s="1" t="s">
        <v>922</v>
      </c>
    </row>
    <row r="804" spans="1:7" x14ac:dyDescent="0.25">
      <c r="A804" s="1">
        <v>903</v>
      </c>
      <c r="B804" s="1">
        <f t="shared" si="16"/>
        <v>903</v>
      </c>
      <c r="C804" s="1" t="s">
        <v>905</v>
      </c>
      <c r="D804" s="1" t="s">
        <v>30</v>
      </c>
      <c r="E804" s="9">
        <v>14</v>
      </c>
      <c r="G804" s="1" t="s">
        <v>922</v>
      </c>
    </row>
    <row r="805" spans="1:7" x14ac:dyDescent="0.25">
      <c r="A805" s="1">
        <v>904</v>
      </c>
      <c r="B805" s="1">
        <f t="shared" si="16"/>
        <v>904</v>
      </c>
      <c r="C805" s="1" t="s">
        <v>906</v>
      </c>
      <c r="D805" s="1" t="s">
        <v>30</v>
      </c>
      <c r="E805" s="9">
        <v>2</v>
      </c>
      <c r="G805" s="1" t="s">
        <v>922</v>
      </c>
    </row>
    <row r="806" spans="1:7" x14ac:dyDescent="0.25">
      <c r="A806" s="1">
        <v>905</v>
      </c>
      <c r="B806" s="1">
        <f t="shared" si="16"/>
        <v>905</v>
      </c>
      <c r="C806" s="1" t="s">
        <v>907</v>
      </c>
      <c r="D806" s="1" t="s">
        <v>30</v>
      </c>
      <c r="E806" s="9">
        <v>2</v>
      </c>
      <c r="G806" s="1" t="s">
        <v>922</v>
      </c>
    </row>
    <row r="807" spans="1:7" x14ac:dyDescent="0.25">
      <c r="A807" s="1">
        <v>906</v>
      </c>
      <c r="B807" s="1">
        <f t="shared" si="16"/>
        <v>906</v>
      </c>
      <c r="C807" s="1" t="s">
        <v>908</v>
      </c>
      <c r="D807" s="1" t="s">
        <v>30</v>
      </c>
      <c r="E807" s="9">
        <v>2</v>
      </c>
      <c r="G807" s="1" t="s">
        <v>922</v>
      </c>
    </row>
    <row r="808" spans="1:7" x14ac:dyDescent="0.25">
      <c r="A808" s="1">
        <v>907</v>
      </c>
      <c r="B808" s="1">
        <f t="shared" si="16"/>
        <v>907</v>
      </c>
      <c r="C808" s="1" t="s">
        <v>912</v>
      </c>
      <c r="D808" s="1" t="s">
        <v>30</v>
      </c>
      <c r="E808" s="9">
        <v>14</v>
      </c>
      <c r="G808" s="1" t="s">
        <v>922</v>
      </c>
    </row>
  </sheetData>
  <autoFilter ref="A1:L808" xr:uid="{00000000-0009-0000-0000-000002000000}"/>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8"/>
  <sheetViews>
    <sheetView topLeftCell="A43" zoomScale="110" zoomScaleNormal="110" workbookViewId="0">
      <selection activeCell="G34" sqref="G34"/>
    </sheetView>
  </sheetViews>
  <sheetFormatPr defaultColWidth="8.875" defaultRowHeight="16.5" x14ac:dyDescent="0.25"/>
  <cols>
    <col min="1" max="1" width="12.875" style="1" customWidth="1"/>
    <col min="2" max="2" width="8.875" style="1" customWidth="1"/>
    <col min="3" max="3" width="20" style="1" customWidth="1"/>
    <col min="4" max="6" width="8.875" style="1" customWidth="1"/>
    <col min="7" max="7" width="15.375" style="1" customWidth="1"/>
    <col min="8" max="8" width="16" style="3" customWidth="1"/>
    <col min="9" max="9" width="11.375" style="1" customWidth="1"/>
    <col min="10" max="10" width="10.625" style="1" customWidth="1"/>
    <col min="11" max="11" width="10.5" style="9" bestFit="1" customWidth="1"/>
    <col min="12" max="12" width="16.5" style="9" customWidth="1"/>
    <col min="13" max="13" width="8.875" style="1" customWidth="1"/>
    <col min="14" max="16384" width="8.875" style="1"/>
  </cols>
  <sheetData>
    <row r="1" spans="1:12" x14ac:dyDescent="0.25">
      <c r="A1" s="1" t="s">
        <v>913</v>
      </c>
      <c r="B1" s="1" t="s">
        <v>914</v>
      </c>
      <c r="C1" s="1" t="s">
        <v>915</v>
      </c>
      <c r="D1" s="1" t="s">
        <v>24</v>
      </c>
      <c r="E1" s="1" t="s">
        <v>25</v>
      </c>
      <c r="F1" s="5" t="s">
        <v>923</v>
      </c>
      <c r="G1" s="1" t="s">
        <v>924</v>
      </c>
      <c r="H1" s="3" t="s">
        <v>925</v>
      </c>
      <c r="I1" s="1" t="s">
        <v>926</v>
      </c>
      <c r="J1" s="6" t="s">
        <v>927</v>
      </c>
      <c r="K1" s="7" t="s">
        <v>928</v>
      </c>
      <c r="L1" s="7" t="s">
        <v>929</v>
      </c>
    </row>
    <row r="2" spans="1:12" x14ac:dyDescent="0.25">
      <c r="A2" s="1">
        <v>1000</v>
      </c>
      <c r="B2" s="1">
        <f t="shared" ref="B2:B33" si="0">A2</f>
        <v>1000</v>
      </c>
      <c r="C2" s="1" t="s">
        <v>50</v>
      </c>
      <c r="D2" s="1" t="s">
        <v>27</v>
      </c>
      <c r="E2" s="1">
        <v>150</v>
      </c>
      <c r="F2" s="1">
        <v>0</v>
      </c>
      <c r="G2" s="1" t="str">
        <f t="shared" ref="G2:G33" si="1">IF(ISERROR(SEARCH("_oth",C2,1)),MID($C2,1,SEARCH("o",C2,1)-1),MID($C2,1,SEARCH("_oth",C2,1)-1))</f>
        <v>vZA</v>
      </c>
      <c r="H2" s="4">
        <f>IF(
  ISNUMBER(SEARCH("oth", $C2, 1)),
  MID($C2, 1, SEARCH("_", $C2, 1) - 1),
  IF(
    AND($C2 &lt;&gt; "vZ0city_oth", $F2 = 0),
    VALUE(MID($C2, SEARCH("o", $C2, 1) + 1, LEN($C2) - SEARCH("o", $C2, 1))),
    _xlfn.CONCAT(MID($C2, 1, SEARCH("o", $C2, 1) - 1), "m", I2)
  )
)</f>
        <v>3</v>
      </c>
      <c r="I2" s="1" t="str">
        <f t="shared" ref="I2:I33" si="2">MID($C2,LEN($G2)+2,2)</f>
        <v>03</v>
      </c>
      <c r="J2" s="1" t="str">
        <f t="shared" ref="J2:J10" si="3">IF(F2=0,G2,H2)</f>
        <v>vZA</v>
      </c>
      <c r="K2" s="9">
        <f t="shared" ref="K2:K33" si="4">IF(F2=0,H2,1)</f>
        <v>3</v>
      </c>
      <c r="L2" s="9">
        <f t="shared" ref="L2:L33" si="5">IF(LEN(K2)=1,LEN(K2)+1,LEN(K2))</f>
        <v>2</v>
      </c>
    </row>
    <row r="3" spans="1:12" x14ac:dyDescent="0.25">
      <c r="A3" s="1">
        <v>1001</v>
      </c>
      <c r="B3" s="1">
        <f t="shared" si="0"/>
        <v>1001</v>
      </c>
      <c r="C3" s="1" t="s">
        <v>57</v>
      </c>
      <c r="D3" s="1" t="s">
        <v>27</v>
      </c>
      <c r="E3" s="1">
        <v>150</v>
      </c>
      <c r="F3" s="1">
        <v>0</v>
      </c>
      <c r="G3" s="1" t="str">
        <f t="shared" si="1"/>
        <v>vA3</v>
      </c>
      <c r="H3" s="4">
        <f>IF(
  ISNUMBER(SEARCH("oth", $C3, 1)),
  MID($C3, 1, SEARCH("_", $C3, 1) - 1),
  IF(
    AND($C3 &lt;&gt; "vZ0city_oth", $F3 = 0),
    VALUE(MID($C3, SEARCH("o", $C3, 1) + 1, LEN($C3) - SEARCH("o", $C3, 1))),
    _xlfn.CONCAT(MID($C3, 1, SEARCH("o", $C3, 1) - 1), "m", I3)
  )
)</f>
        <v>88</v>
      </c>
      <c r="I3" s="1" t="str">
        <f t="shared" si="2"/>
        <v>88</v>
      </c>
      <c r="J3" s="1" t="str">
        <f t="shared" si="3"/>
        <v>vA3</v>
      </c>
      <c r="K3" s="9">
        <f t="shared" si="4"/>
        <v>88</v>
      </c>
      <c r="L3" s="9">
        <f t="shared" si="5"/>
        <v>2</v>
      </c>
    </row>
    <row r="4" spans="1:12" x14ac:dyDescent="0.25">
      <c r="A4" s="1">
        <v>1002</v>
      </c>
      <c r="B4" s="1">
        <f t="shared" si="0"/>
        <v>1002</v>
      </c>
      <c r="C4" s="1" t="s">
        <v>60</v>
      </c>
      <c r="D4" s="1" t="s">
        <v>27</v>
      </c>
      <c r="E4" s="1">
        <v>150</v>
      </c>
      <c r="F4" s="1">
        <v>0</v>
      </c>
      <c r="G4" s="1" t="str">
        <f t="shared" si="1"/>
        <v>vA5city</v>
      </c>
      <c r="H4" s="4" t="str">
        <f t="shared" ref="H4:H35" si="6">IF(
ISNUMBER(SEARCH("oth", $C4, 1)),
MID($C4, 1, SEARCH("_", $C4, 1) - 1),
IF(
AND($C4 &lt;&gt; "vZ0city_oth", $F4 = 0),
VALUE(MID($C4, SEARCH("o", $C4, 1) + 1, LEN($C4) - SEARCH("o", $C4, 1))),
_xlfn.CONCAT(MID($C4, 1, SEARCH("o", $C4, 1) - 1), "m", I4)
)
)</f>
        <v>vA5city</v>
      </c>
      <c r="I4" s="1" t="str">
        <f t="shared" si="2"/>
        <v>ot</v>
      </c>
      <c r="J4" s="1" t="str">
        <f t="shared" si="3"/>
        <v>vA5city</v>
      </c>
      <c r="K4" s="9" t="str">
        <f t="shared" si="4"/>
        <v>vA5city</v>
      </c>
      <c r="L4" s="9">
        <f t="shared" si="5"/>
        <v>7</v>
      </c>
    </row>
    <row r="5" spans="1:12" x14ac:dyDescent="0.25">
      <c r="A5" s="1">
        <v>1003</v>
      </c>
      <c r="B5" s="1">
        <f t="shared" si="0"/>
        <v>1003</v>
      </c>
      <c r="C5" s="1" t="s">
        <v>63</v>
      </c>
      <c r="D5" s="1" t="s">
        <v>27</v>
      </c>
      <c r="E5" s="1">
        <v>150</v>
      </c>
      <c r="F5" s="1">
        <v>0</v>
      </c>
      <c r="G5" s="1" t="str">
        <f t="shared" si="1"/>
        <v>vA6</v>
      </c>
      <c r="H5" s="4">
        <f t="shared" si="6"/>
        <v>88</v>
      </c>
      <c r="I5" s="1" t="str">
        <f t="shared" si="2"/>
        <v>88</v>
      </c>
      <c r="J5" s="1" t="str">
        <f t="shared" si="3"/>
        <v>vA6</v>
      </c>
      <c r="K5" s="9">
        <f t="shared" si="4"/>
        <v>88</v>
      </c>
      <c r="L5" s="9">
        <f t="shared" si="5"/>
        <v>2</v>
      </c>
    </row>
    <row r="6" spans="1:12" x14ac:dyDescent="0.25">
      <c r="A6" s="1">
        <v>1004</v>
      </c>
      <c r="B6" s="1">
        <f t="shared" si="0"/>
        <v>1004</v>
      </c>
      <c r="C6" s="1" t="s">
        <v>65</v>
      </c>
      <c r="D6" s="1" t="s">
        <v>27</v>
      </c>
      <c r="E6" s="1">
        <v>150</v>
      </c>
      <c r="F6" s="1">
        <v>0</v>
      </c>
      <c r="G6" s="1" t="str">
        <f t="shared" si="1"/>
        <v>vA7</v>
      </c>
      <c r="H6" s="4">
        <f t="shared" si="6"/>
        <v>88</v>
      </c>
      <c r="I6" s="1" t="str">
        <f t="shared" si="2"/>
        <v>88</v>
      </c>
      <c r="J6" s="1" t="str">
        <f t="shared" si="3"/>
        <v>vA7</v>
      </c>
      <c r="K6" s="9">
        <f t="shared" si="4"/>
        <v>88</v>
      </c>
      <c r="L6" s="9">
        <f t="shared" si="5"/>
        <v>2</v>
      </c>
    </row>
    <row r="7" spans="1:12" x14ac:dyDescent="0.25">
      <c r="A7" s="1">
        <v>1005</v>
      </c>
      <c r="B7" s="1">
        <f t="shared" si="0"/>
        <v>1005</v>
      </c>
      <c r="C7" s="1" t="s">
        <v>67</v>
      </c>
      <c r="D7" s="1" t="s">
        <v>27</v>
      </c>
      <c r="E7" s="1">
        <v>150</v>
      </c>
      <c r="F7" s="1">
        <v>0</v>
      </c>
      <c r="G7" s="1" t="str">
        <f t="shared" si="1"/>
        <v>vA8</v>
      </c>
      <c r="H7" s="4">
        <f t="shared" si="6"/>
        <v>88</v>
      </c>
      <c r="I7" s="1" t="str">
        <f t="shared" si="2"/>
        <v>88</v>
      </c>
      <c r="J7" s="1" t="str">
        <f t="shared" si="3"/>
        <v>vA8</v>
      </c>
      <c r="K7" s="9">
        <f t="shared" si="4"/>
        <v>88</v>
      </c>
      <c r="L7" s="9">
        <f t="shared" si="5"/>
        <v>2</v>
      </c>
    </row>
    <row r="8" spans="1:12" x14ac:dyDescent="0.25">
      <c r="A8" s="1">
        <v>1006</v>
      </c>
      <c r="B8" s="1">
        <f t="shared" si="0"/>
        <v>1006</v>
      </c>
      <c r="C8" s="1" t="s">
        <v>69</v>
      </c>
      <c r="D8" s="1" t="s">
        <v>27</v>
      </c>
      <c r="E8" s="1">
        <v>150</v>
      </c>
      <c r="F8" s="1">
        <v>0</v>
      </c>
      <c r="G8" s="1" t="str">
        <f t="shared" si="1"/>
        <v>vA9</v>
      </c>
      <c r="H8" s="4">
        <f t="shared" si="6"/>
        <v>88</v>
      </c>
      <c r="I8" s="1" t="str">
        <f t="shared" si="2"/>
        <v>88</v>
      </c>
      <c r="J8" s="1" t="str">
        <f t="shared" si="3"/>
        <v>vA9</v>
      </c>
      <c r="K8" s="9">
        <f t="shared" si="4"/>
        <v>88</v>
      </c>
      <c r="L8" s="9">
        <f t="shared" si="5"/>
        <v>2</v>
      </c>
    </row>
    <row r="9" spans="1:12" x14ac:dyDescent="0.25">
      <c r="A9" s="1">
        <v>1007</v>
      </c>
      <c r="B9" s="1">
        <f t="shared" si="0"/>
        <v>1007</v>
      </c>
      <c r="C9" s="1" t="s">
        <v>71</v>
      </c>
      <c r="D9" s="1" t="s">
        <v>27</v>
      </c>
      <c r="E9" s="1">
        <v>150</v>
      </c>
      <c r="F9" s="1">
        <v>0</v>
      </c>
      <c r="G9" s="1" t="str">
        <f t="shared" si="1"/>
        <v>v</v>
      </c>
      <c r="H9" s="4" t="e">
        <f t="shared" si="6"/>
        <v>#VALUE!</v>
      </c>
      <c r="I9" s="1" t="str">
        <f t="shared" si="2"/>
        <v>1_</v>
      </c>
      <c r="J9" s="1" t="str">
        <f t="shared" si="3"/>
        <v>v</v>
      </c>
      <c r="K9" s="9" t="e">
        <f t="shared" si="4"/>
        <v>#VALUE!</v>
      </c>
      <c r="L9" s="9" t="e">
        <f t="shared" si="5"/>
        <v>#VALUE!</v>
      </c>
    </row>
    <row r="10" spans="1:12" x14ac:dyDescent="0.25">
      <c r="A10" s="1">
        <v>1008</v>
      </c>
      <c r="B10" s="1">
        <f t="shared" si="0"/>
        <v>1008</v>
      </c>
      <c r="C10" s="1" t="s">
        <v>73</v>
      </c>
      <c r="D10" s="1" t="s">
        <v>27</v>
      </c>
      <c r="E10" s="1">
        <v>150</v>
      </c>
      <c r="F10" s="1">
        <v>0</v>
      </c>
      <c r="G10" s="1" t="str">
        <f t="shared" si="1"/>
        <v>v</v>
      </c>
      <c r="H10" s="4" t="e">
        <f t="shared" si="6"/>
        <v>#VALUE!</v>
      </c>
      <c r="I10" s="1" t="str">
        <f t="shared" si="2"/>
        <v>1o</v>
      </c>
      <c r="J10" s="1" t="str">
        <f t="shared" si="3"/>
        <v>v</v>
      </c>
      <c r="K10" s="9" t="e">
        <f t="shared" si="4"/>
        <v>#VALUE!</v>
      </c>
      <c r="L10" s="9" t="e">
        <f t="shared" si="5"/>
        <v>#VALUE!</v>
      </c>
    </row>
    <row r="11" spans="1:12" x14ac:dyDescent="0.25">
      <c r="A11" s="1">
        <v>1009</v>
      </c>
      <c r="B11" s="1">
        <f t="shared" si="0"/>
        <v>1009</v>
      </c>
      <c r="C11" s="1" t="s">
        <v>75</v>
      </c>
      <c r="D11" s="1" t="s">
        <v>27</v>
      </c>
      <c r="E11" s="1">
        <v>150</v>
      </c>
      <c r="F11" s="1">
        <v>1</v>
      </c>
      <c r="G11" s="1" t="str">
        <f t="shared" si="1"/>
        <v>v</v>
      </c>
      <c r="H11" s="4" t="str">
        <f t="shared" si="6"/>
        <v>vm2o</v>
      </c>
      <c r="I11" s="1" t="str">
        <f t="shared" si="2"/>
        <v>2o</v>
      </c>
      <c r="J11" s="1" t="s">
        <v>930</v>
      </c>
      <c r="K11" s="9">
        <f t="shared" si="4"/>
        <v>1</v>
      </c>
      <c r="L11" s="9">
        <f t="shared" si="5"/>
        <v>2</v>
      </c>
    </row>
    <row r="12" spans="1:12" x14ac:dyDescent="0.25">
      <c r="A12" s="1">
        <v>1010</v>
      </c>
      <c r="B12" s="1">
        <f t="shared" si="0"/>
        <v>1010</v>
      </c>
      <c r="C12" s="1" t="s">
        <v>77</v>
      </c>
      <c r="D12" s="1" t="s">
        <v>27</v>
      </c>
      <c r="E12" s="1">
        <v>150</v>
      </c>
      <c r="F12" s="1">
        <v>0</v>
      </c>
      <c r="G12" s="1" t="str">
        <f t="shared" si="1"/>
        <v>v</v>
      </c>
      <c r="H12" s="4" t="e">
        <f t="shared" si="6"/>
        <v>#VALUE!</v>
      </c>
      <c r="I12" s="1" t="str">
        <f t="shared" si="2"/>
        <v>3o</v>
      </c>
      <c r="J12" s="1" t="str">
        <f t="shared" ref="J12:J20" si="7">IF(F12=0,G12,H12)</f>
        <v>v</v>
      </c>
      <c r="K12" s="9" t="e">
        <f t="shared" si="4"/>
        <v>#VALUE!</v>
      </c>
      <c r="L12" s="9" t="e">
        <f t="shared" si="5"/>
        <v>#VALUE!</v>
      </c>
    </row>
    <row r="13" spans="1:12" x14ac:dyDescent="0.25">
      <c r="A13" s="1">
        <v>1011</v>
      </c>
      <c r="B13" s="1">
        <f t="shared" si="0"/>
        <v>1011</v>
      </c>
      <c r="C13" s="1" t="s">
        <v>102</v>
      </c>
      <c r="D13" s="1" t="s">
        <v>27</v>
      </c>
      <c r="E13" s="1">
        <v>150</v>
      </c>
      <c r="F13" s="1">
        <v>0</v>
      </c>
      <c r="G13" s="1" t="str">
        <f t="shared" si="1"/>
        <v>vK1</v>
      </c>
      <c r="H13" s="4">
        <f t="shared" si="6"/>
        <v>88</v>
      </c>
      <c r="I13" s="1" t="str">
        <f t="shared" si="2"/>
        <v>88</v>
      </c>
      <c r="J13" s="1" t="str">
        <f t="shared" si="7"/>
        <v>vK1</v>
      </c>
      <c r="K13" s="9">
        <f t="shared" si="4"/>
        <v>88</v>
      </c>
      <c r="L13" s="9">
        <f t="shared" si="5"/>
        <v>2</v>
      </c>
    </row>
    <row r="14" spans="1:12" x14ac:dyDescent="0.25">
      <c r="A14" s="1">
        <v>1012</v>
      </c>
      <c r="B14" s="1">
        <f t="shared" si="0"/>
        <v>1012</v>
      </c>
      <c r="C14" s="1" t="s">
        <v>117</v>
      </c>
      <c r="D14" s="1" t="s">
        <v>27</v>
      </c>
      <c r="E14" s="1">
        <v>150</v>
      </c>
      <c r="F14" s="1">
        <v>0</v>
      </c>
      <c r="G14" s="1" t="str">
        <f t="shared" si="1"/>
        <v>vK2</v>
      </c>
      <c r="H14" s="4">
        <f t="shared" si="6"/>
        <v>88</v>
      </c>
      <c r="I14" s="1" t="str">
        <f t="shared" si="2"/>
        <v>88</v>
      </c>
      <c r="J14" s="1" t="str">
        <f t="shared" si="7"/>
        <v>vK2</v>
      </c>
      <c r="K14" s="9">
        <f t="shared" si="4"/>
        <v>88</v>
      </c>
      <c r="L14" s="9">
        <f t="shared" si="5"/>
        <v>2</v>
      </c>
    </row>
    <row r="15" spans="1:12" x14ac:dyDescent="0.25">
      <c r="A15" s="1">
        <v>1013</v>
      </c>
      <c r="B15" s="1">
        <f t="shared" si="0"/>
        <v>1013</v>
      </c>
      <c r="C15" s="1" t="s">
        <v>119</v>
      </c>
      <c r="D15" s="1" t="s">
        <v>27</v>
      </c>
      <c r="E15" s="1">
        <v>150</v>
      </c>
      <c r="F15" s="1">
        <v>0</v>
      </c>
      <c r="G15" s="1" t="str">
        <f t="shared" si="1"/>
        <v>vE17</v>
      </c>
      <c r="H15" s="4">
        <f t="shared" si="6"/>
        <v>88</v>
      </c>
      <c r="I15" s="1" t="str">
        <f t="shared" si="2"/>
        <v>88</v>
      </c>
      <c r="J15" s="1" t="str">
        <f t="shared" si="7"/>
        <v>vE17</v>
      </c>
      <c r="K15" s="9">
        <f t="shared" si="4"/>
        <v>88</v>
      </c>
      <c r="L15" s="9">
        <f t="shared" si="5"/>
        <v>2</v>
      </c>
    </row>
    <row r="16" spans="1:12" x14ac:dyDescent="0.25">
      <c r="A16" s="1">
        <v>1014</v>
      </c>
      <c r="B16" s="1">
        <f t="shared" si="0"/>
        <v>1014</v>
      </c>
      <c r="C16" s="1" t="s">
        <v>142</v>
      </c>
      <c r="D16" s="1" t="s">
        <v>27</v>
      </c>
      <c r="E16" s="1">
        <v>150</v>
      </c>
      <c r="F16" s="1">
        <v>0</v>
      </c>
      <c r="G16" s="1" t="str">
        <f t="shared" si="1"/>
        <v>vKFB3</v>
      </c>
      <c r="H16" s="4">
        <f t="shared" si="6"/>
        <v>88</v>
      </c>
      <c r="I16" s="1" t="str">
        <f t="shared" si="2"/>
        <v>88</v>
      </c>
      <c r="J16" s="1" t="str">
        <f t="shared" si="7"/>
        <v>vKFB3</v>
      </c>
      <c r="K16" s="9">
        <f t="shared" si="4"/>
        <v>88</v>
      </c>
      <c r="L16" s="9">
        <f t="shared" si="5"/>
        <v>2</v>
      </c>
    </row>
    <row r="17" spans="1:12" x14ac:dyDescent="0.25">
      <c r="A17" s="1">
        <v>1015</v>
      </c>
      <c r="B17" s="1">
        <f t="shared" si="0"/>
        <v>1015</v>
      </c>
      <c r="C17" s="1" t="s">
        <v>162</v>
      </c>
      <c r="D17" s="1" t="s">
        <v>27</v>
      </c>
      <c r="E17" s="1">
        <v>150</v>
      </c>
      <c r="F17" s="1">
        <v>0</v>
      </c>
      <c r="G17" s="1" t="str">
        <f t="shared" si="1"/>
        <v>vKFB4</v>
      </c>
      <c r="H17" s="4">
        <f t="shared" si="6"/>
        <v>88</v>
      </c>
      <c r="I17" s="1" t="str">
        <f t="shared" si="2"/>
        <v>88</v>
      </c>
      <c r="J17" s="1" t="str">
        <f t="shared" si="7"/>
        <v>vKFB4</v>
      </c>
      <c r="K17" s="9">
        <f t="shared" si="4"/>
        <v>88</v>
      </c>
      <c r="L17" s="9">
        <f t="shared" si="5"/>
        <v>2</v>
      </c>
    </row>
    <row r="18" spans="1:12" x14ac:dyDescent="0.25">
      <c r="A18" s="1">
        <v>1016</v>
      </c>
      <c r="B18" s="1">
        <f t="shared" si="0"/>
        <v>1016</v>
      </c>
      <c r="C18" s="1" t="s">
        <v>183</v>
      </c>
      <c r="D18" s="1" t="s">
        <v>27</v>
      </c>
      <c r="E18" s="1">
        <v>150</v>
      </c>
      <c r="F18" s="1">
        <v>0</v>
      </c>
      <c r="G18" s="1" t="str">
        <f t="shared" si="1"/>
        <v>vKIG3</v>
      </c>
      <c r="H18" s="4">
        <f t="shared" si="6"/>
        <v>88</v>
      </c>
      <c r="I18" s="1" t="str">
        <f t="shared" si="2"/>
        <v>88</v>
      </c>
      <c r="J18" s="1" t="str">
        <f t="shared" si="7"/>
        <v>vKIG3</v>
      </c>
      <c r="K18" s="9">
        <f t="shared" si="4"/>
        <v>88</v>
      </c>
      <c r="L18" s="9">
        <f t="shared" si="5"/>
        <v>2</v>
      </c>
    </row>
    <row r="19" spans="1:12" x14ac:dyDescent="0.25">
      <c r="A19" s="1">
        <v>1017</v>
      </c>
      <c r="B19" s="1">
        <f t="shared" si="0"/>
        <v>1017</v>
      </c>
      <c r="C19" s="1" t="s">
        <v>199</v>
      </c>
      <c r="D19" s="1" t="s">
        <v>27</v>
      </c>
      <c r="E19" s="1">
        <v>150</v>
      </c>
      <c r="F19" s="1">
        <v>0</v>
      </c>
      <c r="G19" s="1" t="str">
        <f t="shared" si="1"/>
        <v>vKIG4</v>
      </c>
      <c r="H19" s="4">
        <f t="shared" si="6"/>
        <v>88</v>
      </c>
      <c r="I19" s="1" t="str">
        <f t="shared" si="2"/>
        <v>88</v>
      </c>
      <c r="J19" s="1" t="str">
        <f t="shared" si="7"/>
        <v>vKIG4</v>
      </c>
      <c r="K19" s="9">
        <f t="shared" si="4"/>
        <v>88</v>
      </c>
      <c r="L19" s="9">
        <f t="shared" si="5"/>
        <v>2</v>
      </c>
    </row>
    <row r="20" spans="1:12" x14ac:dyDescent="0.25">
      <c r="A20" s="1">
        <v>1018</v>
      </c>
      <c r="B20" s="1">
        <f t="shared" si="0"/>
        <v>1018</v>
      </c>
      <c r="C20" s="1" t="s">
        <v>219</v>
      </c>
      <c r="D20" s="1" t="s">
        <v>27</v>
      </c>
      <c r="E20" s="1">
        <v>150</v>
      </c>
      <c r="F20" s="1">
        <v>0</v>
      </c>
      <c r="G20" s="1" t="str">
        <f t="shared" si="1"/>
        <v>vKTT3</v>
      </c>
      <c r="H20" s="4">
        <f t="shared" si="6"/>
        <v>88</v>
      </c>
      <c r="I20" s="1" t="str">
        <f t="shared" si="2"/>
        <v>88</v>
      </c>
      <c r="J20" s="1" t="str">
        <f t="shared" si="7"/>
        <v>vKTT3</v>
      </c>
      <c r="K20" s="9">
        <f t="shared" si="4"/>
        <v>88</v>
      </c>
      <c r="L20" s="9">
        <f t="shared" si="5"/>
        <v>2</v>
      </c>
    </row>
    <row r="21" spans="1:12" x14ac:dyDescent="0.25">
      <c r="A21" s="1">
        <v>1019</v>
      </c>
      <c r="B21" s="1">
        <f t="shared" si="0"/>
        <v>1019</v>
      </c>
      <c r="C21" s="1" t="s">
        <v>235</v>
      </c>
      <c r="D21" s="1" t="s">
        <v>27</v>
      </c>
      <c r="E21" s="1">
        <v>150</v>
      </c>
      <c r="F21" s="1">
        <v>0</v>
      </c>
      <c r="G21" s="1" t="str">
        <f t="shared" si="1"/>
        <v>vKTT4</v>
      </c>
      <c r="H21" s="4">
        <f t="shared" si="6"/>
        <v>88</v>
      </c>
      <c r="I21" s="1" t="str">
        <f t="shared" si="2"/>
        <v>88</v>
      </c>
      <c r="J21" s="1" t="s">
        <v>931</v>
      </c>
      <c r="K21" s="9">
        <f t="shared" si="4"/>
        <v>88</v>
      </c>
      <c r="L21" s="9">
        <f t="shared" si="5"/>
        <v>2</v>
      </c>
    </row>
    <row r="22" spans="1:12" x14ac:dyDescent="0.25">
      <c r="A22" s="1">
        <v>1020</v>
      </c>
      <c r="B22" s="1">
        <f t="shared" si="0"/>
        <v>1020</v>
      </c>
      <c r="C22" s="1" t="s">
        <v>249</v>
      </c>
      <c r="D22" s="1" t="s">
        <v>27</v>
      </c>
      <c r="E22" s="1">
        <v>150</v>
      </c>
      <c r="F22" s="1">
        <v>0</v>
      </c>
      <c r="G22" s="1" t="str">
        <f t="shared" si="1"/>
        <v>vKTT5</v>
      </c>
      <c r="H22" s="4">
        <f t="shared" si="6"/>
        <v>88</v>
      </c>
      <c r="I22" s="1" t="str">
        <f t="shared" si="2"/>
        <v>88</v>
      </c>
      <c r="J22" s="1" t="s">
        <v>932</v>
      </c>
      <c r="K22" s="9">
        <f t="shared" si="4"/>
        <v>88</v>
      </c>
      <c r="L22" s="9">
        <f t="shared" si="5"/>
        <v>2</v>
      </c>
    </row>
    <row r="23" spans="1:12" x14ac:dyDescent="0.25">
      <c r="A23" s="1">
        <v>1021</v>
      </c>
      <c r="B23" s="1">
        <f t="shared" si="0"/>
        <v>1021</v>
      </c>
      <c r="C23" s="1" t="s">
        <v>263</v>
      </c>
      <c r="D23" s="1" t="s">
        <v>27</v>
      </c>
      <c r="E23" s="1">
        <v>150</v>
      </c>
      <c r="F23" s="1">
        <v>0</v>
      </c>
      <c r="G23" s="1" t="str">
        <f t="shared" si="1"/>
        <v>vK3</v>
      </c>
      <c r="H23" s="4">
        <f t="shared" si="6"/>
        <v>88</v>
      </c>
      <c r="I23" s="1" t="str">
        <f t="shared" si="2"/>
        <v>88</v>
      </c>
      <c r="J23" s="1" t="s">
        <v>933</v>
      </c>
      <c r="K23" s="9">
        <f t="shared" si="4"/>
        <v>88</v>
      </c>
      <c r="L23" s="9">
        <f t="shared" si="5"/>
        <v>2</v>
      </c>
    </row>
    <row r="24" spans="1:12" x14ac:dyDescent="0.25">
      <c r="A24" s="1">
        <v>1022</v>
      </c>
      <c r="B24" s="1">
        <f t="shared" si="0"/>
        <v>1022</v>
      </c>
      <c r="C24" s="1" t="s">
        <v>265</v>
      </c>
      <c r="D24" s="1" t="s">
        <v>27</v>
      </c>
      <c r="E24" s="1">
        <v>150</v>
      </c>
      <c r="F24" s="1">
        <v>0</v>
      </c>
      <c r="G24" s="1" t="str">
        <f t="shared" si="1"/>
        <v>vE18</v>
      </c>
      <c r="H24" s="4">
        <f t="shared" si="6"/>
        <v>88</v>
      </c>
      <c r="I24" s="1" t="str">
        <f t="shared" si="2"/>
        <v>88</v>
      </c>
      <c r="J24" s="1" t="s">
        <v>934</v>
      </c>
      <c r="K24" s="9">
        <f t="shared" si="4"/>
        <v>88</v>
      </c>
      <c r="L24" s="9">
        <f t="shared" si="5"/>
        <v>2</v>
      </c>
    </row>
    <row r="25" spans="1:12" x14ac:dyDescent="0.25">
      <c r="A25" s="1">
        <v>1023</v>
      </c>
      <c r="B25" s="1">
        <f t="shared" si="0"/>
        <v>1023</v>
      </c>
      <c r="C25" s="1" t="s">
        <v>274</v>
      </c>
      <c r="D25" s="1" t="s">
        <v>27</v>
      </c>
      <c r="E25" s="1">
        <v>150</v>
      </c>
      <c r="F25" s="1">
        <v>0</v>
      </c>
      <c r="G25" s="1" t="str">
        <f t="shared" si="1"/>
        <v>vE2</v>
      </c>
      <c r="H25" s="4">
        <f t="shared" si="6"/>
        <v>88</v>
      </c>
      <c r="I25" s="1" t="str">
        <f t="shared" si="2"/>
        <v>88</v>
      </c>
      <c r="J25" s="1" t="str">
        <f t="shared" ref="J25:J58" si="8">IF(F25=0,G25,H25)</f>
        <v>vE2</v>
      </c>
      <c r="K25" s="9">
        <f t="shared" si="4"/>
        <v>88</v>
      </c>
      <c r="L25" s="9">
        <f t="shared" si="5"/>
        <v>2</v>
      </c>
    </row>
    <row r="26" spans="1:12" x14ac:dyDescent="0.25">
      <c r="A26" s="1">
        <v>1024</v>
      </c>
      <c r="B26" s="1">
        <f t="shared" si="0"/>
        <v>1024</v>
      </c>
      <c r="C26" s="1" t="s">
        <v>288</v>
      </c>
      <c r="D26" s="1" t="s">
        <v>27</v>
      </c>
      <c r="E26" s="1">
        <v>6000</v>
      </c>
      <c r="F26" s="1">
        <v>0</v>
      </c>
      <c r="G26" s="1" t="e">
        <f t="shared" si="1"/>
        <v>#VALUE!</v>
      </c>
      <c r="H26" s="4" t="e">
        <f t="shared" si="6"/>
        <v>#VALUE!</v>
      </c>
      <c r="I26" s="1" t="e">
        <f t="shared" si="2"/>
        <v>#VALUE!</v>
      </c>
      <c r="J26" s="1" t="e">
        <f t="shared" si="8"/>
        <v>#VALUE!</v>
      </c>
      <c r="K26" s="9" t="e">
        <f t="shared" si="4"/>
        <v>#VALUE!</v>
      </c>
      <c r="L26" s="9" t="e">
        <f t="shared" si="5"/>
        <v>#VALUE!</v>
      </c>
    </row>
    <row r="27" spans="1:12" x14ac:dyDescent="0.25">
      <c r="A27" s="1">
        <v>1025</v>
      </c>
      <c r="B27" s="1">
        <f t="shared" si="0"/>
        <v>1025</v>
      </c>
      <c r="C27" s="1" t="s">
        <v>297</v>
      </c>
      <c r="D27" s="1" t="s">
        <v>27</v>
      </c>
      <c r="E27" s="1">
        <v>150</v>
      </c>
      <c r="F27" s="1">
        <v>0</v>
      </c>
      <c r="G27" s="1" t="str">
        <f t="shared" si="1"/>
        <v>vE13</v>
      </c>
      <c r="H27" s="4">
        <f t="shared" si="6"/>
        <v>88</v>
      </c>
      <c r="I27" s="1" t="str">
        <f t="shared" si="2"/>
        <v>88</v>
      </c>
      <c r="J27" s="1" t="str">
        <f t="shared" si="8"/>
        <v>vE13</v>
      </c>
      <c r="K27" s="9">
        <f t="shared" si="4"/>
        <v>88</v>
      </c>
      <c r="L27" s="9">
        <f t="shared" si="5"/>
        <v>2</v>
      </c>
    </row>
    <row r="28" spans="1:12" x14ac:dyDescent="0.25">
      <c r="A28" s="1">
        <v>1026</v>
      </c>
      <c r="B28" s="1">
        <f t="shared" si="0"/>
        <v>1026</v>
      </c>
      <c r="C28" s="1" t="s">
        <v>313</v>
      </c>
      <c r="D28" s="1" t="s">
        <v>27</v>
      </c>
      <c r="E28" s="1">
        <v>150</v>
      </c>
      <c r="F28" s="1">
        <v>0</v>
      </c>
      <c r="G28" s="1" t="str">
        <f t="shared" si="1"/>
        <v>vG7</v>
      </c>
      <c r="H28" s="4">
        <f t="shared" si="6"/>
        <v>88</v>
      </c>
      <c r="I28" s="1" t="str">
        <f t="shared" si="2"/>
        <v>88</v>
      </c>
      <c r="J28" s="1" t="str">
        <f t="shared" si="8"/>
        <v>vG7</v>
      </c>
      <c r="K28" s="9">
        <f t="shared" si="4"/>
        <v>88</v>
      </c>
      <c r="L28" s="9">
        <f t="shared" si="5"/>
        <v>2</v>
      </c>
    </row>
    <row r="29" spans="1:12" x14ac:dyDescent="0.25">
      <c r="A29" s="1">
        <v>1027</v>
      </c>
      <c r="B29" s="1">
        <f t="shared" si="0"/>
        <v>1027</v>
      </c>
      <c r="C29" s="1" t="s">
        <v>332</v>
      </c>
      <c r="D29" s="1" t="s">
        <v>27</v>
      </c>
      <c r="E29" s="1">
        <v>150</v>
      </c>
      <c r="F29" s="1">
        <v>0</v>
      </c>
      <c r="G29" s="1" t="str">
        <f t="shared" si="1"/>
        <v>vG8</v>
      </c>
      <c r="H29" s="4">
        <f t="shared" si="6"/>
        <v>88</v>
      </c>
      <c r="I29" s="1" t="str">
        <f t="shared" si="2"/>
        <v>88</v>
      </c>
      <c r="J29" s="1" t="str">
        <f t="shared" si="8"/>
        <v>vG8</v>
      </c>
      <c r="K29" s="9">
        <f t="shared" si="4"/>
        <v>88</v>
      </c>
      <c r="L29" s="9">
        <f t="shared" si="5"/>
        <v>2</v>
      </c>
    </row>
    <row r="30" spans="1:12" x14ac:dyDescent="0.25">
      <c r="A30" s="1">
        <v>1028</v>
      </c>
      <c r="B30" s="1">
        <f t="shared" si="0"/>
        <v>1028</v>
      </c>
      <c r="C30" s="1" t="s">
        <v>348</v>
      </c>
      <c r="D30" s="1" t="s">
        <v>27</v>
      </c>
      <c r="E30" s="1">
        <v>150</v>
      </c>
      <c r="F30" s="1">
        <v>1</v>
      </c>
      <c r="G30" s="1" t="str">
        <f t="shared" si="1"/>
        <v>vG9</v>
      </c>
      <c r="H30" s="4" t="str">
        <f t="shared" si="6"/>
        <v>vG9m88</v>
      </c>
      <c r="I30" s="1" t="str">
        <f t="shared" si="2"/>
        <v>88</v>
      </c>
      <c r="J30" s="1" t="str">
        <f t="shared" si="8"/>
        <v>vG9m88</v>
      </c>
      <c r="K30" s="9">
        <f t="shared" si="4"/>
        <v>1</v>
      </c>
      <c r="L30" s="9">
        <f t="shared" si="5"/>
        <v>2</v>
      </c>
    </row>
    <row r="31" spans="1:12" x14ac:dyDescent="0.25">
      <c r="A31" s="1">
        <v>1029</v>
      </c>
      <c r="B31" s="1">
        <f t="shared" si="0"/>
        <v>1029</v>
      </c>
      <c r="C31" s="1" t="s">
        <v>370</v>
      </c>
      <c r="D31" s="1" t="s">
        <v>27</v>
      </c>
      <c r="E31" s="1">
        <v>150</v>
      </c>
      <c r="F31" s="1">
        <v>2</v>
      </c>
      <c r="G31" s="1" t="str">
        <f t="shared" si="1"/>
        <v>vG10</v>
      </c>
      <c r="H31" s="4" t="str">
        <f t="shared" si="6"/>
        <v>vG10m88</v>
      </c>
      <c r="I31" s="1" t="str">
        <f t="shared" si="2"/>
        <v>88</v>
      </c>
      <c r="J31" s="1" t="str">
        <f t="shared" si="8"/>
        <v>vG10m88</v>
      </c>
      <c r="K31" s="9">
        <f t="shared" si="4"/>
        <v>1</v>
      </c>
      <c r="L31" s="9">
        <f t="shared" si="5"/>
        <v>2</v>
      </c>
    </row>
    <row r="32" spans="1:12" x14ac:dyDescent="0.25">
      <c r="A32" s="1">
        <v>1030</v>
      </c>
      <c r="B32" s="1">
        <f t="shared" si="0"/>
        <v>1030</v>
      </c>
      <c r="C32" s="1" t="s">
        <v>378</v>
      </c>
      <c r="D32" s="1" t="s">
        <v>27</v>
      </c>
      <c r="E32" s="1">
        <v>150</v>
      </c>
      <c r="F32" s="1">
        <v>3</v>
      </c>
      <c r="G32" s="1" t="str">
        <f t="shared" si="1"/>
        <v>vG11</v>
      </c>
      <c r="H32" s="4" t="str">
        <f t="shared" si="6"/>
        <v>vG11m88</v>
      </c>
      <c r="I32" s="1" t="str">
        <f t="shared" si="2"/>
        <v>88</v>
      </c>
      <c r="J32" s="1" t="str">
        <f t="shared" si="8"/>
        <v>vG11m88</v>
      </c>
      <c r="K32" s="9">
        <f t="shared" si="4"/>
        <v>1</v>
      </c>
      <c r="L32" s="9">
        <f t="shared" si="5"/>
        <v>2</v>
      </c>
    </row>
    <row r="33" spans="1:12" x14ac:dyDescent="0.25">
      <c r="A33" s="1">
        <v>1031</v>
      </c>
      <c r="B33" s="1">
        <f t="shared" si="0"/>
        <v>1031</v>
      </c>
      <c r="C33" s="1" t="s">
        <v>443</v>
      </c>
      <c r="D33" s="1" t="s">
        <v>27</v>
      </c>
      <c r="E33" s="1">
        <v>150</v>
      </c>
      <c r="F33" s="1">
        <v>4</v>
      </c>
      <c r="G33" s="1" t="str">
        <f t="shared" si="1"/>
        <v>vB7a</v>
      </c>
      <c r="H33" s="4" t="str">
        <f t="shared" si="6"/>
        <v>vB7am88</v>
      </c>
      <c r="I33" s="1" t="str">
        <f t="shared" si="2"/>
        <v>88</v>
      </c>
      <c r="J33" s="1" t="str">
        <f t="shared" si="8"/>
        <v>vB7am88</v>
      </c>
      <c r="K33" s="9">
        <f t="shared" si="4"/>
        <v>1</v>
      </c>
      <c r="L33" s="9">
        <f t="shared" si="5"/>
        <v>2</v>
      </c>
    </row>
    <row r="34" spans="1:12" x14ac:dyDescent="0.25">
      <c r="A34" s="1">
        <v>1032</v>
      </c>
      <c r="B34" s="1">
        <f t="shared" ref="B34:B65" si="9">A34</f>
        <v>1032</v>
      </c>
      <c r="C34" s="1" t="s">
        <v>445</v>
      </c>
      <c r="D34" s="1" t="s">
        <v>27</v>
      </c>
      <c r="E34" s="1">
        <v>150</v>
      </c>
      <c r="F34" s="1">
        <v>5</v>
      </c>
      <c r="G34" s="1" t="str">
        <f t="shared" ref="G34:G58" si="10">IF(ISERROR(SEARCH("_oth",C34,1)),MID($C34,1,SEARCH("o",C34,1)-1),MID($C34,1,SEARCH("_oth",C34,1)-1))</f>
        <v>vB7</v>
      </c>
      <c r="H34" s="4" t="str">
        <f t="shared" si="6"/>
        <v>vB7m88</v>
      </c>
      <c r="I34" s="1" t="str">
        <f t="shared" ref="I34:I58" si="11">MID($C34,LEN($G34)+2,2)</f>
        <v>88</v>
      </c>
      <c r="J34" s="1" t="str">
        <f t="shared" si="8"/>
        <v>vB7m88</v>
      </c>
      <c r="K34" s="9">
        <f t="shared" ref="K34:K58" si="12">IF(F34=0,H34,1)</f>
        <v>1</v>
      </c>
      <c r="L34" s="9">
        <f t="shared" ref="L34:L65" si="13">IF(LEN(K34)=1,LEN(K34)+1,LEN(K34))</f>
        <v>2</v>
      </c>
    </row>
    <row r="35" spans="1:12" x14ac:dyDescent="0.25">
      <c r="A35" s="1">
        <v>1033</v>
      </c>
      <c r="B35" s="1">
        <f t="shared" si="9"/>
        <v>1033</v>
      </c>
      <c r="C35" s="1" t="s">
        <v>457</v>
      </c>
      <c r="D35" s="1" t="s">
        <v>27</v>
      </c>
      <c r="E35" s="1">
        <v>150</v>
      </c>
      <c r="F35" s="1">
        <v>6</v>
      </c>
      <c r="G35" s="1" t="str">
        <f t="shared" si="10"/>
        <v>vB8</v>
      </c>
      <c r="H35" s="4" t="str">
        <f t="shared" si="6"/>
        <v>vB8m88</v>
      </c>
      <c r="I35" s="1" t="str">
        <f t="shared" si="11"/>
        <v>88</v>
      </c>
      <c r="J35" s="1" t="str">
        <f t="shared" si="8"/>
        <v>vB8m88</v>
      </c>
      <c r="K35" s="9">
        <f t="shared" si="12"/>
        <v>1</v>
      </c>
      <c r="L35" s="9">
        <f t="shared" si="13"/>
        <v>2</v>
      </c>
    </row>
    <row r="36" spans="1:12" x14ac:dyDescent="0.25">
      <c r="A36" s="1">
        <v>1034</v>
      </c>
      <c r="B36" s="1">
        <f t="shared" si="9"/>
        <v>1034</v>
      </c>
      <c r="C36" s="1" t="s">
        <v>498</v>
      </c>
      <c r="D36" s="1" t="s">
        <v>27</v>
      </c>
      <c r="E36" s="1">
        <v>150</v>
      </c>
      <c r="F36" s="1">
        <v>7</v>
      </c>
      <c r="G36" s="1" t="str">
        <f t="shared" si="10"/>
        <v>vG3</v>
      </c>
      <c r="H36" s="4" t="str">
        <f t="shared" ref="H36:H67" si="14">IF(
ISNUMBER(SEARCH("oth", $C36, 1)),
MID($C36, 1, SEARCH("_", $C36, 1) - 1),
IF(
AND($C36 &lt;&gt; "vZ0city_oth", $F36 = 0),
VALUE(MID($C36, SEARCH("o", $C36, 1) + 1, LEN($C36) - SEARCH("o", $C36, 1))),
_xlfn.CONCAT(MID($C36, 1, SEARCH("o", $C36, 1) - 1), "m", I36)
)
)</f>
        <v>vG3m88</v>
      </c>
      <c r="I36" s="1" t="str">
        <f t="shared" si="11"/>
        <v>88</v>
      </c>
      <c r="J36" s="1" t="str">
        <f t="shared" si="8"/>
        <v>vG3m88</v>
      </c>
      <c r="K36" s="9">
        <f t="shared" si="12"/>
        <v>1</v>
      </c>
      <c r="L36" s="9">
        <f t="shared" si="13"/>
        <v>2</v>
      </c>
    </row>
    <row r="37" spans="1:12" x14ac:dyDescent="0.25">
      <c r="A37" s="1">
        <v>1035</v>
      </c>
      <c r="B37" s="1">
        <f t="shared" si="9"/>
        <v>1035</v>
      </c>
      <c r="C37" s="1" t="s">
        <v>513</v>
      </c>
      <c r="D37" s="1" t="s">
        <v>27</v>
      </c>
      <c r="E37" s="1">
        <v>150</v>
      </c>
      <c r="F37" s="1">
        <v>8</v>
      </c>
      <c r="G37" s="1" t="str">
        <f t="shared" si="10"/>
        <v>vF5</v>
      </c>
      <c r="H37" s="4" t="str">
        <f t="shared" si="14"/>
        <v>vF5m88</v>
      </c>
      <c r="I37" s="1" t="str">
        <f t="shared" si="11"/>
        <v>88</v>
      </c>
      <c r="J37" s="1" t="str">
        <f t="shared" si="8"/>
        <v>vF5m88</v>
      </c>
      <c r="K37" s="9">
        <f t="shared" si="12"/>
        <v>1</v>
      </c>
      <c r="L37" s="9">
        <f t="shared" si="13"/>
        <v>2</v>
      </c>
    </row>
    <row r="38" spans="1:12" x14ac:dyDescent="0.25">
      <c r="A38" s="1">
        <v>1036</v>
      </c>
      <c r="B38" s="1">
        <f t="shared" si="9"/>
        <v>1036</v>
      </c>
      <c r="C38" s="1" t="s">
        <v>528</v>
      </c>
      <c r="D38" s="1" t="s">
        <v>27</v>
      </c>
      <c r="E38" s="1">
        <v>150</v>
      </c>
      <c r="F38" s="1">
        <v>9</v>
      </c>
      <c r="G38" s="1" t="str">
        <f t="shared" si="10"/>
        <v>vC3</v>
      </c>
      <c r="H38" s="4" t="str">
        <f t="shared" si="14"/>
        <v>vC3m88</v>
      </c>
      <c r="I38" s="1" t="str">
        <f t="shared" si="11"/>
        <v>88</v>
      </c>
      <c r="J38" s="1" t="str">
        <f t="shared" si="8"/>
        <v>vC3m88</v>
      </c>
      <c r="K38" s="9">
        <f t="shared" si="12"/>
        <v>1</v>
      </c>
      <c r="L38" s="9">
        <f t="shared" si="13"/>
        <v>2</v>
      </c>
    </row>
    <row r="39" spans="1:12" x14ac:dyDescent="0.25">
      <c r="A39" s="1">
        <v>1037</v>
      </c>
      <c r="B39" s="1">
        <f t="shared" si="9"/>
        <v>1037</v>
      </c>
      <c r="C39" s="1" t="s">
        <v>547</v>
      </c>
      <c r="D39" s="1" t="s">
        <v>27</v>
      </c>
      <c r="E39" s="1">
        <v>150</v>
      </c>
      <c r="F39" s="1">
        <v>10</v>
      </c>
      <c r="G39" s="1" t="str">
        <f t="shared" si="10"/>
        <v>vJB1</v>
      </c>
      <c r="H39" s="4" t="str">
        <f t="shared" si="14"/>
        <v>vJB1m88</v>
      </c>
      <c r="I39" s="1" t="str">
        <f t="shared" si="11"/>
        <v>88</v>
      </c>
      <c r="J39" s="1" t="str">
        <f t="shared" si="8"/>
        <v>vJB1m88</v>
      </c>
      <c r="K39" s="9">
        <f t="shared" si="12"/>
        <v>1</v>
      </c>
      <c r="L39" s="9">
        <f t="shared" si="13"/>
        <v>2</v>
      </c>
    </row>
    <row r="40" spans="1:12" x14ac:dyDescent="0.25">
      <c r="A40" s="1">
        <v>1038</v>
      </c>
      <c r="B40" s="1">
        <f t="shared" si="9"/>
        <v>1038</v>
      </c>
      <c r="C40" s="1" t="s">
        <v>557</v>
      </c>
      <c r="D40" s="1" t="s">
        <v>27</v>
      </c>
      <c r="E40" s="1">
        <v>150</v>
      </c>
      <c r="F40" s="1">
        <v>11</v>
      </c>
      <c r="G40" s="1" t="str">
        <f t="shared" si="10"/>
        <v>vJB2</v>
      </c>
      <c r="H40" s="4" t="str">
        <f t="shared" si="14"/>
        <v>vJB2m88</v>
      </c>
      <c r="I40" s="1" t="str">
        <f t="shared" si="11"/>
        <v>88</v>
      </c>
      <c r="J40" s="1" t="str">
        <f t="shared" si="8"/>
        <v>vJB2m88</v>
      </c>
      <c r="K40" s="9">
        <f t="shared" si="12"/>
        <v>1</v>
      </c>
      <c r="L40" s="9">
        <f t="shared" si="13"/>
        <v>2</v>
      </c>
    </row>
    <row r="41" spans="1:12" x14ac:dyDescent="0.25">
      <c r="A41" s="1">
        <v>1039</v>
      </c>
      <c r="B41" s="1">
        <f t="shared" si="9"/>
        <v>1039</v>
      </c>
      <c r="C41" s="1" t="s">
        <v>592</v>
      </c>
      <c r="D41" s="1" t="s">
        <v>27</v>
      </c>
      <c r="E41" s="1">
        <v>150</v>
      </c>
      <c r="F41" s="1">
        <v>12</v>
      </c>
      <c r="G41" s="1" t="str">
        <f t="shared" si="10"/>
        <v>vM2</v>
      </c>
      <c r="H41" s="4" t="str">
        <f t="shared" si="14"/>
        <v>vM2m88</v>
      </c>
      <c r="I41" s="1" t="str">
        <f t="shared" si="11"/>
        <v>88</v>
      </c>
      <c r="J41" s="1" t="str">
        <f t="shared" si="8"/>
        <v>vM2m88</v>
      </c>
      <c r="K41" s="9">
        <f t="shared" si="12"/>
        <v>1</v>
      </c>
      <c r="L41" s="9">
        <f t="shared" si="13"/>
        <v>2</v>
      </c>
    </row>
    <row r="42" spans="1:12" x14ac:dyDescent="0.25">
      <c r="A42" s="1">
        <v>1040</v>
      </c>
      <c r="B42" s="1">
        <f t="shared" si="9"/>
        <v>1040</v>
      </c>
      <c r="C42" s="1" t="s">
        <v>607</v>
      </c>
      <c r="D42" s="1" t="s">
        <v>27</v>
      </c>
      <c r="E42" s="1">
        <v>150</v>
      </c>
      <c r="F42" s="1">
        <v>13</v>
      </c>
      <c r="G42" s="1" t="str">
        <f t="shared" si="10"/>
        <v>vM3</v>
      </c>
      <c r="H42" s="4" t="str">
        <f t="shared" si="14"/>
        <v>vM3m88</v>
      </c>
      <c r="I42" s="1" t="str">
        <f t="shared" si="11"/>
        <v>88</v>
      </c>
      <c r="J42" s="1" t="str">
        <f t="shared" si="8"/>
        <v>vM3m88</v>
      </c>
      <c r="K42" s="9">
        <f t="shared" si="12"/>
        <v>1</v>
      </c>
      <c r="L42" s="9">
        <f t="shared" si="13"/>
        <v>2</v>
      </c>
    </row>
    <row r="43" spans="1:12" x14ac:dyDescent="0.25">
      <c r="A43" s="1">
        <v>1041</v>
      </c>
      <c r="B43" s="1">
        <f t="shared" si="9"/>
        <v>1041</v>
      </c>
      <c r="C43" s="1" t="s">
        <v>679</v>
      </c>
      <c r="D43" s="1" t="s">
        <v>27</v>
      </c>
      <c r="E43" s="1">
        <v>150</v>
      </c>
      <c r="F43" s="1">
        <v>14</v>
      </c>
      <c r="G43" s="1" t="str">
        <f t="shared" si="10"/>
        <v>vQ20</v>
      </c>
      <c r="H43" s="4" t="str">
        <f t="shared" si="14"/>
        <v>vQ20m88</v>
      </c>
      <c r="I43" s="1" t="str">
        <f t="shared" si="11"/>
        <v>88</v>
      </c>
      <c r="J43" s="1" t="str">
        <f t="shared" si="8"/>
        <v>vQ20m88</v>
      </c>
      <c r="K43" s="9">
        <f t="shared" si="12"/>
        <v>1</v>
      </c>
      <c r="L43" s="9">
        <f t="shared" si="13"/>
        <v>2</v>
      </c>
    </row>
    <row r="44" spans="1:12" x14ac:dyDescent="0.25">
      <c r="A44" s="1">
        <v>1042</v>
      </c>
      <c r="B44" s="1">
        <f t="shared" si="9"/>
        <v>1042</v>
      </c>
      <c r="C44" s="1" t="s">
        <v>717</v>
      </c>
      <c r="D44" s="1" t="s">
        <v>27</v>
      </c>
      <c r="E44" s="1">
        <v>150</v>
      </c>
      <c r="F44" s="1">
        <v>15</v>
      </c>
      <c r="G44" s="1" t="str">
        <f t="shared" si="10"/>
        <v>vQ25</v>
      </c>
      <c r="H44" s="4" t="str">
        <f t="shared" si="14"/>
        <v>vQ25m88</v>
      </c>
      <c r="I44" s="1" t="str">
        <f t="shared" si="11"/>
        <v>88</v>
      </c>
      <c r="J44" s="1" t="str">
        <f t="shared" si="8"/>
        <v>vQ25m88</v>
      </c>
      <c r="K44" s="9">
        <f t="shared" si="12"/>
        <v>1</v>
      </c>
      <c r="L44" s="9">
        <f t="shared" si="13"/>
        <v>2</v>
      </c>
    </row>
    <row r="45" spans="1:12" x14ac:dyDescent="0.25">
      <c r="A45" s="1">
        <v>1043</v>
      </c>
      <c r="B45" s="1">
        <f t="shared" si="9"/>
        <v>1043</v>
      </c>
      <c r="C45" s="1" t="s">
        <v>762</v>
      </c>
      <c r="D45" s="1" t="s">
        <v>27</v>
      </c>
      <c r="E45" s="1">
        <v>150</v>
      </c>
      <c r="F45" s="1">
        <v>16</v>
      </c>
      <c r="G45" s="1" t="str">
        <f t="shared" si="10"/>
        <v>vQ22</v>
      </c>
      <c r="H45" s="4" t="str">
        <f t="shared" si="14"/>
        <v>vQ22m88</v>
      </c>
      <c r="I45" s="1" t="str">
        <f t="shared" si="11"/>
        <v>88</v>
      </c>
      <c r="J45" s="1" t="str">
        <f t="shared" si="8"/>
        <v>vQ22m88</v>
      </c>
      <c r="K45" s="9">
        <f t="shared" si="12"/>
        <v>1</v>
      </c>
      <c r="L45" s="9">
        <f t="shared" si="13"/>
        <v>2</v>
      </c>
    </row>
    <row r="46" spans="1:12" x14ac:dyDescent="0.25">
      <c r="A46" s="1">
        <v>1044</v>
      </c>
      <c r="B46" s="1">
        <f t="shared" si="9"/>
        <v>1044</v>
      </c>
      <c r="C46" s="1" t="s">
        <v>791</v>
      </c>
      <c r="D46" s="1" t="s">
        <v>27</v>
      </c>
      <c r="E46" s="1">
        <v>150</v>
      </c>
      <c r="F46" s="1">
        <v>17</v>
      </c>
      <c r="G46" s="1" t="str">
        <f t="shared" si="10"/>
        <v>vQ23</v>
      </c>
      <c r="H46" s="4" t="str">
        <f t="shared" si="14"/>
        <v>vQ23m88</v>
      </c>
      <c r="I46" s="1" t="str">
        <f t="shared" si="11"/>
        <v>88</v>
      </c>
      <c r="J46" s="1" t="str">
        <f t="shared" si="8"/>
        <v>vQ23m88</v>
      </c>
      <c r="K46" s="9">
        <f t="shared" si="12"/>
        <v>1</v>
      </c>
      <c r="L46" s="9">
        <f t="shared" si="13"/>
        <v>2</v>
      </c>
    </row>
    <row r="47" spans="1:12" x14ac:dyDescent="0.25">
      <c r="A47" s="1">
        <v>1045</v>
      </c>
      <c r="B47" s="1">
        <f t="shared" si="9"/>
        <v>1045</v>
      </c>
      <c r="C47" s="1" t="s">
        <v>825</v>
      </c>
      <c r="D47" s="1" t="s">
        <v>27</v>
      </c>
      <c r="E47" s="1">
        <v>150</v>
      </c>
      <c r="F47" s="1">
        <v>18</v>
      </c>
      <c r="G47" s="1" t="str">
        <f t="shared" si="10"/>
        <v>vQ26</v>
      </c>
      <c r="H47" s="4" t="str">
        <f t="shared" si="14"/>
        <v>vQ26m88</v>
      </c>
      <c r="I47" s="1" t="str">
        <f t="shared" si="11"/>
        <v>88</v>
      </c>
      <c r="J47" s="1" t="str">
        <f t="shared" si="8"/>
        <v>vQ26m88</v>
      </c>
      <c r="K47" s="9">
        <f t="shared" si="12"/>
        <v>1</v>
      </c>
      <c r="L47" s="9">
        <f t="shared" si="13"/>
        <v>2</v>
      </c>
    </row>
    <row r="48" spans="1:12" x14ac:dyDescent="0.25">
      <c r="A48" s="1">
        <v>1046</v>
      </c>
      <c r="B48" s="1">
        <f t="shared" si="9"/>
        <v>1046</v>
      </c>
      <c r="C48" s="1" t="s">
        <v>834</v>
      </c>
      <c r="D48" s="1" t="s">
        <v>27</v>
      </c>
      <c r="E48" s="1">
        <v>150</v>
      </c>
      <c r="F48" s="1">
        <v>19</v>
      </c>
      <c r="G48" s="1" t="str">
        <f t="shared" si="10"/>
        <v>vQ27</v>
      </c>
      <c r="H48" s="4" t="str">
        <f t="shared" si="14"/>
        <v>vQ27m88</v>
      </c>
      <c r="I48" s="1" t="str">
        <f t="shared" si="11"/>
        <v>88</v>
      </c>
      <c r="J48" s="1" t="str">
        <f t="shared" si="8"/>
        <v>vQ27m88</v>
      </c>
      <c r="K48" s="9">
        <f t="shared" si="12"/>
        <v>1</v>
      </c>
      <c r="L48" s="9">
        <f t="shared" si="13"/>
        <v>2</v>
      </c>
    </row>
    <row r="49" spans="1:12" x14ac:dyDescent="0.25">
      <c r="A49" s="1">
        <v>1047</v>
      </c>
      <c r="B49" s="1">
        <f t="shared" si="9"/>
        <v>1047</v>
      </c>
      <c r="C49" s="1" t="s">
        <v>879</v>
      </c>
      <c r="D49" s="1" t="s">
        <v>27</v>
      </c>
      <c r="E49" s="1">
        <v>150</v>
      </c>
      <c r="F49" s="1">
        <v>20</v>
      </c>
      <c r="G49" s="1" t="str">
        <f t="shared" si="10"/>
        <v>vQ44</v>
      </c>
      <c r="H49" s="4" t="str">
        <f t="shared" si="14"/>
        <v>vQ44m88</v>
      </c>
      <c r="I49" s="1" t="str">
        <f t="shared" si="11"/>
        <v>88</v>
      </c>
      <c r="J49" s="1" t="str">
        <f t="shared" si="8"/>
        <v>vQ44m88</v>
      </c>
      <c r="K49" s="9">
        <f t="shared" si="12"/>
        <v>1</v>
      </c>
      <c r="L49" s="9">
        <f t="shared" si="13"/>
        <v>2</v>
      </c>
    </row>
    <row r="50" spans="1:12" x14ac:dyDescent="0.25">
      <c r="A50" s="1">
        <v>1048</v>
      </c>
      <c r="B50" s="1">
        <f t="shared" si="9"/>
        <v>1048</v>
      </c>
      <c r="C50" s="1" t="s">
        <v>881</v>
      </c>
      <c r="D50" s="1" t="s">
        <v>27</v>
      </c>
      <c r="E50" s="1">
        <v>150</v>
      </c>
      <c r="F50" s="1">
        <v>21</v>
      </c>
      <c r="G50" s="1" t="str">
        <f t="shared" si="10"/>
        <v>vQ45</v>
      </c>
      <c r="H50" s="4" t="str">
        <f t="shared" si="14"/>
        <v>vQ45m88</v>
      </c>
      <c r="I50" s="1" t="str">
        <f t="shared" si="11"/>
        <v>88</v>
      </c>
      <c r="J50" s="1" t="str">
        <f t="shared" si="8"/>
        <v>vQ45m88</v>
      </c>
      <c r="K50" s="9">
        <f t="shared" si="12"/>
        <v>1</v>
      </c>
      <c r="L50" s="9">
        <f t="shared" si="13"/>
        <v>2</v>
      </c>
    </row>
    <row r="51" spans="1:12" x14ac:dyDescent="0.25">
      <c r="A51" s="1">
        <v>1049</v>
      </c>
      <c r="B51" s="1">
        <f t="shared" si="9"/>
        <v>1049</v>
      </c>
      <c r="C51" s="1" t="s">
        <v>888</v>
      </c>
      <c r="D51" s="1" t="s">
        <v>27</v>
      </c>
      <c r="E51" s="1">
        <v>150</v>
      </c>
      <c r="F51" s="1">
        <v>22</v>
      </c>
      <c r="G51" s="1" t="str">
        <f t="shared" si="10"/>
        <v>vQ51</v>
      </c>
      <c r="H51" s="4" t="str">
        <f t="shared" si="14"/>
        <v>vQ51m88</v>
      </c>
      <c r="I51" s="1" t="str">
        <f t="shared" si="11"/>
        <v>88</v>
      </c>
      <c r="J51" s="1" t="str">
        <f t="shared" si="8"/>
        <v>vQ51m88</v>
      </c>
      <c r="K51" s="9">
        <f t="shared" si="12"/>
        <v>1</v>
      </c>
      <c r="L51" s="9">
        <f t="shared" si="13"/>
        <v>2</v>
      </c>
    </row>
    <row r="52" spans="1:12" x14ac:dyDescent="0.25">
      <c r="A52" s="1">
        <v>1050</v>
      </c>
      <c r="B52" s="1">
        <f t="shared" si="9"/>
        <v>1050</v>
      </c>
      <c r="C52" s="1" t="s">
        <v>891</v>
      </c>
      <c r="D52" s="1" t="s">
        <v>27</v>
      </c>
      <c r="E52" s="1">
        <v>150</v>
      </c>
      <c r="F52" s="1">
        <v>23</v>
      </c>
      <c r="G52" s="1" t="str">
        <f t="shared" si="10"/>
        <v>vQ53</v>
      </c>
      <c r="H52" s="4" t="str">
        <f t="shared" si="14"/>
        <v>vQ53m88</v>
      </c>
      <c r="I52" s="1" t="str">
        <f t="shared" si="11"/>
        <v>88</v>
      </c>
      <c r="J52" s="1" t="str">
        <f t="shared" si="8"/>
        <v>vQ53m88</v>
      </c>
      <c r="K52" s="9">
        <f t="shared" si="12"/>
        <v>1</v>
      </c>
      <c r="L52" s="9">
        <f t="shared" si="13"/>
        <v>2</v>
      </c>
    </row>
    <row r="53" spans="1:12" x14ac:dyDescent="0.25">
      <c r="A53" s="1">
        <v>1051</v>
      </c>
      <c r="B53" s="1">
        <f t="shared" si="9"/>
        <v>1051</v>
      </c>
      <c r="C53" s="1" t="s">
        <v>894</v>
      </c>
      <c r="D53" s="1" t="s">
        <v>27</v>
      </c>
      <c r="E53" s="1">
        <v>150</v>
      </c>
      <c r="F53" s="1">
        <v>24</v>
      </c>
      <c r="G53" s="1" t="str">
        <f t="shared" si="10"/>
        <v>vQ54</v>
      </c>
      <c r="H53" s="4" t="str">
        <f t="shared" si="14"/>
        <v>vQ54m88</v>
      </c>
      <c r="I53" s="1" t="str">
        <f t="shared" si="11"/>
        <v>88</v>
      </c>
      <c r="J53" s="1" t="str">
        <f t="shared" si="8"/>
        <v>vQ54m88</v>
      </c>
      <c r="K53" s="9">
        <f t="shared" si="12"/>
        <v>1</v>
      </c>
      <c r="L53" s="9">
        <f t="shared" si="13"/>
        <v>2</v>
      </c>
    </row>
    <row r="54" spans="1:12" x14ac:dyDescent="0.25">
      <c r="A54" s="1">
        <v>1052</v>
      </c>
      <c r="B54" s="1">
        <f t="shared" si="9"/>
        <v>1052</v>
      </c>
      <c r="C54" s="1" t="s">
        <v>903</v>
      </c>
      <c r="D54" s="1" t="s">
        <v>27</v>
      </c>
      <c r="E54" s="1">
        <v>150</v>
      </c>
      <c r="F54" s="1">
        <v>25</v>
      </c>
      <c r="G54" s="1" t="str">
        <f t="shared" si="10"/>
        <v>vZE1</v>
      </c>
      <c r="H54" s="4" t="str">
        <f t="shared" si="14"/>
        <v>vZE1m03</v>
      </c>
      <c r="I54" s="1" t="str">
        <f t="shared" si="11"/>
        <v>03</v>
      </c>
      <c r="J54" s="1" t="str">
        <f t="shared" si="8"/>
        <v>vZE1m03</v>
      </c>
      <c r="K54" s="9">
        <f t="shared" si="12"/>
        <v>1</v>
      </c>
      <c r="L54" s="9">
        <f t="shared" si="13"/>
        <v>2</v>
      </c>
    </row>
    <row r="55" spans="1:12" x14ac:dyDescent="0.25">
      <c r="A55" s="1">
        <v>1053</v>
      </c>
      <c r="B55" s="1">
        <f t="shared" si="9"/>
        <v>1053</v>
      </c>
      <c r="C55" s="1" t="s">
        <v>904</v>
      </c>
      <c r="D55" s="1" t="s">
        <v>27</v>
      </c>
      <c r="E55" s="1">
        <v>150</v>
      </c>
      <c r="F55" s="1">
        <v>26</v>
      </c>
      <c r="G55" s="1" t="str">
        <f t="shared" si="10"/>
        <v>vZE1</v>
      </c>
      <c r="H55" s="4" t="str">
        <f t="shared" si="14"/>
        <v>vZE1m04</v>
      </c>
      <c r="I55" s="1" t="str">
        <f t="shared" si="11"/>
        <v>04</v>
      </c>
      <c r="J55" s="1" t="str">
        <f t="shared" si="8"/>
        <v>vZE1m04</v>
      </c>
      <c r="K55" s="9">
        <f t="shared" si="12"/>
        <v>1</v>
      </c>
      <c r="L55" s="9">
        <f t="shared" si="13"/>
        <v>2</v>
      </c>
    </row>
    <row r="56" spans="1:12" x14ac:dyDescent="0.25">
      <c r="A56" s="1">
        <v>1054</v>
      </c>
      <c r="B56" s="1">
        <f t="shared" si="9"/>
        <v>1054</v>
      </c>
      <c r="C56" s="1" t="s">
        <v>909</v>
      </c>
      <c r="D56" s="1" t="s">
        <v>27</v>
      </c>
      <c r="E56" s="1">
        <v>30</v>
      </c>
      <c r="F56" s="1">
        <v>27</v>
      </c>
      <c r="G56" s="1" t="e">
        <f t="shared" si="10"/>
        <v>#VALUE!</v>
      </c>
      <c r="H56" s="4" t="e">
        <f t="shared" si="14"/>
        <v>#VALUE!</v>
      </c>
      <c r="I56" s="1" t="e">
        <f t="shared" si="11"/>
        <v>#VALUE!</v>
      </c>
      <c r="J56" s="1" t="e">
        <f t="shared" si="8"/>
        <v>#VALUE!</v>
      </c>
      <c r="K56" s="9">
        <f t="shared" si="12"/>
        <v>1</v>
      </c>
      <c r="L56" s="9">
        <f t="shared" si="13"/>
        <v>2</v>
      </c>
    </row>
    <row r="57" spans="1:12" x14ac:dyDescent="0.25">
      <c r="A57" s="1">
        <v>1055</v>
      </c>
      <c r="B57" s="1">
        <f t="shared" si="9"/>
        <v>1055</v>
      </c>
      <c r="C57" s="1" t="s">
        <v>910</v>
      </c>
      <c r="D57" s="1" t="s">
        <v>27</v>
      </c>
      <c r="E57" s="1">
        <v>30</v>
      </c>
      <c r="F57" s="1">
        <v>28</v>
      </c>
      <c r="G57" s="1" t="e">
        <f t="shared" si="10"/>
        <v>#VALUE!</v>
      </c>
      <c r="H57" s="4" t="e">
        <f t="shared" si="14"/>
        <v>#VALUE!</v>
      </c>
      <c r="I57" s="1" t="e">
        <f t="shared" si="11"/>
        <v>#VALUE!</v>
      </c>
      <c r="J57" s="1" t="e">
        <f t="shared" si="8"/>
        <v>#VALUE!</v>
      </c>
      <c r="K57" s="9">
        <f t="shared" si="12"/>
        <v>1</v>
      </c>
      <c r="L57" s="9">
        <f t="shared" si="13"/>
        <v>2</v>
      </c>
    </row>
    <row r="58" spans="1:12" x14ac:dyDescent="0.25">
      <c r="A58" s="1">
        <v>1056</v>
      </c>
      <c r="B58" s="1">
        <f t="shared" si="9"/>
        <v>1056</v>
      </c>
      <c r="C58" s="1" t="s">
        <v>911</v>
      </c>
      <c r="D58" s="1" t="s">
        <v>27</v>
      </c>
      <c r="E58" s="1">
        <v>900</v>
      </c>
      <c r="F58" s="1">
        <v>29</v>
      </c>
      <c r="G58" s="1" t="e">
        <f t="shared" si="10"/>
        <v>#VALUE!</v>
      </c>
      <c r="H58" s="4" t="e">
        <f t="shared" si="14"/>
        <v>#VALUE!</v>
      </c>
      <c r="I58" s="1" t="e">
        <f t="shared" si="11"/>
        <v>#VALUE!</v>
      </c>
      <c r="J58" s="1" t="e">
        <f t="shared" si="8"/>
        <v>#VALUE!</v>
      </c>
      <c r="K58" s="9">
        <f t="shared" si="12"/>
        <v>1</v>
      </c>
      <c r="L58" s="9">
        <f t="shared" si="13"/>
        <v>2</v>
      </c>
    </row>
  </sheetData>
  <autoFilter ref="A1:I5" xr:uid="{00000000-0009-0000-0000-000003000000}"/>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
  <sheetViews>
    <sheetView workbookViewId="0">
      <pane xSplit="4" ySplit="1" topLeftCell="E2" activePane="bottomRight" state="frozen"/>
      <selection pane="topRight" activeCell="E1" sqref="E1"/>
      <selection pane="bottomLeft" activeCell="A2" sqref="A2"/>
      <selection pane="bottomRight" activeCell="J17" sqref="J17"/>
    </sheetView>
  </sheetViews>
  <sheetFormatPr defaultRowHeight="16.5" x14ac:dyDescent="0.25"/>
  <cols>
    <col min="1" max="2" width="5.5" style="21" bestFit="1" customWidth="1"/>
    <col min="3" max="3" width="8.25" style="1" bestFit="1" customWidth="1"/>
    <col min="4" max="4" width="8.25" style="9" customWidth="1"/>
    <col min="5" max="5" width="17.5" style="11" customWidth="1"/>
    <col min="6" max="6" width="18" style="11" customWidth="1"/>
    <col min="7" max="7" width="12.625" style="9" bestFit="1" customWidth="1"/>
    <col min="8" max="8" width="16.25" style="11" customWidth="1"/>
    <col min="9" max="9" width="19.75" style="14" customWidth="1"/>
    <col min="10" max="10" width="13.25" style="11" customWidth="1"/>
    <col min="11" max="11" width="14.375" style="9" customWidth="1"/>
    <col min="12" max="16" width="12.125" style="9" customWidth="1"/>
    <col min="17" max="17" width="36.5" style="21" customWidth="1"/>
    <col min="18" max="18" width="37.625" style="21" customWidth="1"/>
    <col min="19" max="19" width="37.25" style="21" customWidth="1"/>
    <col min="20" max="20" width="38" style="21" customWidth="1"/>
    <col min="21" max="21" width="29.5" style="21" customWidth="1"/>
    <col min="22" max="22" width="29.5" style="1" customWidth="1"/>
  </cols>
  <sheetData>
    <row r="1" spans="1:22" s="1" customFormat="1" x14ac:dyDescent="0.25">
      <c r="A1" s="1" t="s">
        <v>913</v>
      </c>
      <c r="B1" s="1" t="s">
        <v>914</v>
      </c>
      <c r="C1" s="5" t="s">
        <v>924</v>
      </c>
      <c r="D1" s="12" t="s">
        <v>25</v>
      </c>
      <c r="E1" s="13" t="s">
        <v>935</v>
      </c>
      <c r="F1" s="13" t="s">
        <v>936</v>
      </c>
      <c r="G1" s="12" t="s">
        <v>937</v>
      </c>
      <c r="H1" s="13" t="s">
        <v>938</v>
      </c>
      <c r="I1" s="16" t="s">
        <v>939</v>
      </c>
      <c r="J1" s="13" t="s">
        <v>940</v>
      </c>
      <c r="K1" s="15" t="s">
        <v>941</v>
      </c>
      <c r="L1" s="15" t="s">
        <v>942</v>
      </c>
      <c r="M1" s="15" t="s">
        <v>943</v>
      </c>
      <c r="N1" s="15" t="s">
        <v>944</v>
      </c>
      <c r="O1" s="15" t="s">
        <v>945</v>
      </c>
      <c r="P1" s="15" t="s">
        <v>946</v>
      </c>
      <c r="Q1" s="6" t="s">
        <v>947</v>
      </c>
      <c r="R1" s="7" t="s">
        <v>948</v>
      </c>
      <c r="S1" s="7" t="s">
        <v>949</v>
      </c>
      <c r="T1" s="6" t="s">
        <v>950</v>
      </c>
      <c r="U1" s="7" t="s">
        <v>951</v>
      </c>
      <c r="V1" s="7" t="s">
        <v>952</v>
      </c>
    </row>
    <row r="2" spans="1:22" s="1" customFormat="1" x14ac:dyDescent="0.25">
      <c r="A2" s="1">
        <v>301</v>
      </c>
      <c r="B2" s="1">
        <f>A2</f>
        <v>301</v>
      </c>
      <c r="C2" s="1">
        <v>45</v>
      </c>
      <c r="D2" s="9">
        <v>2</v>
      </c>
      <c r="E2" s="11" t="s">
        <v>953</v>
      </c>
      <c r="F2" s="11" t="s">
        <v>954</v>
      </c>
      <c r="G2" s="9">
        <v>7</v>
      </c>
      <c r="H2" s="11" t="s">
        <v>955</v>
      </c>
      <c r="I2" s="14" t="s">
        <v>956</v>
      </c>
      <c r="J2" s="11" t="s">
        <v>957</v>
      </c>
      <c r="K2" s="9">
        <f>G2-1</f>
        <v>6</v>
      </c>
      <c r="L2" s="9" t="str">
        <f>MID($I2,1,$D2)</f>
        <v>96</v>
      </c>
      <c r="M2" s="9" t="str">
        <f>MID($I2,($D2*1+1)+1,$D2)</f>
        <v/>
      </c>
      <c r="N2" s="9" t="str">
        <f>MID($I2,($D2*2+1)+2,$D2)</f>
        <v/>
      </c>
      <c r="O2" s="9" t="str">
        <f>MID($I2,($D2*3+1)+3,$D2)</f>
        <v/>
      </c>
      <c r="P2" s="9" t="str">
        <f>MID($I2,($D2*4+1)+4,$D2)</f>
        <v/>
      </c>
      <c r="Q2" s="1" t="str">
        <f t="shared" ref="Q2:U4" si="0">IF(L2&lt;&gt;""," | (any(a(#i),"&amp;L2&amp;") and not any(a(#i+1),"&amp;L2&amp;")) ","")</f>
        <v xml:space="preserve"> | (any(a(#i),96) and not any(a(#i+1),96)) </v>
      </c>
      <c r="R2" s="1" t="str">
        <f t="shared" si="0"/>
        <v/>
      </c>
      <c r="S2" s="1" t="str">
        <f t="shared" si="0"/>
        <v/>
      </c>
      <c r="T2" s="1" t="str">
        <f t="shared" si="0"/>
        <v/>
      </c>
      <c r="U2" s="1" t="str">
        <f t="shared" si="0"/>
        <v/>
      </c>
      <c r="V2" s="1" t="str">
        <f>"  | (v"&amp;C2&amp;"m"&amp;E2&amp;" to v"&amp;C2&amp;"m"&amp;F2&amp;")"&amp;H2</f>
        <v xml:space="preserve">  | (v45m01 to v45m07)=0</v>
      </c>
    </row>
    <row r="3" spans="1:22" x14ac:dyDescent="0.25">
      <c r="A3" s="1">
        <v>302</v>
      </c>
      <c r="B3" s="1">
        <f>A3</f>
        <v>302</v>
      </c>
      <c r="C3" s="1">
        <v>46</v>
      </c>
      <c r="D3" s="9">
        <v>2</v>
      </c>
      <c r="E3" s="11" t="s">
        <v>953</v>
      </c>
      <c r="F3" s="11" t="s">
        <v>954</v>
      </c>
      <c r="G3" s="9">
        <v>7</v>
      </c>
      <c r="H3" s="11" t="s">
        <v>955</v>
      </c>
      <c r="I3" s="14" t="s">
        <v>956</v>
      </c>
      <c r="J3" s="11" t="s">
        <v>957</v>
      </c>
      <c r="K3" s="9">
        <f>G3-1</f>
        <v>6</v>
      </c>
      <c r="L3" s="9" t="str">
        <f>MID($I3,1,$D3)</f>
        <v>96</v>
      </c>
      <c r="Q3" s="1" t="str">
        <f t="shared" si="0"/>
        <v xml:space="preserve"> | (any(a(#i),96) and not any(a(#i+1),96)) </v>
      </c>
      <c r="R3" s="1" t="str">
        <f t="shared" si="0"/>
        <v/>
      </c>
      <c r="S3" s="1" t="str">
        <f t="shared" si="0"/>
        <v/>
      </c>
      <c r="T3" s="1" t="str">
        <f t="shared" si="0"/>
        <v/>
      </c>
      <c r="U3" s="1" t="str">
        <f t="shared" si="0"/>
        <v/>
      </c>
      <c r="V3" s="1" t="str">
        <f>"  | (v"&amp;C3&amp;"m"&amp;E3&amp;" to v"&amp;C3&amp;"m"&amp;F3&amp;")"&amp;H3</f>
        <v xml:space="preserve">  | (v46m01 to v46m07)=0</v>
      </c>
    </row>
    <row r="4" spans="1:22" x14ac:dyDescent="0.25">
      <c r="A4" s="1">
        <v>303</v>
      </c>
      <c r="B4" s="1">
        <f>A4</f>
        <v>303</v>
      </c>
      <c r="C4" s="1">
        <v>48</v>
      </c>
      <c r="D4" s="9">
        <v>2</v>
      </c>
      <c r="E4" s="11" t="s">
        <v>953</v>
      </c>
      <c r="F4" s="11" t="s">
        <v>954</v>
      </c>
      <c r="G4" s="9">
        <v>7</v>
      </c>
      <c r="H4" s="11" t="s">
        <v>955</v>
      </c>
      <c r="I4" s="14" t="s">
        <v>956</v>
      </c>
      <c r="J4" s="11" t="s">
        <v>957</v>
      </c>
      <c r="K4" s="9">
        <f>G4-1</f>
        <v>6</v>
      </c>
      <c r="L4" s="9" t="str">
        <f>MID($I4,1,$D4)</f>
        <v>96</v>
      </c>
      <c r="Q4" s="1" t="str">
        <f t="shared" si="0"/>
        <v xml:space="preserve"> | (any(a(#i),96) and not any(a(#i+1),96)) </v>
      </c>
      <c r="R4" s="1" t="str">
        <f t="shared" si="0"/>
        <v/>
      </c>
      <c r="S4" s="1" t="str">
        <f t="shared" si="0"/>
        <v/>
      </c>
      <c r="T4" s="1" t="str">
        <f t="shared" si="0"/>
        <v/>
      </c>
      <c r="U4" s="1" t="str">
        <f t="shared" si="0"/>
        <v/>
      </c>
      <c r="V4" s="1" t="str">
        <f>"  | (v"&amp;C4&amp;"m"&amp;E4&amp;" to v"&amp;C4&amp;"m"&amp;F4&amp;")"&amp;H4</f>
        <v xml:space="preserve">  | (v48m01 to v48m07)=0</v>
      </c>
    </row>
  </sheetData>
  <autoFilter ref="A1:V2" xr:uid="{00000000-0009-0000-0000-000004000000}"/>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
  <sheetViews>
    <sheetView workbookViewId="0">
      <selection activeCell="C5" sqref="C5"/>
    </sheetView>
  </sheetViews>
  <sheetFormatPr defaultRowHeight="16.5" x14ac:dyDescent="0.25"/>
  <cols>
    <col min="1" max="2" width="5.5" style="21" bestFit="1" customWidth="1"/>
    <col min="3" max="3" width="7.375" style="21" customWidth="1"/>
    <col min="4" max="4" width="6" style="21" bestFit="1" customWidth="1"/>
    <col min="5" max="6" width="18.875" style="11" bestFit="1" customWidth="1"/>
    <col min="7" max="7" width="10.5" style="21" bestFit="1" customWidth="1"/>
    <col min="8" max="8" width="15.375" style="21" bestFit="1" customWidth="1"/>
    <col min="9" max="9" width="17.75" style="21" bestFit="1" customWidth="1"/>
    <col min="10" max="10" width="10.5" style="11" bestFit="1" customWidth="1"/>
    <col min="11" max="11" width="32.5" style="21" customWidth="1"/>
    <col min="12" max="12" width="25.5" style="21" customWidth="1"/>
    <col min="13" max="15" width="7" style="21" customWidth="1"/>
    <col min="16" max="16" width="12.375" style="21" customWidth="1"/>
    <col min="17" max="17" width="8.875" style="1" customWidth="1"/>
  </cols>
  <sheetData>
    <row r="1" spans="1:18" s="1" customFormat="1" x14ac:dyDescent="0.25">
      <c r="A1" s="1" t="s">
        <v>913</v>
      </c>
      <c r="B1" s="1" t="s">
        <v>914</v>
      </c>
      <c r="C1" s="5" t="s">
        <v>924</v>
      </c>
      <c r="D1" s="12" t="s">
        <v>25</v>
      </c>
      <c r="E1" s="13" t="s">
        <v>958</v>
      </c>
      <c r="F1" s="13" t="s">
        <v>959</v>
      </c>
      <c r="G1" s="12" t="s">
        <v>960</v>
      </c>
      <c r="H1" s="13" t="s">
        <v>938</v>
      </c>
      <c r="I1" s="16" t="s">
        <v>961</v>
      </c>
      <c r="J1" s="13" t="s">
        <v>940</v>
      </c>
      <c r="K1" s="6" t="s">
        <v>947</v>
      </c>
      <c r="L1" s="7" t="s">
        <v>948</v>
      </c>
      <c r="M1" s="7" t="s">
        <v>949</v>
      </c>
      <c r="N1" s="6" t="s">
        <v>950</v>
      </c>
      <c r="O1" s="7" t="s">
        <v>951</v>
      </c>
    </row>
    <row r="2" spans="1:18" x14ac:dyDescent="0.25">
      <c r="A2" s="1">
        <v>304</v>
      </c>
      <c r="B2" s="1">
        <f>A2</f>
        <v>304</v>
      </c>
      <c r="C2" s="1">
        <v>45</v>
      </c>
      <c r="D2" s="9">
        <v>2</v>
      </c>
      <c r="E2" s="11" t="s">
        <v>962</v>
      </c>
      <c r="F2" s="11" t="s">
        <v>963</v>
      </c>
      <c r="G2" s="9"/>
      <c r="H2" s="11"/>
      <c r="I2" s="14"/>
      <c r="J2" s="11" t="s">
        <v>957</v>
      </c>
      <c r="K2" s="1" t="str">
        <f>IF(G2="複選","any(1,v"&amp;C2&amp;"m"&amp;E2&amp;" to v"&amp;C2&amp;"m"&amp;F2&amp;")","any(v"&amp;C2&amp;","&amp;E2&amp;")")</f>
        <v>any(v45,1)</v>
      </c>
      <c r="P2" s="1" t="str">
        <f>IF(F2=J2,"請修正F欄","")</f>
        <v/>
      </c>
      <c r="R2" s="20" t="s">
        <v>964</v>
      </c>
    </row>
    <row r="3" spans="1:18" x14ac:dyDescent="0.25">
      <c r="A3" s="1">
        <v>305</v>
      </c>
      <c r="B3" s="1">
        <f>A3</f>
        <v>305</v>
      </c>
      <c r="C3" s="1">
        <v>46</v>
      </c>
      <c r="D3" s="9">
        <v>2</v>
      </c>
      <c r="E3" s="11" t="s">
        <v>962</v>
      </c>
      <c r="F3" s="11" t="s">
        <v>963</v>
      </c>
      <c r="J3" s="11" t="s">
        <v>957</v>
      </c>
      <c r="K3" s="1" t="str">
        <f>IF(G3="複選","any(1,v"&amp;C3&amp;"m"&amp;E3&amp;" to v"&amp;C3&amp;"m"&amp;F3&amp;")","any(v"&amp;C3&amp;","&amp;E3&amp;")")</f>
        <v>any(v46,1)</v>
      </c>
    </row>
    <row r="4" spans="1:18" x14ac:dyDescent="0.25">
      <c r="A4" s="1">
        <v>306</v>
      </c>
      <c r="B4" s="1">
        <f>A4</f>
        <v>306</v>
      </c>
      <c r="C4" s="1">
        <v>48</v>
      </c>
      <c r="D4" s="9">
        <v>2</v>
      </c>
      <c r="E4" s="11" t="s">
        <v>962</v>
      </c>
      <c r="F4" s="11" t="s">
        <v>963</v>
      </c>
      <c r="J4" s="11" t="s">
        <v>957</v>
      </c>
      <c r="K4" s="1" t="str">
        <f>IF(G4="複選","any(1,v"&amp;C4&amp;"m"&amp;E4&amp;" to v"&amp;C4&amp;"m"&amp;F4&amp;")","any(v"&amp;C4&amp;","&amp;E4&amp;")")</f>
        <v>any(v48,1)</v>
      </c>
    </row>
  </sheetData>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2"/>
  <sheetViews>
    <sheetView workbookViewId="0">
      <selection activeCell="A16" sqref="A16:A22"/>
    </sheetView>
  </sheetViews>
  <sheetFormatPr defaultRowHeight="16.5" x14ac:dyDescent="0.25"/>
  <cols>
    <col min="1" max="1" width="12" style="1" customWidth="1"/>
    <col min="2" max="2" width="12.625" style="1" customWidth="1"/>
  </cols>
  <sheetData>
    <row r="1" spans="1:2" x14ac:dyDescent="0.25">
      <c r="A1" s="1" t="s">
        <v>23</v>
      </c>
      <c r="B1" s="1" t="s">
        <v>965</v>
      </c>
    </row>
    <row r="2" spans="1:2" x14ac:dyDescent="0.25">
      <c r="A2" s="1" t="s">
        <v>966</v>
      </c>
      <c r="B2" s="1" t="str">
        <f t="shared" ref="B2:B22" si="0">MID(A2,1,SEARCH("m",A2,1)-1)</f>
        <v>v45</v>
      </c>
    </row>
    <row r="3" spans="1:2" x14ac:dyDescent="0.25">
      <c r="A3" s="1" t="s">
        <v>967</v>
      </c>
      <c r="B3" s="1" t="str">
        <f t="shared" si="0"/>
        <v>v45</v>
      </c>
    </row>
    <row r="4" spans="1:2" x14ac:dyDescent="0.25">
      <c r="A4" s="1" t="s">
        <v>968</v>
      </c>
      <c r="B4" s="1" t="str">
        <f t="shared" si="0"/>
        <v>v45</v>
      </c>
    </row>
    <row r="5" spans="1:2" x14ac:dyDescent="0.25">
      <c r="A5" s="1" t="s">
        <v>969</v>
      </c>
      <c r="B5" s="1" t="str">
        <f t="shared" si="0"/>
        <v>v45</v>
      </c>
    </row>
    <row r="6" spans="1:2" x14ac:dyDescent="0.25">
      <c r="A6" s="1" t="s">
        <v>970</v>
      </c>
      <c r="B6" s="1" t="str">
        <f t="shared" si="0"/>
        <v>v45</v>
      </c>
    </row>
    <row r="7" spans="1:2" x14ac:dyDescent="0.25">
      <c r="A7" s="1" t="s">
        <v>971</v>
      </c>
      <c r="B7" s="1" t="str">
        <f t="shared" si="0"/>
        <v>v45</v>
      </c>
    </row>
    <row r="8" spans="1:2" x14ac:dyDescent="0.25">
      <c r="A8" s="1" t="s">
        <v>972</v>
      </c>
      <c r="B8" s="1" t="str">
        <f t="shared" si="0"/>
        <v>v45</v>
      </c>
    </row>
    <row r="9" spans="1:2" x14ac:dyDescent="0.25">
      <c r="A9" s="1" t="s">
        <v>973</v>
      </c>
      <c r="B9" s="1" t="str">
        <f t="shared" si="0"/>
        <v>v46</v>
      </c>
    </row>
    <row r="10" spans="1:2" x14ac:dyDescent="0.25">
      <c r="A10" s="1" t="s">
        <v>974</v>
      </c>
      <c r="B10" s="1" t="str">
        <f t="shared" si="0"/>
        <v>v46</v>
      </c>
    </row>
    <row r="11" spans="1:2" x14ac:dyDescent="0.25">
      <c r="A11" s="1" t="s">
        <v>975</v>
      </c>
      <c r="B11" s="1" t="str">
        <f t="shared" si="0"/>
        <v>v46</v>
      </c>
    </row>
    <row r="12" spans="1:2" x14ac:dyDescent="0.25">
      <c r="A12" s="1" t="s">
        <v>976</v>
      </c>
      <c r="B12" s="1" t="str">
        <f t="shared" si="0"/>
        <v>v46</v>
      </c>
    </row>
    <row r="13" spans="1:2" x14ac:dyDescent="0.25">
      <c r="A13" s="1" t="s">
        <v>977</v>
      </c>
      <c r="B13" s="1" t="str">
        <f t="shared" si="0"/>
        <v>v46</v>
      </c>
    </row>
    <row r="14" spans="1:2" x14ac:dyDescent="0.25">
      <c r="A14" s="1" t="s">
        <v>978</v>
      </c>
      <c r="B14" s="1" t="str">
        <f t="shared" si="0"/>
        <v>v46</v>
      </c>
    </row>
    <row r="15" spans="1:2" x14ac:dyDescent="0.25">
      <c r="A15" s="1" t="s">
        <v>979</v>
      </c>
      <c r="B15" s="1" t="str">
        <f t="shared" si="0"/>
        <v>v46</v>
      </c>
    </row>
    <row r="16" spans="1:2" x14ac:dyDescent="0.25">
      <c r="A16" s="1" t="s">
        <v>980</v>
      </c>
      <c r="B16" s="1" t="str">
        <f t="shared" si="0"/>
        <v>v48</v>
      </c>
    </row>
    <row r="17" spans="1:2" x14ac:dyDescent="0.25">
      <c r="A17" s="1" t="s">
        <v>981</v>
      </c>
      <c r="B17" s="1" t="str">
        <f t="shared" si="0"/>
        <v>v48</v>
      </c>
    </row>
    <row r="18" spans="1:2" x14ac:dyDescent="0.25">
      <c r="A18" s="1" t="s">
        <v>982</v>
      </c>
      <c r="B18" s="1" t="str">
        <f t="shared" si="0"/>
        <v>v48</v>
      </c>
    </row>
    <row r="19" spans="1:2" x14ac:dyDescent="0.25">
      <c r="A19" s="1" t="s">
        <v>983</v>
      </c>
      <c r="B19" s="1" t="str">
        <f t="shared" si="0"/>
        <v>v48</v>
      </c>
    </row>
    <row r="20" spans="1:2" x14ac:dyDescent="0.25">
      <c r="A20" s="1" t="s">
        <v>984</v>
      </c>
      <c r="B20" s="1" t="str">
        <f t="shared" si="0"/>
        <v>v48</v>
      </c>
    </row>
    <row r="21" spans="1:2" x14ac:dyDescent="0.25">
      <c r="A21" s="1" t="s">
        <v>985</v>
      </c>
      <c r="B21" s="1" t="str">
        <f t="shared" si="0"/>
        <v>v48</v>
      </c>
    </row>
    <row r="22" spans="1:2" x14ac:dyDescent="0.25">
      <c r="A22" s="1" t="s">
        <v>986</v>
      </c>
      <c r="B22" s="1" t="str">
        <f t="shared" si="0"/>
        <v>v48</v>
      </c>
    </row>
  </sheetData>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6.5" x14ac:dyDescent="0.25"/>
  <sheetData>
    <row r="1" spans="1:2" x14ac:dyDescent="0.25">
      <c r="A1" s="1" t="s">
        <v>987</v>
      </c>
      <c r="B1" s="8" t="s">
        <v>988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1"/>
  <sheetViews>
    <sheetView topLeftCell="A96" workbookViewId="0">
      <selection activeCell="C115" sqref="C115"/>
    </sheetView>
  </sheetViews>
  <sheetFormatPr defaultRowHeight="16.5" x14ac:dyDescent="0.25"/>
  <cols>
    <col min="3" max="3" width="42.875" style="21" customWidth="1"/>
    <col min="4" max="4" width="38.625" style="21" customWidth="1"/>
    <col min="5" max="5" width="43" customWidth="1"/>
  </cols>
  <sheetData>
    <row r="1" spans="1:6" x14ac:dyDescent="0.25">
      <c r="A1" s="1" t="s">
        <v>913</v>
      </c>
      <c r="B1" s="1" t="s">
        <v>914</v>
      </c>
      <c r="C1" s="1" t="s">
        <v>989</v>
      </c>
      <c r="D1" s="1" t="s">
        <v>990</v>
      </c>
      <c r="E1" s="1" t="s">
        <v>991</v>
      </c>
      <c r="F1" t="s">
        <v>992</v>
      </c>
    </row>
    <row r="2" spans="1:6" x14ac:dyDescent="0.25">
      <c r="A2" s="1">
        <v>1701</v>
      </c>
      <c r="B2" s="1">
        <f t="shared" ref="B2:B65" si="0">A2</f>
        <v>1701</v>
      </c>
      <c r="C2" t="s">
        <v>993</v>
      </c>
      <c r="D2" t="s">
        <v>55</v>
      </c>
    </row>
    <row r="3" spans="1:6" x14ac:dyDescent="0.25">
      <c r="A3" s="1">
        <v>1702</v>
      </c>
      <c r="B3" s="1">
        <f t="shared" si="0"/>
        <v>1702</v>
      </c>
      <c r="C3" t="s">
        <v>994</v>
      </c>
      <c r="D3"/>
      <c r="E3" t="s">
        <v>995</v>
      </c>
    </row>
    <row r="4" spans="1:6" x14ac:dyDescent="0.25">
      <c r="A4" s="1">
        <v>1703</v>
      </c>
      <c r="B4" s="1">
        <f t="shared" si="0"/>
        <v>1703</v>
      </c>
      <c r="C4" s="1" t="s">
        <v>996</v>
      </c>
      <c r="D4" s="1" t="s">
        <v>74</v>
      </c>
    </row>
    <row r="5" spans="1:6" x14ac:dyDescent="0.25">
      <c r="A5" s="1">
        <v>1704</v>
      </c>
      <c r="B5" s="1">
        <f t="shared" si="0"/>
        <v>1704</v>
      </c>
      <c r="C5" s="1" t="s">
        <v>996</v>
      </c>
      <c r="D5" s="1" t="s">
        <v>76</v>
      </c>
      <c r="E5" s="1"/>
    </row>
    <row r="6" spans="1:6" x14ac:dyDescent="0.25">
      <c r="A6" s="1">
        <v>1705</v>
      </c>
      <c r="B6" s="1">
        <f t="shared" si="0"/>
        <v>1705</v>
      </c>
      <c r="C6" s="1" t="s">
        <v>997</v>
      </c>
      <c r="D6" s="1" t="s">
        <v>78</v>
      </c>
      <c r="E6" s="1"/>
    </row>
    <row r="7" spans="1:6" x14ac:dyDescent="0.25">
      <c r="A7" s="1">
        <v>1706</v>
      </c>
      <c r="B7" s="1">
        <f t="shared" si="0"/>
        <v>1706</v>
      </c>
      <c r="C7" s="1" t="s">
        <v>998</v>
      </c>
      <c r="D7" s="1" t="s">
        <v>80</v>
      </c>
      <c r="E7" s="1"/>
    </row>
    <row r="8" spans="1:6" x14ac:dyDescent="0.25">
      <c r="A8" s="1">
        <v>1707</v>
      </c>
      <c r="B8" s="1">
        <f t="shared" si="0"/>
        <v>1707</v>
      </c>
      <c r="C8" s="1" t="s">
        <v>998</v>
      </c>
      <c r="D8" s="1" t="s">
        <v>81</v>
      </c>
      <c r="E8" s="1"/>
    </row>
    <row r="9" spans="1:6" x14ac:dyDescent="0.25">
      <c r="A9" s="1">
        <v>1708</v>
      </c>
      <c r="B9" s="1">
        <f t="shared" si="0"/>
        <v>1708</v>
      </c>
      <c r="C9" s="1" t="s">
        <v>998</v>
      </c>
      <c r="D9" s="1" t="s">
        <v>999</v>
      </c>
      <c r="E9" s="1"/>
    </row>
    <row r="10" spans="1:6" x14ac:dyDescent="0.25">
      <c r="A10" s="1">
        <v>1709</v>
      </c>
      <c r="B10" s="1">
        <f t="shared" si="0"/>
        <v>1709</v>
      </c>
      <c r="C10" s="1" t="s">
        <v>1000</v>
      </c>
      <c r="D10" s="1" t="s">
        <v>118</v>
      </c>
      <c r="E10" s="1"/>
    </row>
    <row r="11" spans="1:6" x14ac:dyDescent="0.25">
      <c r="A11" s="1">
        <v>1710</v>
      </c>
      <c r="B11" s="1">
        <f t="shared" si="0"/>
        <v>1710</v>
      </c>
      <c r="C11" s="1" t="s">
        <v>1000</v>
      </c>
      <c r="D11" s="1" t="s">
        <v>120</v>
      </c>
      <c r="E11" s="1"/>
    </row>
    <row r="12" spans="1:6" x14ac:dyDescent="0.25">
      <c r="A12" s="1">
        <v>1711</v>
      </c>
      <c r="B12" s="1">
        <f t="shared" si="0"/>
        <v>1711</v>
      </c>
      <c r="C12" t="s">
        <v>1000</v>
      </c>
      <c r="D12" t="s">
        <v>121</v>
      </c>
    </row>
    <row r="13" spans="1:6" x14ac:dyDescent="0.25">
      <c r="A13" s="1">
        <v>1712</v>
      </c>
      <c r="B13" s="1">
        <f t="shared" si="0"/>
        <v>1712</v>
      </c>
      <c r="C13" t="s">
        <v>1001</v>
      </c>
      <c r="D13" t="s">
        <v>122</v>
      </c>
    </row>
    <row r="14" spans="1:6" x14ac:dyDescent="0.25">
      <c r="A14" s="1">
        <v>1713</v>
      </c>
      <c r="B14" s="1">
        <f t="shared" si="0"/>
        <v>1713</v>
      </c>
      <c r="C14" t="s">
        <v>1001</v>
      </c>
      <c r="D14" t="s">
        <v>123</v>
      </c>
    </row>
    <row r="15" spans="1:6" x14ac:dyDescent="0.25">
      <c r="A15" s="1">
        <v>1714</v>
      </c>
      <c r="B15" s="1">
        <f t="shared" si="0"/>
        <v>1714</v>
      </c>
      <c r="C15" t="s">
        <v>1001</v>
      </c>
      <c r="D15" t="s">
        <v>1002</v>
      </c>
    </row>
    <row r="16" spans="1:6" x14ac:dyDescent="0.25">
      <c r="A16" s="1">
        <v>1715</v>
      </c>
      <c r="B16" s="1">
        <f t="shared" si="0"/>
        <v>1715</v>
      </c>
      <c r="C16" t="s">
        <v>1001</v>
      </c>
      <c r="D16" t="s">
        <v>1003</v>
      </c>
    </row>
    <row r="17" spans="1:5" x14ac:dyDescent="0.25">
      <c r="A17" s="1">
        <v>1716</v>
      </c>
      <c r="B17" s="1">
        <f t="shared" si="0"/>
        <v>1716</v>
      </c>
      <c r="C17" t="s">
        <v>1004</v>
      </c>
      <c r="D17" t="s">
        <v>163</v>
      </c>
      <c r="E17" s="1"/>
    </row>
    <row r="18" spans="1:5" x14ac:dyDescent="0.25">
      <c r="A18" s="1">
        <v>1717</v>
      </c>
      <c r="B18" s="1">
        <f t="shared" si="0"/>
        <v>1717</v>
      </c>
      <c r="C18" t="s">
        <v>1004</v>
      </c>
      <c r="D18" t="s">
        <v>164</v>
      </c>
    </row>
    <row r="19" spans="1:5" x14ac:dyDescent="0.25">
      <c r="A19" s="1">
        <v>1718</v>
      </c>
      <c r="B19" s="1">
        <f t="shared" si="0"/>
        <v>1718</v>
      </c>
      <c r="C19" t="s">
        <v>1004</v>
      </c>
      <c r="D19" s="1" t="s">
        <v>1005</v>
      </c>
    </row>
    <row r="20" spans="1:5" x14ac:dyDescent="0.25">
      <c r="A20" s="1">
        <v>1719</v>
      </c>
      <c r="B20" s="1">
        <f t="shared" si="0"/>
        <v>1719</v>
      </c>
      <c r="C20" t="s">
        <v>1004</v>
      </c>
      <c r="D20" s="1" t="s">
        <v>1006</v>
      </c>
    </row>
    <row r="21" spans="1:5" x14ac:dyDescent="0.25">
      <c r="A21" s="1">
        <v>1720</v>
      </c>
      <c r="B21" s="1">
        <f t="shared" si="0"/>
        <v>1720</v>
      </c>
      <c r="C21" s="1" t="s">
        <v>1007</v>
      </c>
      <c r="D21" t="s">
        <v>200</v>
      </c>
      <c r="E21" s="1"/>
    </row>
    <row r="22" spans="1:5" x14ac:dyDescent="0.25">
      <c r="A22" s="1">
        <v>1721</v>
      </c>
      <c r="B22" s="1">
        <f t="shared" si="0"/>
        <v>1721</v>
      </c>
      <c r="C22" t="s">
        <v>1007</v>
      </c>
      <c r="D22" t="s">
        <v>201</v>
      </c>
    </row>
    <row r="23" spans="1:5" x14ac:dyDescent="0.25">
      <c r="A23" s="1">
        <v>1722</v>
      </c>
      <c r="B23" s="1">
        <f t="shared" si="0"/>
        <v>1722</v>
      </c>
      <c r="C23" t="s">
        <v>1007</v>
      </c>
      <c r="D23" t="s">
        <v>1008</v>
      </c>
    </row>
    <row r="24" spans="1:5" x14ac:dyDescent="0.25">
      <c r="A24" s="1">
        <v>1723</v>
      </c>
      <c r="B24" s="1">
        <f t="shared" si="0"/>
        <v>1723</v>
      </c>
      <c r="C24" t="s">
        <v>1007</v>
      </c>
      <c r="D24" t="s">
        <v>1009</v>
      </c>
    </row>
    <row r="25" spans="1:5" x14ac:dyDescent="0.25">
      <c r="A25" s="1">
        <v>1724</v>
      </c>
      <c r="B25" s="1">
        <f t="shared" si="0"/>
        <v>1724</v>
      </c>
      <c r="C25" t="s">
        <v>1007</v>
      </c>
      <c r="D25" t="s">
        <v>1010</v>
      </c>
    </row>
    <row r="26" spans="1:5" x14ac:dyDescent="0.25">
      <c r="A26" s="1">
        <v>1725</v>
      </c>
      <c r="B26" s="1">
        <f t="shared" si="0"/>
        <v>1725</v>
      </c>
      <c r="C26" t="s">
        <v>1011</v>
      </c>
      <c r="D26" t="s">
        <v>250</v>
      </c>
    </row>
    <row r="27" spans="1:5" x14ac:dyDescent="0.25">
      <c r="A27" s="1">
        <v>1726</v>
      </c>
      <c r="B27" s="1">
        <f t="shared" si="0"/>
        <v>1726</v>
      </c>
      <c r="C27" t="s">
        <v>1011</v>
      </c>
      <c r="D27" t="s">
        <v>251</v>
      </c>
    </row>
    <row r="28" spans="1:5" x14ac:dyDescent="0.25">
      <c r="A28" s="1">
        <v>1727</v>
      </c>
      <c r="B28" s="1">
        <f t="shared" si="0"/>
        <v>1727</v>
      </c>
      <c r="C28" t="s">
        <v>1012</v>
      </c>
      <c r="D28" t="s">
        <v>264</v>
      </c>
    </row>
    <row r="29" spans="1:5" x14ac:dyDescent="0.25">
      <c r="A29" s="1">
        <v>1728</v>
      </c>
      <c r="B29" s="1">
        <f t="shared" si="0"/>
        <v>1728</v>
      </c>
      <c r="C29" t="s">
        <v>1012</v>
      </c>
      <c r="D29" t="s">
        <v>266</v>
      </c>
    </row>
    <row r="30" spans="1:5" x14ac:dyDescent="0.25">
      <c r="A30" s="1">
        <v>1729</v>
      </c>
      <c r="B30" s="1">
        <f t="shared" si="0"/>
        <v>1729</v>
      </c>
      <c r="C30" t="s">
        <v>1012</v>
      </c>
      <c r="D30" t="s">
        <v>267</v>
      </c>
    </row>
    <row r="31" spans="1:5" x14ac:dyDescent="0.25">
      <c r="A31" s="1">
        <v>1730</v>
      </c>
      <c r="B31" s="1">
        <f t="shared" si="0"/>
        <v>1730</v>
      </c>
      <c r="C31" t="s">
        <v>1013</v>
      </c>
      <c r="D31" t="s">
        <v>1014</v>
      </c>
    </row>
    <row r="32" spans="1:5" x14ac:dyDescent="0.25">
      <c r="A32" s="1">
        <v>1731</v>
      </c>
      <c r="B32" s="1">
        <f t="shared" si="0"/>
        <v>1731</v>
      </c>
      <c r="C32" t="s">
        <v>1015</v>
      </c>
      <c r="D32" t="s">
        <v>275</v>
      </c>
    </row>
    <row r="33" spans="1:4" x14ac:dyDescent="0.25">
      <c r="A33" s="1">
        <v>1732</v>
      </c>
      <c r="B33" s="1">
        <f t="shared" si="0"/>
        <v>1732</v>
      </c>
      <c r="C33" t="s">
        <v>1015</v>
      </c>
      <c r="D33" t="s">
        <v>277</v>
      </c>
    </row>
    <row r="34" spans="1:4" x14ac:dyDescent="0.25">
      <c r="A34" s="1">
        <v>1733</v>
      </c>
      <c r="B34" s="1">
        <f t="shared" si="0"/>
        <v>1733</v>
      </c>
      <c r="C34" t="s">
        <v>1016</v>
      </c>
      <c r="D34" t="s">
        <v>277</v>
      </c>
    </row>
    <row r="35" spans="1:4" x14ac:dyDescent="0.25">
      <c r="A35" s="1">
        <v>1734</v>
      </c>
      <c r="B35" s="1">
        <f t="shared" si="0"/>
        <v>1734</v>
      </c>
      <c r="C35" t="s">
        <v>1015</v>
      </c>
      <c r="D35" t="s">
        <v>278</v>
      </c>
    </row>
    <row r="36" spans="1:4" x14ac:dyDescent="0.25">
      <c r="A36" s="1">
        <v>1735</v>
      </c>
      <c r="B36" s="1">
        <f t="shared" si="0"/>
        <v>1735</v>
      </c>
      <c r="C36" t="s">
        <v>1017</v>
      </c>
      <c r="D36" t="s">
        <v>280</v>
      </c>
    </row>
    <row r="37" spans="1:4" x14ac:dyDescent="0.25">
      <c r="A37" s="1">
        <v>1736</v>
      </c>
      <c r="B37" s="1">
        <f t="shared" si="0"/>
        <v>1736</v>
      </c>
      <c r="C37" t="s">
        <v>1017</v>
      </c>
      <c r="D37" t="s">
        <v>281</v>
      </c>
    </row>
    <row r="38" spans="1:4" x14ac:dyDescent="0.25">
      <c r="A38" s="1">
        <v>1737</v>
      </c>
      <c r="B38" s="1">
        <f t="shared" si="0"/>
        <v>1737</v>
      </c>
      <c r="C38" t="s">
        <v>1016</v>
      </c>
      <c r="D38" t="s">
        <v>281</v>
      </c>
    </row>
    <row r="39" spans="1:4" x14ac:dyDescent="0.25">
      <c r="A39" s="1">
        <v>1738</v>
      </c>
      <c r="B39" s="1">
        <f t="shared" si="0"/>
        <v>1738</v>
      </c>
      <c r="C39" t="s">
        <v>1017</v>
      </c>
      <c r="D39" t="s">
        <v>282</v>
      </c>
    </row>
    <row r="40" spans="1:4" x14ac:dyDescent="0.25">
      <c r="A40" s="1">
        <v>1739</v>
      </c>
      <c r="B40" s="1">
        <f t="shared" si="0"/>
        <v>1739</v>
      </c>
      <c r="C40" t="s">
        <v>1018</v>
      </c>
      <c r="D40" t="s">
        <v>284</v>
      </c>
    </row>
    <row r="41" spans="1:4" x14ac:dyDescent="0.25">
      <c r="A41" s="1">
        <v>1740</v>
      </c>
      <c r="B41" s="1">
        <f t="shared" si="0"/>
        <v>1740</v>
      </c>
      <c r="C41" t="s">
        <v>1018</v>
      </c>
      <c r="D41" t="s">
        <v>285</v>
      </c>
    </row>
    <row r="42" spans="1:4" x14ac:dyDescent="0.25">
      <c r="A42" s="1">
        <v>1741</v>
      </c>
      <c r="B42" s="1">
        <f t="shared" si="0"/>
        <v>1741</v>
      </c>
      <c r="C42" t="s">
        <v>1016</v>
      </c>
      <c r="D42" t="s">
        <v>285</v>
      </c>
    </row>
    <row r="43" spans="1:4" x14ac:dyDescent="0.25">
      <c r="A43" s="1">
        <v>1742</v>
      </c>
      <c r="B43" s="1">
        <f t="shared" si="0"/>
        <v>1742</v>
      </c>
      <c r="C43" t="s">
        <v>1018</v>
      </c>
      <c r="D43" t="s">
        <v>286</v>
      </c>
    </row>
    <row r="44" spans="1:4" x14ac:dyDescent="0.25">
      <c r="A44" s="1">
        <v>1743</v>
      </c>
      <c r="B44" s="1">
        <f t="shared" si="0"/>
        <v>1743</v>
      </c>
      <c r="C44" t="s">
        <v>1013</v>
      </c>
      <c r="D44" t="s">
        <v>289</v>
      </c>
    </row>
    <row r="45" spans="1:4" x14ac:dyDescent="0.25">
      <c r="A45" s="1">
        <v>1744</v>
      </c>
      <c r="B45" s="1">
        <f t="shared" si="0"/>
        <v>1744</v>
      </c>
      <c r="C45" t="s">
        <v>1013</v>
      </c>
      <c r="D45" t="s">
        <v>1019</v>
      </c>
    </row>
    <row r="46" spans="1:4" x14ac:dyDescent="0.25">
      <c r="A46" s="1">
        <v>1745</v>
      </c>
      <c r="B46" s="1">
        <f t="shared" si="0"/>
        <v>1745</v>
      </c>
      <c r="C46" t="s">
        <v>1013</v>
      </c>
      <c r="D46" t="s">
        <v>298</v>
      </c>
    </row>
    <row r="47" spans="1:4" x14ac:dyDescent="0.25">
      <c r="A47" s="1">
        <v>1746</v>
      </c>
      <c r="B47" s="1">
        <f t="shared" si="0"/>
        <v>1746</v>
      </c>
      <c r="C47" t="s">
        <v>1013</v>
      </c>
      <c r="D47" t="s">
        <v>1020</v>
      </c>
    </row>
    <row r="48" spans="1:4" x14ac:dyDescent="0.25">
      <c r="A48" s="1">
        <v>1747</v>
      </c>
      <c r="B48" s="1">
        <f t="shared" si="0"/>
        <v>1747</v>
      </c>
      <c r="C48" t="s">
        <v>1013</v>
      </c>
      <c r="D48" t="s">
        <v>1021</v>
      </c>
    </row>
    <row r="49" spans="1:5" x14ac:dyDescent="0.25">
      <c r="A49" s="1">
        <v>1748</v>
      </c>
      <c r="B49" s="1">
        <f t="shared" si="0"/>
        <v>1748</v>
      </c>
      <c r="C49" t="s">
        <v>1013</v>
      </c>
      <c r="D49" t="s">
        <v>1022</v>
      </c>
    </row>
    <row r="50" spans="1:5" x14ac:dyDescent="0.25">
      <c r="A50" s="1">
        <v>1749</v>
      </c>
      <c r="B50" s="1">
        <f t="shared" si="0"/>
        <v>1749</v>
      </c>
      <c r="C50" t="s">
        <v>1013</v>
      </c>
      <c r="D50" t="s">
        <v>1023</v>
      </c>
    </row>
    <row r="51" spans="1:5" x14ac:dyDescent="0.25">
      <c r="A51" s="1">
        <v>1750</v>
      </c>
      <c r="B51" s="1">
        <f t="shared" si="0"/>
        <v>1750</v>
      </c>
      <c r="C51" t="s">
        <v>1013</v>
      </c>
      <c r="D51" t="s">
        <v>1024</v>
      </c>
    </row>
    <row r="52" spans="1:5" x14ac:dyDescent="0.25">
      <c r="A52" s="1">
        <v>1751</v>
      </c>
      <c r="B52" s="1">
        <f t="shared" si="0"/>
        <v>1751</v>
      </c>
      <c r="C52" t="s">
        <v>1025</v>
      </c>
      <c r="D52"/>
      <c r="E52" t="s">
        <v>382</v>
      </c>
    </row>
    <row r="53" spans="1:5" x14ac:dyDescent="0.25">
      <c r="A53" s="1">
        <v>1752</v>
      </c>
      <c r="B53" s="1">
        <f t="shared" si="0"/>
        <v>1752</v>
      </c>
      <c r="C53" t="s">
        <v>1026</v>
      </c>
      <c r="D53"/>
      <c r="E53" t="s">
        <v>384</v>
      </c>
    </row>
    <row r="54" spans="1:5" x14ac:dyDescent="0.25">
      <c r="A54" s="1">
        <v>1753</v>
      </c>
      <c r="B54" s="1">
        <f t="shared" si="0"/>
        <v>1753</v>
      </c>
      <c r="C54" t="s">
        <v>1027</v>
      </c>
      <c r="D54" t="s">
        <v>387</v>
      </c>
    </row>
    <row r="55" spans="1:5" x14ac:dyDescent="0.25">
      <c r="A55" s="1">
        <v>1754</v>
      </c>
      <c r="B55" s="1">
        <f t="shared" si="0"/>
        <v>1754</v>
      </c>
      <c r="C55" t="s">
        <v>1027</v>
      </c>
      <c r="D55" t="s">
        <v>444</v>
      </c>
    </row>
    <row r="56" spans="1:5" x14ac:dyDescent="0.25">
      <c r="A56" s="1">
        <v>1755</v>
      </c>
      <c r="B56" s="1">
        <f t="shared" si="0"/>
        <v>1755</v>
      </c>
      <c r="C56" t="s">
        <v>1028</v>
      </c>
      <c r="D56"/>
      <c r="E56" t="s">
        <v>459</v>
      </c>
    </row>
    <row r="57" spans="1:5" x14ac:dyDescent="0.25">
      <c r="A57" s="1">
        <v>1756</v>
      </c>
      <c r="B57" s="1">
        <f t="shared" si="0"/>
        <v>1756</v>
      </c>
      <c r="C57" t="s">
        <v>1029</v>
      </c>
      <c r="D57"/>
      <c r="E57" t="s">
        <v>461</v>
      </c>
    </row>
    <row r="58" spans="1:5" x14ac:dyDescent="0.25">
      <c r="A58" s="1">
        <v>1757</v>
      </c>
      <c r="B58" s="1">
        <f t="shared" si="0"/>
        <v>1757</v>
      </c>
      <c r="C58" t="s">
        <v>1030</v>
      </c>
      <c r="D58"/>
      <c r="E58" t="s">
        <v>463</v>
      </c>
    </row>
    <row r="59" spans="1:5" x14ac:dyDescent="0.25">
      <c r="A59" s="1">
        <v>1758</v>
      </c>
      <c r="B59" s="1">
        <f t="shared" si="0"/>
        <v>1758</v>
      </c>
      <c r="C59" t="s">
        <v>1031</v>
      </c>
      <c r="D59"/>
      <c r="E59" t="s">
        <v>464</v>
      </c>
    </row>
    <row r="60" spans="1:5" x14ac:dyDescent="0.25">
      <c r="A60" s="1">
        <v>1759</v>
      </c>
      <c r="B60" s="1">
        <f t="shared" si="0"/>
        <v>1759</v>
      </c>
      <c r="C60" t="s">
        <v>1031</v>
      </c>
      <c r="D60"/>
      <c r="E60" t="s">
        <v>1032</v>
      </c>
    </row>
    <row r="61" spans="1:5" x14ac:dyDescent="0.25">
      <c r="A61" s="1">
        <v>1760</v>
      </c>
      <c r="B61" s="1">
        <f t="shared" si="0"/>
        <v>1760</v>
      </c>
      <c r="C61" t="s">
        <v>1030</v>
      </c>
      <c r="D61"/>
      <c r="E61" t="s">
        <v>499</v>
      </c>
    </row>
    <row r="62" spans="1:5" x14ac:dyDescent="0.25">
      <c r="A62" s="1">
        <v>1761</v>
      </c>
      <c r="B62" s="1">
        <f t="shared" si="0"/>
        <v>1761</v>
      </c>
      <c r="C62" t="s">
        <v>1033</v>
      </c>
      <c r="D62" t="s">
        <v>500</v>
      </c>
    </row>
    <row r="63" spans="1:5" x14ac:dyDescent="0.25">
      <c r="A63" s="1">
        <v>1762</v>
      </c>
      <c r="B63" s="1">
        <f t="shared" si="0"/>
        <v>1762</v>
      </c>
      <c r="C63" t="s">
        <v>1033</v>
      </c>
      <c r="D63" t="s">
        <v>501</v>
      </c>
    </row>
    <row r="64" spans="1:5" x14ac:dyDescent="0.25">
      <c r="A64" s="1">
        <v>1763</v>
      </c>
      <c r="B64" s="1">
        <f t="shared" si="0"/>
        <v>1763</v>
      </c>
      <c r="C64" t="s">
        <v>1034</v>
      </c>
      <c r="D64" t="s">
        <v>502</v>
      </c>
    </row>
    <row r="65" spans="1:5" x14ac:dyDescent="0.25">
      <c r="A65" s="1">
        <v>1764</v>
      </c>
      <c r="B65" s="1">
        <f t="shared" si="0"/>
        <v>1764</v>
      </c>
      <c r="C65" t="s">
        <v>1034</v>
      </c>
      <c r="D65" t="s">
        <v>503</v>
      </c>
    </row>
    <row r="66" spans="1:5" x14ac:dyDescent="0.25">
      <c r="A66" s="1">
        <v>1765</v>
      </c>
      <c r="B66" s="1">
        <f t="shared" ref="B66:B111" si="1">A66</f>
        <v>1765</v>
      </c>
      <c r="C66" t="s">
        <v>1035</v>
      </c>
      <c r="D66"/>
      <c r="E66" t="s">
        <v>1036</v>
      </c>
    </row>
    <row r="67" spans="1:5" x14ac:dyDescent="0.25">
      <c r="A67" s="1">
        <v>1766</v>
      </c>
      <c r="B67" s="1">
        <f t="shared" si="1"/>
        <v>1766</v>
      </c>
      <c r="C67" t="s">
        <v>1037</v>
      </c>
      <c r="D67"/>
      <c r="E67" t="s">
        <v>515</v>
      </c>
    </row>
    <row r="68" spans="1:5" x14ac:dyDescent="0.25">
      <c r="A68" s="1">
        <v>1767</v>
      </c>
      <c r="B68" s="1">
        <f t="shared" si="1"/>
        <v>1767</v>
      </c>
      <c r="C68" t="s">
        <v>1037</v>
      </c>
      <c r="D68"/>
      <c r="E68" t="s">
        <v>1038</v>
      </c>
    </row>
    <row r="69" spans="1:5" x14ac:dyDescent="0.25">
      <c r="A69" s="1">
        <v>1768</v>
      </c>
      <c r="B69" s="1">
        <f t="shared" si="1"/>
        <v>1768</v>
      </c>
      <c r="C69" t="s">
        <v>1030</v>
      </c>
      <c r="D69"/>
      <c r="E69" t="s">
        <v>530</v>
      </c>
    </row>
    <row r="70" spans="1:5" x14ac:dyDescent="0.25">
      <c r="A70" s="1">
        <v>1769</v>
      </c>
      <c r="B70" s="1">
        <f t="shared" si="1"/>
        <v>1769</v>
      </c>
      <c r="C70" t="s">
        <v>1030</v>
      </c>
      <c r="D70"/>
      <c r="E70" t="s">
        <v>532</v>
      </c>
    </row>
    <row r="71" spans="1:5" x14ac:dyDescent="0.25">
      <c r="A71" s="1">
        <v>1770</v>
      </c>
      <c r="B71" s="1">
        <f t="shared" si="1"/>
        <v>1770</v>
      </c>
      <c r="C71" t="s">
        <v>1013</v>
      </c>
      <c r="D71" t="s">
        <v>533</v>
      </c>
    </row>
    <row r="72" spans="1:5" x14ac:dyDescent="0.25">
      <c r="A72" s="1">
        <v>1771</v>
      </c>
      <c r="B72" s="1">
        <f t="shared" si="1"/>
        <v>1771</v>
      </c>
      <c r="C72" t="s">
        <v>1027</v>
      </c>
      <c r="D72" t="s">
        <v>1039</v>
      </c>
    </row>
    <row r="73" spans="1:5" x14ac:dyDescent="0.25">
      <c r="A73" s="1">
        <v>1772</v>
      </c>
      <c r="B73" s="1">
        <f t="shared" si="1"/>
        <v>1772</v>
      </c>
      <c r="C73" t="s">
        <v>1013</v>
      </c>
      <c r="D73" t="s">
        <v>1040</v>
      </c>
    </row>
    <row r="74" spans="1:5" x14ac:dyDescent="0.25">
      <c r="A74" s="1">
        <v>1773</v>
      </c>
      <c r="B74" s="1">
        <f t="shared" si="1"/>
        <v>1773</v>
      </c>
      <c r="C74" t="s">
        <v>1041</v>
      </c>
      <c r="D74" t="s">
        <v>559</v>
      </c>
    </row>
    <row r="75" spans="1:5" x14ac:dyDescent="0.25">
      <c r="A75" s="1">
        <v>1774</v>
      </c>
      <c r="B75" s="1">
        <f t="shared" si="1"/>
        <v>1774</v>
      </c>
      <c r="C75" t="s">
        <v>1042</v>
      </c>
      <c r="D75"/>
      <c r="E75" t="s">
        <v>560</v>
      </c>
    </row>
    <row r="76" spans="1:5" x14ac:dyDescent="0.25">
      <c r="A76" s="1">
        <v>1775</v>
      </c>
      <c r="B76" s="1">
        <f t="shared" si="1"/>
        <v>1775</v>
      </c>
      <c r="C76" t="s">
        <v>1013</v>
      </c>
      <c r="D76" t="s">
        <v>561</v>
      </c>
    </row>
    <row r="77" spans="1:5" x14ac:dyDescent="0.25">
      <c r="A77" s="1">
        <v>1776</v>
      </c>
      <c r="B77" s="1">
        <f t="shared" si="1"/>
        <v>1776</v>
      </c>
      <c r="C77" t="s">
        <v>1043</v>
      </c>
      <c r="D77" t="s">
        <v>562</v>
      </c>
    </row>
    <row r="78" spans="1:5" x14ac:dyDescent="0.25">
      <c r="A78" s="1">
        <v>1777</v>
      </c>
      <c r="B78" s="1">
        <f t="shared" si="1"/>
        <v>1777</v>
      </c>
      <c r="C78" t="s">
        <v>1044</v>
      </c>
      <c r="D78"/>
      <c r="E78" t="s">
        <v>563</v>
      </c>
    </row>
    <row r="79" spans="1:5" x14ac:dyDescent="0.25">
      <c r="A79" s="1">
        <v>1778</v>
      </c>
      <c r="B79" s="1">
        <f t="shared" si="1"/>
        <v>1778</v>
      </c>
      <c r="C79" t="s">
        <v>996</v>
      </c>
      <c r="D79" t="s">
        <v>634</v>
      </c>
    </row>
    <row r="80" spans="1:5" x14ac:dyDescent="0.25">
      <c r="A80" s="1">
        <v>1779</v>
      </c>
      <c r="B80" s="1">
        <f t="shared" si="1"/>
        <v>1779</v>
      </c>
      <c r="C80" t="s">
        <v>1030</v>
      </c>
      <c r="D80"/>
      <c r="E80" t="s">
        <v>651</v>
      </c>
    </row>
    <row r="81" spans="1:5" x14ac:dyDescent="0.25">
      <c r="A81" s="1">
        <v>1780</v>
      </c>
      <c r="B81" s="1">
        <f t="shared" si="1"/>
        <v>1780</v>
      </c>
      <c r="C81" t="s">
        <v>1030</v>
      </c>
      <c r="D81"/>
      <c r="E81" t="s">
        <v>652</v>
      </c>
    </row>
    <row r="82" spans="1:5" x14ac:dyDescent="0.25">
      <c r="A82" s="1">
        <v>1781</v>
      </c>
      <c r="B82" s="1">
        <f t="shared" si="1"/>
        <v>1781</v>
      </c>
      <c r="C82" t="s">
        <v>1013</v>
      </c>
      <c r="D82" t="s">
        <v>655</v>
      </c>
    </row>
    <row r="83" spans="1:5" x14ac:dyDescent="0.25">
      <c r="A83" s="1">
        <v>1782</v>
      </c>
      <c r="B83" s="1">
        <f t="shared" si="1"/>
        <v>1782</v>
      </c>
      <c r="C83" t="s">
        <v>1045</v>
      </c>
      <c r="D83" t="s">
        <v>656</v>
      </c>
    </row>
    <row r="84" spans="1:5" x14ac:dyDescent="0.25">
      <c r="A84" s="1">
        <v>1783</v>
      </c>
      <c r="B84" s="1">
        <f t="shared" si="1"/>
        <v>1783</v>
      </c>
      <c r="C84" t="s">
        <v>1046</v>
      </c>
      <c r="D84" t="s">
        <v>657</v>
      </c>
    </row>
    <row r="85" spans="1:5" x14ac:dyDescent="0.25">
      <c r="A85" s="1">
        <v>1784</v>
      </c>
      <c r="B85" s="1">
        <f t="shared" si="1"/>
        <v>1784</v>
      </c>
      <c r="C85" t="s">
        <v>1047</v>
      </c>
      <c r="D85" t="s">
        <v>658</v>
      </c>
    </row>
    <row r="86" spans="1:5" x14ac:dyDescent="0.25">
      <c r="A86" s="1">
        <v>1785</v>
      </c>
      <c r="B86" s="1">
        <f t="shared" si="1"/>
        <v>1785</v>
      </c>
      <c r="C86" t="s">
        <v>1013</v>
      </c>
      <c r="D86" t="s">
        <v>660</v>
      </c>
    </row>
    <row r="87" spans="1:5" x14ac:dyDescent="0.25">
      <c r="A87" s="1">
        <v>1786</v>
      </c>
      <c r="B87" s="1">
        <f t="shared" si="1"/>
        <v>1786</v>
      </c>
      <c r="C87" t="s">
        <v>1048</v>
      </c>
      <c r="D87" t="s">
        <v>661</v>
      </c>
    </row>
    <row r="88" spans="1:5" x14ac:dyDescent="0.25">
      <c r="A88" s="1">
        <v>1787</v>
      </c>
      <c r="B88" s="1">
        <f t="shared" si="1"/>
        <v>1787</v>
      </c>
      <c r="C88" t="s">
        <v>1049</v>
      </c>
      <c r="D88" t="s">
        <v>662</v>
      </c>
    </row>
    <row r="89" spans="1:5" x14ac:dyDescent="0.25">
      <c r="A89" s="1">
        <v>1788</v>
      </c>
      <c r="B89" s="1">
        <f t="shared" si="1"/>
        <v>1788</v>
      </c>
      <c r="C89" t="s">
        <v>1050</v>
      </c>
      <c r="D89" t="s">
        <v>663</v>
      </c>
    </row>
    <row r="90" spans="1:5" x14ac:dyDescent="0.25">
      <c r="A90" s="1">
        <v>1789</v>
      </c>
      <c r="B90" s="1">
        <f t="shared" si="1"/>
        <v>1789</v>
      </c>
      <c r="C90" t="s">
        <v>1051</v>
      </c>
      <c r="D90" t="s">
        <v>664</v>
      </c>
    </row>
    <row r="91" spans="1:5" x14ac:dyDescent="0.25">
      <c r="A91" s="1">
        <v>1790</v>
      </c>
      <c r="B91" s="1">
        <f t="shared" si="1"/>
        <v>1790</v>
      </c>
      <c r="C91" t="s">
        <v>1013</v>
      </c>
      <c r="D91" t="s">
        <v>666</v>
      </c>
    </row>
    <row r="92" spans="1:5" x14ac:dyDescent="0.25">
      <c r="A92" s="1">
        <v>1791</v>
      </c>
      <c r="B92" s="1">
        <f t="shared" si="1"/>
        <v>1791</v>
      </c>
      <c r="C92" t="s">
        <v>1052</v>
      </c>
      <c r="D92" t="s">
        <v>667</v>
      </c>
    </row>
    <row r="93" spans="1:5" x14ac:dyDescent="0.25">
      <c r="A93" s="1">
        <v>1792</v>
      </c>
      <c r="B93" s="1">
        <f t="shared" si="1"/>
        <v>1792</v>
      </c>
      <c r="C93" t="s">
        <v>1053</v>
      </c>
      <c r="D93" t="s">
        <v>668</v>
      </c>
    </row>
    <row r="94" spans="1:5" x14ac:dyDescent="0.25">
      <c r="A94" s="1">
        <v>1793</v>
      </c>
      <c r="B94" s="1">
        <f t="shared" si="1"/>
        <v>1793</v>
      </c>
      <c r="C94" t="s">
        <v>1054</v>
      </c>
      <c r="D94" t="s">
        <v>669</v>
      </c>
    </row>
    <row r="95" spans="1:5" x14ac:dyDescent="0.25">
      <c r="A95" s="1">
        <v>1794</v>
      </c>
      <c r="B95" s="1">
        <f t="shared" si="1"/>
        <v>1794</v>
      </c>
      <c r="C95" t="s">
        <v>1055</v>
      </c>
      <c r="D95" t="s">
        <v>680</v>
      </c>
    </row>
    <row r="96" spans="1:5" x14ac:dyDescent="0.25">
      <c r="A96" s="1">
        <v>1795</v>
      </c>
      <c r="B96" s="1">
        <f t="shared" si="1"/>
        <v>1795</v>
      </c>
      <c r="C96" t="s">
        <v>1056</v>
      </c>
      <c r="D96" t="s">
        <v>681</v>
      </c>
    </row>
    <row r="97" spans="1:4" x14ac:dyDescent="0.25">
      <c r="A97" s="1">
        <v>1796</v>
      </c>
      <c r="B97" s="1">
        <f t="shared" si="1"/>
        <v>1796</v>
      </c>
      <c r="C97" t="s">
        <v>1057</v>
      </c>
      <c r="D97" t="s">
        <v>1058</v>
      </c>
    </row>
    <row r="98" spans="1:4" x14ac:dyDescent="0.25">
      <c r="A98" s="1">
        <v>1797</v>
      </c>
      <c r="B98" s="1">
        <f t="shared" si="1"/>
        <v>1797</v>
      </c>
      <c r="C98" t="s">
        <v>1059</v>
      </c>
      <c r="D98" t="s">
        <v>1060</v>
      </c>
    </row>
    <row r="99" spans="1:4" x14ac:dyDescent="0.25">
      <c r="A99" s="1">
        <v>1798</v>
      </c>
      <c r="B99" s="1">
        <f t="shared" si="1"/>
        <v>1798</v>
      </c>
      <c r="C99" t="s">
        <v>1061</v>
      </c>
      <c r="D99" t="s">
        <v>1062</v>
      </c>
    </row>
    <row r="100" spans="1:4" x14ac:dyDescent="0.25">
      <c r="A100" s="1">
        <v>1799</v>
      </c>
      <c r="B100" s="1">
        <f t="shared" si="1"/>
        <v>1799</v>
      </c>
      <c r="C100" t="s">
        <v>1063</v>
      </c>
      <c r="D100" t="s">
        <v>1064</v>
      </c>
    </row>
    <row r="101" spans="1:4" x14ac:dyDescent="0.25">
      <c r="A101" s="1">
        <v>1800</v>
      </c>
      <c r="B101" s="1">
        <f t="shared" si="1"/>
        <v>1800</v>
      </c>
      <c r="C101" t="s">
        <v>1013</v>
      </c>
      <c r="D101" t="s">
        <v>835</v>
      </c>
    </row>
    <row r="102" spans="1:4" x14ac:dyDescent="0.25">
      <c r="A102" s="1">
        <v>1801</v>
      </c>
      <c r="B102" s="1">
        <f t="shared" si="1"/>
        <v>1801</v>
      </c>
      <c r="C102" t="s">
        <v>1065</v>
      </c>
      <c r="D102" t="s">
        <v>836</v>
      </c>
    </row>
    <row r="103" spans="1:4" x14ac:dyDescent="0.25">
      <c r="A103" s="1">
        <v>1802</v>
      </c>
      <c r="B103" s="1">
        <f t="shared" si="1"/>
        <v>1802</v>
      </c>
      <c r="C103" t="s">
        <v>1066</v>
      </c>
      <c r="D103" t="s">
        <v>837</v>
      </c>
    </row>
    <row r="104" spans="1:4" x14ac:dyDescent="0.25">
      <c r="A104" s="1">
        <v>1803</v>
      </c>
      <c r="B104" s="1">
        <f t="shared" si="1"/>
        <v>1803</v>
      </c>
      <c r="C104" t="s">
        <v>1013</v>
      </c>
      <c r="D104" t="s">
        <v>1067</v>
      </c>
    </row>
    <row r="105" spans="1:4" x14ac:dyDescent="0.25">
      <c r="A105" s="1">
        <v>1804</v>
      </c>
      <c r="B105" s="1">
        <f t="shared" si="1"/>
        <v>1804</v>
      </c>
      <c r="C105" t="s">
        <v>1068</v>
      </c>
      <c r="D105" t="s">
        <v>886</v>
      </c>
    </row>
    <row r="106" spans="1:4" x14ac:dyDescent="0.25">
      <c r="A106" s="1">
        <v>1805</v>
      </c>
      <c r="B106" s="1">
        <f t="shared" si="1"/>
        <v>1805</v>
      </c>
      <c r="C106" t="s">
        <v>1069</v>
      </c>
      <c r="D106" t="s">
        <v>887</v>
      </c>
    </row>
    <row r="107" spans="1:4" x14ac:dyDescent="0.25">
      <c r="A107" s="1">
        <v>1806</v>
      </c>
      <c r="B107" s="1">
        <f t="shared" si="1"/>
        <v>1806</v>
      </c>
      <c r="C107" t="s">
        <v>1070</v>
      </c>
      <c r="D107" t="s">
        <v>889</v>
      </c>
    </row>
    <row r="108" spans="1:4" x14ac:dyDescent="0.25">
      <c r="A108" s="1">
        <v>1807</v>
      </c>
      <c r="B108" s="1">
        <f t="shared" si="1"/>
        <v>1807</v>
      </c>
      <c r="C108" t="s">
        <v>1071</v>
      </c>
      <c r="D108" t="s">
        <v>901</v>
      </c>
    </row>
    <row r="109" spans="1:4" x14ac:dyDescent="0.25">
      <c r="A109" s="1">
        <v>1808</v>
      </c>
      <c r="B109" s="1">
        <f t="shared" si="1"/>
        <v>1808</v>
      </c>
      <c r="C109" t="s">
        <v>1072</v>
      </c>
      <c r="D109" t="s">
        <v>909</v>
      </c>
    </row>
    <row r="110" spans="1:4" x14ac:dyDescent="0.25">
      <c r="A110" s="1">
        <v>1809</v>
      </c>
      <c r="B110" s="1">
        <f t="shared" si="1"/>
        <v>1809</v>
      </c>
      <c r="C110" t="s">
        <v>1073</v>
      </c>
      <c r="D110" t="s">
        <v>910</v>
      </c>
    </row>
    <row r="111" spans="1:4" x14ac:dyDescent="0.25">
      <c r="A111" s="1">
        <v>1810</v>
      </c>
      <c r="B111" s="1">
        <f t="shared" si="1"/>
        <v>1810</v>
      </c>
      <c r="C111" t="s">
        <v>1074</v>
      </c>
      <c r="D111" t="s">
        <v>911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5"/>
  <sheetViews>
    <sheetView workbookViewId="0">
      <selection activeCell="P31" sqref="P31"/>
    </sheetView>
  </sheetViews>
  <sheetFormatPr defaultRowHeight="16.5" x14ac:dyDescent="0.25"/>
  <cols>
    <col min="2" max="2" width="11.25" style="21" customWidth="1"/>
    <col min="4" max="4" width="8.875" style="1" customWidth="1"/>
    <col min="9" max="9" width="15" style="21" customWidth="1"/>
    <col min="10" max="10" width="30.5" style="21" customWidth="1"/>
  </cols>
  <sheetData>
    <row r="1" spans="1:19" s="1" customFormat="1" x14ac:dyDescent="0.25">
      <c r="A1" s="1" t="s">
        <v>915</v>
      </c>
      <c r="B1" s="1" t="s">
        <v>24</v>
      </c>
      <c r="C1" s="9" t="s">
        <v>25</v>
      </c>
      <c r="D1" s="9" t="s">
        <v>917</v>
      </c>
      <c r="E1" s="14" t="s">
        <v>918</v>
      </c>
      <c r="F1" s="11" t="s">
        <v>919</v>
      </c>
      <c r="G1" s="11" t="s">
        <v>920</v>
      </c>
      <c r="H1" s="11" t="s">
        <v>921</v>
      </c>
      <c r="I1" s="11" t="s">
        <v>1075</v>
      </c>
      <c r="J1" s="11" t="s">
        <v>1076</v>
      </c>
    </row>
    <row r="2" spans="1:19" x14ac:dyDescent="0.25">
      <c r="A2" s="1" t="s">
        <v>382</v>
      </c>
      <c r="B2" s="1" t="s">
        <v>30</v>
      </c>
      <c r="C2" s="1">
        <v>5</v>
      </c>
      <c r="D2" s="1" t="s">
        <v>922</v>
      </c>
      <c r="E2" s="14" t="s">
        <v>1077</v>
      </c>
      <c r="F2" s="11" t="s">
        <v>1078</v>
      </c>
      <c r="G2" s="11" t="s">
        <v>1079</v>
      </c>
      <c r="H2" s="11" t="s">
        <v>1080</v>
      </c>
      <c r="I2" s="11" t="str">
        <f t="shared" ref="I2:I18" si="0">H2</f>
        <v>99996</v>
      </c>
      <c r="J2" s="1" t="str">
        <f t="shared" ref="J2:J35" si="1">"if  "&amp;A2&amp;"~="&amp;I2&amp;" "&amp;A2&amp;"_96=0."</f>
        <v>if  vB2~=99996 vB2_96=0.</v>
      </c>
      <c r="L2" s="8" t="s">
        <v>1081</v>
      </c>
      <c r="M2" s="1"/>
      <c r="N2" s="1"/>
      <c r="O2" s="1"/>
      <c r="P2" s="14"/>
      <c r="Q2" s="11"/>
      <c r="R2" s="11"/>
      <c r="S2" s="11"/>
    </row>
    <row r="3" spans="1:19" x14ac:dyDescent="0.25">
      <c r="A3" s="1" t="s">
        <v>384</v>
      </c>
      <c r="B3" s="1" t="s">
        <v>30</v>
      </c>
      <c r="C3" s="1">
        <v>5</v>
      </c>
      <c r="D3" s="1" t="s">
        <v>922</v>
      </c>
      <c r="E3" s="14" t="s">
        <v>1077</v>
      </c>
      <c r="F3" s="11" t="s">
        <v>1078</v>
      </c>
      <c r="G3" s="11" t="s">
        <v>1079</v>
      </c>
      <c r="H3" s="11" t="s">
        <v>1080</v>
      </c>
      <c r="I3" s="11" t="str">
        <f t="shared" si="0"/>
        <v>99996</v>
      </c>
      <c r="J3" s="1" t="str">
        <f t="shared" si="1"/>
        <v>if  vB4~=99996 vB4_96=0.</v>
      </c>
      <c r="K3" s="1"/>
      <c r="L3" s="1"/>
      <c r="M3" s="1"/>
      <c r="N3" s="1"/>
      <c r="O3" s="1"/>
      <c r="P3" s="14"/>
      <c r="Q3" s="11"/>
      <c r="R3" s="11"/>
      <c r="S3" s="11"/>
    </row>
    <row r="4" spans="1:19" x14ac:dyDescent="0.25">
      <c r="A4" s="1" t="s">
        <v>387</v>
      </c>
      <c r="B4" s="1" t="s">
        <v>30</v>
      </c>
      <c r="C4" s="1">
        <v>5</v>
      </c>
      <c r="D4" s="1" t="s">
        <v>922</v>
      </c>
      <c r="E4" s="14" t="s">
        <v>1077</v>
      </c>
      <c r="F4" s="11" t="s">
        <v>1078</v>
      </c>
      <c r="G4" s="11" t="s">
        <v>1079</v>
      </c>
      <c r="H4" s="11" t="s">
        <v>1080</v>
      </c>
      <c r="I4" s="11" t="str">
        <f t="shared" si="0"/>
        <v>99996</v>
      </c>
      <c r="J4" s="1" t="str">
        <f t="shared" si="1"/>
        <v>if  vB6~=99996 vB6_96=0.</v>
      </c>
      <c r="K4" s="1"/>
      <c r="L4" s="1"/>
      <c r="M4" s="1"/>
      <c r="N4" s="1"/>
      <c r="O4" s="1"/>
      <c r="P4" s="14"/>
      <c r="Q4" s="11"/>
      <c r="R4" s="11"/>
      <c r="S4" s="11"/>
    </row>
    <row r="5" spans="1:19" x14ac:dyDescent="0.25">
      <c r="A5" s="1" t="s">
        <v>515</v>
      </c>
      <c r="B5" s="1" t="s">
        <v>30</v>
      </c>
      <c r="C5" s="1">
        <v>5</v>
      </c>
      <c r="D5" s="1" t="s">
        <v>922</v>
      </c>
      <c r="E5" s="14" t="s">
        <v>1077</v>
      </c>
      <c r="F5" s="11" t="s">
        <v>1078</v>
      </c>
      <c r="G5" s="11" t="s">
        <v>1079</v>
      </c>
      <c r="H5" s="11" t="s">
        <v>1080</v>
      </c>
      <c r="I5" s="11" t="str">
        <f t="shared" si="0"/>
        <v>99996</v>
      </c>
      <c r="J5" s="1" t="str">
        <f t="shared" si="1"/>
        <v>if  vC2~=99996 vC2_96=0.</v>
      </c>
      <c r="K5" s="1"/>
      <c r="L5" s="1"/>
      <c r="M5" s="1"/>
      <c r="N5" s="1"/>
      <c r="O5" s="1"/>
      <c r="P5" s="14"/>
      <c r="Q5" s="11"/>
      <c r="R5" s="11"/>
      <c r="S5" s="11"/>
    </row>
    <row r="6" spans="1:19" x14ac:dyDescent="0.25">
      <c r="A6" s="1" t="s">
        <v>81</v>
      </c>
      <c r="B6" s="1" t="s">
        <v>30</v>
      </c>
      <c r="C6" s="1">
        <v>5</v>
      </c>
      <c r="D6" s="1" t="s">
        <v>922</v>
      </c>
      <c r="E6" s="14" t="s">
        <v>1077</v>
      </c>
      <c r="F6" s="11" t="s">
        <v>1078</v>
      </c>
      <c r="G6" s="11" t="s">
        <v>1079</v>
      </c>
      <c r="H6" s="11" t="s">
        <v>1080</v>
      </c>
      <c r="I6" s="11" t="str">
        <f t="shared" si="0"/>
        <v>99996</v>
      </c>
      <c r="J6" s="1" t="str">
        <f t="shared" si="1"/>
        <v>if  vD3~=99996 vD3_96=0.</v>
      </c>
      <c r="K6" s="1"/>
      <c r="L6" s="1"/>
      <c r="M6" s="1"/>
      <c r="N6" s="1"/>
      <c r="O6" s="1"/>
      <c r="P6" s="14"/>
      <c r="Q6" s="11"/>
      <c r="R6" s="11"/>
      <c r="S6" s="11"/>
    </row>
    <row r="7" spans="1:19" x14ac:dyDescent="0.25">
      <c r="A7" s="1" t="s">
        <v>1082</v>
      </c>
      <c r="B7" s="1" t="s">
        <v>30</v>
      </c>
      <c r="C7" s="1">
        <v>5</v>
      </c>
      <c r="D7" s="1" t="s">
        <v>922</v>
      </c>
      <c r="E7" s="14" t="s">
        <v>1083</v>
      </c>
      <c r="F7" s="11" t="s">
        <v>1078</v>
      </c>
      <c r="G7" s="11" t="s">
        <v>1079</v>
      </c>
      <c r="H7" s="11" t="s">
        <v>1080</v>
      </c>
      <c r="I7" s="11" t="str">
        <f t="shared" si="0"/>
        <v>99996</v>
      </c>
      <c r="J7" s="1" t="str">
        <f t="shared" si="1"/>
        <v>if  vE5sE5~=99996 vE5sE5_96=0.</v>
      </c>
      <c r="K7" s="1"/>
      <c r="L7" s="1"/>
      <c r="M7" s="1"/>
      <c r="N7" s="1"/>
      <c r="O7" s="1"/>
      <c r="P7" s="14"/>
      <c r="Q7" s="11"/>
      <c r="R7" s="11"/>
      <c r="S7" s="11"/>
    </row>
    <row r="8" spans="1:19" x14ac:dyDescent="0.25">
      <c r="A8" s="1" t="s">
        <v>1084</v>
      </c>
      <c r="B8" s="1" t="s">
        <v>30</v>
      </c>
      <c r="C8" s="1">
        <v>5</v>
      </c>
      <c r="D8" s="1" t="s">
        <v>922</v>
      </c>
      <c r="E8" s="14" t="s">
        <v>1083</v>
      </c>
      <c r="F8" s="11" t="s">
        <v>1078</v>
      </c>
      <c r="G8" s="11" t="s">
        <v>1079</v>
      </c>
      <c r="H8" s="11" t="s">
        <v>1080</v>
      </c>
      <c r="I8" s="11" t="str">
        <f t="shared" si="0"/>
        <v>99996</v>
      </c>
      <c r="J8" s="1" t="str">
        <f t="shared" si="1"/>
        <v>if  vE5sE6~=99996 vE5sE6_96=0.</v>
      </c>
      <c r="K8" s="1"/>
      <c r="L8" s="1"/>
      <c r="M8" s="1"/>
      <c r="N8" s="1"/>
      <c r="O8" s="1"/>
      <c r="P8" s="14"/>
      <c r="Q8" s="11"/>
      <c r="R8" s="11"/>
      <c r="S8" s="11"/>
    </row>
    <row r="9" spans="1:19" x14ac:dyDescent="0.25">
      <c r="A9" s="1" t="s">
        <v>1085</v>
      </c>
      <c r="B9" s="1" t="s">
        <v>30</v>
      </c>
      <c r="C9" s="1">
        <v>5</v>
      </c>
      <c r="D9" s="1" t="s">
        <v>922</v>
      </c>
      <c r="E9" s="14" t="s">
        <v>1083</v>
      </c>
      <c r="F9" s="11" t="s">
        <v>1078</v>
      </c>
      <c r="G9" s="11" t="s">
        <v>1079</v>
      </c>
      <c r="H9" s="11" t="s">
        <v>1080</v>
      </c>
      <c r="I9" s="11" t="str">
        <f t="shared" si="0"/>
        <v>99996</v>
      </c>
      <c r="J9" s="1" t="str">
        <f t="shared" si="1"/>
        <v>if  vE8sE8~=99996 vE8sE8_96=0.</v>
      </c>
      <c r="K9" s="1"/>
      <c r="L9" s="1"/>
      <c r="M9" s="1"/>
      <c r="N9" s="1"/>
      <c r="O9" s="1"/>
      <c r="P9" s="14"/>
      <c r="Q9" s="11"/>
      <c r="R9" s="11"/>
      <c r="S9" s="11"/>
    </row>
    <row r="10" spans="1:19" x14ac:dyDescent="0.25">
      <c r="A10" s="1" t="s">
        <v>1086</v>
      </c>
      <c r="B10" s="1" t="s">
        <v>30</v>
      </c>
      <c r="C10" s="1">
        <v>5</v>
      </c>
      <c r="D10" s="1" t="s">
        <v>922</v>
      </c>
      <c r="E10" s="14" t="s">
        <v>1083</v>
      </c>
      <c r="F10" s="11" t="s">
        <v>1078</v>
      </c>
      <c r="G10" s="11" t="s">
        <v>1079</v>
      </c>
      <c r="H10" s="11" t="s">
        <v>1080</v>
      </c>
      <c r="I10" s="11" t="str">
        <f t="shared" si="0"/>
        <v>99996</v>
      </c>
      <c r="J10" s="1" t="str">
        <f t="shared" si="1"/>
        <v>if  vE8sE9~=99996 vE8sE9_96=0.</v>
      </c>
      <c r="K10" s="1"/>
      <c r="L10" s="1"/>
      <c r="M10" s="1"/>
      <c r="N10" s="1"/>
      <c r="O10" s="1"/>
      <c r="P10" s="14"/>
      <c r="Q10" s="11"/>
      <c r="R10" s="11"/>
      <c r="S10" s="11"/>
    </row>
    <row r="11" spans="1:19" x14ac:dyDescent="0.25">
      <c r="A11" s="1" t="s">
        <v>1087</v>
      </c>
      <c r="B11" s="1" t="s">
        <v>30</v>
      </c>
      <c r="C11" s="1">
        <v>5</v>
      </c>
      <c r="D11" s="1" t="s">
        <v>922</v>
      </c>
      <c r="E11" s="14" t="s">
        <v>1083</v>
      </c>
      <c r="F11" s="11" t="s">
        <v>1078</v>
      </c>
      <c r="G11" s="11" t="s">
        <v>1079</v>
      </c>
      <c r="H11" s="11" t="s">
        <v>1080</v>
      </c>
      <c r="I11" s="11" t="str">
        <f t="shared" si="0"/>
        <v>99996</v>
      </c>
      <c r="J11" s="1" t="str">
        <f t="shared" si="1"/>
        <v>if  vE11sE11~=99996 vE11sE11_96=0.</v>
      </c>
      <c r="K11" s="1"/>
      <c r="L11" s="1"/>
      <c r="M11" s="1"/>
      <c r="N11" s="1"/>
      <c r="O11" s="1"/>
      <c r="P11" s="14"/>
      <c r="Q11" s="11"/>
      <c r="R11" s="11"/>
      <c r="S11" s="11"/>
    </row>
    <row r="12" spans="1:19" x14ac:dyDescent="0.25">
      <c r="A12" s="1" t="s">
        <v>1088</v>
      </c>
      <c r="B12" s="1" t="s">
        <v>30</v>
      </c>
      <c r="C12" s="1">
        <v>5</v>
      </c>
      <c r="D12" s="1" t="s">
        <v>922</v>
      </c>
      <c r="E12" s="14" t="s">
        <v>1083</v>
      </c>
      <c r="F12" s="11" t="s">
        <v>1078</v>
      </c>
      <c r="G12" s="11" t="s">
        <v>1079</v>
      </c>
      <c r="H12" s="11" t="s">
        <v>1080</v>
      </c>
      <c r="I12" s="11" t="str">
        <f t="shared" si="0"/>
        <v>99996</v>
      </c>
      <c r="J12" s="1" t="str">
        <f t="shared" si="1"/>
        <v>if  vE11sE12~=99996 vE11sE12_96=0.</v>
      </c>
      <c r="K12" s="1"/>
      <c r="L12" s="1"/>
      <c r="M12" s="1"/>
      <c r="N12" s="1"/>
      <c r="O12" s="1"/>
      <c r="P12" s="14"/>
      <c r="Q12" s="11"/>
      <c r="R12" s="11"/>
      <c r="S12" s="11"/>
    </row>
    <row r="13" spans="1:19" x14ac:dyDescent="0.25">
      <c r="A13" s="1" t="s">
        <v>289</v>
      </c>
      <c r="B13" s="1" t="s">
        <v>30</v>
      </c>
      <c r="C13" s="1">
        <v>5</v>
      </c>
      <c r="D13" s="1" t="s">
        <v>922</v>
      </c>
      <c r="E13" s="14" t="s">
        <v>1077</v>
      </c>
      <c r="F13" s="11" t="s">
        <v>1078</v>
      </c>
      <c r="G13" s="11" t="s">
        <v>1079</v>
      </c>
      <c r="H13" s="11" t="s">
        <v>1080</v>
      </c>
      <c r="I13" s="11" t="str">
        <f t="shared" si="0"/>
        <v>99996</v>
      </c>
      <c r="J13" s="1" t="str">
        <f t="shared" si="1"/>
        <v>if  vE3~=99996 vE3_96=0.</v>
      </c>
      <c r="K13" s="1"/>
      <c r="L13" s="1"/>
      <c r="M13" s="1"/>
      <c r="N13" s="1"/>
      <c r="O13" s="1"/>
      <c r="P13" s="14"/>
      <c r="Q13" s="11"/>
      <c r="R13" s="11"/>
      <c r="S13" s="11"/>
    </row>
    <row r="14" spans="1:19" x14ac:dyDescent="0.25">
      <c r="A14" s="1" t="s">
        <v>298</v>
      </c>
      <c r="B14" s="1" t="s">
        <v>30</v>
      </c>
      <c r="C14" s="1">
        <v>7</v>
      </c>
      <c r="D14" s="1" t="s">
        <v>922</v>
      </c>
      <c r="E14" s="14" t="s">
        <v>1089</v>
      </c>
      <c r="F14" s="11" t="s">
        <v>1090</v>
      </c>
      <c r="G14" s="11" t="s">
        <v>1091</v>
      </c>
      <c r="H14" s="11" t="s">
        <v>1092</v>
      </c>
      <c r="I14" s="11" t="str">
        <f t="shared" si="0"/>
        <v>9999996</v>
      </c>
      <c r="J14" s="1" t="str">
        <f t="shared" si="1"/>
        <v>if  vE14~=9999996 vE14_96=0.</v>
      </c>
      <c r="K14" s="1"/>
      <c r="L14" s="1"/>
      <c r="M14" s="1"/>
      <c r="N14" s="1"/>
      <c r="O14" s="1"/>
      <c r="P14" s="14"/>
      <c r="Q14" s="11"/>
      <c r="R14" s="11"/>
      <c r="S14" s="11"/>
    </row>
    <row r="15" spans="1:19" x14ac:dyDescent="0.25">
      <c r="A15" s="1" t="s">
        <v>501</v>
      </c>
      <c r="B15" s="1" t="s">
        <v>30</v>
      </c>
      <c r="C15" s="1">
        <v>5</v>
      </c>
      <c r="D15" s="1" t="s">
        <v>922</v>
      </c>
      <c r="E15" s="14" t="s">
        <v>1077</v>
      </c>
      <c r="F15" s="11" t="s">
        <v>1078</v>
      </c>
      <c r="G15" s="11" t="s">
        <v>1079</v>
      </c>
      <c r="H15" s="11" t="s">
        <v>1080</v>
      </c>
      <c r="I15" s="11" t="str">
        <f t="shared" si="0"/>
        <v>99996</v>
      </c>
      <c r="J15" s="1" t="str">
        <f t="shared" si="1"/>
        <v>if  vF2~=99996 vF2_96=0.</v>
      </c>
      <c r="K15" s="1"/>
      <c r="L15" s="1"/>
      <c r="M15" s="1"/>
      <c r="N15" s="1"/>
      <c r="O15" s="1"/>
      <c r="P15" s="14"/>
      <c r="Q15" s="11"/>
      <c r="R15" s="11"/>
      <c r="S15" s="11"/>
    </row>
    <row r="16" spans="1:19" x14ac:dyDescent="0.25">
      <c r="A16" s="1" t="s">
        <v>503</v>
      </c>
      <c r="B16" s="1" t="s">
        <v>30</v>
      </c>
      <c r="C16" s="1">
        <v>5</v>
      </c>
      <c r="D16" s="1" t="s">
        <v>922</v>
      </c>
      <c r="E16" s="14" t="s">
        <v>1077</v>
      </c>
      <c r="F16" s="11" t="s">
        <v>1078</v>
      </c>
      <c r="G16" s="11" t="s">
        <v>1079</v>
      </c>
      <c r="H16" s="11" t="s">
        <v>1080</v>
      </c>
      <c r="I16" s="11" t="str">
        <f t="shared" si="0"/>
        <v>99996</v>
      </c>
      <c r="J16" s="1" t="str">
        <f t="shared" si="1"/>
        <v>if  vF4~=99996 vF4_96=0.</v>
      </c>
      <c r="K16" s="1"/>
      <c r="L16" s="1"/>
      <c r="M16" s="1"/>
      <c r="N16" s="1"/>
      <c r="O16" s="1"/>
      <c r="P16" s="14"/>
      <c r="Q16" s="11"/>
      <c r="R16" s="11"/>
      <c r="S16" s="11"/>
    </row>
    <row r="17" spans="1:19" x14ac:dyDescent="0.25">
      <c r="A17" s="1" t="s">
        <v>464</v>
      </c>
      <c r="B17" s="1" t="s">
        <v>30</v>
      </c>
      <c r="C17" s="1">
        <v>5</v>
      </c>
      <c r="D17" s="1" t="s">
        <v>922</v>
      </c>
      <c r="E17" s="14" t="s">
        <v>1077</v>
      </c>
      <c r="F17" s="11" t="s">
        <v>1078</v>
      </c>
      <c r="G17" s="11" t="s">
        <v>1079</v>
      </c>
      <c r="H17" s="11" t="s">
        <v>1080</v>
      </c>
      <c r="I17" s="11" t="str">
        <f t="shared" si="0"/>
        <v>99996</v>
      </c>
      <c r="J17" s="1" t="str">
        <f t="shared" si="1"/>
        <v>if  vG2~=99996 vG2_96=0.</v>
      </c>
      <c r="K17" s="1"/>
      <c r="L17" s="1"/>
      <c r="M17" s="1"/>
      <c r="N17" s="1"/>
      <c r="O17" s="1"/>
      <c r="P17" s="14"/>
      <c r="Q17" s="11"/>
      <c r="R17" s="11"/>
      <c r="S17" s="11"/>
    </row>
    <row r="18" spans="1:19" x14ac:dyDescent="0.25">
      <c r="A18" s="1" t="s">
        <v>380</v>
      </c>
      <c r="B18" s="1" t="s">
        <v>30</v>
      </c>
      <c r="C18" s="1">
        <v>5</v>
      </c>
      <c r="D18" s="1" t="s">
        <v>922</v>
      </c>
      <c r="E18" s="14" t="s">
        <v>1077</v>
      </c>
      <c r="F18" s="11" t="s">
        <v>1078</v>
      </c>
      <c r="G18" s="11" t="s">
        <v>1079</v>
      </c>
      <c r="H18" s="11" t="s">
        <v>1080</v>
      </c>
      <c r="I18" s="11" t="str">
        <f t="shared" si="0"/>
        <v>99996</v>
      </c>
      <c r="J18" s="1" t="str">
        <f t="shared" si="1"/>
        <v>if  vG5~=99996 vG5_96=0.</v>
      </c>
      <c r="K18" s="1"/>
      <c r="L18" s="1"/>
      <c r="M18" s="1"/>
      <c r="N18" s="1"/>
      <c r="O18" s="1"/>
      <c r="P18" s="14"/>
      <c r="Q18" s="11"/>
      <c r="R18" s="11"/>
      <c r="S18" s="11"/>
    </row>
    <row r="19" spans="1:19" x14ac:dyDescent="0.25">
      <c r="A19" s="1" t="s">
        <v>558</v>
      </c>
      <c r="B19" s="1" t="s">
        <v>30</v>
      </c>
      <c r="C19" s="1">
        <v>4</v>
      </c>
      <c r="D19" s="1" t="s">
        <v>922</v>
      </c>
      <c r="E19" s="14" t="s">
        <v>1093</v>
      </c>
      <c r="F19" s="11" t="s">
        <v>1094</v>
      </c>
      <c r="G19" s="11" t="s">
        <v>1095</v>
      </c>
      <c r="H19" s="11"/>
      <c r="I19" s="11" t="s">
        <v>1096</v>
      </c>
      <c r="J19" s="1" t="str">
        <f t="shared" si="1"/>
        <v>if  vH1~=9996 vH1_96=0.</v>
      </c>
      <c r="K19" s="1"/>
      <c r="L19" s="1"/>
      <c r="M19" s="1"/>
      <c r="N19" s="1"/>
      <c r="O19" s="1"/>
      <c r="P19" s="14"/>
      <c r="Q19" s="11"/>
      <c r="R19" s="11"/>
      <c r="S19" s="11"/>
    </row>
    <row r="20" spans="1:19" x14ac:dyDescent="0.25">
      <c r="A20" s="1" t="s">
        <v>561</v>
      </c>
      <c r="B20" s="1" t="s">
        <v>30</v>
      </c>
      <c r="C20" s="1">
        <v>4</v>
      </c>
      <c r="D20" s="1" t="s">
        <v>922</v>
      </c>
      <c r="E20" s="14" t="s">
        <v>1093</v>
      </c>
      <c r="F20" s="11" t="s">
        <v>1094</v>
      </c>
      <c r="G20" s="11" t="s">
        <v>1095</v>
      </c>
      <c r="H20" s="11" t="s">
        <v>1096</v>
      </c>
      <c r="I20" s="11" t="str">
        <f>H20</f>
        <v>9996</v>
      </c>
      <c r="J20" s="1" t="str">
        <f t="shared" si="1"/>
        <v>if  vH4~=9996 vH4_96=0.</v>
      </c>
      <c r="K20" s="1"/>
      <c r="L20" s="1"/>
      <c r="M20" s="1"/>
      <c r="N20" s="1"/>
      <c r="O20" s="1"/>
      <c r="P20" s="14"/>
      <c r="Q20" s="11"/>
      <c r="R20" s="11"/>
      <c r="S20" s="11"/>
    </row>
    <row r="21" spans="1:19" x14ac:dyDescent="0.25">
      <c r="A21" s="1" t="s">
        <v>564</v>
      </c>
      <c r="B21" s="1" t="s">
        <v>30</v>
      </c>
      <c r="C21" s="1">
        <v>4</v>
      </c>
      <c r="D21" s="1" t="s">
        <v>922</v>
      </c>
      <c r="E21" s="14" t="s">
        <v>1093</v>
      </c>
      <c r="F21" s="11" t="s">
        <v>1094</v>
      </c>
      <c r="G21" s="11" t="s">
        <v>1095</v>
      </c>
      <c r="H21" s="11" t="s">
        <v>1096</v>
      </c>
      <c r="I21" s="11" t="str">
        <f>H21</f>
        <v>9996</v>
      </c>
      <c r="J21" s="1" t="str">
        <f t="shared" si="1"/>
        <v>if  vH7~=9996 vH7_96=0.</v>
      </c>
      <c r="K21" s="1"/>
      <c r="L21" s="1"/>
      <c r="M21" s="1"/>
      <c r="N21" s="1"/>
      <c r="O21" s="1"/>
      <c r="P21" s="14"/>
      <c r="Q21" s="11"/>
      <c r="R21" s="11"/>
      <c r="S21" s="11"/>
    </row>
    <row r="22" spans="1:19" x14ac:dyDescent="0.25">
      <c r="A22" s="1" t="s">
        <v>565</v>
      </c>
      <c r="B22" s="1" t="s">
        <v>30</v>
      </c>
      <c r="C22" s="1">
        <v>4</v>
      </c>
      <c r="D22" s="1" t="s">
        <v>922</v>
      </c>
      <c r="E22" s="14" t="s">
        <v>1093</v>
      </c>
      <c r="F22" s="11" t="s">
        <v>1094</v>
      </c>
      <c r="G22" s="11" t="s">
        <v>1095</v>
      </c>
      <c r="H22" s="11" t="s">
        <v>1096</v>
      </c>
      <c r="I22" s="11" t="str">
        <f>H22</f>
        <v>9996</v>
      </c>
      <c r="J22" s="1" t="str">
        <f t="shared" si="1"/>
        <v>if  vH7_1~=9996 vH7_1_96=0.</v>
      </c>
      <c r="K22" s="1"/>
      <c r="L22" s="1"/>
      <c r="M22" s="1"/>
      <c r="N22" s="1"/>
      <c r="O22" s="1"/>
      <c r="P22" s="14"/>
      <c r="Q22" s="11"/>
      <c r="R22" s="11"/>
      <c r="S22" s="11"/>
    </row>
    <row r="23" spans="1:19" x14ac:dyDescent="0.25">
      <c r="A23" s="1" t="s">
        <v>566</v>
      </c>
      <c r="B23" s="1" t="s">
        <v>30</v>
      </c>
      <c r="C23" s="1">
        <v>4</v>
      </c>
      <c r="D23" s="1" t="s">
        <v>922</v>
      </c>
      <c r="E23" s="14" t="s">
        <v>1093</v>
      </c>
      <c r="F23" s="11" t="s">
        <v>1094</v>
      </c>
      <c r="G23" s="11" t="s">
        <v>1095</v>
      </c>
      <c r="H23" s="11" t="s">
        <v>1096</v>
      </c>
      <c r="I23" s="11" t="str">
        <f>H23</f>
        <v>9996</v>
      </c>
      <c r="J23" s="1" t="str">
        <f t="shared" si="1"/>
        <v>if  vH7_2~=9996 vH7_2_96=0.</v>
      </c>
      <c r="K23" s="1"/>
      <c r="L23" s="1"/>
      <c r="M23" s="1"/>
      <c r="N23" s="1"/>
      <c r="O23" s="1"/>
      <c r="P23" s="14"/>
      <c r="Q23" s="11"/>
      <c r="R23" s="11"/>
      <c r="S23" s="11"/>
    </row>
    <row r="24" spans="1:19" x14ac:dyDescent="0.25">
      <c r="A24" s="1" t="s">
        <v>567</v>
      </c>
      <c r="B24" s="1" t="s">
        <v>30</v>
      </c>
      <c r="C24" s="1">
        <v>4</v>
      </c>
      <c r="D24" s="1" t="s">
        <v>922</v>
      </c>
      <c r="E24" s="14" t="s">
        <v>1093</v>
      </c>
      <c r="F24" s="11" t="s">
        <v>1094</v>
      </c>
      <c r="G24" s="11" t="s">
        <v>1095</v>
      </c>
      <c r="H24" s="11" t="s">
        <v>1096</v>
      </c>
      <c r="I24" s="11" t="str">
        <f>H24</f>
        <v>9996</v>
      </c>
      <c r="J24" s="1" t="str">
        <f t="shared" si="1"/>
        <v>if  vH7_3~=9996 vH7_3_96=0.</v>
      </c>
      <c r="K24" s="1"/>
      <c r="L24" s="1"/>
      <c r="M24" s="1"/>
      <c r="N24" s="1"/>
      <c r="O24" s="1"/>
      <c r="P24" s="14"/>
      <c r="Q24" s="11"/>
      <c r="R24" s="11"/>
      <c r="S24" s="11"/>
    </row>
    <row r="25" spans="1:19" x14ac:dyDescent="0.25">
      <c r="A25" s="1" t="s">
        <v>572</v>
      </c>
      <c r="B25" s="1" t="s">
        <v>30</v>
      </c>
      <c r="C25" s="1">
        <v>4</v>
      </c>
      <c r="D25" s="1" t="s">
        <v>922</v>
      </c>
      <c r="E25" s="14" t="s">
        <v>1097</v>
      </c>
      <c r="F25" s="11" t="s">
        <v>1094</v>
      </c>
      <c r="G25" s="11" t="s">
        <v>1095</v>
      </c>
      <c r="H25" s="11"/>
      <c r="I25" s="11" t="s">
        <v>1096</v>
      </c>
      <c r="J25" s="1" t="str">
        <f t="shared" si="1"/>
        <v>if  vH8~=9996 vH8_96=0.</v>
      </c>
      <c r="K25" s="1"/>
      <c r="L25" s="1"/>
      <c r="M25" s="1"/>
      <c r="N25" s="1"/>
      <c r="O25" s="1"/>
      <c r="P25" s="14"/>
      <c r="Q25" s="11"/>
      <c r="R25" s="11"/>
      <c r="S25" s="11"/>
    </row>
    <row r="26" spans="1:19" x14ac:dyDescent="0.25">
      <c r="A26" s="1" t="s">
        <v>459</v>
      </c>
      <c r="B26" s="1" t="s">
        <v>30</v>
      </c>
      <c r="C26" s="1">
        <v>5</v>
      </c>
      <c r="D26" s="1" t="s">
        <v>922</v>
      </c>
      <c r="E26" s="14" t="s">
        <v>1077</v>
      </c>
      <c r="F26" s="11" t="s">
        <v>1078</v>
      </c>
      <c r="G26" s="11" t="s">
        <v>1079</v>
      </c>
      <c r="H26" s="11" t="s">
        <v>1080</v>
      </c>
      <c r="I26" s="11" t="str">
        <f t="shared" ref="I26:I33" si="2">H26</f>
        <v>99996</v>
      </c>
      <c r="J26" s="1" t="str">
        <f t="shared" si="1"/>
        <v>if  vI2~=99996 vI2_96=0.</v>
      </c>
      <c r="K26" s="1"/>
      <c r="L26" s="1"/>
      <c r="M26" s="1"/>
      <c r="N26" s="1"/>
      <c r="O26" s="1"/>
      <c r="P26" s="14"/>
      <c r="Q26" s="11"/>
      <c r="R26" s="11"/>
      <c r="S26" s="11"/>
    </row>
    <row r="27" spans="1:19" x14ac:dyDescent="0.25">
      <c r="A27" s="1" t="s">
        <v>461</v>
      </c>
      <c r="B27" s="1" t="s">
        <v>30</v>
      </c>
      <c r="C27" s="1">
        <v>5</v>
      </c>
      <c r="D27" s="1" t="s">
        <v>922</v>
      </c>
      <c r="E27" s="14" t="s">
        <v>1077</v>
      </c>
      <c r="F27" s="11" t="s">
        <v>1078</v>
      </c>
      <c r="G27" s="11" t="s">
        <v>1079</v>
      </c>
      <c r="H27" s="11" t="s">
        <v>1080</v>
      </c>
      <c r="I27" s="11" t="str">
        <f t="shared" si="2"/>
        <v>99996</v>
      </c>
      <c r="J27" s="1" t="str">
        <f t="shared" si="1"/>
        <v>if  vI4~=99996 vI4_96=0.</v>
      </c>
      <c r="K27" s="1"/>
      <c r="L27" s="1"/>
      <c r="M27" s="1"/>
      <c r="N27" s="1"/>
      <c r="O27" s="1"/>
      <c r="P27" s="14"/>
      <c r="Q27" s="11"/>
      <c r="R27" s="11"/>
      <c r="S27" s="11"/>
    </row>
    <row r="28" spans="1:19" x14ac:dyDescent="0.25">
      <c r="A28" s="1" t="s">
        <v>123</v>
      </c>
      <c r="B28" s="1" t="s">
        <v>30</v>
      </c>
      <c r="C28" s="1">
        <v>5</v>
      </c>
      <c r="D28" s="1" t="s">
        <v>922</v>
      </c>
      <c r="E28" s="14" t="s">
        <v>1077</v>
      </c>
      <c r="F28" s="11" t="s">
        <v>1078</v>
      </c>
      <c r="G28" s="11" t="s">
        <v>1079</v>
      </c>
      <c r="H28" s="11" t="s">
        <v>1080</v>
      </c>
      <c r="I28" s="11" t="str">
        <f t="shared" si="2"/>
        <v>99996</v>
      </c>
      <c r="J28" s="1" t="str">
        <f t="shared" si="1"/>
        <v>if  vKFB2~=99996 vKFB2_96=0.</v>
      </c>
      <c r="K28" s="1"/>
      <c r="L28" s="1"/>
      <c r="M28" s="1"/>
      <c r="N28" s="1"/>
      <c r="O28" s="1"/>
      <c r="P28" s="14"/>
      <c r="Q28" s="11"/>
      <c r="R28" s="11"/>
      <c r="S28" s="11"/>
    </row>
    <row r="29" spans="1:19" x14ac:dyDescent="0.25">
      <c r="A29" s="1" t="s">
        <v>164</v>
      </c>
      <c r="B29" s="1" t="s">
        <v>30</v>
      </c>
      <c r="C29" s="1">
        <v>5</v>
      </c>
      <c r="D29" s="1" t="s">
        <v>922</v>
      </c>
      <c r="E29" s="14" t="s">
        <v>1077</v>
      </c>
      <c r="F29" s="11" t="s">
        <v>1078</v>
      </c>
      <c r="G29" s="11" t="s">
        <v>1079</v>
      </c>
      <c r="H29" s="11" t="s">
        <v>1080</v>
      </c>
      <c r="I29" s="11" t="str">
        <f t="shared" si="2"/>
        <v>99996</v>
      </c>
      <c r="J29" s="1" t="str">
        <f t="shared" si="1"/>
        <v>if  vKIG2~=99996 vKIG2_96=0.</v>
      </c>
      <c r="K29" s="1"/>
      <c r="L29" s="1"/>
      <c r="M29" s="1"/>
      <c r="N29" s="1"/>
      <c r="O29" s="1"/>
      <c r="P29" s="14"/>
      <c r="Q29" s="11"/>
      <c r="R29" s="11"/>
      <c r="S29" s="11"/>
    </row>
    <row r="30" spans="1:19" x14ac:dyDescent="0.25">
      <c r="A30" s="1" t="s">
        <v>201</v>
      </c>
      <c r="B30" s="1" t="s">
        <v>30</v>
      </c>
      <c r="C30" s="1">
        <v>5</v>
      </c>
      <c r="D30" s="1" t="s">
        <v>922</v>
      </c>
      <c r="E30" s="14" t="s">
        <v>1077</v>
      </c>
      <c r="F30" s="11" t="s">
        <v>1078</v>
      </c>
      <c r="G30" s="11" t="s">
        <v>1079</v>
      </c>
      <c r="H30" s="11" t="s">
        <v>1080</v>
      </c>
      <c r="I30" s="11" t="str">
        <f t="shared" si="2"/>
        <v>99996</v>
      </c>
      <c r="J30" s="1" t="str">
        <f t="shared" si="1"/>
        <v>if  vKTT2~=99996 vKTT2_96=0.</v>
      </c>
      <c r="K30" s="1"/>
      <c r="L30" s="1"/>
      <c r="M30" s="1"/>
      <c r="N30" s="1"/>
      <c r="O30" s="1"/>
      <c r="P30" s="14"/>
      <c r="Q30" s="11"/>
      <c r="R30" s="11"/>
      <c r="S30" s="11"/>
    </row>
    <row r="31" spans="1:19" x14ac:dyDescent="0.25">
      <c r="A31" s="1" t="s">
        <v>872</v>
      </c>
      <c r="B31" s="1" t="s">
        <v>30</v>
      </c>
      <c r="C31" s="1">
        <v>6</v>
      </c>
      <c r="D31" s="1" t="s">
        <v>922</v>
      </c>
      <c r="E31" s="14" t="s">
        <v>1098</v>
      </c>
      <c r="F31" s="11" t="s">
        <v>1099</v>
      </c>
      <c r="G31" s="11" t="s">
        <v>1100</v>
      </c>
      <c r="H31" s="11" t="s">
        <v>1101</v>
      </c>
      <c r="I31" s="11" t="str">
        <f t="shared" si="2"/>
        <v>999996</v>
      </c>
      <c r="J31" s="1" t="str">
        <f t="shared" si="1"/>
        <v>if  vP2_2~=999996 vP2_2_96=0.</v>
      </c>
      <c r="K31" s="1"/>
      <c r="L31" s="1"/>
      <c r="M31" s="1"/>
      <c r="N31" s="1"/>
      <c r="O31" s="1"/>
      <c r="P31" s="14"/>
      <c r="Q31" s="11"/>
      <c r="R31" s="11"/>
      <c r="S31" s="11"/>
    </row>
    <row r="32" spans="1:19" x14ac:dyDescent="0.25">
      <c r="A32" s="1" t="s">
        <v>121</v>
      </c>
      <c r="B32" s="1" t="s">
        <v>30</v>
      </c>
      <c r="C32" s="1">
        <v>5</v>
      </c>
      <c r="D32" s="1" t="s">
        <v>922</v>
      </c>
      <c r="E32" s="14" t="s">
        <v>1077</v>
      </c>
      <c r="F32" s="11" t="s">
        <v>1078</v>
      </c>
      <c r="G32" s="11" t="s">
        <v>1079</v>
      </c>
      <c r="H32" s="11" t="s">
        <v>1080</v>
      </c>
      <c r="I32" s="11" t="str">
        <f t="shared" si="2"/>
        <v>99996</v>
      </c>
      <c r="J32" s="1" t="str">
        <f t="shared" si="1"/>
        <v>if  vKLI2~=99996 vKLI2_96=0.</v>
      </c>
      <c r="K32" s="1"/>
      <c r="L32" s="1"/>
      <c r="M32" s="1"/>
      <c r="N32" s="1"/>
      <c r="O32" s="1"/>
      <c r="P32" s="14"/>
      <c r="Q32" s="11"/>
      <c r="R32" s="11"/>
      <c r="S32" s="11"/>
    </row>
    <row r="33" spans="1:19" x14ac:dyDescent="0.25">
      <c r="A33" s="1" t="s">
        <v>267</v>
      </c>
      <c r="B33" s="1" t="s">
        <v>30</v>
      </c>
      <c r="C33" s="1">
        <v>5</v>
      </c>
      <c r="D33" s="1" t="s">
        <v>922</v>
      </c>
      <c r="E33" s="14" t="s">
        <v>1077</v>
      </c>
      <c r="F33" s="11" t="s">
        <v>1078</v>
      </c>
      <c r="G33" s="11" t="s">
        <v>1079</v>
      </c>
      <c r="H33" s="11" t="s">
        <v>1080</v>
      </c>
      <c r="I33" s="11" t="str">
        <f t="shared" si="2"/>
        <v>99996</v>
      </c>
      <c r="J33" s="1" t="str">
        <f t="shared" si="1"/>
        <v>if  vKYT2~=99996 vKYT2_96=0.</v>
      </c>
      <c r="K33" s="1"/>
      <c r="L33" s="1"/>
      <c r="M33" s="1"/>
      <c r="N33" s="1"/>
      <c r="O33" s="1"/>
      <c r="P33" s="14"/>
      <c r="Q33" s="11"/>
      <c r="R33" s="11"/>
      <c r="S33" s="11"/>
    </row>
    <row r="34" spans="1:19" x14ac:dyDescent="0.25">
      <c r="A34" s="1" t="s">
        <v>573</v>
      </c>
      <c r="B34" s="1" t="s">
        <v>30</v>
      </c>
      <c r="C34" s="1">
        <v>4</v>
      </c>
      <c r="D34" s="1" t="s">
        <v>922</v>
      </c>
      <c r="E34" s="14" t="s">
        <v>1102</v>
      </c>
      <c r="F34" s="11" t="s">
        <v>1103</v>
      </c>
      <c r="G34" s="11" t="s">
        <v>1095</v>
      </c>
      <c r="H34" s="11"/>
      <c r="I34" s="11" t="s">
        <v>1096</v>
      </c>
      <c r="J34" s="1" t="str">
        <f t="shared" si="1"/>
        <v>if  vM1g1~=9996 vM1g1_96=0.</v>
      </c>
      <c r="K34" s="1"/>
      <c r="L34" s="1"/>
      <c r="M34" s="1"/>
      <c r="N34" s="1"/>
      <c r="O34" s="1"/>
      <c r="P34" s="14"/>
      <c r="Q34" s="11"/>
      <c r="R34" s="11"/>
      <c r="S34" s="11"/>
    </row>
    <row r="35" spans="1:19" x14ac:dyDescent="0.25">
      <c r="A35" s="1" t="s">
        <v>1104</v>
      </c>
      <c r="B35" s="1" t="s">
        <v>30</v>
      </c>
      <c r="C35" s="1">
        <v>5</v>
      </c>
      <c r="D35" s="1" t="s">
        <v>922</v>
      </c>
      <c r="E35" s="14" t="s">
        <v>1098</v>
      </c>
      <c r="F35" s="11" t="s">
        <v>1099</v>
      </c>
      <c r="G35" s="11" t="s">
        <v>1100</v>
      </c>
      <c r="H35" s="11" t="s">
        <v>1080</v>
      </c>
      <c r="I35" s="11" t="str">
        <f>H35</f>
        <v>99996</v>
      </c>
      <c r="J35" s="1" t="str">
        <f t="shared" si="1"/>
        <v>if  vO4B~=99996 vO4B_96=0.</v>
      </c>
      <c r="K35" s="1"/>
      <c r="L35" s="1"/>
      <c r="M35" s="1"/>
      <c r="N35" s="1"/>
      <c r="O35" s="1"/>
      <c r="P35" s="14"/>
      <c r="Q35" s="11"/>
      <c r="R35" s="11"/>
      <c r="S35" s="11"/>
    </row>
  </sheetData>
  <autoFilter ref="A1:J35" xr:uid="{00000000-0009-0000-0000-000009000000}"/>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85"/>
  <sheetViews>
    <sheetView workbookViewId="0">
      <selection sqref="A1:D1"/>
    </sheetView>
  </sheetViews>
  <sheetFormatPr defaultRowHeight="16.5" x14ac:dyDescent="0.25"/>
  <cols>
    <col min="1" max="5" width="8.875" style="1" customWidth="1"/>
  </cols>
  <sheetData>
    <row r="1" spans="1:5" s="1" customFormat="1" x14ac:dyDescent="0.25">
      <c r="A1" s="1" t="s">
        <v>23</v>
      </c>
      <c r="B1" s="1" t="s">
        <v>24</v>
      </c>
      <c r="C1" s="1" t="s">
        <v>25</v>
      </c>
      <c r="D1" s="1" t="s">
        <v>1105</v>
      </c>
      <c r="E1" s="1" t="s">
        <v>1106</v>
      </c>
    </row>
    <row r="2" spans="1:5" x14ac:dyDescent="0.25">
      <c r="A2" s="1" t="s">
        <v>51</v>
      </c>
      <c r="B2" s="1" t="s">
        <v>30</v>
      </c>
      <c r="C2" s="1">
        <v>2</v>
      </c>
      <c r="D2" s="1">
        <v>0</v>
      </c>
      <c r="E2" s="1" t="s">
        <v>1107</v>
      </c>
    </row>
    <row r="3" spans="1:5" x14ac:dyDescent="0.25">
      <c r="A3" s="1" t="s">
        <v>1108</v>
      </c>
      <c r="B3" s="1" t="s">
        <v>30</v>
      </c>
      <c r="C3" s="1">
        <v>2</v>
      </c>
      <c r="D3" s="1">
        <v>0</v>
      </c>
      <c r="E3" s="1" t="s">
        <v>1109</v>
      </c>
    </row>
    <row r="4" spans="1:5" x14ac:dyDescent="0.25">
      <c r="A4" s="1" t="s">
        <v>1110</v>
      </c>
      <c r="B4" s="1" t="s">
        <v>30</v>
      </c>
      <c r="C4" s="1">
        <v>2</v>
      </c>
      <c r="D4" s="1">
        <v>0</v>
      </c>
      <c r="E4" s="1" t="s">
        <v>1111</v>
      </c>
    </row>
    <row r="5" spans="1:5" x14ac:dyDescent="0.25">
      <c r="A5" s="1" t="s">
        <v>52</v>
      </c>
      <c r="B5" s="1" t="s">
        <v>30</v>
      </c>
      <c r="C5" s="1">
        <v>2</v>
      </c>
      <c r="D5" s="1">
        <v>0</v>
      </c>
      <c r="E5" s="1" t="s">
        <v>1112</v>
      </c>
    </row>
    <row r="6" spans="1:5" x14ac:dyDescent="0.25">
      <c r="A6" s="1" t="s">
        <v>1113</v>
      </c>
      <c r="B6" s="1" t="s">
        <v>30</v>
      </c>
      <c r="C6" s="1">
        <v>2</v>
      </c>
      <c r="D6" s="1">
        <v>0</v>
      </c>
      <c r="E6" s="1" t="s">
        <v>1114</v>
      </c>
    </row>
    <row r="7" spans="1:5" x14ac:dyDescent="0.25">
      <c r="A7" s="1" t="s">
        <v>1115</v>
      </c>
      <c r="B7" s="1" t="s">
        <v>27</v>
      </c>
      <c r="C7" s="1">
        <v>150</v>
      </c>
      <c r="D7" s="1">
        <v>0</v>
      </c>
      <c r="E7" s="1" t="s">
        <v>1116</v>
      </c>
    </row>
    <row r="8" spans="1:5" x14ac:dyDescent="0.25">
      <c r="A8" s="1" t="s">
        <v>1117</v>
      </c>
      <c r="B8" s="1" t="s">
        <v>30</v>
      </c>
      <c r="C8" s="1">
        <v>2</v>
      </c>
      <c r="D8" s="1">
        <v>0</v>
      </c>
      <c r="E8" s="1" t="s">
        <v>1118</v>
      </c>
    </row>
    <row r="9" spans="1:5" x14ac:dyDescent="0.25">
      <c r="A9" s="1" t="s">
        <v>1119</v>
      </c>
      <c r="B9" s="1" t="s">
        <v>30</v>
      </c>
      <c r="C9" s="1">
        <v>2</v>
      </c>
      <c r="D9" s="1">
        <v>0</v>
      </c>
      <c r="E9" s="1" t="s">
        <v>1120</v>
      </c>
    </row>
    <row r="10" spans="1:5" x14ac:dyDescent="0.25">
      <c r="A10" s="1" t="s">
        <v>1121</v>
      </c>
      <c r="B10" s="1" t="s">
        <v>30</v>
      </c>
      <c r="C10" s="1">
        <v>2</v>
      </c>
      <c r="D10" s="1">
        <v>0</v>
      </c>
      <c r="E10" s="1" t="s">
        <v>1122</v>
      </c>
    </row>
    <row r="11" spans="1:5" x14ac:dyDescent="0.25">
      <c r="A11" s="1" t="s">
        <v>1123</v>
      </c>
      <c r="B11" s="1" t="s">
        <v>30</v>
      </c>
      <c r="C11" s="1">
        <v>2</v>
      </c>
      <c r="D11" s="1">
        <v>0</v>
      </c>
      <c r="E11" s="1" t="s">
        <v>1124</v>
      </c>
    </row>
    <row r="12" spans="1:5" x14ac:dyDescent="0.25">
      <c r="A12" s="1" t="s">
        <v>1125</v>
      </c>
      <c r="B12" s="1" t="s">
        <v>30</v>
      </c>
      <c r="C12" s="1">
        <v>2</v>
      </c>
      <c r="D12" s="1">
        <v>0</v>
      </c>
      <c r="E12" s="1" t="s">
        <v>1126</v>
      </c>
    </row>
    <row r="13" spans="1:5" x14ac:dyDescent="0.25">
      <c r="A13" s="1" t="s">
        <v>1127</v>
      </c>
      <c r="B13" s="1" t="s">
        <v>30</v>
      </c>
      <c r="C13" s="1">
        <v>2</v>
      </c>
      <c r="D13" s="1">
        <v>0</v>
      </c>
      <c r="E13" s="1" t="s">
        <v>1128</v>
      </c>
    </row>
    <row r="14" spans="1:5" x14ac:dyDescent="0.25">
      <c r="A14" s="1" t="s">
        <v>1129</v>
      </c>
      <c r="B14" s="1" t="s">
        <v>27</v>
      </c>
      <c r="C14" s="1">
        <v>45</v>
      </c>
      <c r="D14" s="1">
        <v>0</v>
      </c>
      <c r="E14" s="1" t="s">
        <v>1130</v>
      </c>
    </row>
    <row r="15" spans="1:5" x14ac:dyDescent="0.25">
      <c r="A15" s="1" t="s">
        <v>54</v>
      </c>
      <c r="B15" s="1" t="s">
        <v>30</v>
      </c>
      <c r="C15" s="1">
        <v>3</v>
      </c>
      <c r="D15" s="1">
        <v>0</v>
      </c>
      <c r="E15" s="1" t="s">
        <v>1131</v>
      </c>
    </row>
    <row r="16" spans="1:5" x14ac:dyDescent="0.25">
      <c r="A16" s="1" t="s">
        <v>55</v>
      </c>
      <c r="B16" s="1" t="s">
        <v>30</v>
      </c>
      <c r="C16" s="1">
        <v>2</v>
      </c>
      <c r="D16" s="1">
        <v>0</v>
      </c>
      <c r="E16" s="1" t="s">
        <v>1132</v>
      </c>
    </row>
    <row r="17" spans="1:5" x14ac:dyDescent="0.25">
      <c r="A17" s="1" t="s">
        <v>1133</v>
      </c>
      <c r="B17" s="1" t="s">
        <v>30</v>
      </c>
      <c r="C17" s="1">
        <v>2</v>
      </c>
      <c r="D17" s="1">
        <v>0</v>
      </c>
      <c r="E17" s="1" t="s">
        <v>1134</v>
      </c>
    </row>
    <row r="18" spans="1:5" x14ac:dyDescent="0.25">
      <c r="A18" s="1" t="s">
        <v>1135</v>
      </c>
      <c r="B18" s="1" t="s">
        <v>27</v>
      </c>
      <c r="C18" s="1">
        <v>150</v>
      </c>
      <c r="D18" s="1">
        <v>0</v>
      </c>
      <c r="E18" s="1" t="s">
        <v>1136</v>
      </c>
    </row>
    <row r="19" spans="1:5" x14ac:dyDescent="0.25">
      <c r="A19" s="1" t="s">
        <v>1137</v>
      </c>
      <c r="B19" s="1" t="s">
        <v>30</v>
      </c>
      <c r="C19" s="1">
        <v>2</v>
      </c>
      <c r="D19" s="1">
        <v>0</v>
      </c>
      <c r="E19" s="1" t="s">
        <v>1138</v>
      </c>
    </row>
    <row r="20" spans="1:5" x14ac:dyDescent="0.25">
      <c r="A20" s="1" t="s">
        <v>1139</v>
      </c>
      <c r="B20" s="1" t="s">
        <v>30</v>
      </c>
      <c r="C20" s="1">
        <v>2</v>
      </c>
      <c r="D20" s="1">
        <v>0</v>
      </c>
      <c r="E20" s="1" t="s">
        <v>1140</v>
      </c>
    </row>
    <row r="21" spans="1:5" x14ac:dyDescent="0.25">
      <c r="A21" s="1" t="s">
        <v>56</v>
      </c>
      <c r="B21" s="1" t="s">
        <v>30</v>
      </c>
      <c r="C21" s="1">
        <v>2</v>
      </c>
      <c r="D21" s="1">
        <v>0</v>
      </c>
      <c r="E21" s="1" t="s">
        <v>1141</v>
      </c>
    </row>
    <row r="22" spans="1:5" x14ac:dyDescent="0.25">
      <c r="A22" s="1" t="s">
        <v>57</v>
      </c>
      <c r="B22" s="1" t="s">
        <v>27</v>
      </c>
      <c r="C22" s="1">
        <v>150</v>
      </c>
      <c r="D22" s="1">
        <v>0</v>
      </c>
      <c r="E22" s="1" t="s">
        <v>1142</v>
      </c>
    </row>
    <row r="23" spans="1:5" x14ac:dyDescent="0.25">
      <c r="A23" s="1" t="s">
        <v>1143</v>
      </c>
      <c r="B23" s="1" t="s">
        <v>30</v>
      </c>
      <c r="C23" s="1">
        <v>2</v>
      </c>
      <c r="D23" s="1">
        <v>0</v>
      </c>
      <c r="E23" s="1" t="s">
        <v>1144</v>
      </c>
    </row>
    <row r="24" spans="1:5" x14ac:dyDescent="0.25">
      <c r="A24" s="1" t="s">
        <v>1145</v>
      </c>
      <c r="B24" s="1" t="s">
        <v>27</v>
      </c>
      <c r="C24" s="1">
        <v>150</v>
      </c>
      <c r="D24" s="1">
        <v>0</v>
      </c>
      <c r="E24" s="1" t="s">
        <v>1146</v>
      </c>
    </row>
    <row r="25" spans="1:5" x14ac:dyDescent="0.25">
      <c r="A25" s="1" t="s">
        <v>1147</v>
      </c>
      <c r="B25" s="1" t="s">
        <v>30</v>
      </c>
      <c r="C25" s="1">
        <v>4</v>
      </c>
      <c r="D25" s="1">
        <v>0</v>
      </c>
      <c r="E25" s="1" t="s">
        <v>1144</v>
      </c>
    </row>
    <row r="26" spans="1:5" x14ac:dyDescent="0.25">
      <c r="A26" s="1" t="s">
        <v>58</v>
      </c>
      <c r="B26" s="1" t="s">
        <v>30</v>
      </c>
      <c r="C26" s="1">
        <v>2</v>
      </c>
      <c r="D26" s="1">
        <v>0</v>
      </c>
      <c r="E26" s="1" t="s">
        <v>1148</v>
      </c>
    </row>
    <row r="27" spans="1:5" x14ac:dyDescent="0.25">
      <c r="A27" s="1" t="s">
        <v>59</v>
      </c>
      <c r="B27" s="1" t="s">
        <v>30</v>
      </c>
      <c r="C27" s="1">
        <v>2</v>
      </c>
      <c r="D27" s="1">
        <v>0</v>
      </c>
      <c r="E27" s="1" t="s">
        <v>1149</v>
      </c>
    </row>
    <row r="28" spans="1:5" x14ac:dyDescent="0.25">
      <c r="A28" s="1" t="s">
        <v>60</v>
      </c>
      <c r="B28" s="1" t="s">
        <v>27</v>
      </c>
      <c r="C28" s="1">
        <v>150</v>
      </c>
      <c r="D28" s="1">
        <v>0</v>
      </c>
      <c r="E28" s="1" t="s">
        <v>1150</v>
      </c>
    </row>
    <row r="29" spans="1:5" x14ac:dyDescent="0.25">
      <c r="A29" s="1" t="s">
        <v>61</v>
      </c>
      <c r="B29" s="1" t="s">
        <v>30</v>
      </c>
      <c r="C29" s="1">
        <v>4</v>
      </c>
      <c r="D29" s="1">
        <v>0</v>
      </c>
      <c r="E29" s="1" t="s">
        <v>1149</v>
      </c>
    </row>
    <row r="30" spans="1:5" x14ac:dyDescent="0.25">
      <c r="A30" s="1" t="s">
        <v>62</v>
      </c>
      <c r="B30" s="1" t="s">
        <v>30</v>
      </c>
      <c r="C30" s="1">
        <v>2</v>
      </c>
      <c r="D30" s="1">
        <v>0</v>
      </c>
      <c r="E30" s="1" t="s">
        <v>1151</v>
      </c>
    </row>
    <row r="31" spans="1:5" x14ac:dyDescent="0.25">
      <c r="A31" s="1" t="s">
        <v>63</v>
      </c>
      <c r="B31" s="1" t="s">
        <v>27</v>
      </c>
      <c r="C31" s="1">
        <v>150</v>
      </c>
      <c r="D31" s="1">
        <v>0</v>
      </c>
      <c r="E31" s="1" t="s">
        <v>1151</v>
      </c>
    </row>
    <row r="32" spans="1:5" x14ac:dyDescent="0.25">
      <c r="A32" s="1" t="s">
        <v>64</v>
      </c>
      <c r="B32" s="1" t="s">
        <v>30</v>
      </c>
      <c r="C32" s="1">
        <v>2</v>
      </c>
      <c r="D32" s="1">
        <v>0</v>
      </c>
      <c r="E32" s="1" t="s">
        <v>1152</v>
      </c>
    </row>
    <row r="33" spans="1:5" x14ac:dyDescent="0.25">
      <c r="A33" s="1" t="s">
        <v>65</v>
      </c>
      <c r="B33" s="1" t="s">
        <v>27</v>
      </c>
      <c r="C33" s="1">
        <v>150</v>
      </c>
      <c r="D33" s="1">
        <v>0</v>
      </c>
      <c r="E33" s="1" t="s">
        <v>1152</v>
      </c>
    </row>
    <row r="34" spans="1:5" x14ac:dyDescent="0.25">
      <c r="A34" s="1" t="s">
        <v>66</v>
      </c>
      <c r="B34" s="1" t="s">
        <v>30</v>
      </c>
      <c r="C34" s="1">
        <v>2</v>
      </c>
      <c r="D34" s="1">
        <v>0</v>
      </c>
      <c r="E34" s="1" t="s">
        <v>1153</v>
      </c>
    </row>
    <row r="35" spans="1:5" x14ac:dyDescent="0.25">
      <c r="A35" s="1" t="s">
        <v>67</v>
      </c>
      <c r="B35" s="1" t="s">
        <v>27</v>
      </c>
      <c r="C35" s="1">
        <v>150</v>
      </c>
      <c r="D35" s="1">
        <v>0</v>
      </c>
      <c r="E35" s="1" t="s">
        <v>1153</v>
      </c>
    </row>
    <row r="36" spans="1:5" x14ac:dyDescent="0.25">
      <c r="A36" s="1" t="s">
        <v>68</v>
      </c>
      <c r="B36" s="1" t="s">
        <v>30</v>
      </c>
      <c r="C36" s="1">
        <v>2</v>
      </c>
      <c r="D36" s="1">
        <v>0</v>
      </c>
      <c r="E36" s="1" t="s">
        <v>1154</v>
      </c>
    </row>
    <row r="37" spans="1:5" x14ac:dyDescent="0.25">
      <c r="A37" s="1" t="s">
        <v>69</v>
      </c>
      <c r="B37" s="1" t="s">
        <v>27</v>
      </c>
      <c r="C37" s="1">
        <v>150</v>
      </c>
      <c r="D37" s="1">
        <v>0</v>
      </c>
      <c r="E37" s="1" t="s">
        <v>1155</v>
      </c>
    </row>
    <row r="38" spans="1:5" x14ac:dyDescent="0.25">
      <c r="A38" s="1" t="s">
        <v>381</v>
      </c>
      <c r="B38" s="1" t="s">
        <v>30</v>
      </c>
      <c r="C38" s="1">
        <v>4</v>
      </c>
      <c r="D38" s="1">
        <v>0</v>
      </c>
      <c r="E38" s="1" t="s">
        <v>1156</v>
      </c>
    </row>
    <row r="39" spans="1:5" x14ac:dyDescent="0.25">
      <c r="A39" s="1" t="s">
        <v>382</v>
      </c>
      <c r="B39" s="1" t="s">
        <v>30</v>
      </c>
      <c r="C39" s="1">
        <v>5</v>
      </c>
      <c r="D39" s="1">
        <v>0</v>
      </c>
      <c r="E39" s="1" t="s">
        <v>1157</v>
      </c>
    </row>
    <row r="40" spans="1:5" x14ac:dyDescent="0.25">
      <c r="A40" s="1" t="s">
        <v>383</v>
      </c>
      <c r="B40" s="1" t="s">
        <v>30</v>
      </c>
      <c r="C40" s="1">
        <v>4</v>
      </c>
      <c r="D40" s="1">
        <v>0</v>
      </c>
      <c r="E40" s="1" t="s">
        <v>1158</v>
      </c>
    </row>
    <row r="41" spans="1:5" x14ac:dyDescent="0.25">
      <c r="A41" s="1" t="s">
        <v>384</v>
      </c>
      <c r="B41" s="1" t="s">
        <v>30</v>
      </c>
      <c r="C41" s="1">
        <v>5</v>
      </c>
      <c r="D41" s="1">
        <v>0</v>
      </c>
      <c r="E41" s="1" t="s">
        <v>1159</v>
      </c>
    </row>
    <row r="42" spans="1:5" x14ac:dyDescent="0.25">
      <c r="A42" s="1" t="s">
        <v>385</v>
      </c>
      <c r="B42" s="1" t="s">
        <v>30</v>
      </c>
      <c r="C42" s="1">
        <v>4</v>
      </c>
      <c r="D42" s="1">
        <v>0</v>
      </c>
      <c r="E42" s="1" t="s">
        <v>1160</v>
      </c>
    </row>
    <row r="43" spans="1:5" x14ac:dyDescent="0.25">
      <c r="A43" s="1" t="s">
        <v>386</v>
      </c>
      <c r="B43" s="1" t="s">
        <v>30</v>
      </c>
      <c r="C43" s="1">
        <v>2</v>
      </c>
      <c r="D43" s="1">
        <v>0</v>
      </c>
      <c r="E43" s="1" t="s">
        <v>1161</v>
      </c>
    </row>
    <row r="44" spans="1:5" x14ac:dyDescent="0.25">
      <c r="A44" s="1" t="s">
        <v>387</v>
      </c>
      <c r="B44" s="1" t="s">
        <v>30</v>
      </c>
      <c r="C44" s="1">
        <v>5</v>
      </c>
      <c r="D44" s="1">
        <v>0</v>
      </c>
      <c r="E44" s="1" t="s">
        <v>1162</v>
      </c>
    </row>
    <row r="45" spans="1:5" x14ac:dyDescent="0.25">
      <c r="A45" s="1" t="s">
        <v>388</v>
      </c>
      <c r="B45" s="1" t="s">
        <v>30</v>
      </c>
      <c r="C45" s="1">
        <v>2</v>
      </c>
      <c r="D45" s="1">
        <v>0</v>
      </c>
      <c r="E45" s="1" t="s">
        <v>1163</v>
      </c>
    </row>
    <row r="46" spans="1:5" x14ac:dyDescent="0.25">
      <c r="A46" s="1" t="s">
        <v>389</v>
      </c>
      <c r="B46" s="1" t="s">
        <v>30</v>
      </c>
      <c r="C46" s="1">
        <v>2</v>
      </c>
      <c r="D46" s="1">
        <v>0</v>
      </c>
      <c r="E46" s="1" t="s">
        <v>1164</v>
      </c>
    </row>
    <row r="47" spans="1:5" x14ac:dyDescent="0.25">
      <c r="A47" s="1" t="s">
        <v>390</v>
      </c>
      <c r="B47" s="1" t="s">
        <v>30</v>
      </c>
      <c r="C47" s="1">
        <v>2</v>
      </c>
      <c r="D47" s="1">
        <v>0</v>
      </c>
      <c r="E47" s="1" t="s">
        <v>1165</v>
      </c>
    </row>
    <row r="48" spans="1:5" x14ac:dyDescent="0.25">
      <c r="A48" s="1" t="s">
        <v>391</v>
      </c>
      <c r="B48" s="1" t="s">
        <v>30</v>
      </c>
      <c r="C48" s="1">
        <v>2</v>
      </c>
      <c r="D48" s="1">
        <v>0</v>
      </c>
      <c r="E48" s="1" t="s">
        <v>1166</v>
      </c>
    </row>
    <row r="49" spans="1:5" x14ac:dyDescent="0.25">
      <c r="A49" s="1" t="s">
        <v>392</v>
      </c>
      <c r="B49" s="1" t="s">
        <v>30</v>
      </c>
      <c r="C49" s="1">
        <v>2</v>
      </c>
      <c r="D49" s="1">
        <v>0</v>
      </c>
      <c r="E49" s="1" t="s">
        <v>1167</v>
      </c>
    </row>
    <row r="50" spans="1:5" x14ac:dyDescent="0.25">
      <c r="A50" s="1" t="s">
        <v>393</v>
      </c>
      <c r="B50" s="1" t="s">
        <v>30</v>
      </c>
      <c r="C50" s="1">
        <v>2</v>
      </c>
      <c r="D50" s="1">
        <v>0</v>
      </c>
      <c r="E50" s="1" t="s">
        <v>1168</v>
      </c>
    </row>
    <row r="51" spans="1:5" x14ac:dyDescent="0.25">
      <c r="A51" s="1" t="s">
        <v>394</v>
      </c>
      <c r="B51" s="1" t="s">
        <v>30</v>
      </c>
      <c r="C51" s="1">
        <v>2</v>
      </c>
      <c r="D51" s="1">
        <v>0</v>
      </c>
      <c r="E51" s="1" t="s">
        <v>1169</v>
      </c>
    </row>
    <row r="52" spans="1:5" x14ac:dyDescent="0.25">
      <c r="A52" s="1" t="s">
        <v>395</v>
      </c>
      <c r="B52" s="1" t="s">
        <v>30</v>
      </c>
      <c r="C52" s="1">
        <v>2</v>
      </c>
      <c r="D52" s="1">
        <v>0</v>
      </c>
      <c r="E52" s="1" t="s">
        <v>1170</v>
      </c>
    </row>
    <row r="53" spans="1:5" x14ac:dyDescent="0.25">
      <c r="A53" s="1" t="s">
        <v>396</v>
      </c>
      <c r="B53" s="1" t="s">
        <v>30</v>
      </c>
      <c r="C53" s="1">
        <v>2</v>
      </c>
      <c r="D53" s="1">
        <v>0</v>
      </c>
      <c r="E53" s="1" t="s">
        <v>1171</v>
      </c>
    </row>
    <row r="54" spans="1:5" x14ac:dyDescent="0.25">
      <c r="A54" s="1" t="s">
        <v>397</v>
      </c>
      <c r="B54" s="1" t="s">
        <v>30</v>
      </c>
      <c r="C54" s="1">
        <v>2</v>
      </c>
      <c r="D54" s="1">
        <v>0</v>
      </c>
      <c r="E54" s="1" t="s">
        <v>1172</v>
      </c>
    </row>
    <row r="55" spans="1:5" x14ac:dyDescent="0.25">
      <c r="A55" s="1" t="s">
        <v>398</v>
      </c>
      <c r="B55" s="1" t="s">
        <v>30</v>
      </c>
      <c r="C55" s="1">
        <v>2</v>
      </c>
      <c r="D55" s="1">
        <v>0</v>
      </c>
      <c r="E55" s="1" t="s">
        <v>1173</v>
      </c>
    </row>
    <row r="56" spans="1:5" x14ac:dyDescent="0.25">
      <c r="A56" s="1" t="s">
        <v>399</v>
      </c>
      <c r="B56" s="1" t="s">
        <v>30</v>
      </c>
      <c r="C56" s="1">
        <v>2</v>
      </c>
      <c r="D56" s="1">
        <v>0</v>
      </c>
      <c r="E56" s="1" t="s">
        <v>1174</v>
      </c>
    </row>
    <row r="57" spans="1:5" x14ac:dyDescent="0.25">
      <c r="A57" s="1" t="s">
        <v>400</v>
      </c>
      <c r="B57" s="1" t="s">
        <v>30</v>
      </c>
      <c r="C57" s="1">
        <v>2</v>
      </c>
      <c r="D57" s="1">
        <v>0</v>
      </c>
      <c r="E57" s="1" t="s">
        <v>1175</v>
      </c>
    </row>
    <row r="58" spans="1:5" x14ac:dyDescent="0.25">
      <c r="A58" s="1" t="s">
        <v>401</v>
      </c>
      <c r="B58" s="1" t="s">
        <v>30</v>
      </c>
      <c r="C58" s="1">
        <v>2</v>
      </c>
      <c r="D58" s="1">
        <v>0</v>
      </c>
      <c r="E58" s="1" t="s">
        <v>1176</v>
      </c>
    </row>
    <row r="59" spans="1:5" x14ac:dyDescent="0.25">
      <c r="A59" s="1" t="s">
        <v>402</v>
      </c>
      <c r="B59" s="1" t="s">
        <v>30</v>
      </c>
      <c r="C59" s="1">
        <v>2</v>
      </c>
      <c r="D59" s="1">
        <v>0</v>
      </c>
      <c r="E59" s="1" t="s">
        <v>1177</v>
      </c>
    </row>
    <row r="60" spans="1:5" x14ac:dyDescent="0.25">
      <c r="A60" s="1" t="s">
        <v>403</v>
      </c>
      <c r="B60" s="1" t="s">
        <v>30</v>
      </c>
      <c r="C60" s="1">
        <v>2</v>
      </c>
      <c r="D60" s="1">
        <v>0</v>
      </c>
      <c r="E60" s="1" t="s">
        <v>1178</v>
      </c>
    </row>
    <row r="61" spans="1:5" x14ac:dyDescent="0.25">
      <c r="A61" s="1" t="s">
        <v>404</v>
      </c>
      <c r="B61" s="1" t="s">
        <v>30</v>
      </c>
      <c r="C61" s="1">
        <v>2</v>
      </c>
      <c r="D61" s="1">
        <v>0</v>
      </c>
      <c r="E61" s="1" t="s">
        <v>1179</v>
      </c>
    </row>
    <row r="62" spans="1:5" x14ac:dyDescent="0.25">
      <c r="A62" s="1" t="s">
        <v>405</v>
      </c>
      <c r="B62" s="1" t="s">
        <v>30</v>
      </c>
      <c r="C62" s="1">
        <v>2</v>
      </c>
      <c r="D62" s="1">
        <v>0</v>
      </c>
      <c r="E62" s="1" t="s">
        <v>1180</v>
      </c>
    </row>
    <row r="63" spans="1:5" x14ac:dyDescent="0.25">
      <c r="A63" s="1" t="s">
        <v>406</v>
      </c>
      <c r="B63" s="1" t="s">
        <v>30</v>
      </c>
      <c r="C63" s="1">
        <v>2</v>
      </c>
      <c r="D63" s="1">
        <v>0</v>
      </c>
      <c r="E63" s="1" t="s">
        <v>1181</v>
      </c>
    </row>
    <row r="64" spans="1:5" x14ac:dyDescent="0.25">
      <c r="A64" s="1" t="s">
        <v>407</v>
      </c>
      <c r="B64" s="1" t="s">
        <v>30</v>
      </c>
      <c r="C64" s="1">
        <v>2</v>
      </c>
      <c r="D64" s="1">
        <v>0</v>
      </c>
      <c r="E64" s="1" t="s">
        <v>1182</v>
      </c>
    </row>
    <row r="65" spans="1:5" x14ac:dyDescent="0.25">
      <c r="A65" s="1" t="s">
        <v>408</v>
      </c>
      <c r="B65" s="1" t="s">
        <v>30</v>
      </c>
      <c r="C65" s="1">
        <v>2</v>
      </c>
      <c r="D65" s="1">
        <v>0</v>
      </c>
      <c r="E65" s="1" t="s">
        <v>1183</v>
      </c>
    </row>
    <row r="66" spans="1:5" x14ac:dyDescent="0.25">
      <c r="A66" s="1" t="s">
        <v>409</v>
      </c>
      <c r="B66" s="1" t="s">
        <v>30</v>
      </c>
      <c r="C66" s="1">
        <v>2</v>
      </c>
      <c r="D66" s="1">
        <v>0</v>
      </c>
      <c r="E66" s="1" t="s">
        <v>1184</v>
      </c>
    </row>
    <row r="67" spans="1:5" x14ac:dyDescent="0.25">
      <c r="A67" s="1" t="s">
        <v>410</v>
      </c>
      <c r="B67" s="1" t="s">
        <v>30</v>
      </c>
      <c r="C67" s="1">
        <v>2</v>
      </c>
      <c r="D67" s="1">
        <v>0</v>
      </c>
      <c r="E67" s="1" t="s">
        <v>1185</v>
      </c>
    </row>
    <row r="68" spans="1:5" x14ac:dyDescent="0.25">
      <c r="A68" s="1" t="s">
        <v>411</v>
      </c>
      <c r="B68" s="1" t="s">
        <v>30</v>
      </c>
      <c r="C68" s="1">
        <v>2</v>
      </c>
      <c r="D68" s="1">
        <v>0</v>
      </c>
      <c r="E68" s="1" t="s">
        <v>1186</v>
      </c>
    </row>
    <row r="69" spans="1:5" x14ac:dyDescent="0.25">
      <c r="A69" s="1" t="s">
        <v>412</v>
      </c>
      <c r="B69" s="1" t="s">
        <v>30</v>
      </c>
      <c r="C69" s="1">
        <v>2</v>
      </c>
      <c r="D69" s="1">
        <v>0</v>
      </c>
      <c r="E69" s="1" t="s">
        <v>1187</v>
      </c>
    </row>
    <row r="70" spans="1:5" x14ac:dyDescent="0.25">
      <c r="A70" s="1" t="s">
        <v>413</v>
      </c>
      <c r="B70" s="1" t="s">
        <v>30</v>
      </c>
      <c r="C70" s="1">
        <v>2</v>
      </c>
      <c r="D70" s="1">
        <v>0</v>
      </c>
      <c r="E70" s="1" t="s">
        <v>1188</v>
      </c>
    </row>
    <row r="71" spans="1:5" x14ac:dyDescent="0.25">
      <c r="A71" s="1" t="s">
        <v>414</v>
      </c>
      <c r="B71" s="1" t="s">
        <v>30</v>
      </c>
      <c r="C71" s="1">
        <v>2</v>
      </c>
      <c r="D71" s="1">
        <v>0</v>
      </c>
      <c r="E71" s="1" t="s">
        <v>1189</v>
      </c>
    </row>
    <row r="72" spans="1:5" x14ac:dyDescent="0.25">
      <c r="A72" s="1" t="s">
        <v>415</v>
      </c>
      <c r="B72" s="1" t="s">
        <v>30</v>
      </c>
      <c r="C72" s="1">
        <v>2</v>
      </c>
      <c r="D72" s="1">
        <v>0</v>
      </c>
      <c r="E72" s="1" t="s">
        <v>1190</v>
      </c>
    </row>
    <row r="73" spans="1:5" x14ac:dyDescent="0.25">
      <c r="A73" s="1" t="s">
        <v>416</v>
      </c>
      <c r="B73" s="1" t="s">
        <v>30</v>
      </c>
      <c r="C73" s="1">
        <v>2</v>
      </c>
      <c r="D73" s="1">
        <v>0</v>
      </c>
      <c r="E73" s="1" t="s">
        <v>1191</v>
      </c>
    </row>
    <row r="74" spans="1:5" x14ac:dyDescent="0.25">
      <c r="A74" s="1" t="s">
        <v>417</v>
      </c>
      <c r="B74" s="1" t="s">
        <v>30</v>
      </c>
      <c r="C74" s="1">
        <v>2</v>
      </c>
      <c r="D74" s="1">
        <v>0</v>
      </c>
      <c r="E74" s="1" t="s">
        <v>1192</v>
      </c>
    </row>
    <row r="75" spans="1:5" x14ac:dyDescent="0.25">
      <c r="A75" s="1" t="s">
        <v>418</v>
      </c>
      <c r="B75" s="1" t="s">
        <v>30</v>
      </c>
      <c r="C75" s="1">
        <v>2</v>
      </c>
      <c r="D75" s="1">
        <v>0</v>
      </c>
      <c r="E75" s="1" t="s">
        <v>1193</v>
      </c>
    </row>
    <row r="76" spans="1:5" x14ac:dyDescent="0.25">
      <c r="A76" s="1" t="s">
        <v>419</v>
      </c>
      <c r="B76" s="1" t="s">
        <v>30</v>
      </c>
      <c r="C76" s="1">
        <v>2</v>
      </c>
      <c r="D76" s="1">
        <v>0</v>
      </c>
      <c r="E76" s="1" t="s">
        <v>1194</v>
      </c>
    </row>
    <row r="77" spans="1:5" x14ac:dyDescent="0.25">
      <c r="A77" s="1" t="s">
        <v>420</v>
      </c>
      <c r="B77" s="1" t="s">
        <v>30</v>
      </c>
      <c r="C77" s="1">
        <v>2</v>
      </c>
      <c r="D77" s="1">
        <v>0</v>
      </c>
      <c r="E77" s="1" t="s">
        <v>1195</v>
      </c>
    </row>
    <row r="78" spans="1:5" x14ac:dyDescent="0.25">
      <c r="A78" s="1" t="s">
        <v>421</v>
      </c>
      <c r="B78" s="1" t="s">
        <v>30</v>
      </c>
      <c r="C78" s="1">
        <v>2</v>
      </c>
      <c r="D78" s="1">
        <v>0</v>
      </c>
      <c r="E78" s="1" t="s">
        <v>1196</v>
      </c>
    </row>
    <row r="79" spans="1:5" x14ac:dyDescent="0.25">
      <c r="A79" s="1" t="s">
        <v>422</v>
      </c>
      <c r="B79" s="1" t="s">
        <v>30</v>
      </c>
      <c r="C79" s="1">
        <v>2</v>
      </c>
      <c r="D79" s="1">
        <v>0</v>
      </c>
      <c r="E79" s="1" t="s">
        <v>1197</v>
      </c>
    </row>
    <row r="80" spans="1:5" x14ac:dyDescent="0.25">
      <c r="A80" s="1" t="s">
        <v>423</v>
      </c>
      <c r="B80" s="1" t="s">
        <v>30</v>
      </c>
      <c r="C80" s="1">
        <v>2</v>
      </c>
      <c r="D80" s="1">
        <v>0</v>
      </c>
      <c r="E80" s="1" t="s">
        <v>1198</v>
      </c>
    </row>
    <row r="81" spans="1:5" x14ac:dyDescent="0.25">
      <c r="A81" s="1" t="s">
        <v>424</v>
      </c>
      <c r="B81" s="1" t="s">
        <v>30</v>
      </c>
      <c r="C81" s="1">
        <v>2</v>
      </c>
      <c r="D81" s="1">
        <v>0</v>
      </c>
      <c r="E81" s="1" t="s">
        <v>1199</v>
      </c>
    </row>
    <row r="82" spans="1:5" x14ac:dyDescent="0.25">
      <c r="A82" s="1" t="s">
        <v>425</v>
      </c>
      <c r="B82" s="1" t="s">
        <v>30</v>
      </c>
      <c r="C82" s="1">
        <v>2</v>
      </c>
      <c r="D82" s="1">
        <v>0</v>
      </c>
      <c r="E82" s="1" t="s">
        <v>1200</v>
      </c>
    </row>
    <row r="83" spans="1:5" x14ac:dyDescent="0.25">
      <c r="A83" s="1" t="s">
        <v>426</v>
      </c>
      <c r="B83" s="1" t="s">
        <v>30</v>
      </c>
      <c r="C83" s="1">
        <v>2</v>
      </c>
      <c r="D83" s="1">
        <v>0</v>
      </c>
      <c r="E83" s="1" t="s">
        <v>1201</v>
      </c>
    </row>
    <row r="84" spans="1:5" x14ac:dyDescent="0.25">
      <c r="A84" s="1" t="s">
        <v>427</v>
      </c>
      <c r="B84" s="1" t="s">
        <v>30</v>
      </c>
      <c r="C84" s="1">
        <v>2</v>
      </c>
      <c r="D84" s="1">
        <v>0</v>
      </c>
      <c r="E84" s="1" t="s">
        <v>1202</v>
      </c>
    </row>
    <row r="85" spans="1:5" x14ac:dyDescent="0.25">
      <c r="A85" s="1" t="s">
        <v>428</v>
      </c>
      <c r="B85" s="1" t="s">
        <v>30</v>
      </c>
      <c r="C85" s="1">
        <v>2</v>
      </c>
      <c r="D85" s="1">
        <v>0</v>
      </c>
      <c r="E85" s="1" t="s">
        <v>1203</v>
      </c>
    </row>
    <row r="86" spans="1:5" x14ac:dyDescent="0.25">
      <c r="A86" s="1" t="s">
        <v>429</v>
      </c>
      <c r="B86" s="1" t="s">
        <v>30</v>
      </c>
      <c r="C86" s="1">
        <v>2</v>
      </c>
      <c r="D86" s="1">
        <v>0</v>
      </c>
      <c r="E86" s="1" t="s">
        <v>1204</v>
      </c>
    </row>
    <row r="87" spans="1:5" x14ac:dyDescent="0.25">
      <c r="A87" s="1" t="s">
        <v>430</v>
      </c>
      <c r="B87" s="1" t="s">
        <v>30</v>
      </c>
      <c r="C87" s="1">
        <v>2</v>
      </c>
      <c r="D87" s="1">
        <v>0</v>
      </c>
      <c r="E87" s="1" t="s">
        <v>1205</v>
      </c>
    </row>
    <row r="88" spans="1:5" x14ac:dyDescent="0.25">
      <c r="A88" s="1" t="s">
        <v>431</v>
      </c>
      <c r="B88" s="1" t="s">
        <v>30</v>
      </c>
      <c r="C88" s="1">
        <v>2</v>
      </c>
      <c r="D88" s="1">
        <v>0</v>
      </c>
      <c r="E88" s="1" t="s">
        <v>1206</v>
      </c>
    </row>
    <row r="89" spans="1:5" x14ac:dyDescent="0.25">
      <c r="A89" s="1" t="s">
        <v>432</v>
      </c>
      <c r="B89" s="1" t="s">
        <v>30</v>
      </c>
      <c r="C89" s="1">
        <v>2</v>
      </c>
      <c r="D89" s="1">
        <v>0</v>
      </c>
      <c r="E89" s="1" t="s">
        <v>1207</v>
      </c>
    </row>
    <row r="90" spans="1:5" x14ac:dyDescent="0.25">
      <c r="A90" s="1" t="s">
        <v>433</v>
      </c>
      <c r="B90" s="1" t="s">
        <v>30</v>
      </c>
      <c r="C90" s="1">
        <v>2</v>
      </c>
      <c r="D90" s="1">
        <v>0</v>
      </c>
      <c r="E90" s="1" t="s">
        <v>1208</v>
      </c>
    </row>
    <row r="91" spans="1:5" x14ac:dyDescent="0.25">
      <c r="A91" s="1" t="s">
        <v>434</v>
      </c>
      <c r="B91" s="1" t="s">
        <v>30</v>
      </c>
      <c r="C91" s="1">
        <v>2</v>
      </c>
      <c r="D91" s="1">
        <v>0</v>
      </c>
      <c r="E91" s="1" t="s">
        <v>1209</v>
      </c>
    </row>
    <row r="92" spans="1:5" x14ac:dyDescent="0.25">
      <c r="A92" s="1" t="s">
        <v>435</v>
      </c>
      <c r="B92" s="1" t="s">
        <v>30</v>
      </c>
      <c r="C92" s="1">
        <v>2</v>
      </c>
      <c r="D92" s="1">
        <v>0</v>
      </c>
      <c r="E92" s="1" t="s">
        <v>1210</v>
      </c>
    </row>
    <row r="93" spans="1:5" x14ac:dyDescent="0.25">
      <c r="A93" s="1" t="s">
        <v>436</v>
      </c>
      <c r="B93" s="1" t="s">
        <v>30</v>
      </c>
      <c r="C93" s="1">
        <v>2</v>
      </c>
      <c r="D93" s="1">
        <v>0</v>
      </c>
      <c r="E93" s="1" t="s">
        <v>1211</v>
      </c>
    </row>
    <row r="94" spans="1:5" x14ac:dyDescent="0.25">
      <c r="A94" s="1" t="s">
        <v>437</v>
      </c>
      <c r="B94" s="1" t="s">
        <v>30</v>
      </c>
      <c r="C94" s="1">
        <v>2</v>
      </c>
      <c r="D94" s="1">
        <v>0</v>
      </c>
      <c r="E94" s="1" t="s">
        <v>1212</v>
      </c>
    </row>
    <row r="95" spans="1:5" x14ac:dyDescent="0.25">
      <c r="A95" s="1" t="s">
        <v>438</v>
      </c>
      <c r="B95" s="1" t="s">
        <v>30</v>
      </c>
      <c r="C95" s="1">
        <v>2</v>
      </c>
      <c r="D95" s="1">
        <v>0</v>
      </c>
      <c r="E95" s="1" t="s">
        <v>1213</v>
      </c>
    </row>
    <row r="96" spans="1:5" x14ac:dyDescent="0.25">
      <c r="A96" s="1" t="s">
        <v>439</v>
      </c>
      <c r="B96" s="1" t="s">
        <v>30</v>
      </c>
      <c r="C96" s="1">
        <v>2</v>
      </c>
      <c r="D96" s="1">
        <v>0</v>
      </c>
      <c r="E96" s="1" t="s">
        <v>1214</v>
      </c>
    </row>
    <row r="97" spans="1:5" x14ac:dyDescent="0.25">
      <c r="A97" s="1" t="s">
        <v>440</v>
      </c>
      <c r="B97" s="1" t="s">
        <v>30</v>
      </c>
      <c r="C97" s="1">
        <v>2</v>
      </c>
      <c r="D97" s="1">
        <v>0</v>
      </c>
      <c r="E97" s="1" t="s">
        <v>1215</v>
      </c>
    </row>
    <row r="98" spans="1:5" x14ac:dyDescent="0.25">
      <c r="A98" s="1" t="s">
        <v>441</v>
      </c>
      <c r="B98" s="1" t="s">
        <v>30</v>
      </c>
      <c r="C98" s="1">
        <v>2</v>
      </c>
      <c r="D98" s="1">
        <v>0</v>
      </c>
      <c r="E98" s="1" t="s">
        <v>1216</v>
      </c>
    </row>
    <row r="99" spans="1:5" x14ac:dyDescent="0.25">
      <c r="A99" s="1" t="s">
        <v>442</v>
      </c>
      <c r="B99" s="1" t="s">
        <v>30</v>
      </c>
      <c r="C99" s="1">
        <v>2</v>
      </c>
      <c r="D99" s="1">
        <v>0</v>
      </c>
      <c r="E99" s="1" t="s">
        <v>1217</v>
      </c>
    </row>
    <row r="100" spans="1:5" x14ac:dyDescent="0.25">
      <c r="A100" s="1" t="s">
        <v>443</v>
      </c>
      <c r="B100" s="1" t="s">
        <v>27</v>
      </c>
      <c r="C100" s="1">
        <v>150</v>
      </c>
      <c r="D100" s="1">
        <v>0</v>
      </c>
      <c r="E100" s="1" t="s">
        <v>1217</v>
      </c>
    </row>
    <row r="101" spans="1:5" x14ac:dyDescent="0.25">
      <c r="A101" s="1" t="s">
        <v>444</v>
      </c>
      <c r="B101" s="1" t="s">
        <v>30</v>
      </c>
      <c r="C101" s="1">
        <v>2</v>
      </c>
      <c r="D101" s="1">
        <v>0</v>
      </c>
      <c r="E101" s="1" t="s">
        <v>1218</v>
      </c>
    </row>
    <row r="102" spans="1:5" x14ac:dyDescent="0.25">
      <c r="A102" s="1" t="s">
        <v>445</v>
      </c>
      <c r="B102" s="1" t="s">
        <v>27</v>
      </c>
      <c r="C102" s="1">
        <v>150</v>
      </c>
      <c r="D102" s="1">
        <v>0</v>
      </c>
      <c r="E102" s="1" t="s">
        <v>1219</v>
      </c>
    </row>
    <row r="103" spans="1:5" x14ac:dyDescent="0.25">
      <c r="A103" s="1" t="s">
        <v>446</v>
      </c>
      <c r="B103" s="1" t="s">
        <v>30</v>
      </c>
      <c r="C103" s="1">
        <v>2</v>
      </c>
      <c r="D103" s="1">
        <v>0</v>
      </c>
      <c r="E103" s="1" t="s">
        <v>1220</v>
      </c>
    </row>
    <row r="104" spans="1:5" x14ac:dyDescent="0.25">
      <c r="A104" s="1" t="s">
        <v>447</v>
      </c>
      <c r="B104" s="1" t="s">
        <v>30</v>
      </c>
      <c r="C104" s="1">
        <v>2</v>
      </c>
      <c r="D104" s="1">
        <v>0</v>
      </c>
      <c r="E104" s="1" t="s">
        <v>1220</v>
      </c>
    </row>
    <row r="105" spans="1:5" x14ac:dyDescent="0.25">
      <c r="A105" s="1" t="s">
        <v>448</v>
      </c>
      <c r="B105" s="1" t="s">
        <v>30</v>
      </c>
      <c r="C105" s="1">
        <v>2</v>
      </c>
      <c r="D105" s="1">
        <v>0</v>
      </c>
      <c r="E105" s="1" t="s">
        <v>1220</v>
      </c>
    </row>
    <row r="106" spans="1:5" x14ac:dyDescent="0.25">
      <c r="A106" s="1" t="s">
        <v>449</v>
      </c>
      <c r="B106" s="1" t="s">
        <v>30</v>
      </c>
      <c r="C106" s="1">
        <v>2</v>
      </c>
      <c r="D106" s="1">
        <v>0</v>
      </c>
      <c r="E106" s="1" t="s">
        <v>1220</v>
      </c>
    </row>
    <row r="107" spans="1:5" x14ac:dyDescent="0.25">
      <c r="A107" s="1" t="s">
        <v>450</v>
      </c>
      <c r="B107" s="1" t="s">
        <v>30</v>
      </c>
      <c r="C107" s="1">
        <v>2</v>
      </c>
      <c r="D107" s="1">
        <v>0</v>
      </c>
      <c r="E107" s="1" t="s">
        <v>1220</v>
      </c>
    </row>
    <row r="108" spans="1:5" x14ac:dyDescent="0.25">
      <c r="A108" s="1" t="s">
        <v>451</v>
      </c>
      <c r="B108" s="1" t="s">
        <v>30</v>
      </c>
      <c r="C108" s="1">
        <v>2</v>
      </c>
      <c r="D108" s="1">
        <v>0</v>
      </c>
      <c r="E108" s="1" t="s">
        <v>1220</v>
      </c>
    </row>
    <row r="109" spans="1:5" x14ac:dyDescent="0.25">
      <c r="A109" s="1" t="s">
        <v>452</v>
      </c>
      <c r="B109" s="1" t="s">
        <v>30</v>
      </c>
      <c r="C109" s="1">
        <v>2</v>
      </c>
      <c r="D109" s="1">
        <v>0</v>
      </c>
      <c r="E109" s="1" t="s">
        <v>1220</v>
      </c>
    </row>
    <row r="110" spans="1:5" x14ac:dyDescent="0.25">
      <c r="A110" s="1" t="s">
        <v>453</v>
      </c>
      <c r="B110" s="1" t="s">
        <v>30</v>
      </c>
      <c r="C110" s="1">
        <v>2</v>
      </c>
      <c r="D110" s="1">
        <v>0</v>
      </c>
      <c r="E110" s="1" t="s">
        <v>1220</v>
      </c>
    </row>
    <row r="111" spans="1:5" x14ac:dyDescent="0.25">
      <c r="A111" s="1" t="s">
        <v>454</v>
      </c>
      <c r="B111" s="1" t="s">
        <v>30</v>
      </c>
      <c r="C111" s="1">
        <v>2</v>
      </c>
      <c r="D111" s="1">
        <v>0</v>
      </c>
      <c r="E111" s="1" t="s">
        <v>1220</v>
      </c>
    </row>
    <row r="112" spans="1:5" x14ac:dyDescent="0.25">
      <c r="A112" s="1" t="s">
        <v>455</v>
      </c>
      <c r="B112" s="1" t="s">
        <v>30</v>
      </c>
      <c r="C112" s="1">
        <v>2</v>
      </c>
      <c r="D112" s="1">
        <v>0</v>
      </c>
      <c r="E112" s="1" t="s">
        <v>1220</v>
      </c>
    </row>
    <row r="113" spans="1:5" x14ac:dyDescent="0.25">
      <c r="A113" s="1" t="s">
        <v>456</v>
      </c>
      <c r="B113" s="1" t="s">
        <v>30</v>
      </c>
      <c r="C113" s="1">
        <v>2</v>
      </c>
      <c r="D113" s="1">
        <v>0</v>
      </c>
      <c r="E113" s="1" t="s">
        <v>1220</v>
      </c>
    </row>
    <row r="114" spans="1:5" x14ac:dyDescent="0.25">
      <c r="A114" s="1" t="s">
        <v>457</v>
      </c>
      <c r="B114" s="1" t="s">
        <v>27</v>
      </c>
      <c r="C114" s="1">
        <v>150</v>
      </c>
      <c r="D114" s="1">
        <v>0</v>
      </c>
      <c r="E114" s="1" t="s">
        <v>1220</v>
      </c>
    </row>
    <row r="115" spans="1:5" x14ac:dyDescent="0.25">
      <c r="A115" s="1" t="s">
        <v>514</v>
      </c>
      <c r="B115" s="1" t="s">
        <v>30</v>
      </c>
      <c r="C115" s="1">
        <v>4</v>
      </c>
      <c r="D115" s="1">
        <v>0</v>
      </c>
      <c r="E115" s="1" t="s">
        <v>1221</v>
      </c>
    </row>
    <row r="116" spans="1:5" x14ac:dyDescent="0.25">
      <c r="A116" s="1" t="s">
        <v>515</v>
      </c>
      <c r="B116" s="1" t="s">
        <v>30</v>
      </c>
      <c r="C116" s="1">
        <v>5</v>
      </c>
      <c r="D116" s="1">
        <v>0</v>
      </c>
      <c r="E116" s="1" t="s">
        <v>1222</v>
      </c>
    </row>
    <row r="117" spans="1:5" x14ac:dyDescent="0.25">
      <c r="A117" s="1" t="s">
        <v>516</v>
      </c>
      <c r="B117" s="1" t="s">
        <v>30</v>
      </c>
      <c r="C117" s="1">
        <v>2</v>
      </c>
      <c r="D117" s="1">
        <v>0</v>
      </c>
      <c r="E117" s="1" t="s">
        <v>1223</v>
      </c>
    </row>
    <row r="118" spans="1:5" x14ac:dyDescent="0.25">
      <c r="A118" s="1" t="s">
        <v>517</v>
      </c>
      <c r="B118" s="1" t="s">
        <v>30</v>
      </c>
      <c r="C118" s="1">
        <v>2</v>
      </c>
      <c r="D118" s="1">
        <v>0</v>
      </c>
      <c r="E118" s="1" t="s">
        <v>1223</v>
      </c>
    </row>
    <row r="119" spans="1:5" x14ac:dyDescent="0.25">
      <c r="A119" s="1" t="s">
        <v>518</v>
      </c>
      <c r="B119" s="1" t="s">
        <v>30</v>
      </c>
      <c r="C119" s="1">
        <v>2</v>
      </c>
      <c r="D119" s="1">
        <v>0</v>
      </c>
      <c r="E119" s="1" t="s">
        <v>1223</v>
      </c>
    </row>
    <row r="120" spans="1:5" x14ac:dyDescent="0.25">
      <c r="A120" s="1" t="s">
        <v>519</v>
      </c>
      <c r="B120" s="1" t="s">
        <v>30</v>
      </c>
      <c r="C120" s="1">
        <v>2</v>
      </c>
      <c r="D120" s="1">
        <v>0</v>
      </c>
      <c r="E120" s="1" t="s">
        <v>1223</v>
      </c>
    </row>
    <row r="121" spans="1:5" x14ac:dyDescent="0.25">
      <c r="A121" s="1" t="s">
        <v>520</v>
      </c>
      <c r="B121" s="1" t="s">
        <v>30</v>
      </c>
      <c r="C121" s="1">
        <v>2</v>
      </c>
      <c r="D121" s="1">
        <v>0</v>
      </c>
      <c r="E121" s="1" t="s">
        <v>1223</v>
      </c>
    </row>
    <row r="122" spans="1:5" x14ac:dyDescent="0.25">
      <c r="A122" s="1" t="s">
        <v>521</v>
      </c>
      <c r="B122" s="1" t="s">
        <v>30</v>
      </c>
      <c r="C122" s="1">
        <v>2</v>
      </c>
      <c r="D122" s="1">
        <v>0</v>
      </c>
      <c r="E122" s="1" t="s">
        <v>1223</v>
      </c>
    </row>
    <row r="123" spans="1:5" x14ac:dyDescent="0.25">
      <c r="A123" s="1" t="s">
        <v>522</v>
      </c>
      <c r="B123" s="1" t="s">
        <v>30</v>
      </c>
      <c r="C123" s="1">
        <v>2</v>
      </c>
      <c r="D123" s="1">
        <v>0</v>
      </c>
      <c r="E123" s="1" t="s">
        <v>1223</v>
      </c>
    </row>
    <row r="124" spans="1:5" x14ac:dyDescent="0.25">
      <c r="A124" s="1" t="s">
        <v>523</v>
      </c>
      <c r="B124" s="1" t="s">
        <v>30</v>
      </c>
      <c r="C124" s="1">
        <v>2</v>
      </c>
      <c r="D124" s="1">
        <v>0</v>
      </c>
      <c r="E124" s="1" t="s">
        <v>1223</v>
      </c>
    </row>
    <row r="125" spans="1:5" x14ac:dyDescent="0.25">
      <c r="A125" s="1" t="s">
        <v>524</v>
      </c>
      <c r="B125" s="1" t="s">
        <v>30</v>
      </c>
      <c r="C125" s="1">
        <v>2</v>
      </c>
      <c r="D125" s="1">
        <v>0</v>
      </c>
      <c r="E125" s="1" t="s">
        <v>1223</v>
      </c>
    </row>
    <row r="126" spans="1:5" x14ac:dyDescent="0.25">
      <c r="A126" s="1" t="s">
        <v>525</v>
      </c>
      <c r="B126" s="1" t="s">
        <v>30</v>
      </c>
      <c r="C126" s="1">
        <v>2</v>
      </c>
      <c r="D126" s="1">
        <v>0</v>
      </c>
      <c r="E126" s="1" t="s">
        <v>1223</v>
      </c>
    </row>
    <row r="127" spans="1:5" x14ac:dyDescent="0.25">
      <c r="A127" s="1" t="s">
        <v>526</v>
      </c>
      <c r="B127" s="1" t="s">
        <v>30</v>
      </c>
      <c r="C127" s="1">
        <v>2</v>
      </c>
      <c r="D127" s="1">
        <v>0</v>
      </c>
      <c r="E127" s="1" t="s">
        <v>1223</v>
      </c>
    </row>
    <row r="128" spans="1:5" x14ac:dyDescent="0.25">
      <c r="A128" s="1" t="s">
        <v>527</v>
      </c>
      <c r="B128" s="1" t="s">
        <v>30</v>
      </c>
      <c r="C128" s="1">
        <v>2</v>
      </c>
      <c r="D128" s="1">
        <v>0</v>
      </c>
      <c r="E128" s="1" t="s">
        <v>1223</v>
      </c>
    </row>
    <row r="129" spans="1:5" x14ac:dyDescent="0.25">
      <c r="A129" s="1" t="s">
        <v>528</v>
      </c>
      <c r="B129" s="1" t="s">
        <v>27</v>
      </c>
      <c r="C129" s="1">
        <v>150</v>
      </c>
      <c r="D129" s="1">
        <v>0</v>
      </c>
      <c r="E129" s="1" t="s">
        <v>1223</v>
      </c>
    </row>
    <row r="130" spans="1:5" x14ac:dyDescent="0.25">
      <c r="A130" s="1" t="s">
        <v>79</v>
      </c>
      <c r="B130" s="1" t="s">
        <v>30</v>
      </c>
      <c r="C130" s="1">
        <v>2</v>
      </c>
      <c r="D130" s="1">
        <v>0</v>
      </c>
      <c r="E130" s="1" t="s">
        <v>1224</v>
      </c>
    </row>
    <row r="131" spans="1:5" x14ac:dyDescent="0.25">
      <c r="A131" s="1" t="s">
        <v>80</v>
      </c>
      <c r="B131" s="1" t="s">
        <v>30</v>
      </c>
      <c r="C131" s="1">
        <v>4</v>
      </c>
      <c r="D131" s="1">
        <v>0</v>
      </c>
      <c r="E131" s="1" t="s">
        <v>1225</v>
      </c>
    </row>
    <row r="132" spans="1:5" x14ac:dyDescent="0.25">
      <c r="A132" s="1" t="s">
        <v>81</v>
      </c>
      <c r="B132" s="1" t="s">
        <v>30</v>
      </c>
      <c r="C132" s="1">
        <v>5</v>
      </c>
      <c r="D132" s="1">
        <v>0</v>
      </c>
      <c r="E132" s="1" t="s">
        <v>1226</v>
      </c>
    </row>
    <row r="133" spans="1:5" x14ac:dyDescent="0.25">
      <c r="A133" s="1" t="s">
        <v>268</v>
      </c>
      <c r="B133" s="1" t="s">
        <v>30</v>
      </c>
      <c r="C133" s="1">
        <v>2</v>
      </c>
      <c r="D133" s="1">
        <v>0</v>
      </c>
      <c r="E133" s="1" t="s">
        <v>1227</v>
      </c>
    </row>
    <row r="134" spans="1:5" x14ac:dyDescent="0.25">
      <c r="A134" s="1" t="s">
        <v>1228</v>
      </c>
      <c r="B134" s="1" t="s">
        <v>30</v>
      </c>
      <c r="C134" s="1">
        <v>2</v>
      </c>
      <c r="D134" s="1">
        <v>0</v>
      </c>
      <c r="E134" s="1" t="s">
        <v>1229</v>
      </c>
    </row>
    <row r="135" spans="1:5" x14ac:dyDescent="0.25">
      <c r="A135" s="1" t="s">
        <v>1230</v>
      </c>
      <c r="B135" s="1" t="s">
        <v>30</v>
      </c>
      <c r="C135" s="1">
        <v>2</v>
      </c>
      <c r="D135" s="1">
        <v>0</v>
      </c>
      <c r="E135" s="1" t="s">
        <v>1231</v>
      </c>
    </row>
    <row r="136" spans="1:5" x14ac:dyDescent="0.25">
      <c r="A136" s="1" t="s">
        <v>1232</v>
      </c>
      <c r="B136" s="1" t="s">
        <v>30</v>
      </c>
      <c r="C136" s="1">
        <v>2</v>
      </c>
      <c r="D136" s="1">
        <v>0</v>
      </c>
      <c r="E136" s="1" t="s">
        <v>1233</v>
      </c>
    </row>
    <row r="137" spans="1:5" x14ac:dyDescent="0.25">
      <c r="A137" s="1" t="s">
        <v>1234</v>
      </c>
      <c r="B137" s="1" t="s">
        <v>30</v>
      </c>
      <c r="C137" s="1">
        <v>2</v>
      </c>
      <c r="D137" s="1">
        <v>0</v>
      </c>
      <c r="E137" s="1" t="s">
        <v>1235</v>
      </c>
    </row>
    <row r="138" spans="1:5" x14ac:dyDescent="0.25">
      <c r="A138" s="1" t="s">
        <v>269</v>
      </c>
      <c r="B138" s="1" t="s">
        <v>30</v>
      </c>
      <c r="C138" s="1">
        <v>2</v>
      </c>
      <c r="D138" s="1">
        <v>0</v>
      </c>
      <c r="E138" s="1" t="s">
        <v>1236</v>
      </c>
    </row>
    <row r="139" spans="1:5" x14ac:dyDescent="0.25">
      <c r="A139" s="1" t="s">
        <v>270</v>
      </c>
      <c r="B139" s="1" t="s">
        <v>30</v>
      </c>
      <c r="C139" s="1">
        <v>2</v>
      </c>
      <c r="D139" s="1">
        <v>0</v>
      </c>
      <c r="E139" s="1" t="s">
        <v>1237</v>
      </c>
    </row>
    <row r="140" spans="1:5" x14ac:dyDescent="0.25">
      <c r="A140" s="1" t="s">
        <v>271</v>
      </c>
      <c r="B140" s="1" t="s">
        <v>30</v>
      </c>
      <c r="C140" s="1">
        <v>2</v>
      </c>
      <c r="D140" s="1">
        <v>0</v>
      </c>
      <c r="E140" s="1" t="s">
        <v>1238</v>
      </c>
    </row>
    <row r="141" spans="1:5" x14ac:dyDescent="0.25">
      <c r="A141" s="1" t="s">
        <v>272</v>
      </c>
      <c r="B141" s="1" t="s">
        <v>30</v>
      </c>
      <c r="C141" s="1">
        <v>2</v>
      </c>
      <c r="D141" s="1">
        <v>0</v>
      </c>
      <c r="E141" s="1" t="s">
        <v>1239</v>
      </c>
    </row>
    <row r="142" spans="1:5" x14ac:dyDescent="0.25">
      <c r="A142" s="1" t="s">
        <v>273</v>
      </c>
      <c r="B142" s="1" t="s">
        <v>30</v>
      </c>
      <c r="C142" s="1">
        <v>2</v>
      </c>
      <c r="D142" s="1">
        <v>0</v>
      </c>
      <c r="E142" s="1" t="s">
        <v>1240</v>
      </c>
    </row>
    <row r="143" spans="1:5" x14ac:dyDescent="0.25">
      <c r="A143" s="1" t="s">
        <v>274</v>
      </c>
      <c r="B143" s="1" t="s">
        <v>27</v>
      </c>
      <c r="C143" s="1">
        <v>150</v>
      </c>
      <c r="D143" s="1">
        <v>0</v>
      </c>
      <c r="E143" s="1" t="s">
        <v>1240</v>
      </c>
    </row>
    <row r="144" spans="1:5" x14ac:dyDescent="0.25">
      <c r="A144" s="1" t="s">
        <v>118</v>
      </c>
      <c r="B144" s="1" t="s">
        <v>30</v>
      </c>
      <c r="C144" s="1">
        <v>2</v>
      </c>
      <c r="D144" s="1">
        <v>0</v>
      </c>
      <c r="E144" s="1" t="s">
        <v>1241</v>
      </c>
    </row>
    <row r="145" spans="1:5" x14ac:dyDescent="0.25">
      <c r="A145" s="1" t="s">
        <v>119</v>
      </c>
      <c r="B145" s="1" t="s">
        <v>27</v>
      </c>
      <c r="C145" s="1">
        <v>150</v>
      </c>
      <c r="D145" s="1">
        <v>0</v>
      </c>
      <c r="E145" s="1" t="s">
        <v>1242</v>
      </c>
    </row>
    <row r="146" spans="1:5" x14ac:dyDescent="0.25">
      <c r="A146" s="1" t="s">
        <v>264</v>
      </c>
      <c r="B146" s="1" t="s">
        <v>30</v>
      </c>
      <c r="C146" s="1">
        <v>2</v>
      </c>
      <c r="D146" s="1">
        <v>0</v>
      </c>
      <c r="E146" s="1" t="s">
        <v>1243</v>
      </c>
    </row>
    <row r="147" spans="1:5" x14ac:dyDescent="0.25">
      <c r="A147" s="1" t="s">
        <v>265</v>
      </c>
      <c r="B147" s="1" t="s">
        <v>27</v>
      </c>
      <c r="C147" s="1">
        <v>150</v>
      </c>
      <c r="D147" s="1">
        <v>0</v>
      </c>
      <c r="E147" s="1" t="s">
        <v>1244</v>
      </c>
    </row>
    <row r="148" spans="1:5" x14ac:dyDescent="0.25">
      <c r="A148" s="1" t="s">
        <v>275</v>
      </c>
      <c r="B148" s="1" t="s">
        <v>30</v>
      </c>
      <c r="C148" s="1">
        <v>4</v>
      </c>
      <c r="D148" s="1">
        <v>0</v>
      </c>
      <c r="E148" s="1" t="s">
        <v>1245</v>
      </c>
    </row>
    <row r="149" spans="1:5" x14ac:dyDescent="0.25">
      <c r="A149" s="1" t="s">
        <v>276</v>
      </c>
      <c r="B149" s="1" t="s">
        <v>30</v>
      </c>
      <c r="C149" s="1">
        <v>2</v>
      </c>
      <c r="D149" s="1">
        <v>0</v>
      </c>
      <c r="E149" s="1" t="s">
        <v>1246</v>
      </c>
    </row>
    <row r="150" spans="1:5" x14ac:dyDescent="0.25">
      <c r="A150" s="1" t="s">
        <v>1082</v>
      </c>
      <c r="B150" s="1" t="s">
        <v>30</v>
      </c>
      <c r="C150" s="1">
        <v>5</v>
      </c>
      <c r="D150" s="1">
        <v>0</v>
      </c>
      <c r="E150" s="1" t="s">
        <v>1247</v>
      </c>
    </row>
    <row r="151" spans="1:5" x14ac:dyDescent="0.25">
      <c r="A151" s="1" t="s">
        <v>1084</v>
      </c>
      <c r="B151" s="1" t="s">
        <v>30</v>
      </c>
      <c r="C151" s="1">
        <v>5</v>
      </c>
      <c r="D151" s="1">
        <v>0</v>
      </c>
      <c r="E151" s="1" t="s">
        <v>1247</v>
      </c>
    </row>
    <row r="152" spans="1:5" x14ac:dyDescent="0.25">
      <c r="A152" s="1" t="s">
        <v>280</v>
      </c>
      <c r="B152" s="1" t="s">
        <v>30</v>
      </c>
      <c r="C152" s="1">
        <v>4</v>
      </c>
      <c r="D152" s="1">
        <v>0</v>
      </c>
      <c r="E152" s="1" t="s">
        <v>1248</v>
      </c>
    </row>
    <row r="153" spans="1:5" x14ac:dyDescent="0.25">
      <c r="A153" s="1" t="s">
        <v>1085</v>
      </c>
      <c r="B153" s="1" t="s">
        <v>30</v>
      </c>
      <c r="C153" s="1">
        <v>5</v>
      </c>
      <c r="D153" s="1">
        <v>0</v>
      </c>
      <c r="E153" s="1" t="s">
        <v>1249</v>
      </c>
    </row>
    <row r="154" spans="1:5" x14ac:dyDescent="0.25">
      <c r="A154" s="1" t="s">
        <v>1086</v>
      </c>
      <c r="B154" s="1" t="s">
        <v>30</v>
      </c>
      <c r="C154" s="1">
        <v>5</v>
      </c>
      <c r="D154" s="1">
        <v>0</v>
      </c>
      <c r="E154" s="1" t="s">
        <v>1249</v>
      </c>
    </row>
    <row r="155" spans="1:5" x14ac:dyDescent="0.25">
      <c r="A155" s="1" t="s">
        <v>284</v>
      </c>
      <c r="B155" s="1" t="s">
        <v>30</v>
      </c>
      <c r="C155" s="1">
        <v>4</v>
      </c>
      <c r="D155" s="1">
        <v>0</v>
      </c>
      <c r="E155" s="1" t="s">
        <v>1250</v>
      </c>
    </row>
    <row r="156" spans="1:5" x14ac:dyDescent="0.25">
      <c r="A156" s="1" t="s">
        <v>1087</v>
      </c>
      <c r="B156" s="1" t="s">
        <v>30</v>
      </c>
      <c r="C156" s="1">
        <v>5</v>
      </c>
      <c r="D156" s="1">
        <v>0</v>
      </c>
      <c r="E156" s="1" t="s">
        <v>1251</v>
      </c>
    </row>
    <row r="157" spans="1:5" x14ac:dyDescent="0.25">
      <c r="A157" s="1" t="s">
        <v>1088</v>
      </c>
      <c r="B157" s="1" t="s">
        <v>30</v>
      </c>
      <c r="C157" s="1">
        <v>5</v>
      </c>
      <c r="D157" s="1">
        <v>0</v>
      </c>
      <c r="E157" s="1" t="s">
        <v>1251</v>
      </c>
    </row>
    <row r="158" spans="1:5" x14ac:dyDescent="0.25">
      <c r="A158" s="1" t="s">
        <v>288</v>
      </c>
      <c r="B158" s="1" t="s">
        <v>27</v>
      </c>
      <c r="C158" s="1">
        <v>3000</v>
      </c>
      <c r="D158" s="1">
        <v>0</v>
      </c>
      <c r="E158" s="1" t="s">
        <v>1252</v>
      </c>
    </row>
    <row r="159" spans="1:5" x14ac:dyDescent="0.25">
      <c r="A159" s="1" t="s">
        <v>289</v>
      </c>
      <c r="B159" s="1" t="s">
        <v>30</v>
      </c>
      <c r="C159" s="1">
        <v>5</v>
      </c>
      <c r="D159" s="1">
        <v>0</v>
      </c>
      <c r="E159" s="1" t="s">
        <v>1253</v>
      </c>
    </row>
    <row r="160" spans="1:5" x14ac:dyDescent="0.25">
      <c r="A160" s="1" t="s">
        <v>290</v>
      </c>
      <c r="B160" s="1" t="s">
        <v>30</v>
      </c>
      <c r="C160" s="1">
        <v>2</v>
      </c>
      <c r="D160" s="1">
        <v>0</v>
      </c>
      <c r="E160" s="1" t="s">
        <v>1254</v>
      </c>
    </row>
    <row r="161" spans="1:5" x14ac:dyDescent="0.25">
      <c r="A161" s="1" t="s">
        <v>291</v>
      </c>
      <c r="B161" s="1" t="s">
        <v>30</v>
      </c>
      <c r="C161" s="1">
        <v>2</v>
      </c>
      <c r="D161" s="1">
        <v>0</v>
      </c>
      <c r="E161" s="1" t="s">
        <v>1255</v>
      </c>
    </row>
    <row r="162" spans="1:5" x14ac:dyDescent="0.25">
      <c r="A162" s="1" t="s">
        <v>292</v>
      </c>
      <c r="B162" s="1" t="s">
        <v>30</v>
      </c>
      <c r="C162" s="1">
        <v>2</v>
      </c>
      <c r="D162" s="1">
        <v>0</v>
      </c>
      <c r="E162" s="1" t="s">
        <v>1256</v>
      </c>
    </row>
    <row r="163" spans="1:5" x14ac:dyDescent="0.25">
      <c r="A163" s="1" t="s">
        <v>293</v>
      </c>
      <c r="B163" s="1" t="s">
        <v>30</v>
      </c>
      <c r="C163" s="1">
        <v>2</v>
      </c>
      <c r="D163" s="1">
        <v>0</v>
      </c>
      <c r="E163" s="1" t="s">
        <v>1257</v>
      </c>
    </row>
    <row r="164" spans="1:5" x14ac:dyDescent="0.25">
      <c r="A164" s="1" t="s">
        <v>294</v>
      </c>
      <c r="B164" s="1" t="s">
        <v>30</v>
      </c>
      <c r="C164" s="1">
        <v>2</v>
      </c>
      <c r="D164" s="1">
        <v>0</v>
      </c>
      <c r="E164" s="1" t="s">
        <v>1258</v>
      </c>
    </row>
    <row r="165" spans="1:5" x14ac:dyDescent="0.25">
      <c r="A165" s="1" t="s">
        <v>295</v>
      </c>
      <c r="B165" s="1" t="s">
        <v>30</v>
      </c>
      <c r="C165" s="1">
        <v>2</v>
      </c>
      <c r="D165" s="1">
        <v>0</v>
      </c>
      <c r="E165" s="1" t="s">
        <v>1259</v>
      </c>
    </row>
    <row r="166" spans="1:5" x14ac:dyDescent="0.25">
      <c r="A166" s="1" t="s">
        <v>296</v>
      </c>
      <c r="B166" s="1" t="s">
        <v>30</v>
      </c>
      <c r="C166" s="1">
        <v>2</v>
      </c>
      <c r="D166" s="1">
        <v>0</v>
      </c>
      <c r="E166" s="1" t="s">
        <v>1260</v>
      </c>
    </row>
    <row r="167" spans="1:5" x14ac:dyDescent="0.25">
      <c r="A167" s="1" t="s">
        <v>297</v>
      </c>
      <c r="B167" s="1" t="s">
        <v>27</v>
      </c>
      <c r="C167" s="1">
        <v>150</v>
      </c>
      <c r="D167" s="1">
        <v>0</v>
      </c>
      <c r="E167" s="1" t="s">
        <v>1260</v>
      </c>
    </row>
    <row r="168" spans="1:5" x14ac:dyDescent="0.25">
      <c r="A168" s="1" t="s">
        <v>298</v>
      </c>
      <c r="B168" s="1" t="s">
        <v>30</v>
      </c>
      <c r="C168" s="1">
        <v>7</v>
      </c>
      <c r="D168" s="1">
        <v>0</v>
      </c>
      <c r="E168" s="1" t="s">
        <v>1261</v>
      </c>
    </row>
    <row r="169" spans="1:5" x14ac:dyDescent="0.25">
      <c r="A169" s="1" t="s">
        <v>1262</v>
      </c>
      <c r="B169" s="1" t="s">
        <v>30</v>
      </c>
      <c r="C169" s="1">
        <v>2</v>
      </c>
      <c r="D169" s="1">
        <v>0</v>
      </c>
      <c r="E169" s="1" t="s">
        <v>1263</v>
      </c>
    </row>
    <row r="170" spans="1:5" x14ac:dyDescent="0.25">
      <c r="A170" s="1" t="s">
        <v>1264</v>
      </c>
      <c r="B170" s="1" t="s">
        <v>30</v>
      </c>
      <c r="C170" s="1">
        <v>2</v>
      </c>
      <c r="D170" s="1">
        <v>0</v>
      </c>
      <c r="E170" s="1" t="s">
        <v>1265</v>
      </c>
    </row>
    <row r="171" spans="1:5" x14ac:dyDescent="0.25">
      <c r="A171" s="1" t="s">
        <v>1266</v>
      </c>
      <c r="B171" s="1" t="s">
        <v>30</v>
      </c>
      <c r="C171" s="1">
        <v>2</v>
      </c>
      <c r="D171" s="1">
        <v>0</v>
      </c>
      <c r="E171" s="1" t="s">
        <v>1267</v>
      </c>
    </row>
    <row r="172" spans="1:5" x14ac:dyDescent="0.25">
      <c r="A172" s="1" t="s">
        <v>1268</v>
      </c>
      <c r="B172" s="1" t="s">
        <v>30</v>
      </c>
      <c r="C172" s="1">
        <v>2</v>
      </c>
      <c r="D172" s="1">
        <v>0</v>
      </c>
      <c r="E172" s="1" t="s">
        <v>1269</v>
      </c>
    </row>
    <row r="173" spans="1:5" x14ac:dyDescent="0.25">
      <c r="A173" s="1" t="s">
        <v>1270</v>
      </c>
      <c r="B173" s="1" t="s">
        <v>30</v>
      </c>
      <c r="C173" s="1">
        <v>2</v>
      </c>
      <c r="D173" s="1">
        <v>0</v>
      </c>
      <c r="E173" s="1" t="s">
        <v>1271</v>
      </c>
    </row>
    <row r="174" spans="1:5" x14ac:dyDescent="0.25">
      <c r="A174" s="1" t="s">
        <v>1272</v>
      </c>
      <c r="B174" s="1" t="s">
        <v>30</v>
      </c>
      <c r="C174" s="1">
        <v>2</v>
      </c>
      <c r="D174" s="1">
        <v>0</v>
      </c>
      <c r="E174" s="1" t="s">
        <v>1273</v>
      </c>
    </row>
    <row r="175" spans="1:5" x14ac:dyDescent="0.25">
      <c r="A175" s="1" t="s">
        <v>1274</v>
      </c>
      <c r="B175" s="1" t="s">
        <v>30</v>
      </c>
      <c r="C175" s="1">
        <v>2</v>
      </c>
      <c r="D175" s="1">
        <v>0</v>
      </c>
      <c r="E175" s="1" t="s">
        <v>1275</v>
      </c>
    </row>
    <row r="176" spans="1:5" x14ac:dyDescent="0.25">
      <c r="A176" s="1" t="s">
        <v>1276</v>
      </c>
      <c r="B176" s="1" t="s">
        <v>30</v>
      </c>
      <c r="C176" s="1">
        <v>2</v>
      </c>
      <c r="D176" s="1">
        <v>0</v>
      </c>
      <c r="E176" s="1" t="s">
        <v>1277</v>
      </c>
    </row>
    <row r="177" spans="1:5" x14ac:dyDescent="0.25">
      <c r="A177" s="1" t="s">
        <v>1278</v>
      </c>
      <c r="B177" s="1" t="s">
        <v>30</v>
      </c>
      <c r="C177" s="1">
        <v>2</v>
      </c>
      <c r="D177" s="1">
        <v>0</v>
      </c>
      <c r="E177" s="1" t="s">
        <v>1279</v>
      </c>
    </row>
    <row r="178" spans="1:5" x14ac:dyDescent="0.25">
      <c r="A178" s="1" t="s">
        <v>1280</v>
      </c>
      <c r="B178" s="1" t="s">
        <v>30</v>
      </c>
      <c r="C178" s="1">
        <v>2</v>
      </c>
      <c r="D178" s="1">
        <v>0</v>
      </c>
      <c r="E178" s="1" t="s">
        <v>1281</v>
      </c>
    </row>
    <row r="179" spans="1:5" x14ac:dyDescent="0.25">
      <c r="A179" s="1" t="s">
        <v>1282</v>
      </c>
      <c r="B179" s="1" t="s">
        <v>30</v>
      </c>
      <c r="C179" s="1">
        <v>2</v>
      </c>
      <c r="D179" s="1">
        <v>0</v>
      </c>
      <c r="E179" s="1" t="s">
        <v>1283</v>
      </c>
    </row>
    <row r="180" spans="1:5" x14ac:dyDescent="0.25">
      <c r="A180" s="1" t="s">
        <v>1284</v>
      </c>
      <c r="B180" s="1" t="s">
        <v>27</v>
      </c>
      <c r="C180" s="1">
        <v>150</v>
      </c>
      <c r="D180" s="1">
        <v>0</v>
      </c>
      <c r="E180" s="1" t="s">
        <v>1283</v>
      </c>
    </row>
    <row r="181" spans="1:5" x14ac:dyDescent="0.25">
      <c r="A181" s="1" t="s">
        <v>1285</v>
      </c>
      <c r="B181" s="1" t="s">
        <v>30</v>
      </c>
      <c r="C181" s="1">
        <v>2</v>
      </c>
      <c r="D181" s="1">
        <v>0</v>
      </c>
      <c r="E181" s="1" t="s">
        <v>1286</v>
      </c>
    </row>
    <row r="182" spans="1:5" x14ac:dyDescent="0.25">
      <c r="A182" s="1" t="s">
        <v>1287</v>
      </c>
      <c r="B182" s="1" t="s">
        <v>30</v>
      </c>
      <c r="C182" s="1">
        <v>2</v>
      </c>
      <c r="D182" s="1">
        <v>0</v>
      </c>
      <c r="E182" s="1" t="s">
        <v>1288</v>
      </c>
    </row>
    <row r="183" spans="1:5" x14ac:dyDescent="0.25">
      <c r="A183" s="1" t="s">
        <v>1289</v>
      </c>
      <c r="B183" s="1" t="s">
        <v>30</v>
      </c>
      <c r="C183" s="1">
        <v>2</v>
      </c>
      <c r="D183" s="1">
        <v>0</v>
      </c>
      <c r="E183" s="1" t="s">
        <v>1290</v>
      </c>
    </row>
    <row r="184" spans="1:5" x14ac:dyDescent="0.25">
      <c r="A184" s="1" t="s">
        <v>1291</v>
      </c>
      <c r="B184" s="1" t="s">
        <v>30</v>
      </c>
      <c r="C184" s="1">
        <v>2</v>
      </c>
      <c r="D184" s="1">
        <v>0</v>
      </c>
      <c r="E184" s="1" t="s">
        <v>1292</v>
      </c>
    </row>
    <row r="185" spans="1:5" x14ac:dyDescent="0.25">
      <c r="A185" s="1" t="s">
        <v>1293</v>
      </c>
      <c r="B185" s="1" t="s">
        <v>30</v>
      </c>
      <c r="C185" s="1">
        <v>2</v>
      </c>
      <c r="D185" s="1">
        <v>0</v>
      </c>
      <c r="E185" s="1" t="s">
        <v>1294</v>
      </c>
    </row>
    <row r="186" spans="1:5" x14ac:dyDescent="0.25">
      <c r="A186" s="1" t="s">
        <v>1295</v>
      </c>
      <c r="B186" s="1" t="s">
        <v>30</v>
      </c>
      <c r="C186" s="1">
        <v>2</v>
      </c>
      <c r="D186" s="1">
        <v>0</v>
      </c>
      <c r="E186" s="1" t="s">
        <v>1296</v>
      </c>
    </row>
    <row r="187" spans="1:5" x14ac:dyDescent="0.25">
      <c r="A187" s="1" t="s">
        <v>1297</v>
      </c>
      <c r="B187" s="1" t="s">
        <v>30</v>
      </c>
      <c r="C187" s="1">
        <v>2</v>
      </c>
      <c r="D187" s="1">
        <v>0</v>
      </c>
      <c r="E187" s="1" t="s">
        <v>1298</v>
      </c>
    </row>
    <row r="188" spans="1:5" x14ac:dyDescent="0.25">
      <c r="A188" s="1" t="s">
        <v>1299</v>
      </c>
      <c r="B188" s="1" t="s">
        <v>30</v>
      </c>
      <c r="C188" s="1">
        <v>2</v>
      </c>
      <c r="D188" s="1">
        <v>0</v>
      </c>
      <c r="E188" s="1" t="s">
        <v>1300</v>
      </c>
    </row>
    <row r="189" spans="1:5" x14ac:dyDescent="0.25">
      <c r="A189" s="1" t="s">
        <v>1301</v>
      </c>
      <c r="B189" s="1" t="s">
        <v>30</v>
      </c>
      <c r="C189" s="1">
        <v>2</v>
      </c>
      <c r="D189" s="1">
        <v>0</v>
      </c>
      <c r="E189" s="1" t="s">
        <v>1302</v>
      </c>
    </row>
    <row r="190" spans="1:5" x14ac:dyDescent="0.25">
      <c r="A190" s="1" t="s">
        <v>1303</v>
      </c>
      <c r="B190" s="1" t="s">
        <v>27</v>
      </c>
      <c r="C190" s="1">
        <v>150</v>
      </c>
      <c r="D190" s="1">
        <v>0</v>
      </c>
      <c r="E190" s="1" t="s">
        <v>1300</v>
      </c>
    </row>
    <row r="191" spans="1:5" x14ac:dyDescent="0.25">
      <c r="A191" s="1" t="s">
        <v>1304</v>
      </c>
      <c r="B191" s="1" t="s">
        <v>30</v>
      </c>
      <c r="C191" s="1">
        <v>2</v>
      </c>
      <c r="D191" s="1">
        <v>0</v>
      </c>
      <c r="E191" s="1" t="s">
        <v>1305</v>
      </c>
    </row>
    <row r="192" spans="1:5" x14ac:dyDescent="0.25">
      <c r="A192" s="1" t="s">
        <v>1306</v>
      </c>
      <c r="B192" s="1" t="s">
        <v>30</v>
      </c>
      <c r="C192" s="1">
        <v>2</v>
      </c>
      <c r="D192" s="1">
        <v>0</v>
      </c>
      <c r="E192" s="1" t="s">
        <v>1307</v>
      </c>
    </row>
    <row r="193" spans="1:5" x14ac:dyDescent="0.25">
      <c r="A193" s="1" t="s">
        <v>1308</v>
      </c>
      <c r="B193" s="1" t="s">
        <v>30</v>
      </c>
      <c r="C193" s="1">
        <v>2</v>
      </c>
      <c r="D193" s="1">
        <v>0</v>
      </c>
      <c r="E193" s="1" t="s">
        <v>1309</v>
      </c>
    </row>
    <row r="194" spans="1:5" x14ac:dyDescent="0.25">
      <c r="A194" s="1" t="s">
        <v>1310</v>
      </c>
      <c r="B194" s="1" t="s">
        <v>30</v>
      </c>
      <c r="C194" s="1">
        <v>2</v>
      </c>
      <c r="D194" s="1">
        <v>0</v>
      </c>
      <c r="E194" s="1" t="s">
        <v>1311</v>
      </c>
    </row>
    <row r="195" spans="1:5" x14ac:dyDescent="0.25">
      <c r="A195" s="1" t="s">
        <v>1312</v>
      </c>
      <c r="B195" s="1" t="s">
        <v>30</v>
      </c>
      <c r="C195" s="1">
        <v>2</v>
      </c>
      <c r="D195" s="1">
        <v>0</v>
      </c>
      <c r="E195" s="1" t="s">
        <v>1313</v>
      </c>
    </row>
    <row r="196" spans="1:5" x14ac:dyDescent="0.25">
      <c r="A196" s="1" t="s">
        <v>1314</v>
      </c>
      <c r="B196" s="1" t="s">
        <v>27</v>
      </c>
      <c r="C196" s="1">
        <v>150</v>
      </c>
      <c r="D196" s="1">
        <v>0</v>
      </c>
      <c r="E196" s="1" t="s">
        <v>1311</v>
      </c>
    </row>
    <row r="197" spans="1:5" x14ac:dyDescent="0.25">
      <c r="A197" s="1" t="s">
        <v>1315</v>
      </c>
      <c r="B197" s="1" t="s">
        <v>30</v>
      </c>
      <c r="C197" s="1">
        <v>2</v>
      </c>
      <c r="D197" s="1">
        <v>0</v>
      </c>
      <c r="E197" s="1" t="s">
        <v>1316</v>
      </c>
    </row>
    <row r="198" spans="1:5" x14ac:dyDescent="0.25">
      <c r="A198" s="1" t="s">
        <v>1317</v>
      </c>
      <c r="B198" s="1" t="s">
        <v>30</v>
      </c>
      <c r="C198" s="1">
        <v>2</v>
      </c>
      <c r="D198" s="1">
        <v>0</v>
      </c>
      <c r="E198" s="1" t="s">
        <v>1316</v>
      </c>
    </row>
    <row r="199" spans="1:5" x14ac:dyDescent="0.25">
      <c r="A199" s="1" t="s">
        <v>1318</v>
      </c>
      <c r="B199" s="1" t="s">
        <v>30</v>
      </c>
      <c r="C199" s="1">
        <v>2</v>
      </c>
      <c r="D199" s="1">
        <v>0</v>
      </c>
      <c r="E199" s="1" t="s">
        <v>1316</v>
      </c>
    </row>
    <row r="200" spans="1:5" x14ac:dyDescent="0.25">
      <c r="A200" s="1" t="s">
        <v>1319</v>
      </c>
      <c r="B200" s="1" t="s">
        <v>30</v>
      </c>
      <c r="C200" s="1">
        <v>2</v>
      </c>
      <c r="D200" s="1">
        <v>0</v>
      </c>
      <c r="E200" s="1" t="s">
        <v>1316</v>
      </c>
    </row>
    <row r="201" spans="1:5" x14ac:dyDescent="0.25">
      <c r="A201" s="1" t="s">
        <v>1320</v>
      </c>
      <c r="B201" s="1" t="s">
        <v>30</v>
      </c>
      <c r="C201" s="1">
        <v>2</v>
      </c>
      <c r="D201" s="1">
        <v>0</v>
      </c>
      <c r="E201" s="1" t="s">
        <v>1316</v>
      </c>
    </row>
    <row r="202" spans="1:5" x14ac:dyDescent="0.25">
      <c r="A202" s="1" t="s">
        <v>1321</v>
      </c>
      <c r="B202" s="1" t="s">
        <v>30</v>
      </c>
      <c r="C202" s="1">
        <v>2</v>
      </c>
      <c r="D202" s="1">
        <v>0</v>
      </c>
      <c r="E202" s="1" t="s">
        <v>1316</v>
      </c>
    </row>
    <row r="203" spans="1:5" x14ac:dyDescent="0.25">
      <c r="A203" s="1" t="s">
        <v>1322</v>
      </c>
      <c r="B203" s="1" t="s">
        <v>30</v>
      </c>
      <c r="C203" s="1">
        <v>2</v>
      </c>
      <c r="D203" s="1">
        <v>0</v>
      </c>
      <c r="E203" s="1" t="s">
        <v>1316</v>
      </c>
    </row>
    <row r="204" spans="1:5" x14ac:dyDescent="0.25">
      <c r="A204" s="1" t="s">
        <v>1323</v>
      </c>
      <c r="B204" s="1" t="s">
        <v>27</v>
      </c>
      <c r="C204" s="1">
        <v>150</v>
      </c>
      <c r="D204" s="1">
        <v>0</v>
      </c>
      <c r="E204" s="1" t="s">
        <v>1316</v>
      </c>
    </row>
    <row r="205" spans="1:5" x14ac:dyDescent="0.25">
      <c r="A205" s="1" t="s">
        <v>500</v>
      </c>
      <c r="B205" s="1" t="s">
        <v>30</v>
      </c>
      <c r="C205" s="1">
        <v>5</v>
      </c>
      <c r="D205" s="1">
        <v>0</v>
      </c>
      <c r="E205" s="1" t="s">
        <v>1324</v>
      </c>
    </row>
    <row r="206" spans="1:5" x14ac:dyDescent="0.25">
      <c r="A206" s="1" t="s">
        <v>501</v>
      </c>
      <c r="B206" s="1" t="s">
        <v>30</v>
      </c>
      <c r="C206" s="1">
        <v>5</v>
      </c>
      <c r="D206" s="1">
        <v>0</v>
      </c>
      <c r="E206" s="1" t="s">
        <v>1325</v>
      </c>
    </row>
    <row r="207" spans="1:5" x14ac:dyDescent="0.25">
      <c r="A207" s="1" t="s">
        <v>502</v>
      </c>
      <c r="B207" s="1" t="s">
        <v>30</v>
      </c>
      <c r="C207" s="1">
        <v>5</v>
      </c>
      <c r="D207" s="1">
        <v>0</v>
      </c>
      <c r="E207" s="1" t="s">
        <v>1326</v>
      </c>
    </row>
    <row r="208" spans="1:5" x14ac:dyDescent="0.25">
      <c r="A208" s="1" t="s">
        <v>503</v>
      </c>
      <c r="B208" s="1" t="s">
        <v>30</v>
      </c>
      <c r="C208" s="1">
        <v>5</v>
      </c>
      <c r="D208" s="1">
        <v>0</v>
      </c>
      <c r="E208" s="1" t="s">
        <v>1327</v>
      </c>
    </row>
    <row r="209" spans="1:5" x14ac:dyDescent="0.25">
      <c r="A209" s="1" t="s">
        <v>504</v>
      </c>
      <c r="B209" s="1" t="s">
        <v>30</v>
      </c>
      <c r="C209" s="1">
        <v>2</v>
      </c>
      <c r="D209" s="1">
        <v>0</v>
      </c>
      <c r="E209" s="1" t="s">
        <v>1328</v>
      </c>
    </row>
    <row r="210" spans="1:5" x14ac:dyDescent="0.25">
      <c r="A210" s="1" t="s">
        <v>505</v>
      </c>
      <c r="B210" s="1" t="s">
        <v>30</v>
      </c>
      <c r="C210" s="1">
        <v>2</v>
      </c>
      <c r="D210" s="1">
        <v>0</v>
      </c>
      <c r="E210" s="1" t="s">
        <v>1328</v>
      </c>
    </row>
    <row r="211" spans="1:5" x14ac:dyDescent="0.25">
      <c r="A211" s="1" t="s">
        <v>506</v>
      </c>
      <c r="B211" s="1" t="s">
        <v>30</v>
      </c>
      <c r="C211" s="1">
        <v>2</v>
      </c>
      <c r="D211" s="1">
        <v>0</v>
      </c>
      <c r="E211" s="1" t="s">
        <v>1328</v>
      </c>
    </row>
    <row r="212" spans="1:5" x14ac:dyDescent="0.25">
      <c r="A212" s="1" t="s">
        <v>507</v>
      </c>
      <c r="B212" s="1" t="s">
        <v>30</v>
      </c>
      <c r="C212" s="1">
        <v>2</v>
      </c>
      <c r="D212" s="1">
        <v>0</v>
      </c>
      <c r="E212" s="1" t="s">
        <v>1328</v>
      </c>
    </row>
    <row r="213" spans="1:5" x14ac:dyDescent="0.25">
      <c r="A213" s="1" t="s">
        <v>508</v>
      </c>
      <c r="B213" s="1" t="s">
        <v>30</v>
      </c>
      <c r="C213" s="1">
        <v>2</v>
      </c>
      <c r="D213" s="1">
        <v>0</v>
      </c>
      <c r="E213" s="1" t="s">
        <v>1328</v>
      </c>
    </row>
    <row r="214" spans="1:5" x14ac:dyDescent="0.25">
      <c r="A214" s="1" t="s">
        <v>509</v>
      </c>
      <c r="B214" s="1" t="s">
        <v>30</v>
      </c>
      <c r="C214" s="1">
        <v>2</v>
      </c>
      <c r="D214" s="1">
        <v>0</v>
      </c>
      <c r="E214" s="1" t="s">
        <v>1328</v>
      </c>
    </row>
    <row r="215" spans="1:5" x14ac:dyDescent="0.25">
      <c r="A215" s="1" t="s">
        <v>510</v>
      </c>
      <c r="B215" s="1" t="s">
        <v>30</v>
      </c>
      <c r="C215" s="1">
        <v>2</v>
      </c>
      <c r="D215" s="1">
        <v>0</v>
      </c>
      <c r="E215" s="1" t="s">
        <v>1328</v>
      </c>
    </row>
    <row r="216" spans="1:5" x14ac:dyDescent="0.25">
      <c r="A216" s="1" t="s">
        <v>511</v>
      </c>
      <c r="B216" s="1" t="s">
        <v>30</v>
      </c>
      <c r="C216" s="1">
        <v>2</v>
      </c>
      <c r="D216" s="1">
        <v>0</v>
      </c>
      <c r="E216" s="1" t="s">
        <v>1328</v>
      </c>
    </row>
    <row r="217" spans="1:5" x14ac:dyDescent="0.25">
      <c r="A217" s="1" t="s">
        <v>512</v>
      </c>
      <c r="B217" s="1" t="s">
        <v>30</v>
      </c>
      <c r="C217" s="1">
        <v>2</v>
      </c>
      <c r="D217" s="1">
        <v>0</v>
      </c>
      <c r="E217" s="1" t="s">
        <v>1328</v>
      </c>
    </row>
    <row r="218" spans="1:5" x14ac:dyDescent="0.25">
      <c r="A218" s="1" t="s">
        <v>513</v>
      </c>
      <c r="B218" s="1" t="s">
        <v>27</v>
      </c>
      <c r="C218" s="1">
        <v>150</v>
      </c>
      <c r="D218" s="1">
        <v>0</v>
      </c>
      <c r="E218" s="1" t="s">
        <v>1328</v>
      </c>
    </row>
    <row r="219" spans="1:5" x14ac:dyDescent="0.25">
      <c r="A219" s="1" t="s">
        <v>463</v>
      </c>
      <c r="B219" s="1" t="s">
        <v>30</v>
      </c>
      <c r="C219" s="1">
        <v>4</v>
      </c>
      <c r="D219" s="1">
        <v>0</v>
      </c>
      <c r="E219" s="1" t="s">
        <v>1329</v>
      </c>
    </row>
    <row r="220" spans="1:5" x14ac:dyDescent="0.25">
      <c r="A220" s="1" t="s">
        <v>464</v>
      </c>
      <c r="B220" s="1" t="s">
        <v>30</v>
      </c>
      <c r="C220" s="1">
        <v>5</v>
      </c>
      <c r="D220" s="1">
        <v>0</v>
      </c>
      <c r="E220" s="1" t="s">
        <v>1330</v>
      </c>
    </row>
    <row r="221" spans="1:5" x14ac:dyDescent="0.25">
      <c r="A221" s="1" t="s">
        <v>465</v>
      </c>
      <c r="B221" s="1" t="s">
        <v>30</v>
      </c>
      <c r="C221" s="1">
        <v>2</v>
      </c>
      <c r="D221" s="1">
        <v>0</v>
      </c>
      <c r="E221" s="1" t="s">
        <v>1331</v>
      </c>
    </row>
    <row r="222" spans="1:5" x14ac:dyDescent="0.25">
      <c r="A222" s="1" t="s">
        <v>466</v>
      </c>
      <c r="B222" s="1" t="s">
        <v>30</v>
      </c>
      <c r="C222" s="1">
        <v>2</v>
      </c>
      <c r="D222" s="1">
        <v>0</v>
      </c>
      <c r="E222" s="1" t="s">
        <v>1332</v>
      </c>
    </row>
    <row r="223" spans="1:5" x14ac:dyDescent="0.25">
      <c r="A223" s="1" t="s">
        <v>467</v>
      </c>
      <c r="B223" s="1" t="s">
        <v>30</v>
      </c>
      <c r="C223" s="1">
        <v>2</v>
      </c>
      <c r="D223" s="1">
        <v>0</v>
      </c>
      <c r="E223" s="1" t="s">
        <v>1333</v>
      </c>
    </row>
    <row r="224" spans="1:5" x14ac:dyDescent="0.25">
      <c r="A224" s="1" t="s">
        <v>468</v>
      </c>
      <c r="B224" s="1" t="s">
        <v>30</v>
      </c>
      <c r="C224" s="1">
        <v>2</v>
      </c>
      <c r="D224" s="1">
        <v>0</v>
      </c>
      <c r="E224" s="1" t="s">
        <v>1334</v>
      </c>
    </row>
    <row r="225" spans="1:5" x14ac:dyDescent="0.25">
      <c r="A225" s="1" t="s">
        <v>469</v>
      </c>
      <c r="B225" s="1" t="s">
        <v>30</v>
      </c>
      <c r="C225" s="1">
        <v>2</v>
      </c>
      <c r="D225" s="1">
        <v>0</v>
      </c>
      <c r="E225" s="1" t="s">
        <v>1335</v>
      </c>
    </row>
    <row r="226" spans="1:5" x14ac:dyDescent="0.25">
      <c r="A226" s="1" t="s">
        <v>470</v>
      </c>
      <c r="B226" s="1" t="s">
        <v>30</v>
      </c>
      <c r="C226" s="1">
        <v>2</v>
      </c>
      <c r="D226" s="1">
        <v>0</v>
      </c>
      <c r="E226" s="1" t="s">
        <v>1336</v>
      </c>
    </row>
    <row r="227" spans="1:5" x14ac:dyDescent="0.25">
      <c r="A227" s="1" t="s">
        <v>471</v>
      </c>
      <c r="B227" s="1" t="s">
        <v>30</v>
      </c>
      <c r="C227" s="1">
        <v>2</v>
      </c>
      <c r="D227" s="1">
        <v>0</v>
      </c>
      <c r="E227" s="1" t="s">
        <v>1337</v>
      </c>
    </row>
    <row r="228" spans="1:5" x14ac:dyDescent="0.25">
      <c r="A228" s="1" t="s">
        <v>472</v>
      </c>
      <c r="B228" s="1" t="s">
        <v>30</v>
      </c>
      <c r="C228" s="1">
        <v>2</v>
      </c>
      <c r="D228" s="1">
        <v>0</v>
      </c>
      <c r="E228" s="1" t="s">
        <v>1338</v>
      </c>
    </row>
    <row r="229" spans="1:5" x14ac:dyDescent="0.25">
      <c r="A229" s="1" t="s">
        <v>473</v>
      </c>
      <c r="B229" s="1" t="s">
        <v>30</v>
      </c>
      <c r="C229" s="1">
        <v>2</v>
      </c>
      <c r="D229" s="1">
        <v>0</v>
      </c>
      <c r="E229" s="1" t="s">
        <v>1339</v>
      </c>
    </row>
    <row r="230" spans="1:5" x14ac:dyDescent="0.25">
      <c r="A230" s="1" t="s">
        <v>474</v>
      </c>
      <c r="B230" s="1" t="s">
        <v>30</v>
      </c>
      <c r="C230" s="1">
        <v>2</v>
      </c>
      <c r="D230" s="1">
        <v>0</v>
      </c>
      <c r="E230" s="1" t="s">
        <v>1340</v>
      </c>
    </row>
    <row r="231" spans="1:5" x14ac:dyDescent="0.25">
      <c r="A231" s="1" t="s">
        <v>475</v>
      </c>
      <c r="B231" s="1" t="s">
        <v>30</v>
      </c>
      <c r="C231" s="1">
        <v>2</v>
      </c>
      <c r="D231" s="1">
        <v>0</v>
      </c>
      <c r="E231" s="1" t="s">
        <v>1341</v>
      </c>
    </row>
    <row r="232" spans="1:5" x14ac:dyDescent="0.25">
      <c r="A232" s="1" t="s">
        <v>476</v>
      </c>
      <c r="B232" s="1" t="s">
        <v>30</v>
      </c>
      <c r="C232" s="1">
        <v>2</v>
      </c>
      <c r="D232" s="1">
        <v>0</v>
      </c>
      <c r="E232" s="1" t="s">
        <v>1342</v>
      </c>
    </row>
    <row r="233" spans="1:5" x14ac:dyDescent="0.25">
      <c r="A233" s="1" t="s">
        <v>477</v>
      </c>
      <c r="B233" s="1" t="s">
        <v>30</v>
      </c>
      <c r="C233" s="1">
        <v>2</v>
      </c>
      <c r="D233" s="1">
        <v>0</v>
      </c>
      <c r="E233" s="1" t="s">
        <v>1343</v>
      </c>
    </row>
    <row r="234" spans="1:5" x14ac:dyDescent="0.25">
      <c r="A234" s="1" t="s">
        <v>478</v>
      </c>
      <c r="B234" s="1" t="s">
        <v>30</v>
      </c>
      <c r="C234" s="1">
        <v>2</v>
      </c>
      <c r="D234" s="1">
        <v>0</v>
      </c>
      <c r="E234" s="1" t="s">
        <v>1344</v>
      </c>
    </row>
    <row r="235" spans="1:5" x14ac:dyDescent="0.25">
      <c r="A235" s="1" t="s">
        <v>479</v>
      </c>
      <c r="B235" s="1" t="s">
        <v>30</v>
      </c>
      <c r="C235" s="1">
        <v>2</v>
      </c>
      <c r="D235" s="1">
        <v>0</v>
      </c>
      <c r="E235" s="1" t="s">
        <v>1345</v>
      </c>
    </row>
    <row r="236" spans="1:5" x14ac:dyDescent="0.25">
      <c r="A236" s="1" t="s">
        <v>480</v>
      </c>
      <c r="B236" s="1" t="s">
        <v>30</v>
      </c>
      <c r="C236" s="1">
        <v>2</v>
      </c>
      <c r="D236" s="1">
        <v>0</v>
      </c>
      <c r="E236" s="1" t="s">
        <v>1346</v>
      </c>
    </row>
    <row r="237" spans="1:5" x14ac:dyDescent="0.25">
      <c r="A237" s="1" t="s">
        <v>481</v>
      </c>
      <c r="B237" s="1" t="s">
        <v>30</v>
      </c>
      <c r="C237" s="1">
        <v>2</v>
      </c>
      <c r="D237" s="1">
        <v>0</v>
      </c>
      <c r="E237" s="1" t="s">
        <v>1347</v>
      </c>
    </row>
    <row r="238" spans="1:5" x14ac:dyDescent="0.25">
      <c r="A238" s="1" t="s">
        <v>482</v>
      </c>
      <c r="B238" s="1" t="s">
        <v>30</v>
      </c>
      <c r="C238" s="1">
        <v>2</v>
      </c>
      <c r="D238" s="1">
        <v>0</v>
      </c>
      <c r="E238" s="1" t="s">
        <v>1348</v>
      </c>
    </row>
    <row r="239" spans="1:5" x14ac:dyDescent="0.25">
      <c r="A239" s="1" t="s">
        <v>483</v>
      </c>
      <c r="B239" s="1" t="s">
        <v>30</v>
      </c>
      <c r="C239" s="1">
        <v>2</v>
      </c>
      <c r="D239" s="1">
        <v>0</v>
      </c>
      <c r="E239" s="1" t="s">
        <v>1349</v>
      </c>
    </row>
    <row r="240" spans="1:5" x14ac:dyDescent="0.25">
      <c r="A240" s="1" t="s">
        <v>484</v>
      </c>
      <c r="B240" s="1" t="s">
        <v>30</v>
      </c>
      <c r="C240" s="1">
        <v>2</v>
      </c>
      <c r="D240" s="1">
        <v>0</v>
      </c>
      <c r="E240" s="1" t="s">
        <v>1350</v>
      </c>
    </row>
    <row r="241" spans="1:5" x14ac:dyDescent="0.25">
      <c r="A241" s="1" t="s">
        <v>485</v>
      </c>
      <c r="B241" s="1" t="s">
        <v>30</v>
      </c>
      <c r="C241" s="1">
        <v>2</v>
      </c>
      <c r="D241" s="1">
        <v>0</v>
      </c>
      <c r="E241" s="1" t="s">
        <v>1351</v>
      </c>
    </row>
    <row r="242" spans="1:5" x14ac:dyDescent="0.25">
      <c r="A242" s="1" t="s">
        <v>486</v>
      </c>
      <c r="B242" s="1" t="s">
        <v>30</v>
      </c>
      <c r="C242" s="1">
        <v>2</v>
      </c>
      <c r="D242" s="1">
        <v>0</v>
      </c>
      <c r="E242" s="1" t="s">
        <v>1352</v>
      </c>
    </row>
    <row r="243" spans="1:5" x14ac:dyDescent="0.25">
      <c r="A243" s="1" t="s">
        <v>487</v>
      </c>
      <c r="B243" s="1" t="s">
        <v>30</v>
      </c>
      <c r="C243" s="1">
        <v>2</v>
      </c>
      <c r="D243" s="1">
        <v>0</v>
      </c>
      <c r="E243" s="1" t="s">
        <v>1353</v>
      </c>
    </row>
    <row r="244" spans="1:5" x14ac:dyDescent="0.25">
      <c r="A244" s="1" t="s">
        <v>488</v>
      </c>
      <c r="B244" s="1" t="s">
        <v>30</v>
      </c>
      <c r="C244" s="1">
        <v>2</v>
      </c>
      <c r="D244" s="1">
        <v>0</v>
      </c>
      <c r="E244" s="1" t="s">
        <v>1354</v>
      </c>
    </row>
    <row r="245" spans="1:5" x14ac:dyDescent="0.25">
      <c r="A245" s="1" t="s">
        <v>489</v>
      </c>
      <c r="B245" s="1" t="s">
        <v>30</v>
      </c>
      <c r="C245" s="1">
        <v>2</v>
      </c>
      <c r="D245" s="1">
        <v>0</v>
      </c>
      <c r="E245" s="1" t="s">
        <v>1355</v>
      </c>
    </row>
    <row r="246" spans="1:5" x14ac:dyDescent="0.25">
      <c r="A246" s="1" t="s">
        <v>490</v>
      </c>
      <c r="B246" s="1" t="s">
        <v>30</v>
      </c>
      <c r="C246" s="1">
        <v>2</v>
      </c>
      <c r="D246" s="1">
        <v>0</v>
      </c>
      <c r="E246" s="1" t="s">
        <v>1356</v>
      </c>
    </row>
    <row r="247" spans="1:5" x14ac:dyDescent="0.25">
      <c r="A247" s="1" t="s">
        <v>491</v>
      </c>
      <c r="B247" s="1" t="s">
        <v>30</v>
      </c>
      <c r="C247" s="1">
        <v>2</v>
      </c>
      <c r="D247" s="1">
        <v>0</v>
      </c>
      <c r="E247" s="1" t="s">
        <v>1357</v>
      </c>
    </row>
    <row r="248" spans="1:5" x14ac:dyDescent="0.25">
      <c r="A248" s="1" t="s">
        <v>492</v>
      </c>
      <c r="B248" s="1" t="s">
        <v>30</v>
      </c>
      <c r="C248" s="1">
        <v>2</v>
      </c>
      <c r="D248" s="1">
        <v>0</v>
      </c>
      <c r="E248" s="1" t="s">
        <v>1358</v>
      </c>
    </row>
    <row r="249" spans="1:5" x14ac:dyDescent="0.25">
      <c r="A249" s="1" t="s">
        <v>493</v>
      </c>
      <c r="B249" s="1" t="s">
        <v>30</v>
      </c>
      <c r="C249" s="1">
        <v>2</v>
      </c>
      <c r="D249" s="1">
        <v>0</v>
      </c>
      <c r="E249" s="1" t="s">
        <v>1359</v>
      </c>
    </row>
    <row r="250" spans="1:5" x14ac:dyDescent="0.25">
      <c r="A250" s="1" t="s">
        <v>494</v>
      </c>
      <c r="B250" s="1" t="s">
        <v>30</v>
      </c>
      <c r="C250" s="1">
        <v>2</v>
      </c>
      <c r="D250" s="1">
        <v>0</v>
      </c>
      <c r="E250" s="1" t="s">
        <v>1360</v>
      </c>
    </row>
    <row r="251" spans="1:5" x14ac:dyDescent="0.25">
      <c r="A251" s="1" t="s">
        <v>495</v>
      </c>
      <c r="B251" s="1" t="s">
        <v>30</v>
      </c>
      <c r="C251" s="1">
        <v>2</v>
      </c>
      <c r="D251" s="1">
        <v>0</v>
      </c>
      <c r="E251" s="1" t="s">
        <v>1361</v>
      </c>
    </row>
    <row r="252" spans="1:5" x14ac:dyDescent="0.25">
      <c r="A252" s="1" t="s">
        <v>496</v>
      </c>
      <c r="B252" s="1" t="s">
        <v>30</v>
      </c>
      <c r="C252" s="1">
        <v>2</v>
      </c>
      <c r="D252" s="1">
        <v>0</v>
      </c>
      <c r="E252" s="1" t="s">
        <v>1362</v>
      </c>
    </row>
    <row r="253" spans="1:5" x14ac:dyDescent="0.25">
      <c r="A253" s="1" t="s">
        <v>497</v>
      </c>
      <c r="B253" s="1" t="s">
        <v>30</v>
      </c>
      <c r="C253" s="1">
        <v>2</v>
      </c>
      <c r="D253" s="1">
        <v>0</v>
      </c>
      <c r="E253" s="1" t="s">
        <v>1363</v>
      </c>
    </row>
    <row r="254" spans="1:5" x14ac:dyDescent="0.25">
      <c r="A254" s="1" t="s">
        <v>498</v>
      </c>
      <c r="B254" s="1" t="s">
        <v>27</v>
      </c>
      <c r="C254" s="1">
        <v>150</v>
      </c>
      <c r="D254" s="1">
        <v>0</v>
      </c>
      <c r="E254" s="1" t="s">
        <v>1363</v>
      </c>
    </row>
    <row r="255" spans="1:5" x14ac:dyDescent="0.25">
      <c r="A255" s="1" t="s">
        <v>379</v>
      </c>
      <c r="B255" s="1" t="s">
        <v>30</v>
      </c>
      <c r="C255" s="1">
        <v>4</v>
      </c>
      <c r="D255" s="1">
        <v>0</v>
      </c>
      <c r="E255" s="1" t="s">
        <v>1364</v>
      </c>
    </row>
    <row r="256" spans="1:5" x14ac:dyDescent="0.25">
      <c r="A256" s="1" t="s">
        <v>380</v>
      </c>
      <c r="B256" s="1" t="s">
        <v>30</v>
      </c>
      <c r="C256" s="1">
        <v>5</v>
      </c>
      <c r="D256" s="1">
        <v>0</v>
      </c>
      <c r="E256" s="1" t="s">
        <v>1365</v>
      </c>
    </row>
    <row r="257" spans="1:5" x14ac:dyDescent="0.25">
      <c r="A257" s="1" t="s">
        <v>1366</v>
      </c>
      <c r="B257" s="1" t="s">
        <v>30</v>
      </c>
      <c r="C257" s="1">
        <v>2</v>
      </c>
      <c r="D257" s="1">
        <v>0</v>
      </c>
      <c r="E257" s="1" t="s">
        <v>1367</v>
      </c>
    </row>
    <row r="258" spans="1:5" x14ac:dyDescent="0.25">
      <c r="A258" s="1" t="s">
        <v>1368</v>
      </c>
      <c r="B258" s="1" t="s">
        <v>30</v>
      </c>
      <c r="C258" s="1">
        <v>2</v>
      </c>
      <c r="D258" s="1">
        <v>0</v>
      </c>
      <c r="E258" s="1" t="s">
        <v>1367</v>
      </c>
    </row>
    <row r="259" spans="1:5" x14ac:dyDescent="0.25">
      <c r="A259" s="1" t="s">
        <v>1369</v>
      </c>
      <c r="B259" s="1" t="s">
        <v>30</v>
      </c>
      <c r="C259" s="1">
        <v>2</v>
      </c>
      <c r="D259" s="1">
        <v>0</v>
      </c>
      <c r="E259" s="1" t="s">
        <v>1367</v>
      </c>
    </row>
    <row r="260" spans="1:5" x14ac:dyDescent="0.25">
      <c r="A260" s="1" t="s">
        <v>1370</v>
      </c>
      <c r="B260" s="1" t="s">
        <v>30</v>
      </c>
      <c r="C260" s="1">
        <v>2</v>
      </c>
      <c r="D260" s="1">
        <v>0</v>
      </c>
      <c r="E260" s="1" t="s">
        <v>1367</v>
      </c>
    </row>
    <row r="261" spans="1:5" x14ac:dyDescent="0.25">
      <c r="A261" s="1" t="s">
        <v>1371</v>
      </c>
      <c r="B261" s="1" t="s">
        <v>30</v>
      </c>
      <c r="C261" s="1">
        <v>2</v>
      </c>
      <c r="D261" s="1">
        <v>0</v>
      </c>
      <c r="E261" s="1" t="s">
        <v>1367</v>
      </c>
    </row>
    <row r="262" spans="1:5" x14ac:dyDescent="0.25">
      <c r="A262" s="1" t="s">
        <v>1372</v>
      </c>
      <c r="B262" s="1" t="s">
        <v>30</v>
      </c>
      <c r="C262" s="1">
        <v>2</v>
      </c>
      <c r="D262" s="1">
        <v>0</v>
      </c>
      <c r="E262" s="1" t="s">
        <v>1367</v>
      </c>
    </row>
    <row r="263" spans="1:5" x14ac:dyDescent="0.25">
      <c r="A263" s="1" t="s">
        <v>1373</v>
      </c>
      <c r="B263" s="1" t="s">
        <v>27</v>
      </c>
      <c r="C263" s="1">
        <v>150</v>
      </c>
      <c r="D263" s="1">
        <v>0</v>
      </c>
      <c r="E263" s="1" t="s">
        <v>1367</v>
      </c>
    </row>
    <row r="264" spans="1:5" x14ac:dyDescent="0.25">
      <c r="A264" s="1" t="s">
        <v>299</v>
      </c>
      <c r="B264" s="1" t="s">
        <v>30</v>
      </c>
      <c r="C264" s="1">
        <v>2</v>
      </c>
      <c r="D264" s="1">
        <v>0</v>
      </c>
      <c r="E264" s="1" t="s">
        <v>1374</v>
      </c>
    </row>
    <row r="265" spans="1:5" x14ac:dyDescent="0.25">
      <c r="A265" s="1" t="s">
        <v>300</v>
      </c>
      <c r="B265" s="1" t="s">
        <v>30</v>
      </c>
      <c r="C265" s="1">
        <v>2</v>
      </c>
      <c r="D265" s="1">
        <v>0</v>
      </c>
      <c r="E265" s="1" t="s">
        <v>1374</v>
      </c>
    </row>
    <row r="266" spans="1:5" x14ac:dyDescent="0.25">
      <c r="A266" s="1" t="s">
        <v>301</v>
      </c>
      <c r="B266" s="1" t="s">
        <v>30</v>
      </c>
      <c r="C266" s="1">
        <v>2</v>
      </c>
      <c r="D266" s="1">
        <v>0</v>
      </c>
      <c r="E266" s="1" t="s">
        <v>1374</v>
      </c>
    </row>
    <row r="267" spans="1:5" x14ac:dyDescent="0.25">
      <c r="A267" s="1" t="s">
        <v>303</v>
      </c>
      <c r="B267" s="1" t="s">
        <v>30</v>
      </c>
      <c r="C267" s="1">
        <v>2</v>
      </c>
      <c r="D267" s="1">
        <v>0</v>
      </c>
      <c r="E267" s="1" t="s">
        <v>1374</v>
      </c>
    </row>
    <row r="268" spans="1:5" x14ac:dyDescent="0.25">
      <c r="A268" s="1" t="s">
        <v>304</v>
      </c>
      <c r="B268" s="1" t="s">
        <v>30</v>
      </c>
      <c r="C268" s="1">
        <v>2</v>
      </c>
      <c r="D268" s="1">
        <v>0</v>
      </c>
      <c r="E268" s="1" t="s">
        <v>1374</v>
      </c>
    </row>
    <row r="269" spans="1:5" x14ac:dyDescent="0.25">
      <c r="A269" s="1" t="s">
        <v>305</v>
      </c>
      <c r="B269" s="1" t="s">
        <v>30</v>
      </c>
      <c r="C269" s="1">
        <v>2</v>
      </c>
      <c r="D269" s="1">
        <v>0</v>
      </c>
      <c r="E269" s="1" t="s">
        <v>1374</v>
      </c>
    </row>
    <row r="270" spans="1:5" x14ac:dyDescent="0.25">
      <c r="A270" s="1" t="s">
        <v>306</v>
      </c>
      <c r="B270" s="1" t="s">
        <v>30</v>
      </c>
      <c r="C270" s="1">
        <v>2</v>
      </c>
      <c r="D270" s="1">
        <v>0</v>
      </c>
      <c r="E270" s="1" t="s">
        <v>1374</v>
      </c>
    </row>
    <row r="271" spans="1:5" x14ac:dyDescent="0.25">
      <c r="A271" s="1" t="s">
        <v>307</v>
      </c>
      <c r="B271" s="1" t="s">
        <v>30</v>
      </c>
      <c r="C271" s="1">
        <v>2</v>
      </c>
      <c r="D271" s="1">
        <v>0</v>
      </c>
      <c r="E271" s="1" t="s">
        <v>1374</v>
      </c>
    </row>
    <row r="272" spans="1:5" x14ac:dyDescent="0.25">
      <c r="A272" s="1" t="s">
        <v>308</v>
      </c>
      <c r="B272" s="1" t="s">
        <v>30</v>
      </c>
      <c r="C272" s="1">
        <v>2</v>
      </c>
      <c r="D272" s="1">
        <v>0</v>
      </c>
      <c r="E272" s="1" t="s">
        <v>1374</v>
      </c>
    </row>
    <row r="273" spans="1:5" x14ac:dyDescent="0.25">
      <c r="A273" s="1" t="s">
        <v>309</v>
      </c>
      <c r="B273" s="1" t="s">
        <v>30</v>
      </c>
      <c r="C273" s="1">
        <v>2</v>
      </c>
      <c r="D273" s="1">
        <v>0</v>
      </c>
      <c r="E273" s="1" t="s">
        <v>1374</v>
      </c>
    </row>
    <row r="274" spans="1:5" x14ac:dyDescent="0.25">
      <c r="A274" s="1" t="s">
        <v>310</v>
      </c>
      <c r="B274" s="1" t="s">
        <v>30</v>
      </c>
      <c r="C274" s="1">
        <v>2</v>
      </c>
      <c r="D274" s="1">
        <v>0</v>
      </c>
      <c r="E274" s="1" t="s">
        <v>1374</v>
      </c>
    </row>
    <row r="275" spans="1:5" x14ac:dyDescent="0.25">
      <c r="A275" s="1" t="s">
        <v>311</v>
      </c>
      <c r="B275" s="1" t="s">
        <v>30</v>
      </c>
      <c r="C275" s="1">
        <v>2</v>
      </c>
      <c r="D275" s="1">
        <v>0</v>
      </c>
      <c r="E275" s="1" t="s">
        <v>1374</v>
      </c>
    </row>
    <row r="276" spans="1:5" x14ac:dyDescent="0.25">
      <c r="A276" s="1" t="s">
        <v>313</v>
      </c>
      <c r="B276" s="1" t="s">
        <v>27</v>
      </c>
      <c r="C276" s="1">
        <v>150</v>
      </c>
      <c r="D276" s="1">
        <v>0</v>
      </c>
      <c r="E276" s="1" t="s">
        <v>1374</v>
      </c>
    </row>
    <row r="277" spans="1:5" x14ac:dyDescent="0.25">
      <c r="A277" s="1" t="s">
        <v>314</v>
      </c>
      <c r="B277" s="1" t="s">
        <v>30</v>
      </c>
      <c r="C277" s="1">
        <v>2</v>
      </c>
      <c r="D277" s="1">
        <v>0</v>
      </c>
      <c r="E277" s="1" t="s">
        <v>1375</v>
      </c>
    </row>
    <row r="278" spans="1:5" x14ac:dyDescent="0.25">
      <c r="A278" s="1" t="s">
        <v>315</v>
      </c>
      <c r="B278" s="1" t="s">
        <v>30</v>
      </c>
      <c r="C278" s="1">
        <v>2</v>
      </c>
      <c r="D278" s="1">
        <v>0</v>
      </c>
      <c r="E278" s="1" t="s">
        <v>1375</v>
      </c>
    </row>
    <row r="279" spans="1:5" x14ac:dyDescent="0.25">
      <c r="A279" s="1" t="s">
        <v>316</v>
      </c>
      <c r="B279" s="1" t="s">
        <v>30</v>
      </c>
      <c r="C279" s="1">
        <v>2</v>
      </c>
      <c r="D279" s="1">
        <v>0</v>
      </c>
      <c r="E279" s="1" t="s">
        <v>1375</v>
      </c>
    </row>
    <row r="280" spans="1:5" x14ac:dyDescent="0.25">
      <c r="A280" s="1" t="s">
        <v>317</v>
      </c>
      <c r="B280" s="1" t="s">
        <v>30</v>
      </c>
      <c r="C280" s="1">
        <v>2</v>
      </c>
      <c r="D280" s="1">
        <v>0</v>
      </c>
      <c r="E280" s="1" t="s">
        <v>1375</v>
      </c>
    </row>
    <row r="281" spans="1:5" x14ac:dyDescent="0.25">
      <c r="A281" s="1" t="s">
        <v>318</v>
      </c>
      <c r="B281" s="1" t="s">
        <v>30</v>
      </c>
      <c r="C281" s="1">
        <v>2</v>
      </c>
      <c r="D281" s="1">
        <v>0</v>
      </c>
      <c r="E281" s="1" t="s">
        <v>1375</v>
      </c>
    </row>
    <row r="282" spans="1:5" x14ac:dyDescent="0.25">
      <c r="A282" s="1" t="s">
        <v>319</v>
      </c>
      <c r="B282" s="1" t="s">
        <v>30</v>
      </c>
      <c r="C282" s="1">
        <v>2</v>
      </c>
      <c r="D282" s="1">
        <v>0</v>
      </c>
      <c r="E282" s="1" t="s">
        <v>1375</v>
      </c>
    </row>
    <row r="283" spans="1:5" x14ac:dyDescent="0.25">
      <c r="A283" s="1" t="s">
        <v>320</v>
      </c>
      <c r="B283" s="1" t="s">
        <v>30</v>
      </c>
      <c r="C283" s="1">
        <v>2</v>
      </c>
      <c r="D283" s="1">
        <v>0</v>
      </c>
      <c r="E283" s="1" t="s">
        <v>1375</v>
      </c>
    </row>
    <row r="284" spans="1:5" x14ac:dyDescent="0.25">
      <c r="A284" s="1" t="s">
        <v>321</v>
      </c>
      <c r="B284" s="1" t="s">
        <v>30</v>
      </c>
      <c r="C284" s="1">
        <v>2</v>
      </c>
      <c r="D284" s="1">
        <v>0</v>
      </c>
      <c r="E284" s="1" t="s">
        <v>1375</v>
      </c>
    </row>
    <row r="285" spans="1:5" x14ac:dyDescent="0.25">
      <c r="A285" s="1" t="s">
        <v>322</v>
      </c>
      <c r="B285" s="1" t="s">
        <v>30</v>
      </c>
      <c r="C285" s="1">
        <v>2</v>
      </c>
      <c r="D285" s="1">
        <v>0</v>
      </c>
      <c r="E285" s="1" t="s">
        <v>1375</v>
      </c>
    </row>
    <row r="286" spans="1:5" x14ac:dyDescent="0.25">
      <c r="A286" s="1" t="s">
        <v>323</v>
      </c>
      <c r="B286" s="1" t="s">
        <v>30</v>
      </c>
      <c r="C286" s="1">
        <v>2</v>
      </c>
      <c r="D286" s="1">
        <v>0</v>
      </c>
      <c r="E286" s="1" t="s">
        <v>1375</v>
      </c>
    </row>
    <row r="287" spans="1:5" x14ac:dyDescent="0.25">
      <c r="A287" s="1" t="s">
        <v>324</v>
      </c>
      <c r="B287" s="1" t="s">
        <v>30</v>
      </c>
      <c r="C287" s="1">
        <v>2</v>
      </c>
      <c r="D287" s="1">
        <v>0</v>
      </c>
      <c r="E287" s="1" t="s">
        <v>1375</v>
      </c>
    </row>
    <row r="288" spans="1:5" x14ac:dyDescent="0.25">
      <c r="A288" s="1" t="s">
        <v>325</v>
      </c>
      <c r="B288" s="1" t="s">
        <v>30</v>
      </c>
      <c r="C288" s="1">
        <v>2</v>
      </c>
      <c r="D288" s="1">
        <v>0</v>
      </c>
      <c r="E288" s="1" t="s">
        <v>1375</v>
      </c>
    </row>
    <row r="289" spans="1:5" x14ac:dyDescent="0.25">
      <c r="A289" s="1" t="s">
        <v>326</v>
      </c>
      <c r="B289" s="1" t="s">
        <v>30</v>
      </c>
      <c r="C289" s="1">
        <v>2</v>
      </c>
      <c r="D289" s="1">
        <v>0</v>
      </c>
      <c r="E289" s="1" t="s">
        <v>1375</v>
      </c>
    </row>
    <row r="290" spans="1:5" x14ac:dyDescent="0.25">
      <c r="A290" s="1" t="s">
        <v>327</v>
      </c>
      <c r="B290" s="1" t="s">
        <v>30</v>
      </c>
      <c r="C290" s="1">
        <v>2</v>
      </c>
      <c r="D290" s="1">
        <v>0</v>
      </c>
      <c r="E290" s="1" t="s">
        <v>1375</v>
      </c>
    </row>
    <row r="291" spans="1:5" x14ac:dyDescent="0.25">
      <c r="A291" s="1" t="s">
        <v>328</v>
      </c>
      <c r="B291" s="1" t="s">
        <v>30</v>
      </c>
      <c r="C291" s="1">
        <v>2</v>
      </c>
      <c r="D291" s="1">
        <v>0</v>
      </c>
      <c r="E291" s="1" t="s">
        <v>1375</v>
      </c>
    </row>
    <row r="292" spans="1:5" x14ac:dyDescent="0.25">
      <c r="A292" s="1" t="s">
        <v>329</v>
      </c>
      <c r="B292" s="1" t="s">
        <v>30</v>
      </c>
      <c r="C292" s="1">
        <v>2</v>
      </c>
      <c r="D292" s="1">
        <v>0</v>
      </c>
      <c r="E292" s="1" t="s">
        <v>1375</v>
      </c>
    </row>
    <row r="293" spans="1:5" x14ac:dyDescent="0.25">
      <c r="A293" s="1" t="s">
        <v>330</v>
      </c>
      <c r="B293" s="1" t="s">
        <v>30</v>
      </c>
      <c r="C293" s="1">
        <v>2</v>
      </c>
      <c r="D293" s="1">
        <v>0</v>
      </c>
      <c r="E293" s="1" t="s">
        <v>1375</v>
      </c>
    </row>
    <row r="294" spans="1:5" x14ac:dyDescent="0.25">
      <c r="A294" s="1" t="s">
        <v>332</v>
      </c>
      <c r="B294" s="1" t="s">
        <v>27</v>
      </c>
      <c r="C294" s="1">
        <v>150</v>
      </c>
      <c r="D294" s="1">
        <v>0</v>
      </c>
      <c r="E294" s="1" t="s">
        <v>1375</v>
      </c>
    </row>
    <row r="295" spans="1:5" x14ac:dyDescent="0.25">
      <c r="A295" s="1" t="s">
        <v>333</v>
      </c>
      <c r="B295" s="1" t="s">
        <v>30</v>
      </c>
      <c r="C295" s="1">
        <v>2</v>
      </c>
      <c r="D295" s="1">
        <v>0</v>
      </c>
      <c r="E295" s="1" t="s">
        <v>1376</v>
      </c>
    </row>
    <row r="296" spans="1:5" x14ac:dyDescent="0.25">
      <c r="A296" s="1" t="s">
        <v>334</v>
      </c>
      <c r="B296" s="1" t="s">
        <v>30</v>
      </c>
      <c r="C296" s="1">
        <v>2</v>
      </c>
      <c r="D296" s="1">
        <v>0</v>
      </c>
      <c r="E296" s="1" t="s">
        <v>1376</v>
      </c>
    </row>
    <row r="297" spans="1:5" x14ac:dyDescent="0.25">
      <c r="A297" s="1" t="s">
        <v>335</v>
      </c>
      <c r="B297" s="1" t="s">
        <v>30</v>
      </c>
      <c r="C297" s="1">
        <v>2</v>
      </c>
      <c r="D297" s="1">
        <v>0</v>
      </c>
      <c r="E297" s="1" t="s">
        <v>1376</v>
      </c>
    </row>
    <row r="298" spans="1:5" x14ac:dyDescent="0.25">
      <c r="A298" s="1" t="s">
        <v>336</v>
      </c>
      <c r="B298" s="1" t="s">
        <v>30</v>
      </c>
      <c r="C298" s="1">
        <v>2</v>
      </c>
      <c r="D298" s="1">
        <v>0</v>
      </c>
      <c r="E298" s="1" t="s">
        <v>1376</v>
      </c>
    </row>
    <row r="299" spans="1:5" x14ac:dyDescent="0.25">
      <c r="A299" s="1" t="s">
        <v>337</v>
      </c>
      <c r="B299" s="1" t="s">
        <v>30</v>
      </c>
      <c r="C299" s="1">
        <v>2</v>
      </c>
      <c r="D299" s="1">
        <v>0</v>
      </c>
      <c r="E299" s="1" t="s">
        <v>1376</v>
      </c>
    </row>
    <row r="300" spans="1:5" x14ac:dyDescent="0.25">
      <c r="A300" s="1" t="s">
        <v>338</v>
      </c>
      <c r="B300" s="1" t="s">
        <v>30</v>
      </c>
      <c r="C300" s="1">
        <v>2</v>
      </c>
      <c r="D300" s="1">
        <v>0</v>
      </c>
      <c r="E300" s="1" t="s">
        <v>1376</v>
      </c>
    </row>
    <row r="301" spans="1:5" x14ac:dyDescent="0.25">
      <c r="A301" s="1" t="s">
        <v>339</v>
      </c>
      <c r="B301" s="1" t="s">
        <v>30</v>
      </c>
      <c r="C301" s="1">
        <v>2</v>
      </c>
      <c r="D301" s="1">
        <v>0</v>
      </c>
      <c r="E301" s="1" t="s">
        <v>1376</v>
      </c>
    </row>
    <row r="302" spans="1:5" x14ac:dyDescent="0.25">
      <c r="A302" s="1" t="s">
        <v>340</v>
      </c>
      <c r="B302" s="1" t="s">
        <v>30</v>
      </c>
      <c r="C302" s="1">
        <v>2</v>
      </c>
      <c r="D302" s="1">
        <v>0</v>
      </c>
      <c r="E302" s="1" t="s">
        <v>1376</v>
      </c>
    </row>
    <row r="303" spans="1:5" x14ac:dyDescent="0.25">
      <c r="A303" s="1" t="s">
        <v>341</v>
      </c>
      <c r="B303" s="1" t="s">
        <v>30</v>
      </c>
      <c r="C303" s="1">
        <v>2</v>
      </c>
      <c r="D303" s="1">
        <v>0</v>
      </c>
      <c r="E303" s="1" t="s">
        <v>1376</v>
      </c>
    </row>
    <row r="304" spans="1:5" x14ac:dyDescent="0.25">
      <c r="A304" s="1" t="s">
        <v>342</v>
      </c>
      <c r="B304" s="1" t="s">
        <v>30</v>
      </c>
      <c r="C304" s="1">
        <v>2</v>
      </c>
      <c r="D304" s="1">
        <v>0</v>
      </c>
      <c r="E304" s="1" t="s">
        <v>1376</v>
      </c>
    </row>
    <row r="305" spans="1:5" x14ac:dyDescent="0.25">
      <c r="A305" s="1" t="s">
        <v>343</v>
      </c>
      <c r="B305" s="1" t="s">
        <v>30</v>
      </c>
      <c r="C305" s="1">
        <v>2</v>
      </c>
      <c r="D305" s="1">
        <v>0</v>
      </c>
      <c r="E305" s="1" t="s">
        <v>1376</v>
      </c>
    </row>
    <row r="306" spans="1:5" x14ac:dyDescent="0.25">
      <c r="A306" s="1" t="s">
        <v>344</v>
      </c>
      <c r="B306" s="1" t="s">
        <v>30</v>
      </c>
      <c r="C306" s="1">
        <v>2</v>
      </c>
      <c r="D306" s="1">
        <v>0</v>
      </c>
      <c r="E306" s="1" t="s">
        <v>1376</v>
      </c>
    </row>
    <row r="307" spans="1:5" x14ac:dyDescent="0.25">
      <c r="A307" s="1" t="s">
        <v>345</v>
      </c>
      <c r="B307" s="1" t="s">
        <v>30</v>
      </c>
      <c r="C307" s="1">
        <v>2</v>
      </c>
      <c r="D307" s="1">
        <v>0</v>
      </c>
      <c r="E307" s="1" t="s">
        <v>1376</v>
      </c>
    </row>
    <row r="308" spans="1:5" x14ac:dyDescent="0.25">
      <c r="A308" s="1" t="s">
        <v>346</v>
      </c>
      <c r="B308" s="1" t="s">
        <v>30</v>
      </c>
      <c r="C308" s="1">
        <v>2</v>
      </c>
      <c r="D308" s="1">
        <v>0</v>
      </c>
      <c r="E308" s="1" t="s">
        <v>1376</v>
      </c>
    </row>
    <row r="309" spans="1:5" x14ac:dyDescent="0.25">
      <c r="A309" s="1" t="s">
        <v>348</v>
      </c>
      <c r="B309" s="1" t="s">
        <v>27</v>
      </c>
      <c r="C309" s="1">
        <v>150</v>
      </c>
      <c r="D309" s="1">
        <v>0</v>
      </c>
      <c r="E309" s="1" t="s">
        <v>1376</v>
      </c>
    </row>
    <row r="310" spans="1:5" x14ac:dyDescent="0.25">
      <c r="A310" s="1" t="s">
        <v>349</v>
      </c>
      <c r="B310" s="1" t="s">
        <v>30</v>
      </c>
      <c r="C310" s="1">
        <v>2</v>
      </c>
      <c r="D310" s="1">
        <v>0</v>
      </c>
      <c r="E310" s="1" t="s">
        <v>1377</v>
      </c>
    </row>
    <row r="311" spans="1:5" x14ac:dyDescent="0.25">
      <c r="A311" s="1" t="s">
        <v>350</v>
      </c>
      <c r="B311" s="1" t="s">
        <v>30</v>
      </c>
      <c r="C311" s="1">
        <v>2</v>
      </c>
      <c r="D311" s="1">
        <v>0</v>
      </c>
      <c r="E311" s="1" t="s">
        <v>1377</v>
      </c>
    </row>
    <row r="312" spans="1:5" x14ac:dyDescent="0.25">
      <c r="A312" s="1" t="s">
        <v>351</v>
      </c>
      <c r="B312" s="1" t="s">
        <v>30</v>
      </c>
      <c r="C312" s="1">
        <v>2</v>
      </c>
      <c r="D312" s="1">
        <v>0</v>
      </c>
      <c r="E312" s="1" t="s">
        <v>1377</v>
      </c>
    </row>
    <row r="313" spans="1:5" x14ac:dyDescent="0.25">
      <c r="A313" s="1" t="s">
        <v>352</v>
      </c>
      <c r="B313" s="1" t="s">
        <v>30</v>
      </c>
      <c r="C313" s="1">
        <v>2</v>
      </c>
      <c r="D313" s="1">
        <v>0</v>
      </c>
      <c r="E313" s="1" t="s">
        <v>1377</v>
      </c>
    </row>
    <row r="314" spans="1:5" x14ac:dyDescent="0.25">
      <c r="A314" s="1" t="s">
        <v>353</v>
      </c>
      <c r="B314" s="1" t="s">
        <v>30</v>
      </c>
      <c r="C314" s="1">
        <v>2</v>
      </c>
      <c r="D314" s="1">
        <v>0</v>
      </c>
      <c r="E314" s="1" t="s">
        <v>1377</v>
      </c>
    </row>
    <row r="315" spans="1:5" x14ac:dyDescent="0.25">
      <c r="A315" s="1" t="s">
        <v>354</v>
      </c>
      <c r="B315" s="1" t="s">
        <v>30</v>
      </c>
      <c r="C315" s="1">
        <v>2</v>
      </c>
      <c r="D315" s="1">
        <v>0</v>
      </c>
      <c r="E315" s="1" t="s">
        <v>1377</v>
      </c>
    </row>
    <row r="316" spans="1:5" x14ac:dyDescent="0.25">
      <c r="A316" s="1" t="s">
        <v>355</v>
      </c>
      <c r="B316" s="1" t="s">
        <v>30</v>
      </c>
      <c r="C316" s="1">
        <v>2</v>
      </c>
      <c r="D316" s="1">
        <v>0</v>
      </c>
      <c r="E316" s="1" t="s">
        <v>1377</v>
      </c>
    </row>
    <row r="317" spans="1:5" x14ac:dyDescent="0.25">
      <c r="A317" s="1" t="s">
        <v>356</v>
      </c>
      <c r="B317" s="1" t="s">
        <v>30</v>
      </c>
      <c r="C317" s="1">
        <v>2</v>
      </c>
      <c r="D317" s="1">
        <v>0</v>
      </c>
      <c r="E317" s="1" t="s">
        <v>1377</v>
      </c>
    </row>
    <row r="318" spans="1:5" x14ac:dyDescent="0.25">
      <c r="A318" s="1" t="s">
        <v>357</v>
      </c>
      <c r="B318" s="1" t="s">
        <v>30</v>
      </c>
      <c r="C318" s="1">
        <v>2</v>
      </c>
      <c r="D318" s="1">
        <v>0</v>
      </c>
      <c r="E318" s="1" t="s">
        <v>1377</v>
      </c>
    </row>
    <row r="319" spans="1:5" x14ac:dyDescent="0.25">
      <c r="A319" s="1" t="s">
        <v>358</v>
      </c>
      <c r="B319" s="1" t="s">
        <v>30</v>
      </c>
      <c r="C319" s="1">
        <v>2</v>
      </c>
      <c r="D319" s="1">
        <v>0</v>
      </c>
      <c r="E319" s="1" t="s">
        <v>1377</v>
      </c>
    </row>
    <row r="320" spans="1:5" x14ac:dyDescent="0.25">
      <c r="A320" s="1" t="s">
        <v>359</v>
      </c>
      <c r="B320" s="1" t="s">
        <v>30</v>
      </c>
      <c r="C320" s="1">
        <v>2</v>
      </c>
      <c r="D320" s="1">
        <v>0</v>
      </c>
      <c r="E320" s="1" t="s">
        <v>1377</v>
      </c>
    </row>
    <row r="321" spans="1:5" x14ac:dyDescent="0.25">
      <c r="A321" s="1" t="s">
        <v>360</v>
      </c>
      <c r="B321" s="1" t="s">
        <v>30</v>
      </c>
      <c r="C321" s="1">
        <v>2</v>
      </c>
      <c r="D321" s="1">
        <v>0</v>
      </c>
      <c r="E321" s="1" t="s">
        <v>1377</v>
      </c>
    </row>
    <row r="322" spans="1:5" x14ac:dyDescent="0.25">
      <c r="A322" s="1" t="s">
        <v>361</v>
      </c>
      <c r="B322" s="1" t="s">
        <v>30</v>
      </c>
      <c r="C322" s="1">
        <v>2</v>
      </c>
      <c r="D322" s="1">
        <v>0</v>
      </c>
      <c r="E322" s="1" t="s">
        <v>1377</v>
      </c>
    </row>
    <row r="323" spans="1:5" x14ac:dyDescent="0.25">
      <c r="A323" s="1" t="s">
        <v>362</v>
      </c>
      <c r="B323" s="1" t="s">
        <v>30</v>
      </c>
      <c r="C323" s="1">
        <v>2</v>
      </c>
      <c r="D323" s="1">
        <v>0</v>
      </c>
      <c r="E323" s="1" t="s">
        <v>1377</v>
      </c>
    </row>
    <row r="324" spans="1:5" x14ac:dyDescent="0.25">
      <c r="A324" s="1" t="s">
        <v>363</v>
      </c>
      <c r="B324" s="1" t="s">
        <v>30</v>
      </c>
      <c r="C324" s="1">
        <v>2</v>
      </c>
      <c r="D324" s="1">
        <v>0</v>
      </c>
      <c r="E324" s="1" t="s">
        <v>1377</v>
      </c>
    </row>
    <row r="325" spans="1:5" x14ac:dyDescent="0.25">
      <c r="A325" s="1" t="s">
        <v>364</v>
      </c>
      <c r="B325" s="1" t="s">
        <v>30</v>
      </c>
      <c r="C325" s="1">
        <v>2</v>
      </c>
      <c r="D325" s="1">
        <v>0</v>
      </c>
      <c r="E325" s="1" t="s">
        <v>1377</v>
      </c>
    </row>
    <row r="326" spans="1:5" x14ac:dyDescent="0.25">
      <c r="A326" s="1" t="s">
        <v>365</v>
      </c>
      <c r="B326" s="1" t="s">
        <v>30</v>
      </c>
      <c r="C326" s="1">
        <v>2</v>
      </c>
      <c r="D326" s="1">
        <v>0</v>
      </c>
      <c r="E326" s="1" t="s">
        <v>1377</v>
      </c>
    </row>
    <row r="327" spans="1:5" x14ac:dyDescent="0.25">
      <c r="A327" s="1" t="s">
        <v>366</v>
      </c>
      <c r="B327" s="1" t="s">
        <v>30</v>
      </c>
      <c r="C327" s="1">
        <v>2</v>
      </c>
      <c r="D327" s="1">
        <v>0</v>
      </c>
      <c r="E327" s="1" t="s">
        <v>1377</v>
      </c>
    </row>
    <row r="328" spans="1:5" x14ac:dyDescent="0.25">
      <c r="A328" s="1" t="s">
        <v>367</v>
      </c>
      <c r="B328" s="1" t="s">
        <v>30</v>
      </c>
      <c r="C328" s="1">
        <v>2</v>
      </c>
      <c r="D328" s="1">
        <v>0</v>
      </c>
      <c r="E328" s="1" t="s">
        <v>1377</v>
      </c>
    </row>
    <row r="329" spans="1:5" x14ac:dyDescent="0.25">
      <c r="A329" s="1" t="s">
        <v>368</v>
      </c>
      <c r="B329" s="1" t="s">
        <v>30</v>
      </c>
      <c r="C329" s="1">
        <v>2</v>
      </c>
      <c r="D329" s="1">
        <v>0</v>
      </c>
      <c r="E329" s="1" t="s">
        <v>1377</v>
      </c>
    </row>
    <row r="330" spans="1:5" x14ac:dyDescent="0.25">
      <c r="A330" s="1" t="s">
        <v>370</v>
      </c>
      <c r="B330" s="1" t="s">
        <v>27</v>
      </c>
      <c r="C330" s="1">
        <v>150</v>
      </c>
      <c r="D330" s="1">
        <v>0</v>
      </c>
      <c r="E330" s="1" t="s">
        <v>1377</v>
      </c>
    </row>
    <row r="331" spans="1:5" x14ac:dyDescent="0.25">
      <c r="A331" s="1" t="s">
        <v>371</v>
      </c>
      <c r="B331" s="1" t="s">
        <v>30</v>
      </c>
      <c r="C331" s="1">
        <v>2</v>
      </c>
      <c r="D331" s="1">
        <v>0</v>
      </c>
      <c r="E331" s="1" t="s">
        <v>1378</v>
      </c>
    </row>
    <row r="332" spans="1:5" x14ac:dyDescent="0.25">
      <c r="A332" s="1" t="s">
        <v>372</v>
      </c>
      <c r="B332" s="1" t="s">
        <v>30</v>
      </c>
      <c r="C332" s="1">
        <v>2</v>
      </c>
      <c r="D332" s="1">
        <v>0</v>
      </c>
      <c r="E332" s="1" t="s">
        <v>1378</v>
      </c>
    </row>
    <row r="333" spans="1:5" x14ac:dyDescent="0.25">
      <c r="A333" s="1" t="s">
        <v>373</v>
      </c>
      <c r="B333" s="1" t="s">
        <v>30</v>
      </c>
      <c r="C333" s="1">
        <v>2</v>
      </c>
      <c r="D333" s="1">
        <v>0</v>
      </c>
      <c r="E333" s="1" t="s">
        <v>1378</v>
      </c>
    </row>
    <row r="334" spans="1:5" x14ac:dyDescent="0.25">
      <c r="A334" s="1" t="s">
        <v>374</v>
      </c>
      <c r="B334" s="1" t="s">
        <v>30</v>
      </c>
      <c r="C334" s="1">
        <v>2</v>
      </c>
      <c r="D334" s="1">
        <v>0</v>
      </c>
      <c r="E334" s="1" t="s">
        <v>1378</v>
      </c>
    </row>
    <row r="335" spans="1:5" x14ac:dyDescent="0.25">
      <c r="A335" s="1" t="s">
        <v>375</v>
      </c>
      <c r="B335" s="1" t="s">
        <v>30</v>
      </c>
      <c r="C335" s="1">
        <v>2</v>
      </c>
      <c r="D335" s="1">
        <v>0</v>
      </c>
      <c r="E335" s="1" t="s">
        <v>1378</v>
      </c>
    </row>
    <row r="336" spans="1:5" x14ac:dyDescent="0.25">
      <c r="A336" s="1" t="s">
        <v>376</v>
      </c>
      <c r="B336" s="1" t="s">
        <v>30</v>
      </c>
      <c r="C336" s="1">
        <v>2</v>
      </c>
      <c r="D336" s="1">
        <v>0</v>
      </c>
      <c r="E336" s="1" t="s">
        <v>1378</v>
      </c>
    </row>
    <row r="337" spans="1:5" x14ac:dyDescent="0.25">
      <c r="A337" s="1" t="s">
        <v>378</v>
      </c>
      <c r="B337" s="1" t="s">
        <v>27</v>
      </c>
      <c r="C337" s="1">
        <v>150</v>
      </c>
      <c r="D337" s="1">
        <v>0</v>
      </c>
      <c r="E337" s="1" t="s">
        <v>1378</v>
      </c>
    </row>
    <row r="338" spans="1:5" x14ac:dyDescent="0.25">
      <c r="A338" s="1" t="s">
        <v>1379</v>
      </c>
      <c r="B338" s="1" t="s">
        <v>30</v>
      </c>
      <c r="C338" s="1">
        <v>2</v>
      </c>
      <c r="D338" s="1">
        <v>0</v>
      </c>
      <c r="E338" s="1" t="s">
        <v>1380</v>
      </c>
    </row>
    <row r="339" spans="1:5" x14ac:dyDescent="0.25">
      <c r="A339" s="1" t="s">
        <v>1381</v>
      </c>
      <c r="B339" s="1" t="s">
        <v>30</v>
      </c>
      <c r="C339" s="1">
        <v>2</v>
      </c>
      <c r="D339" s="1">
        <v>0</v>
      </c>
      <c r="E339" s="1" t="s">
        <v>1380</v>
      </c>
    </row>
    <row r="340" spans="1:5" x14ac:dyDescent="0.25">
      <c r="A340" s="1" t="s">
        <v>1382</v>
      </c>
      <c r="B340" s="1" t="s">
        <v>30</v>
      </c>
      <c r="C340" s="1">
        <v>2</v>
      </c>
      <c r="D340" s="1">
        <v>0</v>
      </c>
      <c r="E340" s="1" t="s">
        <v>1380</v>
      </c>
    </row>
    <row r="341" spans="1:5" x14ac:dyDescent="0.25">
      <c r="A341" s="1" t="s">
        <v>1383</v>
      </c>
      <c r="B341" s="1" t="s">
        <v>30</v>
      </c>
      <c r="C341" s="1">
        <v>2</v>
      </c>
      <c r="D341" s="1">
        <v>0</v>
      </c>
      <c r="E341" s="1" t="s">
        <v>1380</v>
      </c>
    </row>
    <row r="342" spans="1:5" x14ac:dyDescent="0.25">
      <c r="A342" s="1" t="s">
        <v>1384</v>
      </c>
      <c r="B342" s="1" t="s">
        <v>30</v>
      </c>
      <c r="C342" s="1">
        <v>2</v>
      </c>
      <c r="D342" s="1">
        <v>0</v>
      </c>
      <c r="E342" s="1" t="s">
        <v>1380</v>
      </c>
    </row>
    <row r="343" spans="1:5" x14ac:dyDescent="0.25">
      <c r="A343" s="1" t="s">
        <v>1385</v>
      </c>
      <c r="B343" s="1" t="s">
        <v>30</v>
      </c>
      <c r="C343" s="1">
        <v>2</v>
      </c>
      <c r="D343" s="1">
        <v>0</v>
      </c>
      <c r="E343" s="1" t="s">
        <v>1380</v>
      </c>
    </row>
    <row r="344" spans="1:5" x14ac:dyDescent="0.25">
      <c r="A344" s="1" t="s">
        <v>1386</v>
      </c>
      <c r="B344" s="1" t="s">
        <v>30</v>
      </c>
      <c r="C344" s="1">
        <v>2</v>
      </c>
      <c r="D344" s="1">
        <v>0</v>
      </c>
      <c r="E344" s="1" t="s">
        <v>1380</v>
      </c>
    </row>
    <row r="345" spans="1:5" x14ac:dyDescent="0.25">
      <c r="A345" s="1" t="s">
        <v>1387</v>
      </c>
      <c r="B345" s="1" t="s">
        <v>30</v>
      </c>
      <c r="C345" s="1">
        <v>2</v>
      </c>
      <c r="D345" s="1">
        <v>0</v>
      </c>
      <c r="E345" s="1" t="s">
        <v>1380</v>
      </c>
    </row>
    <row r="346" spans="1:5" x14ac:dyDescent="0.25">
      <c r="A346" s="1" t="s">
        <v>1388</v>
      </c>
      <c r="B346" s="1" t="s">
        <v>30</v>
      </c>
      <c r="C346" s="1">
        <v>2</v>
      </c>
      <c r="D346" s="1">
        <v>0</v>
      </c>
      <c r="E346" s="1" t="s">
        <v>1380</v>
      </c>
    </row>
    <row r="347" spans="1:5" x14ac:dyDescent="0.25">
      <c r="A347" s="1" t="s">
        <v>1389</v>
      </c>
      <c r="B347" s="1" t="s">
        <v>27</v>
      </c>
      <c r="C347" s="1">
        <v>150</v>
      </c>
      <c r="D347" s="1">
        <v>0</v>
      </c>
      <c r="E347" s="1" t="s">
        <v>1380</v>
      </c>
    </row>
    <row r="348" spans="1:5" x14ac:dyDescent="0.25">
      <c r="A348" s="1" t="s">
        <v>1390</v>
      </c>
      <c r="B348" s="1" t="s">
        <v>30</v>
      </c>
      <c r="C348" s="1">
        <v>2</v>
      </c>
      <c r="D348" s="1">
        <v>0</v>
      </c>
      <c r="E348" s="1" t="s">
        <v>1391</v>
      </c>
    </row>
    <row r="349" spans="1:5" x14ac:dyDescent="0.25">
      <c r="A349" s="1" t="s">
        <v>558</v>
      </c>
      <c r="B349" s="1" t="s">
        <v>30</v>
      </c>
      <c r="C349" s="1">
        <v>4</v>
      </c>
      <c r="D349" s="1">
        <v>0</v>
      </c>
      <c r="E349" s="1" t="s">
        <v>1392</v>
      </c>
    </row>
    <row r="350" spans="1:5" x14ac:dyDescent="0.25">
      <c r="A350" s="1" t="s">
        <v>559</v>
      </c>
      <c r="B350" s="1" t="s">
        <v>30</v>
      </c>
      <c r="C350" s="1">
        <v>2</v>
      </c>
      <c r="D350" s="1">
        <v>0</v>
      </c>
      <c r="E350" s="1" t="s">
        <v>1393</v>
      </c>
    </row>
    <row r="351" spans="1:5" x14ac:dyDescent="0.25">
      <c r="A351" s="1" t="s">
        <v>560</v>
      </c>
      <c r="B351" s="1" t="s">
        <v>30</v>
      </c>
      <c r="C351" s="1">
        <v>2</v>
      </c>
      <c r="D351" s="1">
        <v>0</v>
      </c>
      <c r="E351" s="1" t="s">
        <v>1394</v>
      </c>
    </row>
    <row r="352" spans="1:5" x14ac:dyDescent="0.25">
      <c r="A352" s="1" t="s">
        <v>561</v>
      </c>
      <c r="B352" s="1" t="s">
        <v>30</v>
      </c>
      <c r="C352" s="1">
        <v>4</v>
      </c>
      <c r="D352" s="1">
        <v>0</v>
      </c>
      <c r="E352" s="1" t="s">
        <v>1395</v>
      </c>
    </row>
    <row r="353" spans="1:5" x14ac:dyDescent="0.25">
      <c r="A353" s="1" t="s">
        <v>562</v>
      </c>
      <c r="B353" s="1" t="s">
        <v>30</v>
      </c>
      <c r="C353" s="1">
        <v>2</v>
      </c>
      <c r="D353" s="1">
        <v>0</v>
      </c>
      <c r="E353" s="1" t="s">
        <v>1396</v>
      </c>
    </row>
    <row r="354" spans="1:5" x14ac:dyDescent="0.25">
      <c r="A354" s="1" t="s">
        <v>563</v>
      </c>
      <c r="B354" s="1" t="s">
        <v>30</v>
      </c>
      <c r="C354" s="1">
        <v>2</v>
      </c>
      <c r="D354" s="1">
        <v>0</v>
      </c>
      <c r="E354" s="1" t="s">
        <v>1397</v>
      </c>
    </row>
    <row r="355" spans="1:5" x14ac:dyDescent="0.25">
      <c r="A355" s="1" t="s">
        <v>564</v>
      </c>
      <c r="B355" s="1" t="s">
        <v>30</v>
      </c>
      <c r="C355" s="1">
        <v>4</v>
      </c>
      <c r="D355" s="1">
        <v>0</v>
      </c>
      <c r="E355" s="1" t="s">
        <v>1398</v>
      </c>
    </row>
    <row r="356" spans="1:5" x14ac:dyDescent="0.25">
      <c r="A356" s="1" t="s">
        <v>565</v>
      </c>
      <c r="B356" s="1" t="s">
        <v>30</v>
      </c>
      <c r="C356" s="1">
        <v>4</v>
      </c>
      <c r="D356" s="1">
        <v>0</v>
      </c>
      <c r="E356" s="1" t="s">
        <v>1399</v>
      </c>
    </row>
    <row r="357" spans="1:5" x14ac:dyDescent="0.25">
      <c r="A357" s="1" t="s">
        <v>566</v>
      </c>
      <c r="B357" s="1" t="s">
        <v>30</v>
      </c>
      <c r="C357" s="1">
        <v>4</v>
      </c>
      <c r="D357" s="1">
        <v>0</v>
      </c>
      <c r="E357" s="1" t="s">
        <v>1400</v>
      </c>
    </row>
    <row r="358" spans="1:5" x14ac:dyDescent="0.25">
      <c r="A358" s="1" t="s">
        <v>567</v>
      </c>
      <c r="B358" s="1" t="s">
        <v>30</v>
      </c>
      <c r="C358" s="1">
        <v>4</v>
      </c>
      <c r="D358" s="1">
        <v>0</v>
      </c>
      <c r="E358" s="1" t="s">
        <v>1401</v>
      </c>
    </row>
    <row r="359" spans="1:5" x14ac:dyDescent="0.25">
      <c r="A359" s="1" t="s">
        <v>568</v>
      </c>
      <c r="B359" s="1" t="s">
        <v>30</v>
      </c>
      <c r="C359" s="1">
        <v>14</v>
      </c>
      <c r="D359" s="1">
        <v>0</v>
      </c>
      <c r="E359" s="1" t="s">
        <v>1402</v>
      </c>
    </row>
    <row r="360" spans="1:5" x14ac:dyDescent="0.25">
      <c r="A360" s="1" t="s">
        <v>569</v>
      </c>
      <c r="B360" s="1" t="s">
        <v>30</v>
      </c>
      <c r="C360" s="1">
        <v>14</v>
      </c>
      <c r="D360" s="1">
        <v>0</v>
      </c>
      <c r="E360" s="1" t="s">
        <v>1403</v>
      </c>
    </row>
    <row r="361" spans="1:5" x14ac:dyDescent="0.25">
      <c r="A361" s="1" t="s">
        <v>570</v>
      </c>
      <c r="B361" s="1" t="s">
        <v>30</v>
      </c>
      <c r="C361" s="1">
        <v>14</v>
      </c>
      <c r="D361" s="1">
        <v>0</v>
      </c>
      <c r="E361" s="1" t="s">
        <v>1404</v>
      </c>
    </row>
    <row r="362" spans="1:5" x14ac:dyDescent="0.25">
      <c r="A362" s="1" t="s">
        <v>571</v>
      </c>
      <c r="B362" s="1" t="s">
        <v>30</v>
      </c>
      <c r="C362" s="1">
        <v>14</v>
      </c>
      <c r="D362" s="1">
        <v>0</v>
      </c>
      <c r="E362" s="1" t="s">
        <v>1405</v>
      </c>
    </row>
    <row r="363" spans="1:5" x14ac:dyDescent="0.25">
      <c r="A363" s="1" t="s">
        <v>572</v>
      </c>
      <c r="B363" s="1" t="s">
        <v>30</v>
      </c>
      <c r="C363" s="1">
        <v>4</v>
      </c>
      <c r="D363" s="1">
        <v>0</v>
      </c>
      <c r="E363" s="1" t="s">
        <v>1406</v>
      </c>
    </row>
    <row r="364" spans="1:5" x14ac:dyDescent="0.25">
      <c r="A364" s="1" t="s">
        <v>458</v>
      </c>
      <c r="B364" s="1" t="s">
        <v>30</v>
      </c>
      <c r="C364" s="1">
        <v>4</v>
      </c>
      <c r="D364" s="1">
        <v>0</v>
      </c>
      <c r="E364" s="1" t="s">
        <v>1407</v>
      </c>
    </row>
    <row r="365" spans="1:5" x14ac:dyDescent="0.25">
      <c r="A365" s="1" t="s">
        <v>459</v>
      </c>
      <c r="B365" s="1" t="s">
        <v>30</v>
      </c>
      <c r="C365" s="1">
        <v>5</v>
      </c>
      <c r="D365" s="1">
        <v>0</v>
      </c>
      <c r="E365" s="1" t="s">
        <v>1408</v>
      </c>
    </row>
    <row r="366" spans="1:5" x14ac:dyDescent="0.25">
      <c r="A366" s="1" t="s">
        <v>460</v>
      </c>
      <c r="B366" s="1" t="s">
        <v>30</v>
      </c>
      <c r="C366" s="1">
        <v>4</v>
      </c>
      <c r="D366" s="1">
        <v>0</v>
      </c>
      <c r="E366" s="1" t="s">
        <v>1409</v>
      </c>
    </row>
    <row r="367" spans="1:5" x14ac:dyDescent="0.25">
      <c r="A367" s="1" t="s">
        <v>461</v>
      </c>
      <c r="B367" s="1" t="s">
        <v>30</v>
      </c>
      <c r="C367" s="1">
        <v>5</v>
      </c>
      <c r="D367" s="1">
        <v>0</v>
      </c>
      <c r="E367" s="1" t="s">
        <v>1410</v>
      </c>
    </row>
    <row r="368" spans="1:5" x14ac:dyDescent="0.25">
      <c r="A368" s="1" t="s">
        <v>1411</v>
      </c>
      <c r="B368" s="1" t="s">
        <v>30</v>
      </c>
      <c r="C368" s="1">
        <v>2</v>
      </c>
      <c r="D368" s="1">
        <v>0</v>
      </c>
      <c r="E368" s="1" t="s">
        <v>1412</v>
      </c>
    </row>
    <row r="369" spans="1:5" x14ac:dyDescent="0.25">
      <c r="A369" s="1" t="s">
        <v>1413</v>
      </c>
      <c r="B369" s="1" t="s">
        <v>30</v>
      </c>
      <c r="C369" s="1">
        <v>2</v>
      </c>
      <c r="D369" s="1">
        <v>0</v>
      </c>
      <c r="E369" s="1" t="s">
        <v>1412</v>
      </c>
    </row>
    <row r="370" spans="1:5" x14ac:dyDescent="0.25">
      <c r="A370" s="1" t="s">
        <v>1414</v>
      </c>
      <c r="B370" s="1" t="s">
        <v>30</v>
      </c>
      <c r="C370" s="1">
        <v>2</v>
      </c>
      <c r="D370" s="1">
        <v>0</v>
      </c>
      <c r="E370" s="1" t="s">
        <v>1412</v>
      </c>
    </row>
    <row r="371" spans="1:5" x14ac:dyDescent="0.25">
      <c r="A371" s="1" t="s">
        <v>1415</v>
      </c>
      <c r="B371" s="1" t="s">
        <v>30</v>
      </c>
      <c r="C371" s="1">
        <v>2</v>
      </c>
      <c r="D371" s="1">
        <v>0</v>
      </c>
      <c r="E371" s="1" t="s">
        <v>1412</v>
      </c>
    </row>
    <row r="372" spans="1:5" x14ac:dyDescent="0.25">
      <c r="A372" s="1" t="s">
        <v>1416</v>
      </c>
      <c r="B372" s="1" t="s">
        <v>30</v>
      </c>
      <c r="C372" s="1">
        <v>2</v>
      </c>
      <c r="D372" s="1">
        <v>0</v>
      </c>
      <c r="E372" s="1" t="s">
        <v>1412</v>
      </c>
    </row>
    <row r="373" spans="1:5" x14ac:dyDescent="0.25">
      <c r="A373" s="1" t="s">
        <v>1417</v>
      </c>
      <c r="B373" s="1" t="s">
        <v>30</v>
      </c>
      <c r="C373" s="1">
        <v>2</v>
      </c>
      <c r="D373" s="1">
        <v>0</v>
      </c>
      <c r="E373" s="1" t="s">
        <v>1412</v>
      </c>
    </row>
    <row r="374" spans="1:5" x14ac:dyDescent="0.25">
      <c r="A374" s="1" t="s">
        <v>1418</v>
      </c>
      <c r="B374" s="1" t="s">
        <v>30</v>
      </c>
      <c r="C374" s="1">
        <v>2</v>
      </c>
      <c r="D374" s="1">
        <v>0</v>
      </c>
      <c r="E374" s="1" t="s">
        <v>1412</v>
      </c>
    </row>
    <row r="375" spans="1:5" x14ac:dyDescent="0.25">
      <c r="A375" s="1" t="s">
        <v>1419</v>
      </c>
      <c r="B375" s="1" t="s">
        <v>30</v>
      </c>
      <c r="C375" s="1">
        <v>2</v>
      </c>
      <c r="D375" s="1">
        <v>0</v>
      </c>
      <c r="E375" s="1" t="s">
        <v>1412</v>
      </c>
    </row>
    <row r="376" spans="1:5" x14ac:dyDescent="0.25">
      <c r="A376" s="1" t="s">
        <v>1420</v>
      </c>
      <c r="B376" s="1" t="s">
        <v>30</v>
      </c>
      <c r="C376" s="1">
        <v>2</v>
      </c>
      <c r="D376" s="1">
        <v>0</v>
      </c>
      <c r="E376" s="1" t="s">
        <v>1412</v>
      </c>
    </row>
    <row r="377" spans="1:5" x14ac:dyDescent="0.25">
      <c r="A377" s="1" t="s">
        <v>1421</v>
      </c>
      <c r="B377" s="1" t="s">
        <v>30</v>
      </c>
      <c r="C377" s="1">
        <v>2</v>
      </c>
      <c r="D377" s="1">
        <v>0</v>
      </c>
      <c r="E377" s="1" t="s">
        <v>1412</v>
      </c>
    </row>
    <row r="378" spans="1:5" x14ac:dyDescent="0.25">
      <c r="A378" s="1" t="s">
        <v>1422</v>
      </c>
      <c r="B378" s="1" t="s">
        <v>30</v>
      </c>
      <c r="C378" s="1">
        <v>2</v>
      </c>
      <c r="D378" s="1">
        <v>0</v>
      </c>
      <c r="E378" s="1" t="s">
        <v>1412</v>
      </c>
    </row>
    <row r="379" spans="1:5" x14ac:dyDescent="0.25">
      <c r="A379" s="1" t="s">
        <v>1423</v>
      </c>
      <c r="B379" s="1" t="s">
        <v>30</v>
      </c>
      <c r="C379" s="1">
        <v>2</v>
      </c>
      <c r="D379" s="1">
        <v>0</v>
      </c>
      <c r="E379" s="1" t="s">
        <v>1412</v>
      </c>
    </row>
    <row r="380" spans="1:5" x14ac:dyDescent="0.25">
      <c r="A380" s="1" t="s">
        <v>1424</v>
      </c>
      <c r="B380" s="1" t="s">
        <v>30</v>
      </c>
      <c r="C380" s="1">
        <v>2</v>
      </c>
      <c r="D380" s="1">
        <v>0</v>
      </c>
      <c r="E380" s="1" t="s">
        <v>1412</v>
      </c>
    </row>
    <row r="381" spans="1:5" x14ac:dyDescent="0.25">
      <c r="A381" s="1" t="s">
        <v>1425</v>
      </c>
      <c r="B381" s="1" t="s">
        <v>30</v>
      </c>
      <c r="C381" s="1">
        <v>2</v>
      </c>
      <c r="D381" s="1">
        <v>0</v>
      </c>
      <c r="E381" s="1" t="s">
        <v>1412</v>
      </c>
    </row>
    <row r="382" spans="1:5" x14ac:dyDescent="0.25">
      <c r="A382" s="1" t="s">
        <v>1426</v>
      </c>
      <c r="B382" s="1" t="s">
        <v>27</v>
      </c>
      <c r="C382" s="1">
        <v>150</v>
      </c>
      <c r="D382" s="1">
        <v>0</v>
      </c>
      <c r="E382" s="1" t="s">
        <v>1412</v>
      </c>
    </row>
    <row r="383" spans="1:5" x14ac:dyDescent="0.25">
      <c r="A383" s="1" t="s">
        <v>1427</v>
      </c>
      <c r="B383" s="1" t="s">
        <v>30</v>
      </c>
      <c r="C383" s="1">
        <v>2</v>
      </c>
      <c r="D383" s="1">
        <v>0</v>
      </c>
      <c r="E383" s="1" t="s">
        <v>1428</v>
      </c>
    </row>
    <row r="384" spans="1:5" x14ac:dyDescent="0.25">
      <c r="A384" s="1" t="s">
        <v>1429</v>
      </c>
      <c r="B384" s="1" t="s">
        <v>27</v>
      </c>
      <c r="C384" s="1">
        <v>150</v>
      </c>
      <c r="D384" s="1">
        <v>0</v>
      </c>
      <c r="E384" s="1" t="s">
        <v>1430</v>
      </c>
    </row>
    <row r="385" spans="1:5" x14ac:dyDescent="0.25">
      <c r="A385" s="1" t="s">
        <v>1431</v>
      </c>
      <c r="B385" s="1" t="s">
        <v>30</v>
      </c>
      <c r="C385" s="1">
        <v>2</v>
      </c>
      <c r="D385" s="1">
        <v>0</v>
      </c>
      <c r="E385" s="1" t="s">
        <v>1432</v>
      </c>
    </row>
    <row r="386" spans="1:5" x14ac:dyDescent="0.25">
      <c r="A386" s="1" t="s">
        <v>1433</v>
      </c>
      <c r="B386" s="1" t="s">
        <v>27</v>
      </c>
      <c r="C386" s="1">
        <v>150</v>
      </c>
      <c r="D386" s="1">
        <v>0</v>
      </c>
      <c r="E386" s="1" t="s">
        <v>1434</v>
      </c>
    </row>
    <row r="387" spans="1:5" x14ac:dyDescent="0.25">
      <c r="A387" s="1" t="s">
        <v>1435</v>
      </c>
      <c r="B387" s="1" t="s">
        <v>30</v>
      </c>
      <c r="C387" s="1">
        <v>2</v>
      </c>
      <c r="D387" s="1">
        <v>0</v>
      </c>
      <c r="E387" s="1" t="s">
        <v>1436</v>
      </c>
    </row>
    <row r="388" spans="1:5" x14ac:dyDescent="0.25">
      <c r="A388" s="1" t="s">
        <v>1437</v>
      </c>
      <c r="B388" s="1" t="s">
        <v>27</v>
      </c>
      <c r="C388" s="1">
        <v>150</v>
      </c>
      <c r="D388" s="1">
        <v>0</v>
      </c>
      <c r="E388" s="1" t="s">
        <v>1438</v>
      </c>
    </row>
    <row r="389" spans="1:5" x14ac:dyDescent="0.25">
      <c r="A389" s="1" t="s">
        <v>1439</v>
      </c>
      <c r="B389" s="1" t="s">
        <v>30</v>
      </c>
      <c r="C389" s="1">
        <v>2</v>
      </c>
      <c r="D389" s="1">
        <v>0</v>
      </c>
      <c r="E389" s="1" t="s">
        <v>1440</v>
      </c>
    </row>
    <row r="390" spans="1:5" x14ac:dyDescent="0.25">
      <c r="A390" s="1" t="s">
        <v>1441</v>
      </c>
      <c r="B390" s="1" t="s">
        <v>27</v>
      </c>
      <c r="C390" s="1">
        <v>150</v>
      </c>
      <c r="D390" s="1">
        <v>0</v>
      </c>
      <c r="E390" s="1" t="s">
        <v>1440</v>
      </c>
    </row>
    <row r="391" spans="1:5" x14ac:dyDescent="0.25">
      <c r="A391" s="1" t="s">
        <v>1442</v>
      </c>
      <c r="B391" s="1" t="s">
        <v>30</v>
      </c>
      <c r="C391" s="1">
        <v>2</v>
      </c>
      <c r="D391" s="1">
        <v>0</v>
      </c>
      <c r="E391" s="1" t="s">
        <v>1443</v>
      </c>
    </row>
    <row r="392" spans="1:5" x14ac:dyDescent="0.25">
      <c r="A392" s="1" t="s">
        <v>1444</v>
      </c>
      <c r="B392" s="1" t="s">
        <v>27</v>
      </c>
      <c r="C392" s="1">
        <v>150</v>
      </c>
      <c r="D392" s="1">
        <v>0</v>
      </c>
      <c r="E392" s="1" t="s">
        <v>1445</v>
      </c>
    </row>
    <row r="393" spans="1:5" x14ac:dyDescent="0.25">
      <c r="A393" s="1" t="s">
        <v>1446</v>
      </c>
      <c r="B393" s="1" t="s">
        <v>30</v>
      </c>
      <c r="C393" s="1">
        <v>2</v>
      </c>
      <c r="D393" s="1">
        <v>0</v>
      </c>
      <c r="E393" s="1" t="s">
        <v>1447</v>
      </c>
    </row>
    <row r="394" spans="1:5" x14ac:dyDescent="0.25">
      <c r="A394" s="1" t="s">
        <v>1448</v>
      </c>
      <c r="B394" s="1" t="s">
        <v>27</v>
      </c>
      <c r="C394" s="1">
        <v>150</v>
      </c>
      <c r="D394" s="1">
        <v>0</v>
      </c>
      <c r="E394" s="1" t="s">
        <v>1449</v>
      </c>
    </row>
    <row r="395" spans="1:5" x14ac:dyDescent="0.25">
      <c r="A395" s="1" t="s">
        <v>1450</v>
      </c>
      <c r="B395" s="1" t="s">
        <v>30</v>
      </c>
      <c r="C395" s="1">
        <v>2</v>
      </c>
      <c r="D395" s="1">
        <v>0</v>
      </c>
      <c r="E395" s="1" t="s">
        <v>1451</v>
      </c>
    </row>
    <row r="396" spans="1:5" x14ac:dyDescent="0.25">
      <c r="A396" s="1" t="s">
        <v>1452</v>
      </c>
      <c r="B396" s="1" t="s">
        <v>30</v>
      </c>
      <c r="C396" s="1">
        <v>2</v>
      </c>
      <c r="D396" s="1">
        <v>0</v>
      </c>
      <c r="E396" s="1" t="s">
        <v>1453</v>
      </c>
    </row>
    <row r="397" spans="1:5" x14ac:dyDescent="0.25">
      <c r="A397" s="1" t="s">
        <v>1454</v>
      </c>
      <c r="B397" s="1" t="s">
        <v>30</v>
      </c>
      <c r="C397" s="1">
        <v>2</v>
      </c>
      <c r="D397" s="1">
        <v>0</v>
      </c>
      <c r="E397" s="1" t="s">
        <v>1455</v>
      </c>
    </row>
    <row r="398" spans="1:5" x14ac:dyDescent="0.25">
      <c r="A398" s="1" t="s">
        <v>1456</v>
      </c>
      <c r="B398" s="1" t="s">
        <v>30</v>
      </c>
      <c r="C398" s="1">
        <v>2</v>
      </c>
      <c r="D398" s="1">
        <v>0</v>
      </c>
      <c r="E398" s="1" t="s">
        <v>1457</v>
      </c>
    </row>
    <row r="399" spans="1:5" x14ac:dyDescent="0.25">
      <c r="A399" s="1" t="s">
        <v>1458</v>
      </c>
      <c r="B399" s="1" t="s">
        <v>30</v>
      </c>
      <c r="C399" s="1">
        <v>2</v>
      </c>
      <c r="D399" s="1">
        <v>0</v>
      </c>
      <c r="E399" s="1" t="s">
        <v>1459</v>
      </c>
    </row>
    <row r="400" spans="1:5" x14ac:dyDescent="0.25">
      <c r="A400" s="1" t="s">
        <v>1460</v>
      </c>
      <c r="B400" s="1" t="s">
        <v>30</v>
      </c>
      <c r="C400" s="1">
        <v>2</v>
      </c>
      <c r="D400" s="1">
        <v>0</v>
      </c>
      <c r="E400" s="1" t="s">
        <v>1461</v>
      </c>
    </row>
    <row r="401" spans="1:5" x14ac:dyDescent="0.25">
      <c r="A401" s="1" t="s">
        <v>1462</v>
      </c>
      <c r="B401" s="1" t="s">
        <v>30</v>
      </c>
      <c r="C401" s="1">
        <v>2</v>
      </c>
      <c r="D401" s="1">
        <v>0</v>
      </c>
      <c r="E401" s="1" t="s">
        <v>1463</v>
      </c>
    </row>
    <row r="402" spans="1:5" x14ac:dyDescent="0.25">
      <c r="A402" s="1" t="s">
        <v>1464</v>
      </c>
      <c r="B402" s="1" t="s">
        <v>30</v>
      </c>
      <c r="C402" s="1">
        <v>2</v>
      </c>
      <c r="D402" s="1">
        <v>0</v>
      </c>
      <c r="E402" s="1" t="s">
        <v>1465</v>
      </c>
    </row>
    <row r="403" spans="1:5" x14ac:dyDescent="0.25">
      <c r="A403" s="1" t="s">
        <v>1466</v>
      </c>
      <c r="B403" s="1" t="s">
        <v>30</v>
      </c>
      <c r="C403" s="1">
        <v>2</v>
      </c>
      <c r="D403" s="1">
        <v>0</v>
      </c>
      <c r="E403" s="1" t="s">
        <v>1467</v>
      </c>
    </row>
    <row r="404" spans="1:5" x14ac:dyDescent="0.25">
      <c r="A404" s="1" t="s">
        <v>1468</v>
      </c>
      <c r="B404" s="1" t="s">
        <v>30</v>
      </c>
      <c r="C404" s="1">
        <v>2</v>
      </c>
      <c r="D404" s="1">
        <v>0</v>
      </c>
      <c r="E404" s="1" t="s">
        <v>1469</v>
      </c>
    </row>
    <row r="405" spans="1:5" x14ac:dyDescent="0.25">
      <c r="A405" s="1" t="s">
        <v>1470</v>
      </c>
      <c r="B405" s="1" t="s">
        <v>30</v>
      </c>
      <c r="C405" s="1">
        <v>2</v>
      </c>
      <c r="D405" s="1">
        <v>0</v>
      </c>
      <c r="E405" s="1" t="s">
        <v>1471</v>
      </c>
    </row>
    <row r="406" spans="1:5" x14ac:dyDescent="0.25">
      <c r="A406" s="1" t="s">
        <v>1472</v>
      </c>
      <c r="B406" s="1" t="s">
        <v>30</v>
      </c>
      <c r="C406" s="1">
        <v>2</v>
      </c>
      <c r="D406" s="1">
        <v>0</v>
      </c>
      <c r="E406" s="1" t="s">
        <v>1473</v>
      </c>
    </row>
    <row r="407" spans="1:5" x14ac:dyDescent="0.25">
      <c r="A407" s="1" t="s">
        <v>1474</v>
      </c>
      <c r="B407" s="1" t="s">
        <v>30</v>
      </c>
      <c r="C407" s="1">
        <v>2</v>
      </c>
      <c r="D407" s="1">
        <v>0</v>
      </c>
      <c r="E407" s="1" t="s">
        <v>1475</v>
      </c>
    </row>
    <row r="408" spans="1:5" x14ac:dyDescent="0.25">
      <c r="A408" s="1" t="s">
        <v>1476</v>
      </c>
      <c r="B408" s="1" t="s">
        <v>30</v>
      </c>
      <c r="C408" s="1">
        <v>2</v>
      </c>
      <c r="D408" s="1">
        <v>0</v>
      </c>
      <c r="E408" s="1" t="s">
        <v>1477</v>
      </c>
    </row>
    <row r="409" spans="1:5" x14ac:dyDescent="0.25">
      <c r="A409" s="1" t="s">
        <v>1478</v>
      </c>
      <c r="B409" s="1" t="s">
        <v>30</v>
      </c>
      <c r="C409" s="1">
        <v>2</v>
      </c>
      <c r="D409" s="1">
        <v>0</v>
      </c>
      <c r="E409" s="1" t="s">
        <v>1479</v>
      </c>
    </row>
    <row r="410" spans="1:5" x14ac:dyDescent="0.25">
      <c r="A410" s="1" t="s">
        <v>1480</v>
      </c>
      <c r="B410" s="1" t="s">
        <v>30</v>
      </c>
      <c r="C410" s="1">
        <v>2</v>
      </c>
      <c r="D410" s="1">
        <v>0</v>
      </c>
      <c r="E410" s="1" t="s">
        <v>1481</v>
      </c>
    </row>
    <row r="411" spans="1:5" x14ac:dyDescent="0.25">
      <c r="A411" s="1" t="s">
        <v>1482</v>
      </c>
      <c r="B411" s="1" t="s">
        <v>30</v>
      </c>
      <c r="C411" s="1">
        <v>2</v>
      </c>
      <c r="D411" s="1">
        <v>0</v>
      </c>
      <c r="E411" s="1" t="s">
        <v>1483</v>
      </c>
    </row>
    <row r="412" spans="1:5" x14ac:dyDescent="0.25">
      <c r="A412" s="1" t="s">
        <v>1484</v>
      </c>
      <c r="B412" s="1" t="s">
        <v>27</v>
      </c>
      <c r="C412" s="1">
        <v>150</v>
      </c>
      <c r="D412" s="1">
        <v>0</v>
      </c>
      <c r="E412" s="1" t="s">
        <v>1483</v>
      </c>
    </row>
    <row r="413" spans="1:5" x14ac:dyDescent="0.25">
      <c r="A413" s="1" t="s">
        <v>1485</v>
      </c>
      <c r="B413" s="1" t="s">
        <v>30</v>
      </c>
      <c r="C413" s="1">
        <v>2</v>
      </c>
      <c r="D413" s="1">
        <v>0</v>
      </c>
      <c r="E413" s="1" t="s">
        <v>1486</v>
      </c>
    </row>
    <row r="414" spans="1:5" x14ac:dyDescent="0.25">
      <c r="A414" s="1" t="s">
        <v>1487</v>
      </c>
      <c r="B414" s="1" t="s">
        <v>30</v>
      </c>
      <c r="C414" s="1">
        <v>2</v>
      </c>
      <c r="D414" s="1">
        <v>0</v>
      </c>
      <c r="E414" s="1" t="s">
        <v>1488</v>
      </c>
    </row>
    <row r="415" spans="1:5" x14ac:dyDescent="0.25">
      <c r="A415" s="1" t="s">
        <v>1489</v>
      </c>
      <c r="B415" s="1" t="s">
        <v>30</v>
      </c>
      <c r="C415" s="1">
        <v>2</v>
      </c>
      <c r="D415" s="1">
        <v>0</v>
      </c>
      <c r="E415" s="1" t="s">
        <v>1490</v>
      </c>
    </row>
    <row r="416" spans="1:5" x14ac:dyDescent="0.25">
      <c r="A416" s="1" t="s">
        <v>1491</v>
      </c>
      <c r="B416" s="1" t="s">
        <v>30</v>
      </c>
      <c r="C416" s="1">
        <v>2</v>
      </c>
      <c r="D416" s="1">
        <v>0</v>
      </c>
      <c r="E416" s="1" t="s">
        <v>1492</v>
      </c>
    </row>
    <row r="417" spans="1:5" x14ac:dyDescent="0.25">
      <c r="A417" s="1" t="s">
        <v>87</v>
      </c>
      <c r="B417" s="1" t="s">
        <v>30</v>
      </c>
      <c r="C417" s="1">
        <v>2</v>
      </c>
      <c r="D417" s="1">
        <v>0</v>
      </c>
      <c r="E417" s="1" t="s">
        <v>1493</v>
      </c>
    </row>
    <row r="418" spans="1:5" x14ac:dyDescent="0.25">
      <c r="A418" s="1" t="s">
        <v>88</v>
      </c>
      <c r="B418" s="1" t="s">
        <v>30</v>
      </c>
      <c r="C418" s="1">
        <v>2</v>
      </c>
      <c r="D418" s="1">
        <v>0</v>
      </c>
      <c r="E418" s="1" t="s">
        <v>1493</v>
      </c>
    </row>
    <row r="419" spans="1:5" x14ac:dyDescent="0.25">
      <c r="A419" s="1" t="s">
        <v>89</v>
      </c>
      <c r="B419" s="1" t="s">
        <v>30</v>
      </c>
      <c r="C419" s="1">
        <v>2</v>
      </c>
      <c r="D419" s="1">
        <v>0</v>
      </c>
      <c r="E419" s="1" t="s">
        <v>1493</v>
      </c>
    </row>
    <row r="420" spans="1:5" x14ac:dyDescent="0.25">
      <c r="A420" s="1" t="s">
        <v>90</v>
      </c>
      <c r="B420" s="1" t="s">
        <v>30</v>
      </c>
      <c r="C420" s="1">
        <v>2</v>
      </c>
      <c r="D420" s="1">
        <v>0</v>
      </c>
      <c r="E420" s="1" t="s">
        <v>1493</v>
      </c>
    </row>
    <row r="421" spans="1:5" x14ac:dyDescent="0.25">
      <c r="A421" s="1" t="s">
        <v>91</v>
      </c>
      <c r="B421" s="1" t="s">
        <v>30</v>
      </c>
      <c r="C421" s="1">
        <v>2</v>
      </c>
      <c r="D421" s="1">
        <v>0</v>
      </c>
      <c r="E421" s="1" t="s">
        <v>1493</v>
      </c>
    </row>
    <row r="422" spans="1:5" x14ac:dyDescent="0.25">
      <c r="A422" s="1" t="s">
        <v>92</v>
      </c>
      <c r="B422" s="1" t="s">
        <v>30</v>
      </c>
      <c r="C422" s="1">
        <v>2</v>
      </c>
      <c r="D422" s="1">
        <v>0</v>
      </c>
      <c r="E422" s="1" t="s">
        <v>1493</v>
      </c>
    </row>
    <row r="423" spans="1:5" x14ac:dyDescent="0.25">
      <c r="A423" s="1" t="s">
        <v>93</v>
      </c>
      <c r="B423" s="1" t="s">
        <v>30</v>
      </c>
      <c r="C423" s="1">
        <v>2</v>
      </c>
      <c r="D423" s="1">
        <v>0</v>
      </c>
      <c r="E423" s="1" t="s">
        <v>1493</v>
      </c>
    </row>
    <row r="424" spans="1:5" x14ac:dyDescent="0.25">
      <c r="A424" s="1" t="s">
        <v>94</v>
      </c>
      <c r="B424" s="1" t="s">
        <v>30</v>
      </c>
      <c r="C424" s="1">
        <v>2</v>
      </c>
      <c r="D424" s="1">
        <v>0</v>
      </c>
      <c r="E424" s="1" t="s">
        <v>1493</v>
      </c>
    </row>
    <row r="425" spans="1:5" x14ac:dyDescent="0.25">
      <c r="A425" s="1" t="s">
        <v>95</v>
      </c>
      <c r="B425" s="1" t="s">
        <v>30</v>
      </c>
      <c r="C425" s="1">
        <v>2</v>
      </c>
      <c r="D425" s="1">
        <v>0</v>
      </c>
      <c r="E425" s="1" t="s">
        <v>1493</v>
      </c>
    </row>
    <row r="426" spans="1:5" x14ac:dyDescent="0.25">
      <c r="A426" s="1" t="s">
        <v>96</v>
      </c>
      <c r="B426" s="1" t="s">
        <v>30</v>
      </c>
      <c r="C426" s="1">
        <v>2</v>
      </c>
      <c r="D426" s="1">
        <v>0</v>
      </c>
      <c r="E426" s="1" t="s">
        <v>1493</v>
      </c>
    </row>
    <row r="427" spans="1:5" x14ac:dyDescent="0.25">
      <c r="A427" s="1" t="s">
        <v>100</v>
      </c>
      <c r="B427" s="1" t="s">
        <v>30</v>
      </c>
      <c r="C427" s="1">
        <v>2</v>
      </c>
      <c r="D427" s="1">
        <v>0</v>
      </c>
      <c r="E427" s="1" t="s">
        <v>1493</v>
      </c>
    </row>
    <row r="428" spans="1:5" x14ac:dyDescent="0.25">
      <c r="A428" s="1" t="s">
        <v>101</v>
      </c>
      <c r="B428" s="1" t="s">
        <v>30</v>
      </c>
      <c r="C428" s="1">
        <v>2</v>
      </c>
      <c r="D428" s="1">
        <v>0</v>
      </c>
      <c r="E428" s="1" t="s">
        <v>1493</v>
      </c>
    </row>
    <row r="429" spans="1:5" x14ac:dyDescent="0.25">
      <c r="A429" s="1" t="s">
        <v>102</v>
      </c>
      <c r="B429" s="1" t="s">
        <v>27</v>
      </c>
      <c r="C429" s="1">
        <v>150</v>
      </c>
      <c r="D429" s="1">
        <v>0</v>
      </c>
      <c r="E429" s="1" t="s">
        <v>1493</v>
      </c>
    </row>
    <row r="430" spans="1:5" x14ac:dyDescent="0.25">
      <c r="A430" s="1" t="s">
        <v>1494</v>
      </c>
      <c r="B430" s="1" t="s">
        <v>30</v>
      </c>
      <c r="C430" s="1">
        <v>2</v>
      </c>
      <c r="D430" s="1">
        <v>0</v>
      </c>
      <c r="E430" s="1" t="s">
        <v>1495</v>
      </c>
    </row>
    <row r="431" spans="1:5" x14ac:dyDescent="0.25">
      <c r="A431" s="1" t="s">
        <v>103</v>
      </c>
      <c r="B431" s="1" t="s">
        <v>30</v>
      </c>
      <c r="C431" s="1">
        <v>2</v>
      </c>
      <c r="D431" s="1">
        <v>0</v>
      </c>
      <c r="E431" s="1" t="s">
        <v>1496</v>
      </c>
    </row>
    <row r="432" spans="1:5" x14ac:dyDescent="0.25">
      <c r="A432" s="1" t="s">
        <v>104</v>
      </c>
      <c r="B432" s="1" t="s">
        <v>30</v>
      </c>
      <c r="C432" s="1">
        <v>2</v>
      </c>
      <c r="D432" s="1">
        <v>0</v>
      </c>
      <c r="E432" s="1" t="s">
        <v>1496</v>
      </c>
    </row>
    <row r="433" spans="1:5" x14ac:dyDescent="0.25">
      <c r="A433" s="1" t="s">
        <v>105</v>
      </c>
      <c r="B433" s="1" t="s">
        <v>30</v>
      </c>
      <c r="C433" s="1">
        <v>2</v>
      </c>
      <c r="D433" s="1">
        <v>0</v>
      </c>
      <c r="E433" s="1" t="s">
        <v>1496</v>
      </c>
    </row>
    <row r="434" spans="1:5" x14ac:dyDescent="0.25">
      <c r="A434" s="1" t="s">
        <v>106</v>
      </c>
      <c r="B434" s="1" t="s">
        <v>30</v>
      </c>
      <c r="C434" s="1">
        <v>2</v>
      </c>
      <c r="D434" s="1">
        <v>0</v>
      </c>
      <c r="E434" s="1" t="s">
        <v>1496</v>
      </c>
    </row>
    <row r="435" spans="1:5" x14ac:dyDescent="0.25">
      <c r="A435" s="1" t="s">
        <v>107</v>
      </c>
      <c r="B435" s="1" t="s">
        <v>30</v>
      </c>
      <c r="C435" s="1">
        <v>2</v>
      </c>
      <c r="D435" s="1">
        <v>0</v>
      </c>
      <c r="E435" s="1" t="s">
        <v>1496</v>
      </c>
    </row>
    <row r="436" spans="1:5" x14ac:dyDescent="0.25">
      <c r="A436" s="1" t="s">
        <v>108</v>
      </c>
      <c r="B436" s="1" t="s">
        <v>30</v>
      </c>
      <c r="C436" s="1">
        <v>2</v>
      </c>
      <c r="D436" s="1">
        <v>0</v>
      </c>
      <c r="E436" s="1" t="s">
        <v>1496</v>
      </c>
    </row>
    <row r="437" spans="1:5" x14ac:dyDescent="0.25">
      <c r="A437" s="1" t="s">
        <v>109</v>
      </c>
      <c r="B437" s="1" t="s">
        <v>30</v>
      </c>
      <c r="C437" s="1">
        <v>2</v>
      </c>
      <c r="D437" s="1">
        <v>0</v>
      </c>
      <c r="E437" s="1" t="s">
        <v>1496</v>
      </c>
    </row>
    <row r="438" spans="1:5" x14ac:dyDescent="0.25">
      <c r="A438" s="1" t="s">
        <v>110</v>
      </c>
      <c r="B438" s="1" t="s">
        <v>30</v>
      </c>
      <c r="C438" s="1">
        <v>2</v>
      </c>
      <c r="D438" s="1">
        <v>0</v>
      </c>
      <c r="E438" s="1" t="s">
        <v>1496</v>
      </c>
    </row>
    <row r="439" spans="1:5" x14ac:dyDescent="0.25">
      <c r="A439" s="1" t="s">
        <v>111</v>
      </c>
      <c r="B439" s="1" t="s">
        <v>30</v>
      </c>
      <c r="C439" s="1">
        <v>2</v>
      </c>
      <c r="D439" s="1">
        <v>0</v>
      </c>
      <c r="E439" s="1" t="s">
        <v>1496</v>
      </c>
    </row>
    <row r="440" spans="1:5" x14ac:dyDescent="0.25">
      <c r="A440" s="1" t="s">
        <v>1497</v>
      </c>
      <c r="B440" s="1" t="s">
        <v>30</v>
      </c>
      <c r="C440" s="1">
        <v>2</v>
      </c>
      <c r="D440" s="1">
        <v>0</v>
      </c>
      <c r="E440" s="1" t="s">
        <v>1496</v>
      </c>
    </row>
    <row r="441" spans="1:5" x14ac:dyDescent="0.25">
      <c r="A441" s="1" t="s">
        <v>112</v>
      </c>
      <c r="B441" s="1" t="s">
        <v>30</v>
      </c>
      <c r="C441" s="1">
        <v>2</v>
      </c>
      <c r="D441" s="1">
        <v>0</v>
      </c>
      <c r="E441" s="1" t="s">
        <v>1496</v>
      </c>
    </row>
    <row r="442" spans="1:5" x14ac:dyDescent="0.25">
      <c r="A442" s="1" t="s">
        <v>113</v>
      </c>
      <c r="B442" s="1" t="s">
        <v>30</v>
      </c>
      <c r="C442" s="1">
        <v>2</v>
      </c>
      <c r="D442" s="1">
        <v>0</v>
      </c>
      <c r="E442" s="1" t="s">
        <v>1496</v>
      </c>
    </row>
    <row r="443" spans="1:5" x14ac:dyDescent="0.25">
      <c r="A443" s="1" t="s">
        <v>115</v>
      </c>
      <c r="B443" s="1" t="s">
        <v>30</v>
      </c>
      <c r="C443" s="1">
        <v>2</v>
      </c>
      <c r="D443" s="1">
        <v>0</v>
      </c>
      <c r="E443" s="1" t="s">
        <v>1496</v>
      </c>
    </row>
    <row r="444" spans="1:5" x14ac:dyDescent="0.25">
      <c r="A444" s="1" t="s">
        <v>116</v>
      </c>
      <c r="B444" s="1" t="s">
        <v>30</v>
      </c>
      <c r="C444" s="1">
        <v>2</v>
      </c>
      <c r="D444" s="1">
        <v>0</v>
      </c>
      <c r="E444" s="1" t="s">
        <v>1496</v>
      </c>
    </row>
    <row r="445" spans="1:5" x14ac:dyDescent="0.25">
      <c r="A445" s="1" t="s">
        <v>117</v>
      </c>
      <c r="B445" s="1" t="s">
        <v>27</v>
      </c>
      <c r="C445" s="1">
        <v>150</v>
      </c>
      <c r="D445" s="1">
        <v>0</v>
      </c>
      <c r="E445" s="1" t="s">
        <v>1496</v>
      </c>
    </row>
    <row r="446" spans="1:5" x14ac:dyDescent="0.25">
      <c r="A446" s="1" t="s">
        <v>1498</v>
      </c>
      <c r="B446" s="1" t="s">
        <v>30</v>
      </c>
      <c r="C446" s="1">
        <v>14</v>
      </c>
      <c r="D446" s="1">
        <v>0</v>
      </c>
      <c r="E446" s="1" t="s">
        <v>1499</v>
      </c>
    </row>
    <row r="447" spans="1:5" x14ac:dyDescent="0.25">
      <c r="A447" s="1" t="s">
        <v>1500</v>
      </c>
      <c r="B447" s="1" t="s">
        <v>30</v>
      </c>
      <c r="C447" s="1">
        <v>14</v>
      </c>
      <c r="D447" s="1">
        <v>0</v>
      </c>
      <c r="E447" s="1" t="s">
        <v>1501</v>
      </c>
    </row>
    <row r="448" spans="1:5" x14ac:dyDescent="0.25">
      <c r="A448" s="1" t="s">
        <v>1502</v>
      </c>
      <c r="B448" s="1" t="s">
        <v>30</v>
      </c>
      <c r="C448" s="1">
        <v>14</v>
      </c>
      <c r="D448" s="1">
        <v>0</v>
      </c>
      <c r="E448" s="1" t="s">
        <v>1503</v>
      </c>
    </row>
    <row r="449" spans="1:5" x14ac:dyDescent="0.25">
      <c r="A449" s="1" t="s">
        <v>1504</v>
      </c>
      <c r="B449" s="1" t="s">
        <v>30</v>
      </c>
      <c r="C449" s="1">
        <v>14</v>
      </c>
      <c r="D449" s="1">
        <v>0</v>
      </c>
      <c r="E449" s="1" t="s">
        <v>1505</v>
      </c>
    </row>
    <row r="450" spans="1:5" x14ac:dyDescent="0.25">
      <c r="A450" s="1" t="s">
        <v>1506</v>
      </c>
      <c r="B450" s="1" t="s">
        <v>30</v>
      </c>
      <c r="C450" s="1">
        <v>14</v>
      </c>
      <c r="D450" s="1">
        <v>0</v>
      </c>
      <c r="E450" s="1" t="s">
        <v>1507</v>
      </c>
    </row>
    <row r="451" spans="1:5" x14ac:dyDescent="0.25">
      <c r="A451" s="1" t="s">
        <v>252</v>
      </c>
      <c r="B451" s="1" t="s">
        <v>30</v>
      </c>
      <c r="C451" s="1">
        <v>2</v>
      </c>
      <c r="D451" s="1">
        <v>0</v>
      </c>
      <c r="E451" s="1" t="s">
        <v>1508</v>
      </c>
    </row>
    <row r="452" spans="1:5" x14ac:dyDescent="0.25">
      <c r="A452" s="1" t="s">
        <v>253</v>
      </c>
      <c r="B452" s="1" t="s">
        <v>30</v>
      </c>
      <c r="C452" s="1">
        <v>2</v>
      </c>
      <c r="D452" s="1">
        <v>0</v>
      </c>
      <c r="E452" s="1" t="s">
        <v>1508</v>
      </c>
    </row>
    <row r="453" spans="1:5" x14ac:dyDescent="0.25">
      <c r="A453" s="1" t="s">
        <v>254</v>
      </c>
      <c r="B453" s="1" t="s">
        <v>30</v>
      </c>
      <c r="C453" s="1">
        <v>2</v>
      </c>
      <c r="D453" s="1">
        <v>0</v>
      </c>
      <c r="E453" s="1" t="s">
        <v>1508</v>
      </c>
    </row>
    <row r="454" spans="1:5" x14ac:dyDescent="0.25">
      <c r="A454" s="1" t="s">
        <v>255</v>
      </c>
      <c r="B454" s="1" t="s">
        <v>30</v>
      </c>
      <c r="C454" s="1">
        <v>2</v>
      </c>
      <c r="D454" s="1">
        <v>0</v>
      </c>
      <c r="E454" s="1" t="s">
        <v>1508</v>
      </c>
    </row>
    <row r="455" spans="1:5" x14ac:dyDescent="0.25">
      <c r="A455" s="1" t="s">
        <v>256</v>
      </c>
      <c r="B455" s="1" t="s">
        <v>30</v>
      </c>
      <c r="C455" s="1">
        <v>2</v>
      </c>
      <c r="D455" s="1">
        <v>0</v>
      </c>
      <c r="E455" s="1" t="s">
        <v>1508</v>
      </c>
    </row>
    <row r="456" spans="1:5" x14ac:dyDescent="0.25">
      <c r="A456" s="1" t="s">
        <v>257</v>
      </c>
      <c r="B456" s="1" t="s">
        <v>30</v>
      </c>
      <c r="C456" s="1">
        <v>2</v>
      </c>
      <c r="D456" s="1">
        <v>0</v>
      </c>
      <c r="E456" s="1" t="s">
        <v>1508</v>
      </c>
    </row>
    <row r="457" spans="1:5" x14ac:dyDescent="0.25">
      <c r="A457" s="1" t="s">
        <v>258</v>
      </c>
      <c r="B457" s="1" t="s">
        <v>30</v>
      </c>
      <c r="C457" s="1">
        <v>2</v>
      </c>
      <c r="D457" s="1">
        <v>0</v>
      </c>
      <c r="E457" s="1" t="s">
        <v>1508</v>
      </c>
    </row>
    <row r="458" spans="1:5" x14ac:dyDescent="0.25">
      <c r="A458" s="1" t="s">
        <v>259</v>
      </c>
      <c r="B458" s="1" t="s">
        <v>30</v>
      </c>
      <c r="C458" s="1">
        <v>2</v>
      </c>
      <c r="D458" s="1">
        <v>0</v>
      </c>
      <c r="E458" s="1" t="s">
        <v>1508</v>
      </c>
    </row>
    <row r="459" spans="1:5" x14ac:dyDescent="0.25">
      <c r="A459" s="1" t="s">
        <v>260</v>
      </c>
      <c r="B459" s="1" t="s">
        <v>30</v>
      </c>
      <c r="C459" s="1">
        <v>2</v>
      </c>
      <c r="D459" s="1">
        <v>0</v>
      </c>
      <c r="E459" s="1" t="s">
        <v>1508</v>
      </c>
    </row>
    <row r="460" spans="1:5" x14ac:dyDescent="0.25">
      <c r="A460" s="1" t="s">
        <v>261</v>
      </c>
      <c r="B460" s="1" t="s">
        <v>30</v>
      </c>
      <c r="C460" s="1">
        <v>2</v>
      </c>
      <c r="D460" s="1">
        <v>0</v>
      </c>
      <c r="E460" s="1" t="s">
        <v>1508</v>
      </c>
    </row>
    <row r="461" spans="1:5" x14ac:dyDescent="0.25">
      <c r="A461" s="1" t="s">
        <v>262</v>
      </c>
      <c r="B461" s="1" t="s">
        <v>30</v>
      </c>
      <c r="C461" s="1">
        <v>2</v>
      </c>
      <c r="D461" s="1">
        <v>0</v>
      </c>
      <c r="E461" s="1" t="s">
        <v>1508</v>
      </c>
    </row>
    <row r="462" spans="1:5" x14ac:dyDescent="0.25">
      <c r="A462" s="1" t="s">
        <v>263</v>
      </c>
      <c r="B462" s="1" t="s">
        <v>27</v>
      </c>
      <c r="C462" s="1">
        <v>150</v>
      </c>
      <c r="D462" s="1">
        <v>0</v>
      </c>
      <c r="E462" s="1" t="s">
        <v>1508</v>
      </c>
    </row>
    <row r="463" spans="1:5" x14ac:dyDescent="0.25">
      <c r="A463" s="1" t="s">
        <v>1509</v>
      </c>
      <c r="B463" s="1" t="s">
        <v>30</v>
      </c>
      <c r="C463" s="1">
        <v>2</v>
      </c>
      <c r="D463" s="1">
        <v>0</v>
      </c>
      <c r="E463" s="1" t="s">
        <v>1510</v>
      </c>
    </row>
    <row r="464" spans="1:5" x14ac:dyDescent="0.25">
      <c r="A464" s="1" t="s">
        <v>1511</v>
      </c>
      <c r="B464" s="1" t="s">
        <v>30</v>
      </c>
      <c r="C464" s="1">
        <v>2</v>
      </c>
      <c r="D464" s="1">
        <v>0</v>
      </c>
      <c r="E464" s="1" t="s">
        <v>1512</v>
      </c>
    </row>
    <row r="465" spans="1:5" x14ac:dyDescent="0.25">
      <c r="A465" s="1" t="s">
        <v>1513</v>
      </c>
      <c r="B465" s="1" t="s">
        <v>30</v>
      </c>
      <c r="C465" s="1">
        <v>2</v>
      </c>
      <c r="D465" s="1">
        <v>0</v>
      </c>
      <c r="E465" s="1" t="s">
        <v>1514</v>
      </c>
    </row>
    <row r="466" spans="1:5" x14ac:dyDescent="0.25">
      <c r="A466" s="1" t="s">
        <v>1515</v>
      </c>
      <c r="B466" s="1" t="s">
        <v>30</v>
      </c>
      <c r="C466" s="1">
        <v>2</v>
      </c>
      <c r="D466" s="1">
        <v>0</v>
      </c>
      <c r="E466" s="1" t="s">
        <v>1516</v>
      </c>
    </row>
    <row r="467" spans="1:5" x14ac:dyDescent="0.25">
      <c r="A467" s="1" t="s">
        <v>1517</v>
      </c>
      <c r="B467" s="1" t="s">
        <v>30</v>
      </c>
      <c r="C467" s="1">
        <v>2</v>
      </c>
      <c r="D467" s="1">
        <v>0</v>
      </c>
      <c r="E467" s="1" t="s">
        <v>1518</v>
      </c>
    </row>
    <row r="468" spans="1:5" x14ac:dyDescent="0.25">
      <c r="A468" s="1" t="s">
        <v>1519</v>
      </c>
      <c r="B468" s="1" t="s">
        <v>30</v>
      </c>
      <c r="C468" s="1">
        <v>2</v>
      </c>
      <c r="D468" s="1">
        <v>0</v>
      </c>
      <c r="E468" s="1" t="s">
        <v>1520</v>
      </c>
    </row>
    <row r="469" spans="1:5" x14ac:dyDescent="0.25">
      <c r="A469" s="1" t="s">
        <v>122</v>
      </c>
      <c r="B469" s="1" t="s">
        <v>30</v>
      </c>
      <c r="C469" s="1">
        <v>4</v>
      </c>
      <c r="D469" s="1">
        <v>0</v>
      </c>
      <c r="E469" s="1" t="s">
        <v>1521</v>
      </c>
    </row>
    <row r="470" spans="1:5" x14ac:dyDescent="0.25">
      <c r="A470" s="1" t="s">
        <v>123</v>
      </c>
      <c r="B470" s="1" t="s">
        <v>30</v>
      </c>
      <c r="C470" s="1">
        <v>5</v>
      </c>
      <c r="D470" s="1">
        <v>0</v>
      </c>
      <c r="E470" s="1" t="s">
        <v>1522</v>
      </c>
    </row>
    <row r="471" spans="1:5" x14ac:dyDescent="0.25">
      <c r="A471" s="1" t="s">
        <v>163</v>
      </c>
      <c r="B471" s="1" t="s">
        <v>30</v>
      </c>
      <c r="C471" s="1">
        <v>4</v>
      </c>
      <c r="D471" s="1">
        <v>0</v>
      </c>
      <c r="E471" s="1" t="s">
        <v>1523</v>
      </c>
    </row>
    <row r="472" spans="1:5" x14ac:dyDescent="0.25">
      <c r="A472" s="1" t="s">
        <v>164</v>
      </c>
      <c r="B472" s="1" t="s">
        <v>30</v>
      </c>
      <c r="C472" s="1">
        <v>5</v>
      </c>
      <c r="D472" s="1">
        <v>0</v>
      </c>
      <c r="E472" s="1" t="s">
        <v>1524</v>
      </c>
    </row>
    <row r="473" spans="1:5" x14ac:dyDescent="0.25">
      <c r="A473" s="1" t="s">
        <v>200</v>
      </c>
      <c r="B473" s="1" t="s">
        <v>30</v>
      </c>
      <c r="C473" s="1">
        <v>4</v>
      </c>
      <c r="D473" s="1">
        <v>0</v>
      </c>
      <c r="E473" s="1" t="s">
        <v>1525</v>
      </c>
    </row>
    <row r="474" spans="1:5" x14ac:dyDescent="0.25">
      <c r="A474" s="1" t="s">
        <v>201</v>
      </c>
      <c r="B474" s="1" t="s">
        <v>30</v>
      </c>
      <c r="C474" s="1">
        <v>5</v>
      </c>
      <c r="D474" s="1">
        <v>0</v>
      </c>
      <c r="E474" s="1" t="s">
        <v>1526</v>
      </c>
    </row>
    <row r="475" spans="1:5" x14ac:dyDescent="0.25">
      <c r="A475" s="1" t="s">
        <v>1527</v>
      </c>
      <c r="B475" s="1" t="s">
        <v>30</v>
      </c>
      <c r="C475" s="1">
        <v>2</v>
      </c>
      <c r="D475" s="1">
        <v>0</v>
      </c>
      <c r="E475" s="1" t="s">
        <v>1528</v>
      </c>
    </row>
    <row r="476" spans="1:5" x14ac:dyDescent="0.25">
      <c r="A476" s="1" t="s">
        <v>1529</v>
      </c>
      <c r="B476" s="1" t="s">
        <v>30</v>
      </c>
      <c r="C476" s="1">
        <v>2</v>
      </c>
      <c r="D476" s="1">
        <v>0</v>
      </c>
      <c r="E476" s="1" t="s">
        <v>1530</v>
      </c>
    </row>
    <row r="477" spans="1:5" x14ac:dyDescent="0.25">
      <c r="A477" s="1" t="s">
        <v>1531</v>
      </c>
      <c r="B477" s="1" t="s">
        <v>30</v>
      </c>
      <c r="C477" s="1">
        <v>2</v>
      </c>
      <c r="D477" s="1">
        <v>0</v>
      </c>
      <c r="E477" s="1" t="s">
        <v>1532</v>
      </c>
    </row>
    <row r="478" spans="1:5" x14ac:dyDescent="0.25">
      <c r="A478" s="1" t="s">
        <v>1533</v>
      </c>
      <c r="B478" s="1" t="s">
        <v>30</v>
      </c>
      <c r="C478" s="1">
        <v>2</v>
      </c>
      <c r="D478" s="1">
        <v>0</v>
      </c>
      <c r="E478" s="1" t="s">
        <v>1534</v>
      </c>
    </row>
    <row r="479" spans="1:5" x14ac:dyDescent="0.25">
      <c r="A479" s="1" t="s">
        <v>1535</v>
      </c>
      <c r="B479" s="1" t="s">
        <v>30</v>
      </c>
      <c r="C479" s="1">
        <v>2</v>
      </c>
      <c r="D479" s="1">
        <v>0</v>
      </c>
      <c r="E479" s="1" t="s">
        <v>1536</v>
      </c>
    </row>
    <row r="480" spans="1:5" x14ac:dyDescent="0.25">
      <c r="A480" s="1" t="s">
        <v>1537</v>
      </c>
      <c r="B480" s="1" t="s">
        <v>30</v>
      </c>
      <c r="C480" s="1">
        <v>2</v>
      </c>
      <c r="D480" s="1">
        <v>0</v>
      </c>
      <c r="E480" s="1" t="s">
        <v>1538</v>
      </c>
    </row>
    <row r="481" spans="1:5" x14ac:dyDescent="0.25">
      <c r="A481" s="1" t="s">
        <v>1539</v>
      </c>
      <c r="B481" s="1" t="s">
        <v>30</v>
      </c>
      <c r="C481" s="1">
        <v>2</v>
      </c>
      <c r="D481" s="1">
        <v>0</v>
      </c>
      <c r="E481" s="1" t="s">
        <v>1540</v>
      </c>
    </row>
    <row r="482" spans="1:5" x14ac:dyDescent="0.25">
      <c r="A482" s="1" t="s">
        <v>1541</v>
      </c>
      <c r="B482" s="1" t="s">
        <v>30</v>
      </c>
      <c r="C482" s="1">
        <v>2</v>
      </c>
      <c r="D482" s="1">
        <v>0</v>
      </c>
      <c r="E482" s="1" t="s">
        <v>1542</v>
      </c>
    </row>
    <row r="483" spans="1:5" x14ac:dyDescent="0.25">
      <c r="A483" s="1" t="s">
        <v>1543</v>
      </c>
      <c r="B483" s="1" t="s">
        <v>30</v>
      </c>
      <c r="C483" s="1">
        <v>2</v>
      </c>
      <c r="D483" s="1">
        <v>0</v>
      </c>
      <c r="E483" s="1" t="s">
        <v>1544</v>
      </c>
    </row>
    <row r="484" spans="1:5" x14ac:dyDescent="0.25">
      <c r="A484" s="1" t="s">
        <v>1545</v>
      </c>
      <c r="B484" s="1" t="s">
        <v>30</v>
      </c>
      <c r="C484" s="1">
        <v>2</v>
      </c>
      <c r="D484" s="1">
        <v>0</v>
      </c>
      <c r="E484" s="1" t="s">
        <v>1546</v>
      </c>
    </row>
    <row r="485" spans="1:5" x14ac:dyDescent="0.25">
      <c r="A485" s="1" t="s">
        <v>1547</v>
      </c>
      <c r="B485" s="1" t="s">
        <v>30</v>
      </c>
      <c r="C485" s="1">
        <v>2</v>
      </c>
      <c r="D485" s="1">
        <v>0</v>
      </c>
      <c r="E485" s="1" t="s">
        <v>1548</v>
      </c>
    </row>
    <row r="486" spans="1:5" x14ac:dyDescent="0.25">
      <c r="A486" s="1" t="s">
        <v>1549</v>
      </c>
      <c r="B486" s="1" t="s">
        <v>30</v>
      </c>
      <c r="C486" s="1">
        <v>2</v>
      </c>
      <c r="D486" s="1">
        <v>0</v>
      </c>
      <c r="E486" s="1" t="s">
        <v>1550</v>
      </c>
    </row>
    <row r="487" spans="1:5" x14ac:dyDescent="0.25">
      <c r="A487" s="1" t="s">
        <v>1551</v>
      </c>
      <c r="B487" s="1" t="s">
        <v>30</v>
      </c>
      <c r="C487" s="1">
        <v>2</v>
      </c>
      <c r="D487" s="1">
        <v>0</v>
      </c>
      <c r="E487" s="1" t="s">
        <v>1552</v>
      </c>
    </row>
    <row r="488" spans="1:5" x14ac:dyDescent="0.25">
      <c r="A488" s="1" t="s">
        <v>1553</v>
      </c>
      <c r="B488" s="1" t="s">
        <v>30</v>
      </c>
      <c r="C488" s="1">
        <v>2</v>
      </c>
      <c r="D488" s="1">
        <v>0</v>
      </c>
      <c r="E488" s="1" t="s">
        <v>1554</v>
      </c>
    </row>
    <row r="489" spans="1:5" x14ac:dyDescent="0.25">
      <c r="A489" s="1" t="s">
        <v>1555</v>
      </c>
      <c r="B489" s="1" t="s">
        <v>30</v>
      </c>
      <c r="C489" s="1">
        <v>2</v>
      </c>
      <c r="D489" s="1">
        <v>0</v>
      </c>
      <c r="E489" s="1" t="s">
        <v>1556</v>
      </c>
    </row>
    <row r="490" spans="1:5" x14ac:dyDescent="0.25">
      <c r="A490" s="1" t="s">
        <v>1557</v>
      </c>
      <c r="B490" s="1" t="s">
        <v>30</v>
      </c>
      <c r="C490" s="1">
        <v>14</v>
      </c>
      <c r="D490" s="1">
        <v>0</v>
      </c>
      <c r="E490" s="1" t="s">
        <v>1558</v>
      </c>
    </row>
    <row r="491" spans="1:5" x14ac:dyDescent="0.25">
      <c r="A491" s="1" t="s">
        <v>1559</v>
      </c>
      <c r="B491" s="1" t="s">
        <v>30</v>
      </c>
      <c r="C491" s="1">
        <v>2</v>
      </c>
      <c r="D491" s="1">
        <v>0</v>
      </c>
      <c r="E491" s="1" t="s">
        <v>1560</v>
      </c>
    </row>
    <row r="492" spans="1:5" x14ac:dyDescent="0.25">
      <c r="A492" s="1" t="s">
        <v>1561</v>
      </c>
      <c r="B492" s="1" t="s">
        <v>30</v>
      </c>
      <c r="C492" s="1">
        <v>2</v>
      </c>
      <c r="D492" s="1">
        <v>0</v>
      </c>
      <c r="E492" s="1" t="s">
        <v>1562</v>
      </c>
    </row>
    <row r="493" spans="1:5" x14ac:dyDescent="0.25">
      <c r="A493" s="1" t="s">
        <v>1563</v>
      </c>
      <c r="B493" s="1" t="s">
        <v>30</v>
      </c>
      <c r="C493" s="1">
        <v>2</v>
      </c>
      <c r="D493" s="1">
        <v>0</v>
      </c>
      <c r="E493" s="1" t="s">
        <v>1564</v>
      </c>
    </row>
    <row r="494" spans="1:5" x14ac:dyDescent="0.25">
      <c r="A494" s="1" t="s">
        <v>1565</v>
      </c>
      <c r="B494" s="1" t="s">
        <v>30</v>
      </c>
      <c r="C494" s="1">
        <v>2</v>
      </c>
      <c r="D494" s="1">
        <v>0</v>
      </c>
      <c r="E494" s="1" t="s">
        <v>1566</v>
      </c>
    </row>
    <row r="495" spans="1:5" x14ac:dyDescent="0.25">
      <c r="A495" s="1" t="s">
        <v>1567</v>
      </c>
      <c r="B495" s="1" t="s">
        <v>30</v>
      </c>
      <c r="C495" s="1">
        <v>2</v>
      </c>
      <c r="D495" s="1">
        <v>0</v>
      </c>
      <c r="E495" s="1" t="s">
        <v>1568</v>
      </c>
    </row>
    <row r="496" spans="1:5" x14ac:dyDescent="0.25">
      <c r="A496" s="1" t="s">
        <v>1569</v>
      </c>
      <c r="B496" s="1" t="s">
        <v>30</v>
      </c>
      <c r="C496" s="1">
        <v>2</v>
      </c>
      <c r="D496" s="1">
        <v>0</v>
      </c>
      <c r="E496" s="1" t="s">
        <v>1570</v>
      </c>
    </row>
    <row r="497" spans="1:5" x14ac:dyDescent="0.25">
      <c r="A497" s="1" t="s">
        <v>1571</v>
      </c>
      <c r="B497" s="1" t="s">
        <v>30</v>
      </c>
      <c r="C497" s="1">
        <v>2</v>
      </c>
      <c r="D497" s="1">
        <v>0</v>
      </c>
      <c r="E497" s="1" t="s">
        <v>1572</v>
      </c>
    </row>
    <row r="498" spans="1:5" x14ac:dyDescent="0.25">
      <c r="A498" s="1" t="s">
        <v>1573</v>
      </c>
      <c r="B498" s="1" t="s">
        <v>30</v>
      </c>
      <c r="C498" s="1">
        <v>2</v>
      </c>
      <c r="D498" s="1">
        <v>0</v>
      </c>
      <c r="E498" s="1" t="s">
        <v>1574</v>
      </c>
    </row>
    <row r="499" spans="1:5" x14ac:dyDescent="0.25">
      <c r="A499" s="1" t="s">
        <v>1575</v>
      </c>
      <c r="B499" s="1" t="s">
        <v>30</v>
      </c>
      <c r="C499" s="1">
        <v>2</v>
      </c>
      <c r="D499" s="1">
        <v>0</v>
      </c>
      <c r="E499" s="1" t="s">
        <v>1574</v>
      </c>
    </row>
    <row r="500" spans="1:5" x14ac:dyDescent="0.25">
      <c r="A500" s="1" t="s">
        <v>1576</v>
      </c>
      <c r="B500" s="1" t="s">
        <v>30</v>
      </c>
      <c r="C500" s="1">
        <v>2</v>
      </c>
      <c r="D500" s="1">
        <v>0</v>
      </c>
      <c r="E500" s="1" t="s">
        <v>1574</v>
      </c>
    </row>
    <row r="501" spans="1:5" x14ac:dyDescent="0.25">
      <c r="A501" s="1" t="s">
        <v>1577</v>
      </c>
      <c r="B501" s="1" t="s">
        <v>30</v>
      </c>
      <c r="C501" s="1">
        <v>2</v>
      </c>
      <c r="D501" s="1">
        <v>0</v>
      </c>
      <c r="E501" s="1" t="s">
        <v>1574</v>
      </c>
    </row>
    <row r="502" spans="1:5" x14ac:dyDescent="0.25">
      <c r="A502" s="1" t="s">
        <v>1578</v>
      </c>
      <c r="B502" s="1" t="s">
        <v>30</v>
      </c>
      <c r="C502" s="1">
        <v>2</v>
      </c>
      <c r="D502" s="1">
        <v>0</v>
      </c>
      <c r="E502" s="1" t="s">
        <v>1574</v>
      </c>
    </row>
    <row r="503" spans="1:5" x14ac:dyDescent="0.25">
      <c r="A503" s="1" t="s">
        <v>1579</v>
      </c>
      <c r="B503" s="1" t="s">
        <v>30</v>
      </c>
      <c r="C503" s="1">
        <v>2</v>
      </c>
      <c r="D503" s="1">
        <v>0</v>
      </c>
      <c r="E503" s="1" t="s">
        <v>1574</v>
      </c>
    </row>
    <row r="504" spans="1:5" x14ac:dyDescent="0.25">
      <c r="A504" s="1" t="s">
        <v>1580</v>
      </c>
      <c r="B504" s="1" t="s">
        <v>30</v>
      </c>
      <c r="C504" s="1">
        <v>2</v>
      </c>
      <c r="D504" s="1">
        <v>0</v>
      </c>
      <c r="E504" s="1" t="s">
        <v>1574</v>
      </c>
    </row>
    <row r="505" spans="1:5" x14ac:dyDescent="0.25">
      <c r="A505" s="1" t="s">
        <v>1581</v>
      </c>
      <c r="B505" s="1" t="s">
        <v>30</v>
      </c>
      <c r="C505" s="1">
        <v>2</v>
      </c>
      <c r="D505" s="1">
        <v>0</v>
      </c>
      <c r="E505" s="1" t="s">
        <v>1574</v>
      </c>
    </row>
    <row r="506" spans="1:5" x14ac:dyDescent="0.25">
      <c r="A506" s="1" t="s">
        <v>1582</v>
      </c>
      <c r="B506" s="1" t="s">
        <v>30</v>
      </c>
      <c r="C506" s="1">
        <v>2</v>
      </c>
      <c r="D506" s="1">
        <v>0</v>
      </c>
      <c r="E506" s="1" t="s">
        <v>1574</v>
      </c>
    </row>
    <row r="507" spans="1:5" x14ac:dyDescent="0.25">
      <c r="A507" s="1" t="s">
        <v>1583</v>
      </c>
      <c r="B507" s="1" t="s">
        <v>30</v>
      </c>
      <c r="C507" s="1">
        <v>2</v>
      </c>
      <c r="D507" s="1">
        <v>0</v>
      </c>
      <c r="E507" s="1" t="s">
        <v>1574</v>
      </c>
    </row>
    <row r="508" spans="1:5" x14ac:dyDescent="0.25">
      <c r="A508" s="1" t="s">
        <v>1584</v>
      </c>
      <c r="B508" s="1" t="s">
        <v>30</v>
      </c>
      <c r="C508" s="1">
        <v>2</v>
      </c>
      <c r="D508" s="1">
        <v>0</v>
      </c>
      <c r="E508" s="1" t="s">
        <v>1574</v>
      </c>
    </row>
    <row r="509" spans="1:5" x14ac:dyDescent="0.25">
      <c r="A509" s="1" t="s">
        <v>1585</v>
      </c>
      <c r="B509" s="1" t="s">
        <v>30</v>
      </c>
      <c r="C509" s="1">
        <v>2</v>
      </c>
      <c r="D509" s="1">
        <v>0</v>
      </c>
      <c r="E509" s="1" t="s">
        <v>1574</v>
      </c>
    </row>
    <row r="510" spans="1:5" x14ac:dyDescent="0.25">
      <c r="A510" s="1" t="s">
        <v>1586</v>
      </c>
      <c r="B510" s="1" t="s">
        <v>30</v>
      </c>
      <c r="C510" s="1">
        <v>2</v>
      </c>
      <c r="D510" s="1">
        <v>0</v>
      </c>
      <c r="E510" s="1" t="s">
        <v>1574</v>
      </c>
    </row>
    <row r="511" spans="1:5" x14ac:dyDescent="0.25">
      <c r="A511" s="1" t="s">
        <v>1587</v>
      </c>
      <c r="B511" s="1" t="s">
        <v>30</v>
      </c>
      <c r="C511" s="1">
        <v>2</v>
      </c>
      <c r="D511" s="1">
        <v>0</v>
      </c>
      <c r="E511" s="1" t="s">
        <v>1574</v>
      </c>
    </row>
    <row r="512" spans="1:5" x14ac:dyDescent="0.25">
      <c r="A512" s="1" t="s">
        <v>1588</v>
      </c>
      <c r="B512" s="1" t="s">
        <v>30</v>
      </c>
      <c r="C512" s="1">
        <v>2</v>
      </c>
      <c r="D512" s="1">
        <v>0</v>
      </c>
      <c r="E512" s="1" t="s">
        <v>1574</v>
      </c>
    </row>
    <row r="513" spans="1:5" x14ac:dyDescent="0.25">
      <c r="A513" s="1" t="s">
        <v>1589</v>
      </c>
      <c r="B513" s="1" t="s">
        <v>27</v>
      </c>
      <c r="C513" s="1">
        <v>150</v>
      </c>
      <c r="D513" s="1">
        <v>0</v>
      </c>
      <c r="E513" s="1" t="s">
        <v>1574</v>
      </c>
    </row>
    <row r="514" spans="1:5" x14ac:dyDescent="0.25">
      <c r="A514" s="1" t="s">
        <v>872</v>
      </c>
      <c r="B514" s="1" t="s">
        <v>30</v>
      </c>
      <c r="C514" s="1">
        <v>6</v>
      </c>
      <c r="D514" s="1">
        <v>0</v>
      </c>
      <c r="E514" s="1" t="s">
        <v>1590</v>
      </c>
    </row>
    <row r="515" spans="1:5" x14ac:dyDescent="0.25">
      <c r="A515" s="1" t="s">
        <v>1591</v>
      </c>
      <c r="B515" s="1" t="s">
        <v>30</v>
      </c>
      <c r="C515" s="1">
        <v>2</v>
      </c>
      <c r="D515" s="1">
        <v>0</v>
      </c>
      <c r="E515" s="1" t="s">
        <v>1592</v>
      </c>
    </row>
    <row r="516" spans="1:5" x14ac:dyDescent="0.25">
      <c r="A516" s="1" t="s">
        <v>1593</v>
      </c>
      <c r="B516" s="1" t="s">
        <v>30</v>
      </c>
      <c r="C516" s="1">
        <v>2</v>
      </c>
      <c r="D516" s="1">
        <v>0</v>
      </c>
      <c r="E516" s="1" t="s">
        <v>1594</v>
      </c>
    </row>
    <row r="517" spans="1:5" x14ac:dyDescent="0.25">
      <c r="A517" s="1" t="s">
        <v>1595</v>
      </c>
      <c r="B517" s="1" t="s">
        <v>30</v>
      </c>
      <c r="C517" s="1">
        <v>2</v>
      </c>
      <c r="D517" s="1">
        <v>0</v>
      </c>
      <c r="E517" s="1" t="s">
        <v>1596</v>
      </c>
    </row>
    <row r="518" spans="1:5" x14ac:dyDescent="0.25">
      <c r="A518" s="1" t="s">
        <v>1597</v>
      </c>
      <c r="B518" s="1" t="s">
        <v>30</v>
      </c>
      <c r="C518" s="1">
        <v>2</v>
      </c>
      <c r="D518" s="1">
        <v>0</v>
      </c>
      <c r="E518" s="1" t="s">
        <v>1598</v>
      </c>
    </row>
    <row r="519" spans="1:5" x14ac:dyDescent="0.25">
      <c r="A519" s="1" t="s">
        <v>1599</v>
      </c>
      <c r="B519" s="1" t="s">
        <v>30</v>
      </c>
      <c r="C519" s="1">
        <v>2</v>
      </c>
      <c r="D519" s="1">
        <v>0</v>
      </c>
      <c r="E519" s="1" t="s">
        <v>1600</v>
      </c>
    </row>
    <row r="520" spans="1:5" x14ac:dyDescent="0.25">
      <c r="A520" s="1" t="s">
        <v>1601</v>
      </c>
      <c r="B520" s="1" t="s">
        <v>30</v>
      </c>
      <c r="C520" s="1">
        <v>2</v>
      </c>
      <c r="D520" s="1">
        <v>0</v>
      </c>
      <c r="E520" s="1" t="s">
        <v>1602</v>
      </c>
    </row>
    <row r="521" spans="1:5" x14ac:dyDescent="0.25">
      <c r="A521" s="1" t="s">
        <v>1603</v>
      </c>
      <c r="B521" s="1" t="s">
        <v>30</v>
      </c>
      <c r="C521" s="1">
        <v>2</v>
      </c>
      <c r="D521" s="1">
        <v>0</v>
      </c>
      <c r="E521" s="1" t="s">
        <v>1604</v>
      </c>
    </row>
    <row r="522" spans="1:5" x14ac:dyDescent="0.25">
      <c r="A522" s="1" t="s">
        <v>1605</v>
      </c>
      <c r="B522" s="1" t="s">
        <v>30</v>
      </c>
      <c r="C522" s="1">
        <v>2</v>
      </c>
      <c r="D522" s="1">
        <v>0</v>
      </c>
      <c r="E522" s="1" t="s">
        <v>1606</v>
      </c>
    </row>
    <row r="523" spans="1:5" x14ac:dyDescent="0.25">
      <c r="A523" s="1" t="s">
        <v>1607</v>
      </c>
      <c r="B523" s="1" t="s">
        <v>30</v>
      </c>
      <c r="C523" s="1">
        <v>2</v>
      </c>
      <c r="D523" s="1">
        <v>0</v>
      </c>
      <c r="E523" s="1" t="s">
        <v>1608</v>
      </c>
    </row>
    <row r="524" spans="1:5" x14ac:dyDescent="0.25">
      <c r="A524" s="1" t="s">
        <v>1609</v>
      </c>
      <c r="B524" s="1" t="s">
        <v>30</v>
      </c>
      <c r="C524" s="1">
        <v>2</v>
      </c>
      <c r="D524" s="1">
        <v>0</v>
      </c>
      <c r="E524" s="1" t="s">
        <v>1610</v>
      </c>
    </row>
    <row r="525" spans="1:5" x14ac:dyDescent="0.25">
      <c r="A525" s="1" t="s">
        <v>1611</v>
      </c>
      <c r="B525" s="1" t="s">
        <v>30</v>
      </c>
      <c r="C525" s="1">
        <v>2</v>
      </c>
      <c r="D525" s="1">
        <v>0</v>
      </c>
      <c r="E525" s="1" t="s">
        <v>1612</v>
      </c>
    </row>
    <row r="526" spans="1:5" x14ac:dyDescent="0.25">
      <c r="A526" s="1" t="s">
        <v>1613</v>
      </c>
      <c r="B526" s="1" t="s">
        <v>30</v>
      </c>
      <c r="C526" s="1">
        <v>2</v>
      </c>
      <c r="D526" s="1">
        <v>0</v>
      </c>
      <c r="E526" s="1" t="s">
        <v>1614</v>
      </c>
    </row>
    <row r="527" spans="1:5" x14ac:dyDescent="0.25">
      <c r="A527" s="1" t="s">
        <v>1615</v>
      </c>
      <c r="B527" s="1" t="s">
        <v>27</v>
      </c>
      <c r="C527" s="1">
        <v>150</v>
      </c>
      <c r="D527" s="1">
        <v>0</v>
      </c>
      <c r="E527" s="1" t="s">
        <v>1614</v>
      </c>
    </row>
    <row r="528" spans="1:5" x14ac:dyDescent="0.25">
      <c r="A528" s="1" t="s">
        <v>1616</v>
      </c>
      <c r="B528" s="1" t="s">
        <v>30</v>
      </c>
      <c r="C528" s="1">
        <v>2</v>
      </c>
      <c r="D528" s="1">
        <v>0</v>
      </c>
      <c r="E528" s="1" t="s">
        <v>1617</v>
      </c>
    </row>
    <row r="529" spans="1:5" x14ac:dyDescent="0.25">
      <c r="A529" s="1" t="s">
        <v>1618</v>
      </c>
      <c r="B529" s="1" t="s">
        <v>30</v>
      </c>
      <c r="C529" s="1">
        <v>2</v>
      </c>
      <c r="D529" s="1">
        <v>0</v>
      </c>
      <c r="E529" s="1" t="s">
        <v>1619</v>
      </c>
    </row>
    <row r="530" spans="1:5" x14ac:dyDescent="0.25">
      <c r="A530" s="1" t="s">
        <v>1620</v>
      </c>
      <c r="B530" s="1" t="s">
        <v>30</v>
      </c>
      <c r="C530" s="1">
        <v>2</v>
      </c>
      <c r="D530" s="1">
        <v>0</v>
      </c>
      <c r="E530" s="1" t="s">
        <v>1621</v>
      </c>
    </row>
    <row r="531" spans="1:5" x14ac:dyDescent="0.25">
      <c r="A531" s="1" t="s">
        <v>1622</v>
      </c>
      <c r="B531" s="1" t="s">
        <v>30</v>
      </c>
      <c r="C531" s="1">
        <v>2</v>
      </c>
      <c r="D531" s="1">
        <v>0</v>
      </c>
      <c r="E531" s="1" t="s">
        <v>1623</v>
      </c>
    </row>
    <row r="532" spans="1:5" x14ac:dyDescent="0.25">
      <c r="A532" s="1" t="s">
        <v>1624</v>
      </c>
      <c r="B532" s="1" t="s">
        <v>30</v>
      </c>
      <c r="C532" s="1">
        <v>2</v>
      </c>
      <c r="D532" s="1">
        <v>0</v>
      </c>
      <c r="E532" s="1" t="s">
        <v>1625</v>
      </c>
    </row>
    <row r="533" spans="1:5" x14ac:dyDescent="0.25">
      <c r="A533" s="1" t="s">
        <v>1626</v>
      </c>
      <c r="B533" s="1" t="s">
        <v>30</v>
      </c>
      <c r="C533" s="1">
        <v>2</v>
      </c>
      <c r="D533" s="1">
        <v>0</v>
      </c>
      <c r="E533" s="1" t="s">
        <v>1627</v>
      </c>
    </row>
    <row r="534" spans="1:5" x14ac:dyDescent="0.25">
      <c r="A534" s="1" t="s">
        <v>1628</v>
      </c>
      <c r="B534" s="1" t="s">
        <v>30</v>
      </c>
      <c r="C534" s="1">
        <v>2</v>
      </c>
      <c r="D534" s="1">
        <v>0</v>
      </c>
      <c r="E534" s="1" t="s">
        <v>1629</v>
      </c>
    </row>
    <row r="535" spans="1:5" x14ac:dyDescent="0.25">
      <c r="A535" s="1" t="s">
        <v>1630</v>
      </c>
      <c r="B535" s="1" t="s">
        <v>30</v>
      </c>
      <c r="C535" s="1">
        <v>2</v>
      </c>
      <c r="D535" s="1">
        <v>0</v>
      </c>
      <c r="E535" s="1" t="s">
        <v>1631</v>
      </c>
    </row>
    <row r="536" spans="1:5" x14ac:dyDescent="0.25">
      <c r="A536" s="1" t="s">
        <v>1632</v>
      </c>
      <c r="B536" s="1" t="s">
        <v>30</v>
      </c>
      <c r="C536" s="1">
        <v>2</v>
      </c>
      <c r="D536" s="1">
        <v>0</v>
      </c>
      <c r="E536" s="1" t="s">
        <v>1633</v>
      </c>
    </row>
    <row r="537" spans="1:5" x14ac:dyDescent="0.25">
      <c r="A537" s="1" t="s">
        <v>1634</v>
      </c>
      <c r="B537" s="1" t="s">
        <v>30</v>
      </c>
      <c r="C537" s="1">
        <v>2</v>
      </c>
      <c r="D537" s="1">
        <v>0</v>
      </c>
      <c r="E537" s="1" t="s">
        <v>1635</v>
      </c>
    </row>
    <row r="538" spans="1:5" x14ac:dyDescent="0.25">
      <c r="A538" s="1" t="s">
        <v>1636</v>
      </c>
      <c r="B538" s="1" t="s">
        <v>30</v>
      </c>
      <c r="C538" s="1">
        <v>2</v>
      </c>
      <c r="D538" s="1">
        <v>0</v>
      </c>
      <c r="E538" s="1" t="s">
        <v>1637</v>
      </c>
    </row>
    <row r="539" spans="1:5" x14ac:dyDescent="0.25">
      <c r="A539" s="1" t="s">
        <v>1638</v>
      </c>
      <c r="B539" s="1" t="s">
        <v>30</v>
      </c>
      <c r="C539" s="1">
        <v>2</v>
      </c>
      <c r="D539" s="1">
        <v>0</v>
      </c>
      <c r="E539" s="1" t="s">
        <v>1639</v>
      </c>
    </row>
    <row r="540" spans="1:5" x14ac:dyDescent="0.25">
      <c r="A540" s="1" t="s">
        <v>1640</v>
      </c>
      <c r="B540" s="1" t="s">
        <v>27</v>
      </c>
      <c r="C540" s="1">
        <v>150</v>
      </c>
      <c r="D540" s="1">
        <v>0</v>
      </c>
      <c r="E540" s="1" t="s">
        <v>1635</v>
      </c>
    </row>
    <row r="541" spans="1:5" x14ac:dyDescent="0.25">
      <c r="A541" s="1" t="s">
        <v>1641</v>
      </c>
      <c r="B541" s="1" t="s">
        <v>30</v>
      </c>
      <c r="C541" s="1">
        <v>2</v>
      </c>
      <c r="D541" s="1">
        <v>0</v>
      </c>
      <c r="E541" s="1" t="s">
        <v>1642</v>
      </c>
    </row>
    <row r="542" spans="1:5" x14ac:dyDescent="0.25">
      <c r="A542" s="1" t="s">
        <v>1643</v>
      </c>
      <c r="B542" s="1" t="s">
        <v>30</v>
      </c>
      <c r="C542" s="1">
        <v>2</v>
      </c>
      <c r="D542" s="1">
        <v>0</v>
      </c>
      <c r="E542" s="1" t="s">
        <v>1644</v>
      </c>
    </row>
    <row r="543" spans="1:5" x14ac:dyDescent="0.25">
      <c r="A543" s="1" t="s">
        <v>1645</v>
      </c>
      <c r="B543" s="1" t="s">
        <v>30</v>
      </c>
      <c r="C543" s="1">
        <v>2</v>
      </c>
      <c r="D543" s="1">
        <v>0</v>
      </c>
      <c r="E543" s="1" t="s">
        <v>1646</v>
      </c>
    </row>
    <row r="544" spans="1:5" x14ac:dyDescent="0.25">
      <c r="A544" s="1" t="s">
        <v>1647</v>
      </c>
      <c r="B544" s="1" t="s">
        <v>30</v>
      </c>
      <c r="C544" s="1">
        <v>2</v>
      </c>
      <c r="D544" s="1">
        <v>0</v>
      </c>
      <c r="E544" s="1" t="s">
        <v>1648</v>
      </c>
    </row>
    <row r="545" spans="1:5" x14ac:dyDescent="0.25">
      <c r="A545" s="1" t="s">
        <v>1649</v>
      </c>
      <c r="B545" s="1" t="s">
        <v>30</v>
      </c>
      <c r="C545" s="1">
        <v>2</v>
      </c>
      <c r="D545" s="1">
        <v>0</v>
      </c>
      <c r="E545" s="1" t="s">
        <v>1650</v>
      </c>
    </row>
    <row r="546" spans="1:5" x14ac:dyDescent="0.25">
      <c r="A546" s="1" t="s">
        <v>1651</v>
      </c>
      <c r="B546" s="1" t="s">
        <v>30</v>
      </c>
      <c r="C546" s="1">
        <v>2</v>
      </c>
      <c r="D546" s="1">
        <v>0</v>
      </c>
      <c r="E546" s="1" t="s">
        <v>1652</v>
      </c>
    </row>
    <row r="547" spans="1:5" x14ac:dyDescent="0.25">
      <c r="A547" s="1" t="s">
        <v>1653</v>
      </c>
      <c r="B547" s="1" t="s">
        <v>30</v>
      </c>
      <c r="C547" s="1">
        <v>2</v>
      </c>
      <c r="D547" s="1">
        <v>0</v>
      </c>
      <c r="E547" s="1" t="s">
        <v>1654</v>
      </c>
    </row>
    <row r="548" spans="1:5" x14ac:dyDescent="0.25">
      <c r="A548" s="1" t="s">
        <v>1655</v>
      </c>
      <c r="B548" s="1" t="s">
        <v>30</v>
      </c>
      <c r="C548" s="1">
        <v>2</v>
      </c>
      <c r="D548" s="1">
        <v>0</v>
      </c>
      <c r="E548" s="1" t="s">
        <v>1656</v>
      </c>
    </row>
    <row r="549" spans="1:5" x14ac:dyDescent="0.25">
      <c r="A549" s="1" t="s">
        <v>1657</v>
      </c>
      <c r="B549" s="1" t="s">
        <v>30</v>
      </c>
      <c r="C549" s="1">
        <v>2</v>
      </c>
      <c r="D549" s="1">
        <v>0</v>
      </c>
      <c r="E549" s="1" t="s">
        <v>1658</v>
      </c>
    </row>
    <row r="550" spans="1:5" x14ac:dyDescent="0.25">
      <c r="A550" s="1" t="s">
        <v>1659</v>
      </c>
      <c r="B550" s="1" t="s">
        <v>30</v>
      </c>
      <c r="C550" s="1">
        <v>2</v>
      </c>
      <c r="D550" s="1">
        <v>0</v>
      </c>
      <c r="E550" s="1" t="s">
        <v>1660</v>
      </c>
    </row>
    <row r="551" spans="1:5" x14ac:dyDescent="0.25">
      <c r="A551" s="1" t="s">
        <v>1661</v>
      </c>
      <c r="B551" s="1" t="s">
        <v>30</v>
      </c>
      <c r="C551" s="1">
        <v>2</v>
      </c>
      <c r="D551" s="1">
        <v>0</v>
      </c>
      <c r="E551" s="1" t="s">
        <v>1662</v>
      </c>
    </row>
    <row r="552" spans="1:5" x14ac:dyDescent="0.25">
      <c r="A552" s="1" t="s">
        <v>1663</v>
      </c>
      <c r="B552" s="1" t="s">
        <v>30</v>
      </c>
      <c r="C552" s="1">
        <v>2</v>
      </c>
      <c r="D552" s="1">
        <v>0</v>
      </c>
      <c r="E552" s="1" t="s">
        <v>1664</v>
      </c>
    </row>
    <row r="553" spans="1:5" x14ac:dyDescent="0.25">
      <c r="A553" s="1" t="s">
        <v>1665</v>
      </c>
      <c r="B553" s="1" t="s">
        <v>27</v>
      </c>
      <c r="C553" s="1">
        <v>150</v>
      </c>
      <c r="D553" s="1">
        <v>0</v>
      </c>
      <c r="E553" s="1" t="s">
        <v>1658</v>
      </c>
    </row>
    <row r="554" spans="1:5" x14ac:dyDescent="0.25">
      <c r="A554" s="1" t="s">
        <v>1666</v>
      </c>
      <c r="B554" s="1" t="s">
        <v>30</v>
      </c>
      <c r="C554" s="1">
        <v>2</v>
      </c>
      <c r="D554" s="1">
        <v>0</v>
      </c>
      <c r="E554" s="1" t="s">
        <v>1667</v>
      </c>
    </row>
    <row r="555" spans="1:5" x14ac:dyDescent="0.25">
      <c r="A555" s="1" t="s">
        <v>1668</v>
      </c>
      <c r="B555" s="1" t="s">
        <v>30</v>
      </c>
      <c r="C555" s="1">
        <v>2</v>
      </c>
      <c r="D555" s="1">
        <v>0</v>
      </c>
      <c r="E555" s="1" t="s">
        <v>1669</v>
      </c>
    </row>
    <row r="556" spans="1:5" x14ac:dyDescent="0.25">
      <c r="A556" s="1" t="s">
        <v>1670</v>
      </c>
      <c r="B556" s="1" t="s">
        <v>30</v>
      </c>
      <c r="C556" s="1">
        <v>2</v>
      </c>
      <c r="D556" s="1">
        <v>0</v>
      </c>
      <c r="E556" s="1" t="s">
        <v>1671</v>
      </c>
    </row>
    <row r="557" spans="1:5" x14ac:dyDescent="0.25">
      <c r="A557" s="1" t="s">
        <v>1672</v>
      </c>
      <c r="B557" s="1" t="s">
        <v>30</v>
      </c>
      <c r="C557" s="1">
        <v>2</v>
      </c>
      <c r="D557" s="1">
        <v>0</v>
      </c>
      <c r="E557" s="1" t="s">
        <v>1673</v>
      </c>
    </row>
    <row r="558" spans="1:5" x14ac:dyDescent="0.25">
      <c r="A558" s="1" t="s">
        <v>1674</v>
      </c>
      <c r="B558" s="1" t="s">
        <v>30</v>
      </c>
      <c r="C558" s="1">
        <v>2</v>
      </c>
      <c r="D558" s="1">
        <v>0</v>
      </c>
      <c r="E558" s="1" t="s">
        <v>1675</v>
      </c>
    </row>
    <row r="559" spans="1:5" x14ac:dyDescent="0.25">
      <c r="A559" s="1" t="s">
        <v>1676</v>
      </c>
      <c r="B559" s="1" t="s">
        <v>30</v>
      </c>
      <c r="C559" s="1">
        <v>2</v>
      </c>
      <c r="D559" s="1">
        <v>0</v>
      </c>
      <c r="E559" s="1" t="s">
        <v>1677</v>
      </c>
    </row>
    <row r="560" spans="1:5" x14ac:dyDescent="0.25">
      <c r="A560" s="1" t="s">
        <v>1678</v>
      </c>
      <c r="B560" s="1" t="s">
        <v>30</v>
      </c>
      <c r="C560" s="1">
        <v>2</v>
      </c>
      <c r="D560" s="1">
        <v>0</v>
      </c>
      <c r="E560" s="1" t="s">
        <v>1679</v>
      </c>
    </row>
    <row r="561" spans="1:5" x14ac:dyDescent="0.25">
      <c r="A561" s="1" t="s">
        <v>1680</v>
      </c>
      <c r="B561" s="1" t="s">
        <v>30</v>
      </c>
      <c r="C561" s="1">
        <v>2</v>
      </c>
      <c r="D561" s="1">
        <v>0</v>
      </c>
      <c r="E561" s="1" t="s">
        <v>1681</v>
      </c>
    </row>
    <row r="562" spans="1:5" x14ac:dyDescent="0.25">
      <c r="A562" s="1" t="s">
        <v>1682</v>
      </c>
      <c r="B562" s="1" t="s">
        <v>30</v>
      </c>
      <c r="C562" s="1">
        <v>2</v>
      </c>
      <c r="D562" s="1">
        <v>0</v>
      </c>
      <c r="E562" s="1" t="s">
        <v>1683</v>
      </c>
    </row>
    <row r="563" spans="1:5" x14ac:dyDescent="0.25">
      <c r="A563" s="1" t="s">
        <v>1684</v>
      </c>
      <c r="B563" s="1" t="s">
        <v>30</v>
      </c>
      <c r="C563" s="1">
        <v>2</v>
      </c>
      <c r="D563" s="1">
        <v>0</v>
      </c>
      <c r="E563" s="1" t="s">
        <v>1685</v>
      </c>
    </row>
    <row r="564" spans="1:5" x14ac:dyDescent="0.25">
      <c r="A564" s="1" t="s">
        <v>1686</v>
      </c>
      <c r="B564" s="1" t="s">
        <v>27</v>
      </c>
      <c r="C564" s="1">
        <v>150</v>
      </c>
      <c r="D564" s="1">
        <v>0</v>
      </c>
      <c r="E564" s="1" t="s">
        <v>1683</v>
      </c>
    </row>
    <row r="565" spans="1:5" x14ac:dyDescent="0.25">
      <c r="A565" s="1" t="s">
        <v>120</v>
      </c>
      <c r="B565" s="1" t="s">
        <v>30</v>
      </c>
      <c r="C565" s="1">
        <v>4</v>
      </c>
      <c r="D565" s="1">
        <v>0</v>
      </c>
      <c r="E565" s="1" t="s">
        <v>1687</v>
      </c>
    </row>
    <row r="566" spans="1:5" x14ac:dyDescent="0.25">
      <c r="A566" s="1" t="s">
        <v>121</v>
      </c>
      <c r="B566" s="1" t="s">
        <v>30</v>
      </c>
      <c r="C566" s="1">
        <v>5</v>
      </c>
      <c r="D566" s="1">
        <v>0</v>
      </c>
      <c r="E566" s="1" t="s">
        <v>1688</v>
      </c>
    </row>
    <row r="567" spans="1:5" x14ac:dyDescent="0.25">
      <c r="A567" s="1" t="s">
        <v>1689</v>
      </c>
      <c r="B567" s="1" t="s">
        <v>30</v>
      </c>
      <c r="C567" s="1">
        <v>2</v>
      </c>
      <c r="D567" s="1">
        <v>0</v>
      </c>
      <c r="E567" s="1" t="s">
        <v>1690</v>
      </c>
    </row>
    <row r="568" spans="1:5" x14ac:dyDescent="0.25">
      <c r="A568" s="1" t="s">
        <v>1691</v>
      </c>
      <c r="B568" s="1" t="s">
        <v>30</v>
      </c>
      <c r="C568" s="1">
        <v>2</v>
      </c>
      <c r="D568" s="1">
        <v>0</v>
      </c>
      <c r="E568" s="1" t="s">
        <v>1692</v>
      </c>
    </row>
    <row r="569" spans="1:5" x14ac:dyDescent="0.25">
      <c r="A569" s="1" t="s">
        <v>1693</v>
      </c>
      <c r="B569" s="1" t="s">
        <v>30</v>
      </c>
      <c r="C569" s="1">
        <v>2</v>
      </c>
      <c r="D569" s="1">
        <v>0</v>
      </c>
      <c r="E569" s="1" t="s">
        <v>1694</v>
      </c>
    </row>
    <row r="570" spans="1:5" x14ac:dyDescent="0.25">
      <c r="A570" s="1" t="s">
        <v>1695</v>
      </c>
      <c r="B570" s="1" t="s">
        <v>30</v>
      </c>
      <c r="C570" s="1">
        <v>2</v>
      </c>
      <c r="D570" s="1">
        <v>0</v>
      </c>
      <c r="E570" s="1" t="s">
        <v>1696</v>
      </c>
    </row>
    <row r="571" spans="1:5" x14ac:dyDescent="0.25">
      <c r="A571" s="1" t="s">
        <v>1697</v>
      </c>
      <c r="B571" s="1" t="s">
        <v>30</v>
      </c>
      <c r="C571" s="1">
        <v>2</v>
      </c>
      <c r="D571" s="1">
        <v>0</v>
      </c>
      <c r="E571" s="1" t="s">
        <v>1698</v>
      </c>
    </row>
    <row r="572" spans="1:5" x14ac:dyDescent="0.25">
      <c r="A572" s="1" t="s">
        <v>1699</v>
      </c>
      <c r="B572" s="1" t="s">
        <v>30</v>
      </c>
      <c r="C572" s="1">
        <v>2</v>
      </c>
      <c r="D572" s="1">
        <v>0</v>
      </c>
      <c r="E572" s="1" t="s">
        <v>1700</v>
      </c>
    </row>
    <row r="573" spans="1:5" x14ac:dyDescent="0.25">
      <c r="A573" s="1" t="s">
        <v>1701</v>
      </c>
      <c r="B573" s="1" t="s">
        <v>30</v>
      </c>
      <c r="C573" s="1">
        <v>2</v>
      </c>
      <c r="D573" s="1">
        <v>0</v>
      </c>
      <c r="E573" s="1" t="s">
        <v>1702</v>
      </c>
    </row>
    <row r="574" spans="1:5" x14ac:dyDescent="0.25">
      <c r="A574" s="1" t="s">
        <v>1703</v>
      </c>
      <c r="B574" s="1" t="s">
        <v>30</v>
      </c>
      <c r="C574" s="1">
        <v>2</v>
      </c>
      <c r="D574" s="1">
        <v>0</v>
      </c>
      <c r="E574" s="1" t="s">
        <v>1704</v>
      </c>
    </row>
    <row r="575" spans="1:5" x14ac:dyDescent="0.25">
      <c r="A575" s="1" t="s">
        <v>1705</v>
      </c>
      <c r="B575" s="1" t="s">
        <v>30</v>
      </c>
      <c r="C575" s="1">
        <v>2</v>
      </c>
      <c r="D575" s="1">
        <v>0</v>
      </c>
      <c r="E575" s="1" t="s">
        <v>1706</v>
      </c>
    </row>
    <row r="576" spans="1:5" x14ac:dyDescent="0.25">
      <c r="A576" s="1" t="s">
        <v>1707</v>
      </c>
      <c r="B576" s="1" t="s">
        <v>30</v>
      </c>
      <c r="C576" s="1">
        <v>2</v>
      </c>
      <c r="D576" s="1">
        <v>0</v>
      </c>
      <c r="E576" s="1" t="s">
        <v>1708</v>
      </c>
    </row>
    <row r="577" spans="1:5" x14ac:dyDescent="0.25">
      <c r="A577" s="1" t="s">
        <v>1709</v>
      </c>
      <c r="B577" s="1" t="s">
        <v>30</v>
      </c>
      <c r="C577" s="1">
        <v>2</v>
      </c>
      <c r="D577" s="1">
        <v>0</v>
      </c>
      <c r="E577" s="1" t="s">
        <v>1710</v>
      </c>
    </row>
    <row r="578" spans="1:5" x14ac:dyDescent="0.25">
      <c r="A578" s="1" t="s">
        <v>1711</v>
      </c>
      <c r="B578" s="1" t="s">
        <v>30</v>
      </c>
      <c r="C578" s="1">
        <v>2</v>
      </c>
      <c r="D578" s="1">
        <v>0</v>
      </c>
      <c r="E578" s="1" t="s">
        <v>1712</v>
      </c>
    </row>
    <row r="579" spans="1:5" x14ac:dyDescent="0.25">
      <c r="A579" s="1" t="s">
        <v>1713</v>
      </c>
      <c r="B579" s="1" t="s">
        <v>30</v>
      </c>
      <c r="C579" s="1">
        <v>2</v>
      </c>
      <c r="D579" s="1">
        <v>0</v>
      </c>
      <c r="E579" s="1" t="s">
        <v>1714</v>
      </c>
    </row>
    <row r="580" spans="1:5" x14ac:dyDescent="0.25">
      <c r="A580" s="1" t="s">
        <v>1715</v>
      </c>
      <c r="B580" s="1" t="s">
        <v>30</v>
      </c>
      <c r="C580" s="1">
        <v>2</v>
      </c>
      <c r="D580" s="1">
        <v>0</v>
      </c>
      <c r="E580" s="1" t="s">
        <v>1716</v>
      </c>
    </row>
    <row r="581" spans="1:5" x14ac:dyDescent="0.25">
      <c r="A581" s="1" t="s">
        <v>1717</v>
      </c>
      <c r="B581" s="1" t="s">
        <v>30</v>
      </c>
      <c r="C581" s="1">
        <v>2</v>
      </c>
      <c r="D581" s="1">
        <v>0</v>
      </c>
      <c r="E581" s="1" t="s">
        <v>1718</v>
      </c>
    </row>
    <row r="582" spans="1:5" x14ac:dyDescent="0.25">
      <c r="A582" s="1" t="s">
        <v>1719</v>
      </c>
      <c r="B582" s="1" t="s">
        <v>30</v>
      </c>
      <c r="C582" s="1">
        <v>2</v>
      </c>
      <c r="D582" s="1">
        <v>0</v>
      </c>
      <c r="E582" s="1" t="s">
        <v>1720</v>
      </c>
    </row>
    <row r="583" spans="1:5" x14ac:dyDescent="0.25">
      <c r="A583" s="1" t="s">
        <v>1721</v>
      </c>
      <c r="B583" s="1" t="s">
        <v>30</v>
      </c>
      <c r="C583" s="1">
        <v>2</v>
      </c>
      <c r="D583" s="1">
        <v>0</v>
      </c>
      <c r="E583" s="1" t="s">
        <v>1722</v>
      </c>
    </row>
    <row r="584" spans="1:5" x14ac:dyDescent="0.25">
      <c r="A584" s="1" t="s">
        <v>1723</v>
      </c>
      <c r="B584" s="1" t="s">
        <v>30</v>
      </c>
      <c r="C584" s="1">
        <v>2</v>
      </c>
      <c r="D584" s="1">
        <v>0</v>
      </c>
      <c r="E584" s="1" t="s">
        <v>1724</v>
      </c>
    </row>
    <row r="585" spans="1:5" x14ac:dyDescent="0.25">
      <c r="A585" s="1" t="s">
        <v>1725</v>
      </c>
      <c r="B585" s="1" t="s">
        <v>27</v>
      </c>
      <c r="C585" s="1">
        <v>150</v>
      </c>
      <c r="D585" s="1">
        <v>0</v>
      </c>
      <c r="E585" s="1" t="s">
        <v>1724</v>
      </c>
    </row>
    <row r="586" spans="1:5" x14ac:dyDescent="0.25">
      <c r="A586" s="1" t="s">
        <v>1726</v>
      </c>
      <c r="B586" s="1" t="s">
        <v>30</v>
      </c>
      <c r="C586" s="1">
        <v>2</v>
      </c>
      <c r="D586" s="1">
        <v>0</v>
      </c>
      <c r="E586" s="1" t="s">
        <v>1727</v>
      </c>
    </row>
    <row r="587" spans="1:5" x14ac:dyDescent="0.25">
      <c r="A587" s="1" t="s">
        <v>1728</v>
      </c>
      <c r="B587" s="1" t="s">
        <v>30</v>
      </c>
      <c r="C587" s="1">
        <v>2</v>
      </c>
      <c r="D587" s="1">
        <v>0</v>
      </c>
      <c r="E587" s="1" t="s">
        <v>1729</v>
      </c>
    </row>
    <row r="588" spans="1:5" x14ac:dyDescent="0.25">
      <c r="A588" s="1" t="s">
        <v>1730</v>
      </c>
      <c r="B588" s="1" t="s">
        <v>30</v>
      </c>
      <c r="C588" s="1">
        <v>2</v>
      </c>
      <c r="D588" s="1">
        <v>0</v>
      </c>
      <c r="E588" s="1" t="s">
        <v>1731</v>
      </c>
    </row>
    <row r="589" spans="1:5" x14ac:dyDescent="0.25">
      <c r="A589" s="1" t="s">
        <v>1732</v>
      </c>
      <c r="B589" s="1" t="s">
        <v>30</v>
      </c>
      <c r="C589" s="1">
        <v>2</v>
      </c>
      <c r="D589" s="1">
        <v>0</v>
      </c>
      <c r="E589" s="1" t="s">
        <v>1733</v>
      </c>
    </row>
    <row r="590" spans="1:5" x14ac:dyDescent="0.25">
      <c r="A590" s="1" t="s">
        <v>1734</v>
      </c>
      <c r="B590" s="1" t="s">
        <v>30</v>
      </c>
      <c r="C590" s="1">
        <v>2</v>
      </c>
      <c r="D590" s="1">
        <v>0</v>
      </c>
      <c r="E590" s="1" t="s">
        <v>1735</v>
      </c>
    </row>
    <row r="591" spans="1:5" x14ac:dyDescent="0.25">
      <c r="A591" s="1" t="s">
        <v>1736</v>
      </c>
      <c r="B591" s="1" t="s">
        <v>30</v>
      </c>
      <c r="C591" s="1">
        <v>2</v>
      </c>
      <c r="D591" s="1">
        <v>0</v>
      </c>
      <c r="E591" s="1" t="s">
        <v>1737</v>
      </c>
    </row>
    <row r="592" spans="1:5" x14ac:dyDescent="0.25">
      <c r="A592" s="1" t="s">
        <v>1738</v>
      </c>
      <c r="B592" s="1" t="s">
        <v>30</v>
      </c>
      <c r="C592" s="1">
        <v>2</v>
      </c>
      <c r="D592" s="1">
        <v>0</v>
      </c>
      <c r="E592" s="1" t="s">
        <v>1739</v>
      </c>
    </row>
    <row r="593" spans="1:5" x14ac:dyDescent="0.25">
      <c r="A593" s="1" t="s">
        <v>1740</v>
      </c>
      <c r="B593" s="1" t="s">
        <v>30</v>
      </c>
      <c r="C593" s="1">
        <v>2</v>
      </c>
      <c r="D593" s="1">
        <v>0</v>
      </c>
      <c r="E593" s="1" t="s">
        <v>1741</v>
      </c>
    </row>
    <row r="594" spans="1:5" x14ac:dyDescent="0.25">
      <c r="A594" s="1" t="s">
        <v>1742</v>
      </c>
      <c r="B594" s="1" t="s">
        <v>30</v>
      </c>
      <c r="C594" s="1">
        <v>2</v>
      </c>
      <c r="D594" s="1">
        <v>0</v>
      </c>
      <c r="E594" s="1" t="s">
        <v>1743</v>
      </c>
    </row>
    <row r="595" spans="1:5" x14ac:dyDescent="0.25">
      <c r="A595" s="1" t="s">
        <v>1744</v>
      </c>
      <c r="B595" s="1" t="s">
        <v>30</v>
      </c>
      <c r="C595" s="1">
        <v>2</v>
      </c>
      <c r="D595" s="1">
        <v>0</v>
      </c>
      <c r="E595" s="1" t="s">
        <v>1745</v>
      </c>
    </row>
    <row r="596" spans="1:5" x14ac:dyDescent="0.25">
      <c r="A596" s="1" t="s">
        <v>1746</v>
      </c>
      <c r="B596" s="1" t="s">
        <v>30</v>
      </c>
      <c r="C596" s="1">
        <v>2</v>
      </c>
      <c r="D596" s="1">
        <v>0</v>
      </c>
      <c r="E596" s="1" t="s">
        <v>1747</v>
      </c>
    </row>
    <row r="597" spans="1:5" x14ac:dyDescent="0.25">
      <c r="A597" s="1" t="s">
        <v>1748</v>
      </c>
      <c r="B597" s="1" t="s">
        <v>30</v>
      </c>
      <c r="C597" s="1">
        <v>2</v>
      </c>
      <c r="D597" s="1">
        <v>0</v>
      </c>
      <c r="E597" s="1" t="s">
        <v>1749</v>
      </c>
    </row>
    <row r="598" spans="1:5" x14ac:dyDescent="0.25">
      <c r="A598" s="1" t="s">
        <v>1750</v>
      </c>
      <c r="B598" s="1" t="s">
        <v>30</v>
      </c>
      <c r="C598" s="1">
        <v>2</v>
      </c>
      <c r="D598" s="1">
        <v>0</v>
      </c>
      <c r="E598" s="1" t="s">
        <v>1751</v>
      </c>
    </row>
    <row r="599" spans="1:5" x14ac:dyDescent="0.25">
      <c r="A599" s="1" t="s">
        <v>1752</v>
      </c>
      <c r="B599" s="1" t="s">
        <v>30</v>
      </c>
      <c r="C599" s="1">
        <v>2</v>
      </c>
      <c r="D599" s="1">
        <v>0</v>
      </c>
      <c r="E599" s="1" t="s">
        <v>1753</v>
      </c>
    </row>
    <row r="600" spans="1:5" x14ac:dyDescent="0.25">
      <c r="A600" s="1" t="s">
        <v>1754</v>
      </c>
      <c r="B600" s="1" t="s">
        <v>27</v>
      </c>
      <c r="C600" s="1">
        <v>150</v>
      </c>
      <c r="D600" s="1">
        <v>0</v>
      </c>
      <c r="E600" s="1" t="s">
        <v>1753</v>
      </c>
    </row>
    <row r="601" spans="1:5" x14ac:dyDescent="0.25">
      <c r="A601" s="1" t="s">
        <v>1755</v>
      </c>
      <c r="B601" s="1" t="s">
        <v>30</v>
      </c>
      <c r="C601" s="1">
        <v>2</v>
      </c>
      <c r="D601" s="1">
        <v>0</v>
      </c>
      <c r="E601" s="1" t="s">
        <v>1756</v>
      </c>
    </row>
    <row r="602" spans="1:5" x14ac:dyDescent="0.25">
      <c r="A602" s="1" t="s">
        <v>1757</v>
      </c>
      <c r="B602" s="1" t="s">
        <v>30</v>
      </c>
      <c r="C602" s="1">
        <v>2</v>
      </c>
      <c r="D602" s="1">
        <v>0</v>
      </c>
      <c r="E602" s="1" t="s">
        <v>1758</v>
      </c>
    </row>
    <row r="603" spans="1:5" x14ac:dyDescent="0.25">
      <c r="A603" s="1" t="s">
        <v>1759</v>
      </c>
      <c r="B603" s="1" t="s">
        <v>30</v>
      </c>
      <c r="C603" s="1">
        <v>2</v>
      </c>
      <c r="D603" s="1">
        <v>0</v>
      </c>
      <c r="E603" s="1" t="s">
        <v>1760</v>
      </c>
    </row>
    <row r="604" spans="1:5" x14ac:dyDescent="0.25">
      <c r="A604" s="1" t="s">
        <v>1761</v>
      </c>
      <c r="B604" s="1" t="s">
        <v>30</v>
      </c>
      <c r="C604" s="1">
        <v>2</v>
      </c>
      <c r="D604" s="1">
        <v>0</v>
      </c>
      <c r="E604" s="1" t="s">
        <v>1762</v>
      </c>
    </row>
    <row r="605" spans="1:5" x14ac:dyDescent="0.25">
      <c r="A605" s="1" t="s">
        <v>1763</v>
      </c>
      <c r="B605" s="1" t="s">
        <v>30</v>
      </c>
      <c r="C605" s="1">
        <v>2</v>
      </c>
      <c r="D605" s="1">
        <v>0</v>
      </c>
      <c r="E605" s="1" t="s">
        <v>1764</v>
      </c>
    </row>
    <row r="606" spans="1:5" x14ac:dyDescent="0.25">
      <c r="A606" s="1" t="s">
        <v>1765</v>
      </c>
      <c r="B606" s="1" t="s">
        <v>30</v>
      </c>
      <c r="C606" s="1">
        <v>2</v>
      </c>
      <c r="D606" s="1">
        <v>0</v>
      </c>
      <c r="E606" s="1" t="s">
        <v>1766</v>
      </c>
    </row>
    <row r="607" spans="1:5" x14ac:dyDescent="0.25">
      <c r="A607" s="1" t="s">
        <v>1767</v>
      </c>
      <c r="B607" s="1" t="s">
        <v>30</v>
      </c>
      <c r="C607" s="1">
        <v>2</v>
      </c>
      <c r="D607" s="1">
        <v>0</v>
      </c>
      <c r="E607" s="1" t="s">
        <v>1768</v>
      </c>
    </row>
    <row r="608" spans="1:5" x14ac:dyDescent="0.25">
      <c r="A608" s="1" t="s">
        <v>1769</v>
      </c>
      <c r="B608" s="1" t="s">
        <v>30</v>
      </c>
      <c r="C608" s="1">
        <v>2</v>
      </c>
      <c r="D608" s="1">
        <v>0</v>
      </c>
      <c r="E608" s="1" t="s">
        <v>1770</v>
      </c>
    </row>
    <row r="609" spans="1:5" x14ac:dyDescent="0.25">
      <c r="A609" s="1" t="s">
        <v>1771</v>
      </c>
      <c r="B609" s="1" t="s">
        <v>30</v>
      </c>
      <c r="C609" s="1">
        <v>2</v>
      </c>
      <c r="D609" s="1">
        <v>0</v>
      </c>
      <c r="E609" s="1" t="s">
        <v>1772</v>
      </c>
    </row>
    <row r="610" spans="1:5" x14ac:dyDescent="0.25">
      <c r="A610" s="1" t="s">
        <v>1773</v>
      </c>
      <c r="B610" s="1" t="s">
        <v>30</v>
      </c>
      <c r="C610" s="1">
        <v>2</v>
      </c>
      <c r="D610" s="1">
        <v>0</v>
      </c>
      <c r="E610" s="1" t="s">
        <v>1774</v>
      </c>
    </row>
    <row r="611" spans="1:5" x14ac:dyDescent="0.25">
      <c r="A611" s="1" t="s">
        <v>1775</v>
      </c>
      <c r="B611" s="1" t="s">
        <v>30</v>
      </c>
      <c r="C611" s="1">
        <v>2</v>
      </c>
      <c r="D611" s="1">
        <v>0</v>
      </c>
      <c r="E611" s="1" t="s">
        <v>1776</v>
      </c>
    </row>
    <row r="612" spans="1:5" x14ac:dyDescent="0.25">
      <c r="A612" s="1" t="s">
        <v>1777</v>
      </c>
      <c r="B612" s="1" t="s">
        <v>27</v>
      </c>
      <c r="C612" s="1">
        <v>150</v>
      </c>
      <c r="D612" s="1">
        <v>0</v>
      </c>
      <c r="E612" s="1" t="s">
        <v>1776</v>
      </c>
    </row>
    <row r="613" spans="1:5" x14ac:dyDescent="0.25">
      <c r="A613" s="1" t="s">
        <v>1778</v>
      </c>
      <c r="B613" s="1" t="s">
        <v>30</v>
      </c>
      <c r="C613" s="1">
        <v>14</v>
      </c>
      <c r="D613" s="1">
        <v>0</v>
      </c>
      <c r="E613" s="1" t="s">
        <v>1779</v>
      </c>
    </row>
    <row r="614" spans="1:5" x14ac:dyDescent="0.25">
      <c r="A614" s="1" t="s">
        <v>1780</v>
      </c>
      <c r="B614" s="1" t="s">
        <v>30</v>
      </c>
      <c r="C614" s="1">
        <v>2</v>
      </c>
      <c r="D614" s="1">
        <v>0</v>
      </c>
      <c r="E614" s="1" t="s">
        <v>1781</v>
      </c>
    </row>
    <row r="615" spans="1:5" x14ac:dyDescent="0.25">
      <c r="A615" s="1" t="s">
        <v>1782</v>
      </c>
      <c r="B615" s="1" t="s">
        <v>30</v>
      </c>
      <c r="C615" s="1">
        <v>2</v>
      </c>
      <c r="D615" s="1">
        <v>0</v>
      </c>
      <c r="E615" s="1" t="s">
        <v>1783</v>
      </c>
    </row>
    <row r="616" spans="1:5" x14ac:dyDescent="0.25">
      <c r="A616" s="1" t="s">
        <v>1784</v>
      </c>
      <c r="B616" s="1" t="s">
        <v>30</v>
      </c>
      <c r="C616" s="1">
        <v>2</v>
      </c>
      <c r="D616" s="1">
        <v>0</v>
      </c>
      <c r="E616" s="1" t="s">
        <v>1785</v>
      </c>
    </row>
    <row r="617" spans="1:5" x14ac:dyDescent="0.25">
      <c r="A617" s="1" t="s">
        <v>1786</v>
      </c>
      <c r="B617" s="1" t="s">
        <v>30</v>
      </c>
      <c r="C617" s="1">
        <v>2</v>
      </c>
      <c r="D617" s="1">
        <v>0</v>
      </c>
      <c r="E617" s="1" t="s">
        <v>1787</v>
      </c>
    </row>
    <row r="618" spans="1:5" x14ac:dyDescent="0.25">
      <c r="A618" s="1" t="s">
        <v>1788</v>
      </c>
      <c r="B618" s="1" t="s">
        <v>30</v>
      </c>
      <c r="C618" s="1">
        <v>2</v>
      </c>
      <c r="D618" s="1">
        <v>0</v>
      </c>
      <c r="E618" s="1" t="s">
        <v>1789</v>
      </c>
    </row>
    <row r="619" spans="1:5" x14ac:dyDescent="0.25">
      <c r="A619" s="1" t="s">
        <v>1790</v>
      </c>
      <c r="B619" s="1" t="s">
        <v>30</v>
      </c>
      <c r="C619" s="1">
        <v>2</v>
      </c>
      <c r="D619" s="1">
        <v>0</v>
      </c>
      <c r="E619" s="1" t="s">
        <v>1791</v>
      </c>
    </row>
    <row r="620" spans="1:5" x14ac:dyDescent="0.25">
      <c r="A620" s="1" t="s">
        <v>266</v>
      </c>
      <c r="B620" s="1" t="s">
        <v>30</v>
      </c>
      <c r="C620" s="1">
        <v>4</v>
      </c>
      <c r="D620" s="1">
        <v>0</v>
      </c>
      <c r="E620" s="1" t="s">
        <v>1792</v>
      </c>
    </row>
    <row r="621" spans="1:5" x14ac:dyDescent="0.25">
      <c r="A621" s="1" t="s">
        <v>267</v>
      </c>
      <c r="B621" s="1" t="s">
        <v>30</v>
      </c>
      <c r="C621" s="1">
        <v>5</v>
      </c>
      <c r="D621" s="1">
        <v>0</v>
      </c>
      <c r="E621" s="1" t="s">
        <v>1793</v>
      </c>
    </row>
    <row r="622" spans="1:5" x14ac:dyDescent="0.25">
      <c r="A622" s="1" t="s">
        <v>1794</v>
      </c>
      <c r="B622" s="1" t="s">
        <v>30</v>
      </c>
      <c r="C622" s="1">
        <v>2</v>
      </c>
      <c r="D622" s="1">
        <v>0</v>
      </c>
      <c r="E622" s="1" t="s">
        <v>1795</v>
      </c>
    </row>
    <row r="623" spans="1:5" x14ac:dyDescent="0.25">
      <c r="A623" s="1" t="s">
        <v>1796</v>
      </c>
      <c r="B623" s="1" t="s">
        <v>30</v>
      </c>
      <c r="C623" s="1">
        <v>2</v>
      </c>
      <c r="D623" s="1">
        <v>0</v>
      </c>
      <c r="E623" s="1" t="s">
        <v>1797</v>
      </c>
    </row>
    <row r="624" spans="1:5" x14ac:dyDescent="0.25">
      <c r="A624" s="1" t="s">
        <v>1798</v>
      </c>
      <c r="B624" s="1" t="s">
        <v>30</v>
      </c>
      <c r="C624" s="1">
        <v>2</v>
      </c>
      <c r="D624" s="1">
        <v>0</v>
      </c>
      <c r="E624" s="1" t="s">
        <v>1799</v>
      </c>
    </row>
    <row r="625" spans="1:5" x14ac:dyDescent="0.25">
      <c r="A625" s="1" t="s">
        <v>1800</v>
      </c>
      <c r="B625" s="1" t="s">
        <v>30</v>
      </c>
      <c r="C625" s="1">
        <v>2</v>
      </c>
      <c r="D625" s="1">
        <v>0</v>
      </c>
      <c r="E625" s="1" t="s">
        <v>1801</v>
      </c>
    </row>
    <row r="626" spans="1:5" x14ac:dyDescent="0.25">
      <c r="A626" s="1" t="s">
        <v>1802</v>
      </c>
      <c r="B626" s="1" t="s">
        <v>30</v>
      </c>
      <c r="C626" s="1">
        <v>2</v>
      </c>
      <c r="D626" s="1">
        <v>0</v>
      </c>
      <c r="E626" s="1" t="s">
        <v>1803</v>
      </c>
    </row>
    <row r="627" spans="1:5" x14ac:dyDescent="0.25">
      <c r="A627" s="1" t="s">
        <v>1804</v>
      </c>
      <c r="B627" s="1" t="s">
        <v>30</v>
      </c>
      <c r="C627" s="1">
        <v>2</v>
      </c>
      <c r="D627" s="1">
        <v>0</v>
      </c>
      <c r="E627" s="1" t="s">
        <v>1805</v>
      </c>
    </row>
    <row r="628" spans="1:5" x14ac:dyDescent="0.25">
      <c r="A628" s="1" t="s">
        <v>1806</v>
      </c>
      <c r="B628" s="1" t="s">
        <v>30</v>
      </c>
      <c r="C628" s="1">
        <v>2</v>
      </c>
      <c r="D628" s="1">
        <v>0</v>
      </c>
      <c r="E628" s="1" t="s">
        <v>1807</v>
      </c>
    </row>
    <row r="629" spans="1:5" x14ac:dyDescent="0.25">
      <c r="A629" s="1" t="s">
        <v>1808</v>
      </c>
      <c r="B629" s="1" t="s">
        <v>30</v>
      </c>
      <c r="C629" s="1">
        <v>2</v>
      </c>
      <c r="D629" s="1">
        <v>0</v>
      </c>
      <c r="E629" s="1" t="s">
        <v>1809</v>
      </c>
    </row>
    <row r="630" spans="1:5" x14ac:dyDescent="0.25">
      <c r="A630" s="1" t="s">
        <v>1810</v>
      </c>
      <c r="B630" s="1" t="s">
        <v>30</v>
      </c>
      <c r="C630" s="1">
        <v>2</v>
      </c>
      <c r="D630" s="1">
        <v>0</v>
      </c>
      <c r="E630" s="1" t="s">
        <v>1811</v>
      </c>
    </row>
    <row r="631" spans="1:5" x14ac:dyDescent="0.25">
      <c r="A631" s="1" t="s">
        <v>1812</v>
      </c>
      <c r="B631" s="1" t="s">
        <v>30</v>
      </c>
      <c r="C631" s="1">
        <v>2</v>
      </c>
      <c r="D631" s="1">
        <v>0</v>
      </c>
      <c r="E631" s="1" t="s">
        <v>1813</v>
      </c>
    </row>
    <row r="632" spans="1:5" x14ac:dyDescent="0.25">
      <c r="A632" s="1" t="s">
        <v>1814</v>
      </c>
      <c r="B632" s="1" t="s">
        <v>30</v>
      </c>
      <c r="C632" s="1">
        <v>2</v>
      </c>
      <c r="D632" s="1">
        <v>0</v>
      </c>
      <c r="E632" s="1" t="s">
        <v>1815</v>
      </c>
    </row>
    <row r="633" spans="1:5" x14ac:dyDescent="0.25">
      <c r="A633" s="1" t="s">
        <v>1816</v>
      </c>
      <c r="B633" s="1" t="s">
        <v>30</v>
      </c>
      <c r="C633" s="1">
        <v>2</v>
      </c>
      <c r="D633" s="1">
        <v>0</v>
      </c>
      <c r="E633" s="1" t="s">
        <v>1817</v>
      </c>
    </row>
    <row r="634" spans="1:5" x14ac:dyDescent="0.25">
      <c r="A634" s="1" t="s">
        <v>1818</v>
      </c>
      <c r="B634" s="1" t="s">
        <v>30</v>
      </c>
      <c r="C634" s="1">
        <v>2</v>
      </c>
      <c r="D634" s="1">
        <v>0</v>
      </c>
      <c r="E634" s="1" t="s">
        <v>1819</v>
      </c>
    </row>
    <row r="635" spans="1:5" x14ac:dyDescent="0.25">
      <c r="A635" s="1" t="s">
        <v>1820</v>
      </c>
      <c r="B635" s="1" t="s">
        <v>30</v>
      </c>
      <c r="C635" s="1">
        <v>2</v>
      </c>
      <c r="D635" s="1">
        <v>0</v>
      </c>
      <c r="E635" s="1" t="s">
        <v>1821</v>
      </c>
    </row>
    <row r="636" spans="1:5" x14ac:dyDescent="0.25">
      <c r="A636" s="1" t="s">
        <v>1822</v>
      </c>
      <c r="B636" s="1" t="s">
        <v>30</v>
      </c>
      <c r="C636" s="1">
        <v>2</v>
      </c>
      <c r="D636" s="1">
        <v>0</v>
      </c>
      <c r="E636" s="1" t="s">
        <v>1823</v>
      </c>
    </row>
    <row r="637" spans="1:5" x14ac:dyDescent="0.25">
      <c r="A637" s="1" t="s">
        <v>1824</v>
      </c>
      <c r="B637" s="1" t="s">
        <v>30</v>
      </c>
      <c r="C637" s="1">
        <v>2</v>
      </c>
      <c r="D637" s="1">
        <v>0</v>
      </c>
      <c r="E637" s="1" t="s">
        <v>1825</v>
      </c>
    </row>
    <row r="638" spans="1:5" x14ac:dyDescent="0.25">
      <c r="A638" s="1" t="s">
        <v>1826</v>
      </c>
      <c r="B638" s="1" t="s">
        <v>30</v>
      </c>
      <c r="C638" s="1">
        <v>2</v>
      </c>
      <c r="D638" s="1">
        <v>0</v>
      </c>
      <c r="E638" s="1" t="s">
        <v>1827</v>
      </c>
    </row>
    <row r="639" spans="1:5" x14ac:dyDescent="0.25">
      <c r="A639" s="1" t="s">
        <v>1828</v>
      </c>
      <c r="B639" s="1" t="s">
        <v>30</v>
      </c>
      <c r="C639" s="1">
        <v>2</v>
      </c>
      <c r="D639" s="1">
        <v>0</v>
      </c>
      <c r="E639" s="1" t="s">
        <v>1829</v>
      </c>
    </row>
    <row r="640" spans="1:5" x14ac:dyDescent="0.25">
      <c r="A640" s="1" t="s">
        <v>1830</v>
      </c>
      <c r="B640" s="1" t="s">
        <v>27</v>
      </c>
      <c r="C640" s="1">
        <v>150</v>
      </c>
      <c r="D640" s="1">
        <v>0</v>
      </c>
      <c r="E640" s="1" t="s">
        <v>1829</v>
      </c>
    </row>
    <row r="641" spans="1:5" x14ac:dyDescent="0.25">
      <c r="A641" s="1" t="s">
        <v>1831</v>
      </c>
      <c r="B641" s="1" t="s">
        <v>30</v>
      </c>
      <c r="C641" s="1">
        <v>2</v>
      </c>
      <c r="D641" s="1">
        <v>0</v>
      </c>
      <c r="E641" s="1" t="s">
        <v>1832</v>
      </c>
    </row>
    <row r="642" spans="1:5" x14ac:dyDescent="0.25">
      <c r="A642" s="1" t="s">
        <v>1833</v>
      </c>
      <c r="B642" s="1" t="s">
        <v>30</v>
      </c>
      <c r="C642" s="1">
        <v>2</v>
      </c>
      <c r="D642" s="1">
        <v>0</v>
      </c>
      <c r="E642" s="1" t="s">
        <v>1834</v>
      </c>
    </row>
    <row r="643" spans="1:5" x14ac:dyDescent="0.25">
      <c r="A643" s="1" t="s">
        <v>1835</v>
      </c>
      <c r="B643" s="1" t="s">
        <v>30</v>
      </c>
      <c r="C643" s="1">
        <v>2</v>
      </c>
      <c r="D643" s="1">
        <v>0</v>
      </c>
      <c r="E643" s="1" t="s">
        <v>1836</v>
      </c>
    </row>
    <row r="644" spans="1:5" x14ac:dyDescent="0.25">
      <c r="A644" s="1" t="s">
        <v>1837</v>
      </c>
      <c r="B644" s="1" t="s">
        <v>30</v>
      </c>
      <c r="C644" s="1">
        <v>2</v>
      </c>
      <c r="D644" s="1">
        <v>0</v>
      </c>
      <c r="E644" s="1" t="s">
        <v>1838</v>
      </c>
    </row>
    <row r="645" spans="1:5" x14ac:dyDescent="0.25">
      <c r="A645" s="1" t="s">
        <v>1839</v>
      </c>
      <c r="B645" s="1" t="s">
        <v>30</v>
      </c>
      <c r="C645" s="1">
        <v>2</v>
      </c>
      <c r="D645" s="1">
        <v>0</v>
      </c>
      <c r="E645" s="1" t="s">
        <v>1840</v>
      </c>
    </row>
    <row r="646" spans="1:5" x14ac:dyDescent="0.25">
      <c r="A646" s="1" t="s">
        <v>1841</v>
      </c>
      <c r="B646" s="1" t="s">
        <v>30</v>
      </c>
      <c r="C646" s="1">
        <v>2</v>
      </c>
      <c r="D646" s="1">
        <v>0</v>
      </c>
      <c r="E646" s="1" t="s">
        <v>1842</v>
      </c>
    </row>
    <row r="647" spans="1:5" x14ac:dyDescent="0.25">
      <c r="A647" s="1" t="s">
        <v>1843</v>
      </c>
      <c r="B647" s="1" t="s">
        <v>30</v>
      </c>
      <c r="C647" s="1">
        <v>2</v>
      </c>
      <c r="D647" s="1">
        <v>0</v>
      </c>
      <c r="E647" s="1" t="s">
        <v>1844</v>
      </c>
    </row>
    <row r="648" spans="1:5" x14ac:dyDescent="0.25">
      <c r="A648" s="1" t="s">
        <v>1845</v>
      </c>
      <c r="B648" s="1" t="s">
        <v>30</v>
      </c>
      <c r="C648" s="1">
        <v>2</v>
      </c>
      <c r="D648" s="1">
        <v>0</v>
      </c>
      <c r="E648" s="1" t="s">
        <v>1846</v>
      </c>
    </row>
    <row r="649" spans="1:5" x14ac:dyDescent="0.25">
      <c r="A649" s="1" t="s">
        <v>1847</v>
      </c>
      <c r="B649" s="1" t="s">
        <v>30</v>
      </c>
      <c r="C649" s="1">
        <v>2</v>
      </c>
      <c r="D649" s="1">
        <v>0</v>
      </c>
      <c r="E649" s="1" t="s">
        <v>1848</v>
      </c>
    </row>
    <row r="650" spans="1:5" x14ac:dyDescent="0.25">
      <c r="A650" s="1" t="s">
        <v>1849</v>
      </c>
      <c r="B650" s="1" t="s">
        <v>30</v>
      </c>
      <c r="C650" s="1">
        <v>2</v>
      </c>
      <c r="D650" s="1">
        <v>0</v>
      </c>
      <c r="E650" s="1" t="s">
        <v>1850</v>
      </c>
    </row>
    <row r="651" spans="1:5" x14ac:dyDescent="0.25">
      <c r="A651" s="1" t="s">
        <v>1851</v>
      </c>
      <c r="B651" s="1" t="s">
        <v>30</v>
      </c>
      <c r="C651" s="1">
        <v>2</v>
      </c>
      <c r="D651" s="1">
        <v>0</v>
      </c>
      <c r="E651" s="1" t="s">
        <v>1852</v>
      </c>
    </row>
    <row r="652" spans="1:5" x14ac:dyDescent="0.25">
      <c r="A652" s="1" t="s">
        <v>1853</v>
      </c>
      <c r="B652" s="1" t="s">
        <v>30</v>
      </c>
      <c r="C652" s="1">
        <v>2</v>
      </c>
      <c r="D652" s="1">
        <v>0</v>
      </c>
      <c r="E652" s="1" t="s">
        <v>1854</v>
      </c>
    </row>
    <row r="653" spans="1:5" x14ac:dyDescent="0.25">
      <c r="A653" s="1" t="s">
        <v>1855</v>
      </c>
      <c r="B653" s="1" t="s">
        <v>27</v>
      </c>
      <c r="C653" s="1">
        <v>150</v>
      </c>
      <c r="D653" s="1">
        <v>0</v>
      </c>
      <c r="E653" s="1" t="s">
        <v>1854</v>
      </c>
    </row>
    <row r="654" spans="1:5" x14ac:dyDescent="0.25">
      <c r="A654" s="1" t="s">
        <v>1856</v>
      </c>
      <c r="B654" s="1" t="s">
        <v>30</v>
      </c>
      <c r="C654" s="1">
        <v>2</v>
      </c>
      <c r="D654" s="1">
        <v>0</v>
      </c>
      <c r="E654" s="1" t="s">
        <v>1857</v>
      </c>
    </row>
    <row r="655" spans="1:5" x14ac:dyDescent="0.25">
      <c r="A655" s="1" t="s">
        <v>1858</v>
      </c>
      <c r="B655" s="1" t="s">
        <v>30</v>
      </c>
      <c r="C655" s="1">
        <v>2</v>
      </c>
      <c r="D655" s="1">
        <v>0</v>
      </c>
      <c r="E655" s="1" t="s">
        <v>1857</v>
      </c>
    </row>
    <row r="656" spans="1:5" x14ac:dyDescent="0.25">
      <c r="A656" s="1" t="s">
        <v>1859</v>
      </c>
      <c r="B656" s="1" t="s">
        <v>30</v>
      </c>
      <c r="C656" s="1">
        <v>2</v>
      </c>
      <c r="D656" s="1">
        <v>0</v>
      </c>
      <c r="E656" s="1" t="s">
        <v>1857</v>
      </c>
    </row>
    <row r="657" spans="1:5" x14ac:dyDescent="0.25">
      <c r="A657" s="1" t="s">
        <v>1860</v>
      </c>
      <c r="B657" s="1" t="s">
        <v>30</v>
      </c>
      <c r="C657" s="1">
        <v>2</v>
      </c>
      <c r="D657" s="1">
        <v>0</v>
      </c>
      <c r="E657" s="1" t="s">
        <v>1857</v>
      </c>
    </row>
    <row r="658" spans="1:5" x14ac:dyDescent="0.25">
      <c r="A658" s="1" t="s">
        <v>1861</v>
      </c>
      <c r="B658" s="1" t="s">
        <v>30</v>
      </c>
      <c r="C658" s="1">
        <v>2</v>
      </c>
      <c r="D658" s="1">
        <v>0</v>
      </c>
      <c r="E658" s="1" t="s">
        <v>1857</v>
      </c>
    </row>
    <row r="659" spans="1:5" x14ac:dyDescent="0.25">
      <c r="A659" s="1" t="s">
        <v>1862</v>
      </c>
      <c r="B659" s="1" t="s">
        <v>30</v>
      </c>
      <c r="C659" s="1">
        <v>2</v>
      </c>
      <c r="D659" s="1">
        <v>0</v>
      </c>
      <c r="E659" s="1" t="s">
        <v>1857</v>
      </c>
    </row>
    <row r="660" spans="1:5" x14ac:dyDescent="0.25">
      <c r="A660" s="1" t="s">
        <v>1863</v>
      </c>
      <c r="B660" s="1" t="s">
        <v>30</v>
      </c>
      <c r="C660" s="1">
        <v>2</v>
      </c>
      <c r="D660" s="1">
        <v>0</v>
      </c>
      <c r="E660" s="1" t="s">
        <v>1857</v>
      </c>
    </row>
    <row r="661" spans="1:5" x14ac:dyDescent="0.25">
      <c r="A661" s="1" t="s">
        <v>1864</v>
      </c>
      <c r="B661" s="1" t="s">
        <v>30</v>
      </c>
      <c r="C661" s="1">
        <v>2</v>
      </c>
      <c r="D661" s="1">
        <v>0</v>
      </c>
      <c r="E661" s="1" t="s">
        <v>1857</v>
      </c>
    </row>
    <row r="662" spans="1:5" x14ac:dyDescent="0.25">
      <c r="A662" s="1" t="s">
        <v>1865</v>
      </c>
      <c r="B662" s="1" t="s">
        <v>30</v>
      </c>
      <c r="C662" s="1">
        <v>2</v>
      </c>
      <c r="D662" s="1">
        <v>0</v>
      </c>
      <c r="E662" s="1" t="s">
        <v>1857</v>
      </c>
    </row>
    <row r="663" spans="1:5" x14ac:dyDescent="0.25">
      <c r="A663" s="1" t="s">
        <v>1866</v>
      </c>
      <c r="B663" s="1" t="s">
        <v>30</v>
      </c>
      <c r="C663" s="1">
        <v>2</v>
      </c>
      <c r="D663" s="1">
        <v>0</v>
      </c>
      <c r="E663" s="1" t="s">
        <v>1857</v>
      </c>
    </row>
    <row r="664" spans="1:5" x14ac:dyDescent="0.25">
      <c r="A664" s="1" t="s">
        <v>1867</v>
      </c>
      <c r="B664" s="1" t="s">
        <v>30</v>
      </c>
      <c r="C664" s="1">
        <v>2</v>
      </c>
      <c r="D664" s="1">
        <v>0</v>
      </c>
      <c r="E664" s="1" t="s">
        <v>1857</v>
      </c>
    </row>
    <row r="665" spans="1:5" x14ac:dyDescent="0.25">
      <c r="A665" s="1" t="s">
        <v>1868</v>
      </c>
      <c r="B665" s="1" t="s">
        <v>30</v>
      </c>
      <c r="C665" s="1">
        <v>2</v>
      </c>
      <c r="D665" s="1">
        <v>0</v>
      </c>
      <c r="E665" s="1" t="s">
        <v>1857</v>
      </c>
    </row>
    <row r="666" spans="1:5" x14ac:dyDescent="0.25">
      <c r="A666" s="1" t="s">
        <v>1869</v>
      </c>
      <c r="B666" s="1" t="s">
        <v>30</v>
      </c>
      <c r="C666" s="1">
        <v>2</v>
      </c>
      <c r="D666" s="1">
        <v>0</v>
      </c>
      <c r="E666" s="1" t="s">
        <v>1857</v>
      </c>
    </row>
    <row r="667" spans="1:5" x14ac:dyDescent="0.25">
      <c r="A667" s="1" t="s">
        <v>1870</v>
      </c>
      <c r="B667" s="1" t="s">
        <v>30</v>
      </c>
      <c r="C667" s="1">
        <v>2</v>
      </c>
      <c r="D667" s="1">
        <v>0</v>
      </c>
      <c r="E667" s="1" t="s">
        <v>1857</v>
      </c>
    </row>
    <row r="668" spans="1:5" x14ac:dyDescent="0.25">
      <c r="A668" s="1" t="s">
        <v>1871</v>
      </c>
      <c r="B668" s="1" t="s">
        <v>30</v>
      </c>
      <c r="C668" s="1">
        <v>2</v>
      </c>
      <c r="D668" s="1">
        <v>0</v>
      </c>
      <c r="E668" s="1" t="s">
        <v>1857</v>
      </c>
    </row>
    <row r="669" spans="1:5" x14ac:dyDescent="0.25">
      <c r="A669" s="1" t="s">
        <v>1872</v>
      </c>
      <c r="B669" s="1" t="s">
        <v>30</v>
      </c>
      <c r="C669" s="1">
        <v>2</v>
      </c>
      <c r="D669" s="1">
        <v>0</v>
      </c>
      <c r="E669" s="1" t="s">
        <v>1857</v>
      </c>
    </row>
    <row r="670" spans="1:5" x14ac:dyDescent="0.25">
      <c r="A670" s="1" t="s">
        <v>1873</v>
      </c>
      <c r="B670" s="1" t="s">
        <v>30</v>
      </c>
      <c r="C670" s="1">
        <v>2</v>
      </c>
      <c r="D670" s="1">
        <v>0</v>
      </c>
      <c r="E670" s="1" t="s">
        <v>1857</v>
      </c>
    </row>
    <row r="671" spans="1:5" x14ac:dyDescent="0.25">
      <c r="A671" s="1" t="s">
        <v>1874</v>
      </c>
      <c r="B671" s="1" t="s">
        <v>30</v>
      </c>
      <c r="C671" s="1">
        <v>2</v>
      </c>
      <c r="D671" s="1">
        <v>0</v>
      </c>
      <c r="E671" s="1" t="s">
        <v>1857</v>
      </c>
    </row>
    <row r="672" spans="1:5" x14ac:dyDescent="0.25">
      <c r="A672" s="1" t="s">
        <v>1875</v>
      </c>
      <c r="B672" s="1" t="s">
        <v>30</v>
      </c>
      <c r="C672" s="1">
        <v>2</v>
      </c>
      <c r="D672" s="1">
        <v>0</v>
      </c>
      <c r="E672" s="1" t="s">
        <v>1857</v>
      </c>
    </row>
    <row r="673" spans="1:5" x14ac:dyDescent="0.25">
      <c r="A673" s="1" t="s">
        <v>1876</v>
      </c>
      <c r="B673" s="1" t="s">
        <v>30</v>
      </c>
      <c r="C673" s="1">
        <v>2</v>
      </c>
      <c r="D673" s="1">
        <v>0</v>
      </c>
      <c r="E673" s="1" t="s">
        <v>1857</v>
      </c>
    </row>
    <row r="674" spans="1:5" x14ac:dyDescent="0.25">
      <c r="A674" s="1" t="s">
        <v>1877</v>
      </c>
      <c r="B674" s="1" t="s">
        <v>30</v>
      </c>
      <c r="C674" s="1">
        <v>2</v>
      </c>
      <c r="D674" s="1">
        <v>0</v>
      </c>
      <c r="E674" s="1" t="s">
        <v>1857</v>
      </c>
    </row>
    <row r="675" spans="1:5" x14ac:dyDescent="0.25">
      <c r="A675" s="1" t="s">
        <v>1878</v>
      </c>
      <c r="B675" s="1" t="s">
        <v>30</v>
      </c>
      <c r="C675" s="1">
        <v>2</v>
      </c>
      <c r="D675" s="1">
        <v>0</v>
      </c>
      <c r="E675" s="1" t="s">
        <v>1857</v>
      </c>
    </row>
    <row r="676" spans="1:5" x14ac:dyDescent="0.25">
      <c r="A676" s="1" t="s">
        <v>1879</v>
      </c>
      <c r="B676" s="1" t="s">
        <v>30</v>
      </c>
      <c r="C676" s="1">
        <v>2</v>
      </c>
      <c r="D676" s="1">
        <v>0</v>
      </c>
      <c r="E676" s="1" t="s">
        <v>1857</v>
      </c>
    </row>
    <row r="677" spans="1:5" x14ac:dyDescent="0.25">
      <c r="A677" s="1" t="s">
        <v>1880</v>
      </c>
      <c r="B677" s="1" t="s">
        <v>30</v>
      </c>
      <c r="C677" s="1">
        <v>2</v>
      </c>
      <c r="D677" s="1">
        <v>0</v>
      </c>
      <c r="E677" s="1" t="s">
        <v>1857</v>
      </c>
    </row>
    <row r="678" spans="1:5" x14ac:dyDescent="0.25">
      <c r="A678" s="1" t="s">
        <v>1881</v>
      </c>
      <c r="B678" s="1" t="s">
        <v>30</v>
      </c>
      <c r="C678" s="1">
        <v>2</v>
      </c>
      <c r="D678" s="1">
        <v>0</v>
      </c>
      <c r="E678" s="1" t="s">
        <v>1857</v>
      </c>
    </row>
    <row r="679" spans="1:5" x14ac:dyDescent="0.25">
      <c r="A679" s="1" t="s">
        <v>1882</v>
      </c>
      <c r="B679" s="1" t="s">
        <v>30</v>
      </c>
      <c r="C679" s="1">
        <v>2</v>
      </c>
      <c r="D679" s="1">
        <v>0</v>
      </c>
      <c r="E679" s="1" t="s">
        <v>1857</v>
      </c>
    </row>
    <row r="680" spans="1:5" x14ac:dyDescent="0.25">
      <c r="A680" s="1" t="s">
        <v>1883</v>
      </c>
      <c r="B680" s="1" t="s">
        <v>30</v>
      </c>
      <c r="C680" s="1">
        <v>2</v>
      </c>
      <c r="D680" s="1">
        <v>0</v>
      </c>
      <c r="E680" s="1" t="s">
        <v>1857</v>
      </c>
    </row>
    <row r="681" spans="1:5" x14ac:dyDescent="0.25">
      <c r="A681" s="1" t="s">
        <v>1884</v>
      </c>
      <c r="B681" s="1" t="s">
        <v>30</v>
      </c>
      <c r="C681" s="1">
        <v>2</v>
      </c>
      <c r="D681" s="1">
        <v>0</v>
      </c>
      <c r="E681" s="1" t="s">
        <v>1857</v>
      </c>
    </row>
    <row r="682" spans="1:5" x14ac:dyDescent="0.25">
      <c r="A682" s="1" t="s">
        <v>1885</v>
      </c>
      <c r="B682" s="1" t="s">
        <v>30</v>
      </c>
      <c r="C682" s="1">
        <v>2</v>
      </c>
      <c r="D682" s="1">
        <v>0</v>
      </c>
      <c r="E682" s="1" t="s">
        <v>1857</v>
      </c>
    </row>
    <row r="683" spans="1:5" x14ac:dyDescent="0.25">
      <c r="A683" s="1" t="s">
        <v>1886</v>
      </c>
      <c r="B683" s="1" t="s">
        <v>30</v>
      </c>
      <c r="C683" s="1">
        <v>2</v>
      </c>
      <c r="D683" s="1">
        <v>0</v>
      </c>
      <c r="E683" s="1" t="s">
        <v>1857</v>
      </c>
    </row>
    <row r="684" spans="1:5" x14ac:dyDescent="0.25">
      <c r="A684" s="1" t="s">
        <v>1887</v>
      </c>
      <c r="B684" s="1" t="s">
        <v>30</v>
      </c>
      <c r="C684" s="1">
        <v>2</v>
      </c>
      <c r="D684" s="1">
        <v>0</v>
      </c>
      <c r="E684" s="1" t="s">
        <v>1857</v>
      </c>
    </row>
    <row r="685" spans="1:5" x14ac:dyDescent="0.25">
      <c r="A685" s="1" t="s">
        <v>1888</v>
      </c>
      <c r="B685" s="1" t="s">
        <v>30</v>
      </c>
      <c r="C685" s="1">
        <v>2</v>
      </c>
      <c r="D685" s="1">
        <v>0</v>
      </c>
      <c r="E685" s="1" t="s">
        <v>1857</v>
      </c>
    </row>
    <row r="686" spans="1:5" x14ac:dyDescent="0.25">
      <c r="A686" s="1" t="s">
        <v>1889</v>
      </c>
      <c r="B686" s="1" t="s">
        <v>30</v>
      </c>
      <c r="C686" s="1">
        <v>2</v>
      </c>
      <c r="D686" s="1">
        <v>0</v>
      </c>
      <c r="E686" s="1" t="s">
        <v>1857</v>
      </c>
    </row>
    <row r="687" spans="1:5" x14ac:dyDescent="0.25">
      <c r="A687" s="1" t="s">
        <v>1890</v>
      </c>
      <c r="B687" s="1" t="s">
        <v>30</v>
      </c>
      <c r="C687" s="1">
        <v>2</v>
      </c>
      <c r="D687" s="1">
        <v>0</v>
      </c>
      <c r="E687" s="1" t="s">
        <v>1857</v>
      </c>
    </row>
    <row r="688" spans="1:5" x14ac:dyDescent="0.25">
      <c r="A688" s="1" t="s">
        <v>1891</v>
      </c>
      <c r="B688" s="1" t="s">
        <v>30</v>
      </c>
      <c r="C688" s="1">
        <v>2</v>
      </c>
      <c r="D688" s="1">
        <v>0</v>
      </c>
      <c r="E688" s="1" t="s">
        <v>1857</v>
      </c>
    </row>
    <row r="689" spans="1:5" x14ac:dyDescent="0.25">
      <c r="A689" s="1" t="s">
        <v>1892</v>
      </c>
      <c r="B689" s="1" t="s">
        <v>30</v>
      </c>
      <c r="C689" s="1">
        <v>2</v>
      </c>
      <c r="D689" s="1">
        <v>0</v>
      </c>
      <c r="E689" s="1" t="s">
        <v>1857</v>
      </c>
    </row>
    <row r="690" spans="1:5" x14ac:dyDescent="0.25">
      <c r="A690" s="1" t="s">
        <v>1893</v>
      </c>
      <c r="B690" s="1" t="s">
        <v>30</v>
      </c>
      <c r="C690" s="1">
        <v>2</v>
      </c>
      <c r="D690" s="1">
        <v>0</v>
      </c>
      <c r="E690" s="1" t="s">
        <v>1857</v>
      </c>
    </row>
    <row r="691" spans="1:5" x14ac:dyDescent="0.25">
      <c r="A691" s="1" t="s">
        <v>1894</v>
      </c>
      <c r="B691" s="1" t="s">
        <v>30</v>
      </c>
      <c r="C691" s="1">
        <v>2</v>
      </c>
      <c r="D691" s="1">
        <v>0</v>
      </c>
      <c r="E691" s="1" t="s">
        <v>1857</v>
      </c>
    </row>
    <row r="692" spans="1:5" x14ac:dyDescent="0.25">
      <c r="A692" s="1" t="s">
        <v>1895</v>
      </c>
      <c r="B692" s="1" t="s">
        <v>27</v>
      </c>
      <c r="C692" s="1">
        <v>150</v>
      </c>
      <c r="D692" s="1">
        <v>0</v>
      </c>
      <c r="E692" s="1" t="s">
        <v>1857</v>
      </c>
    </row>
    <row r="693" spans="1:5" x14ac:dyDescent="0.25">
      <c r="A693" s="1" t="s">
        <v>1896</v>
      </c>
      <c r="B693" s="1" t="s">
        <v>30</v>
      </c>
      <c r="C693" s="1">
        <v>2</v>
      </c>
      <c r="D693" s="1">
        <v>0</v>
      </c>
      <c r="E693" s="1" t="s">
        <v>1897</v>
      </c>
    </row>
    <row r="694" spans="1:5" x14ac:dyDescent="0.25">
      <c r="A694" s="1" t="s">
        <v>1898</v>
      </c>
      <c r="B694" s="1" t="s">
        <v>30</v>
      </c>
      <c r="C694" s="1">
        <v>2</v>
      </c>
      <c r="D694" s="1">
        <v>0</v>
      </c>
      <c r="E694" s="1" t="s">
        <v>1899</v>
      </c>
    </row>
    <row r="695" spans="1:5" x14ac:dyDescent="0.25">
      <c r="A695" s="1" t="s">
        <v>1900</v>
      </c>
      <c r="B695" s="1" t="s">
        <v>30</v>
      </c>
      <c r="C695" s="1">
        <v>2</v>
      </c>
      <c r="D695" s="1">
        <v>0</v>
      </c>
      <c r="E695" s="1" t="s">
        <v>1901</v>
      </c>
    </row>
    <row r="696" spans="1:5" x14ac:dyDescent="0.25">
      <c r="A696" s="1" t="s">
        <v>1902</v>
      </c>
      <c r="B696" s="1" t="s">
        <v>30</v>
      </c>
      <c r="C696" s="1">
        <v>2</v>
      </c>
      <c r="D696" s="1">
        <v>0</v>
      </c>
      <c r="E696" s="1" t="s">
        <v>1903</v>
      </c>
    </row>
    <row r="697" spans="1:5" x14ac:dyDescent="0.25">
      <c r="A697" s="1" t="s">
        <v>1904</v>
      </c>
      <c r="B697" s="1" t="s">
        <v>30</v>
      </c>
      <c r="C697" s="1">
        <v>2</v>
      </c>
      <c r="D697" s="1">
        <v>0</v>
      </c>
      <c r="E697" s="1" t="s">
        <v>1905</v>
      </c>
    </row>
    <row r="698" spans="1:5" x14ac:dyDescent="0.25">
      <c r="A698" s="1" t="s">
        <v>1906</v>
      </c>
      <c r="B698" s="1" t="s">
        <v>30</v>
      </c>
      <c r="C698" s="1">
        <v>2</v>
      </c>
      <c r="D698" s="1">
        <v>0</v>
      </c>
      <c r="E698" s="1" t="s">
        <v>1907</v>
      </c>
    </row>
    <row r="699" spans="1:5" x14ac:dyDescent="0.25">
      <c r="A699" s="1" t="s">
        <v>1908</v>
      </c>
      <c r="B699" s="1" t="s">
        <v>30</v>
      </c>
      <c r="C699" s="1">
        <v>2</v>
      </c>
      <c r="D699" s="1">
        <v>0</v>
      </c>
      <c r="E699" s="1" t="s">
        <v>1909</v>
      </c>
    </row>
    <row r="700" spans="1:5" x14ac:dyDescent="0.25">
      <c r="A700" s="1" t="s">
        <v>1910</v>
      </c>
      <c r="B700" s="1" t="s">
        <v>30</v>
      </c>
      <c r="C700" s="1">
        <v>2</v>
      </c>
      <c r="D700" s="1">
        <v>0</v>
      </c>
      <c r="E700" s="1" t="s">
        <v>1911</v>
      </c>
    </row>
    <row r="701" spans="1:5" x14ac:dyDescent="0.25">
      <c r="A701" s="1" t="s">
        <v>1912</v>
      </c>
      <c r="B701" s="1" t="s">
        <v>30</v>
      </c>
      <c r="C701" s="1">
        <v>2</v>
      </c>
      <c r="D701" s="1">
        <v>0</v>
      </c>
      <c r="E701" s="1" t="s">
        <v>1913</v>
      </c>
    </row>
    <row r="702" spans="1:5" x14ac:dyDescent="0.25">
      <c r="A702" s="1" t="s">
        <v>1914</v>
      </c>
      <c r="B702" s="1" t="s">
        <v>30</v>
      </c>
      <c r="C702" s="1">
        <v>2</v>
      </c>
      <c r="D702" s="1">
        <v>0</v>
      </c>
      <c r="E702" s="1" t="s">
        <v>1915</v>
      </c>
    </row>
    <row r="703" spans="1:5" x14ac:dyDescent="0.25">
      <c r="A703" s="1" t="s">
        <v>1916</v>
      </c>
      <c r="B703" s="1" t="s">
        <v>30</v>
      </c>
      <c r="C703" s="1">
        <v>2</v>
      </c>
      <c r="D703" s="1">
        <v>0</v>
      </c>
      <c r="E703" s="1" t="s">
        <v>1917</v>
      </c>
    </row>
    <row r="704" spans="1:5" x14ac:dyDescent="0.25">
      <c r="A704" s="1" t="s">
        <v>1918</v>
      </c>
      <c r="B704" s="1" t="s">
        <v>30</v>
      </c>
      <c r="C704" s="1">
        <v>2</v>
      </c>
      <c r="D704" s="1">
        <v>0</v>
      </c>
      <c r="E704" s="1" t="s">
        <v>1919</v>
      </c>
    </row>
    <row r="705" spans="1:5" x14ac:dyDescent="0.25">
      <c r="A705" s="1" t="s">
        <v>1920</v>
      </c>
      <c r="B705" s="1" t="s">
        <v>30</v>
      </c>
      <c r="C705" s="1">
        <v>2</v>
      </c>
      <c r="D705" s="1">
        <v>0</v>
      </c>
      <c r="E705" s="1" t="s">
        <v>1921</v>
      </c>
    </row>
    <row r="706" spans="1:5" x14ac:dyDescent="0.25">
      <c r="A706" s="1" t="s">
        <v>1922</v>
      </c>
      <c r="B706" s="1" t="s">
        <v>30</v>
      </c>
      <c r="C706" s="1">
        <v>2</v>
      </c>
      <c r="D706" s="1">
        <v>0</v>
      </c>
      <c r="E706" s="1" t="s">
        <v>1923</v>
      </c>
    </row>
    <row r="707" spans="1:5" x14ac:dyDescent="0.25">
      <c r="A707" s="1" t="s">
        <v>1924</v>
      </c>
      <c r="B707" s="1" t="s">
        <v>27</v>
      </c>
      <c r="C707" s="1">
        <v>150</v>
      </c>
      <c r="D707" s="1">
        <v>0</v>
      </c>
      <c r="E707" s="1" t="s">
        <v>1923</v>
      </c>
    </row>
    <row r="708" spans="1:5" x14ac:dyDescent="0.25">
      <c r="A708" s="1" t="s">
        <v>1925</v>
      </c>
      <c r="B708" s="1" t="s">
        <v>30</v>
      </c>
      <c r="C708" s="1">
        <v>2</v>
      </c>
      <c r="D708" s="1">
        <v>0</v>
      </c>
      <c r="E708" s="1" t="s">
        <v>1926</v>
      </c>
    </row>
    <row r="709" spans="1:5" x14ac:dyDescent="0.25">
      <c r="A709" s="1" t="s">
        <v>1927</v>
      </c>
      <c r="B709" s="1" t="s">
        <v>30</v>
      </c>
      <c r="C709" s="1">
        <v>2</v>
      </c>
      <c r="D709" s="1">
        <v>0</v>
      </c>
      <c r="E709" s="1" t="s">
        <v>1928</v>
      </c>
    </row>
    <row r="710" spans="1:5" x14ac:dyDescent="0.25">
      <c r="A710" s="1" t="s">
        <v>1929</v>
      </c>
      <c r="B710" s="1" t="s">
        <v>30</v>
      </c>
      <c r="C710" s="1">
        <v>2</v>
      </c>
      <c r="D710" s="1">
        <v>0</v>
      </c>
      <c r="E710" s="1" t="s">
        <v>1930</v>
      </c>
    </row>
    <row r="711" spans="1:5" x14ac:dyDescent="0.25">
      <c r="A711" s="1" t="s">
        <v>1931</v>
      </c>
      <c r="B711" s="1" t="s">
        <v>30</v>
      </c>
      <c r="C711" s="1">
        <v>2</v>
      </c>
      <c r="D711" s="1">
        <v>0</v>
      </c>
      <c r="E711" s="1" t="s">
        <v>1932</v>
      </c>
    </row>
    <row r="712" spans="1:5" x14ac:dyDescent="0.25">
      <c r="A712" s="1" t="s">
        <v>1933</v>
      </c>
      <c r="B712" s="1" t="s">
        <v>30</v>
      </c>
      <c r="C712" s="1">
        <v>2</v>
      </c>
      <c r="D712" s="1">
        <v>0</v>
      </c>
      <c r="E712" s="1" t="s">
        <v>1934</v>
      </c>
    </row>
    <row r="713" spans="1:5" x14ac:dyDescent="0.25">
      <c r="A713" s="1" t="s">
        <v>1935</v>
      </c>
      <c r="B713" s="1" t="s">
        <v>30</v>
      </c>
      <c r="C713" s="1">
        <v>2</v>
      </c>
      <c r="D713" s="1">
        <v>0</v>
      </c>
      <c r="E713" s="1" t="s">
        <v>1936</v>
      </c>
    </row>
    <row r="714" spans="1:5" x14ac:dyDescent="0.25">
      <c r="A714" s="1" t="s">
        <v>1937</v>
      </c>
      <c r="B714" s="1" t="s">
        <v>30</v>
      </c>
      <c r="C714" s="1">
        <v>2</v>
      </c>
      <c r="D714" s="1">
        <v>0</v>
      </c>
      <c r="E714" s="1" t="s">
        <v>1938</v>
      </c>
    </row>
    <row r="715" spans="1:5" x14ac:dyDescent="0.25">
      <c r="A715" s="1" t="s">
        <v>1939</v>
      </c>
      <c r="B715" s="1" t="s">
        <v>30</v>
      </c>
      <c r="C715" s="1">
        <v>2</v>
      </c>
      <c r="D715" s="1">
        <v>0</v>
      </c>
      <c r="E715" s="1" t="s">
        <v>1940</v>
      </c>
    </row>
    <row r="716" spans="1:5" x14ac:dyDescent="0.25">
      <c r="A716" s="1" t="s">
        <v>1941</v>
      </c>
      <c r="B716" s="1" t="s">
        <v>30</v>
      </c>
      <c r="C716" s="1">
        <v>2</v>
      </c>
      <c r="D716" s="1">
        <v>0</v>
      </c>
      <c r="E716" s="1" t="s">
        <v>1942</v>
      </c>
    </row>
    <row r="717" spans="1:5" x14ac:dyDescent="0.25">
      <c r="A717" s="1" t="s">
        <v>1943</v>
      </c>
      <c r="B717" s="1" t="s">
        <v>30</v>
      </c>
      <c r="C717" s="1">
        <v>2</v>
      </c>
      <c r="D717" s="1">
        <v>0</v>
      </c>
      <c r="E717" s="1" t="s">
        <v>1944</v>
      </c>
    </row>
    <row r="718" spans="1:5" x14ac:dyDescent="0.25">
      <c r="A718" s="1" t="s">
        <v>1945</v>
      </c>
      <c r="B718" s="1" t="s">
        <v>30</v>
      </c>
      <c r="C718" s="1">
        <v>2</v>
      </c>
      <c r="D718" s="1">
        <v>0</v>
      </c>
      <c r="E718" s="1" t="s">
        <v>1946</v>
      </c>
    </row>
    <row r="719" spans="1:5" x14ac:dyDescent="0.25">
      <c r="A719" s="1" t="s">
        <v>1947</v>
      </c>
      <c r="B719" s="1" t="s">
        <v>30</v>
      </c>
      <c r="C719" s="1">
        <v>2</v>
      </c>
      <c r="D719" s="1">
        <v>0</v>
      </c>
      <c r="E719" s="1" t="s">
        <v>1948</v>
      </c>
    </row>
    <row r="720" spans="1:5" x14ac:dyDescent="0.25">
      <c r="A720" s="1" t="s">
        <v>1949</v>
      </c>
      <c r="B720" s="1" t="s">
        <v>30</v>
      </c>
      <c r="C720" s="1">
        <v>2</v>
      </c>
      <c r="D720" s="1">
        <v>0</v>
      </c>
      <c r="E720" s="1" t="s">
        <v>1950</v>
      </c>
    </row>
    <row r="721" spans="1:5" x14ac:dyDescent="0.25">
      <c r="A721" s="1" t="s">
        <v>1951</v>
      </c>
      <c r="B721" s="1" t="s">
        <v>30</v>
      </c>
      <c r="C721" s="1">
        <v>2</v>
      </c>
      <c r="D721" s="1">
        <v>0</v>
      </c>
      <c r="E721" s="1" t="s">
        <v>1952</v>
      </c>
    </row>
    <row r="722" spans="1:5" x14ac:dyDescent="0.25">
      <c r="A722" s="1" t="s">
        <v>1953</v>
      </c>
      <c r="B722" s="1" t="s">
        <v>30</v>
      </c>
      <c r="C722" s="1">
        <v>2</v>
      </c>
      <c r="D722" s="1">
        <v>0</v>
      </c>
      <c r="E722" s="1" t="s">
        <v>1954</v>
      </c>
    </row>
    <row r="723" spans="1:5" x14ac:dyDescent="0.25">
      <c r="A723" s="1" t="s">
        <v>1955</v>
      </c>
      <c r="B723" s="1" t="s">
        <v>27</v>
      </c>
      <c r="C723" s="1">
        <v>150</v>
      </c>
      <c r="D723" s="1">
        <v>0</v>
      </c>
      <c r="E723" s="1" t="s">
        <v>1954</v>
      </c>
    </row>
    <row r="724" spans="1:5" x14ac:dyDescent="0.25">
      <c r="A724" s="1" t="s">
        <v>573</v>
      </c>
      <c r="B724" s="1" t="s">
        <v>30</v>
      </c>
      <c r="C724" s="1">
        <v>4</v>
      </c>
      <c r="D724" s="1">
        <v>0</v>
      </c>
      <c r="E724" s="1" t="s">
        <v>1956</v>
      </c>
    </row>
    <row r="725" spans="1:5" x14ac:dyDescent="0.25">
      <c r="A725" s="1" t="s">
        <v>574</v>
      </c>
      <c r="B725" s="1" t="s">
        <v>30</v>
      </c>
      <c r="C725" s="1">
        <v>2</v>
      </c>
      <c r="D725" s="1">
        <v>0</v>
      </c>
      <c r="E725" s="1" t="s">
        <v>1956</v>
      </c>
    </row>
    <row r="726" spans="1:5" x14ac:dyDescent="0.25">
      <c r="A726" s="1" t="s">
        <v>1957</v>
      </c>
      <c r="B726" s="1" t="s">
        <v>30</v>
      </c>
      <c r="C726" s="1">
        <v>2</v>
      </c>
      <c r="D726" s="1">
        <v>0</v>
      </c>
      <c r="E726" s="1" t="s">
        <v>1958</v>
      </c>
    </row>
    <row r="727" spans="1:5" x14ac:dyDescent="0.25">
      <c r="A727" s="1" t="s">
        <v>1959</v>
      </c>
      <c r="B727" s="1" t="s">
        <v>27</v>
      </c>
      <c r="C727" s="1">
        <v>150</v>
      </c>
      <c r="D727" s="1">
        <v>0</v>
      </c>
      <c r="E727" s="1" t="s">
        <v>1958</v>
      </c>
    </row>
    <row r="728" spans="1:5" x14ac:dyDescent="0.25">
      <c r="A728" s="1" t="s">
        <v>1960</v>
      </c>
      <c r="B728" s="1" t="s">
        <v>30</v>
      </c>
      <c r="C728" s="1">
        <v>2</v>
      </c>
      <c r="D728" s="1">
        <v>0</v>
      </c>
      <c r="E728" s="1" t="s">
        <v>1961</v>
      </c>
    </row>
    <row r="729" spans="1:5" x14ac:dyDescent="0.25">
      <c r="A729" s="1" t="s">
        <v>1962</v>
      </c>
      <c r="B729" s="1" t="s">
        <v>27</v>
      </c>
      <c r="C729" s="1">
        <v>150</v>
      </c>
      <c r="D729" s="1">
        <v>0</v>
      </c>
      <c r="E729" s="1" t="s">
        <v>1961</v>
      </c>
    </row>
    <row r="730" spans="1:5" x14ac:dyDescent="0.25">
      <c r="A730" s="1" t="s">
        <v>1963</v>
      </c>
      <c r="B730" s="1" t="s">
        <v>30</v>
      </c>
      <c r="C730" s="1">
        <v>2</v>
      </c>
      <c r="D730" s="1">
        <v>0</v>
      </c>
      <c r="E730" s="1" t="s">
        <v>1964</v>
      </c>
    </row>
    <row r="731" spans="1:5" x14ac:dyDescent="0.25">
      <c r="A731" s="1" t="s">
        <v>1965</v>
      </c>
      <c r="B731" s="1" t="s">
        <v>27</v>
      </c>
      <c r="C731" s="1">
        <v>150</v>
      </c>
      <c r="D731" s="1">
        <v>0</v>
      </c>
      <c r="E731" s="1" t="s">
        <v>1964</v>
      </c>
    </row>
    <row r="732" spans="1:5" x14ac:dyDescent="0.25">
      <c r="A732" s="1" t="s">
        <v>1966</v>
      </c>
      <c r="B732" s="1" t="s">
        <v>30</v>
      </c>
      <c r="C732" s="1">
        <v>2</v>
      </c>
      <c r="D732" s="1">
        <v>0</v>
      </c>
      <c r="E732" s="1" t="s">
        <v>1967</v>
      </c>
    </row>
    <row r="733" spans="1:5" x14ac:dyDescent="0.25">
      <c r="A733" s="1" t="s">
        <v>1968</v>
      </c>
      <c r="B733" s="1" t="s">
        <v>30</v>
      </c>
      <c r="C733" s="1">
        <v>2</v>
      </c>
      <c r="D733" s="1">
        <v>0</v>
      </c>
      <c r="E733" s="1" t="s">
        <v>1967</v>
      </c>
    </row>
    <row r="734" spans="1:5" x14ac:dyDescent="0.25">
      <c r="A734" s="1" t="s">
        <v>1969</v>
      </c>
      <c r="B734" s="1" t="s">
        <v>30</v>
      </c>
      <c r="C734" s="1">
        <v>2</v>
      </c>
      <c r="D734" s="1">
        <v>0</v>
      </c>
      <c r="E734" s="1" t="s">
        <v>1967</v>
      </c>
    </row>
    <row r="735" spans="1:5" x14ac:dyDescent="0.25">
      <c r="A735" s="1" t="s">
        <v>1970</v>
      </c>
      <c r="B735" s="1" t="s">
        <v>30</v>
      </c>
      <c r="C735" s="1">
        <v>2</v>
      </c>
      <c r="D735" s="1">
        <v>0</v>
      </c>
      <c r="E735" s="1" t="s">
        <v>1967</v>
      </c>
    </row>
    <row r="736" spans="1:5" x14ac:dyDescent="0.25">
      <c r="A736" s="1" t="s">
        <v>1971</v>
      </c>
      <c r="B736" s="1" t="s">
        <v>30</v>
      </c>
      <c r="C736" s="1">
        <v>2</v>
      </c>
      <c r="D736" s="1">
        <v>0</v>
      </c>
      <c r="E736" s="1" t="s">
        <v>1967</v>
      </c>
    </row>
    <row r="737" spans="1:5" x14ac:dyDescent="0.25">
      <c r="A737" s="1" t="s">
        <v>1972</v>
      </c>
      <c r="B737" s="1" t="s">
        <v>30</v>
      </c>
      <c r="C737" s="1">
        <v>2</v>
      </c>
      <c r="D737" s="1">
        <v>0</v>
      </c>
      <c r="E737" s="1" t="s">
        <v>1967</v>
      </c>
    </row>
    <row r="738" spans="1:5" x14ac:dyDescent="0.25">
      <c r="A738" s="1" t="s">
        <v>1973</v>
      </c>
      <c r="B738" s="1" t="s">
        <v>30</v>
      </c>
      <c r="C738" s="1">
        <v>2</v>
      </c>
      <c r="D738" s="1">
        <v>0</v>
      </c>
      <c r="E738" s="1" t="s">
        <v>1967</v>
      </c>
    </row>
    <row r="739" spans="1:5" x14ac:dyDescent="0.25">
      <c r="A739" s="1" t="s">
        <v>1974</v>
      </c>
      <c r="B739" s="1" t="s">
        <v>30</v>
      </c>
      <c r="C739" s="1">
        <v>2</v>
      </c>
      <c r="D739" s="1">
        <v>0</v>
      </c>
      <c r="E739" s="1" t="s">
        <v>1967</v>
      </c>
    </row>
    <row r="740" spans="1:5" x14ac:dyDescent="0.25">
      <c r="A740" s="1" t="s">
        <v>1975</v>
      </c>
      <c r="B740" s="1" t="s">
        <v>27</v>
      </c>
      <c r="C740" s="1">
        <v>150</v>
      </c>
      <c r="D740" s="1">
        <v>0</v>
      </c>
      <c r="E740" s="1" t="s">
        <v>1967</v>
      </c>
    </row>
    <row r="741" spans="1:5" x14ac:dyDescent="0.25">
      <c r="A741" s="1" t="s">
        <v>1976</v>
      </c>
      <c r="B741" s="1" t="s">
        <v>30</v>
      </c>
      <c r="C741" s="1">
        <v>2</v>
      </c>
      <c r="D741" s="1">
        <v>0</v>
      </c>
      <c r="E741" s="1" t="s">
        <v>1977</v>
      </c>
    </row>
    <row r="742" spans="1:5" x14ac:dyDescent="0.25">
      <c r="A742" s="1" t="s">
        <v>1978</v>
      </c>
      <c r="B742" s="1" t="s">
        <v>30</v>
      </c>
      <c r="C742" s="1">
        <v>2</v>
      </c>
      <c r="D742" s="1">
        <v>0</v>
      </c>
      <c r="E742" s="1" t="s">
        <v>1979</v>
      </c>
    </row>
    <row r="743" spans="1:5" x14ac:dyDescent="0.25">
      <c r="A743" s="1" t="s">
        <v>1980</v>
      </c>
      <c r="B743" s="1" t="s">
        <v>30</v>
      </c>
      <c r="C743" s="1">
        <v>2</v>
      </c>
      <c r="D743" s="1">
        <v>0</v>
      </c>
      <c r="E743" s="1" t="s">
        <v>1981</v>
      </c>
    </row>
    <row r="744" spans="1:5" x14ac:dyDescent="0.25">
      <c r="A744" s="1" t="s">
        <v>1982</v>
      </c>
      <c r="B744" s="1" t="s">
        <v>30</v>
      </c>
      <c r="C744" s="1">
        <v>2</v>
      </c>
      <c r="D744" s="1">
        <v>0</v>
      </c>
      <c r="E744" s="1" t="s">
        <v>1983</v>
      </c>
    </row>
    <row r="745" spans="1:5" x14ac:dyDescent="0.25">
      <c r="A745" s="1" t="s">
        <v>1984</v>
      </c>
      <c r="B745" s="1" t="s">
        <v>30</v>
      </c>
      <c r="C745" s="1">
        <v>2</v>
      </c>
      <c r="D745" s="1">
        <v>0</v>
      </c>
      <c r="E745" s="1" t="s">
        <v>1985</v>
      </c>
    </row>
    <row r="746" spans="1:5" x14ac:dyDescent="0.25">
      <c r="A746" s="1" t="s">
        <v>1986</v>
      </c>
      <c r="B746" s="1" t="s">
        <v>30</v>
      </c>
      <c r="C746" s="1">
        <v>2</v>
      </c>
      <c r="D746" s="1">
        <v>0</v>
      </c>
      <c r="E746" s="1" t="s">
        <v>1987</v>
      </c>
    </row>
    <row r="747" spans="1:5" x14ac:dyDescent="0.25">
      <c r="A747" s="1" t="s">
        <v>1988</v>
      </c>
      <c r="B747" s="1" t="s">
        <v>30</v>
      </c>
      <c r="C747" s="1">
        <v>2</v>
      </c>
      <c r="D747" s="1">
        <v>0</v>
      </c>
      <c r="E747" s="1" t="s">
        <v>1989</v>
      </c>
    </row>
    <row r="748" spans="1:5" x14ac:dyDescent="0.25">
      <c r="A748" s="1" t="s">
        <v>1990</v>
      </c>
      <c r="B748" s="1" t="s">
        <v>30</v>
      </c>
      <c r="C748" s="1">
        <v>2</v>
      </c>
      <c r="D748" s="1">
        <v>0</v>
      </c>
      <c r="E748" s="1" t="s">
        <v>1991</v>
      </c>
    </row>
    <row r="749" spans="1:5" x14ac:dyDescent="0.25">
      <c r="A749" s="1" t="s">
        <v>1992</v>
      </c>
      <c r="B749" s="1" t="s">
        <v>30</v>
      </c>
      <c r="C749" s="1">
        <v>2</v>
      </c>
      <c r="D749" s="1">
        <v>0</v>
      </c>
      <c r="E749" s="1" t="s">
        <v>1993</v>
      </c>
    </row>
    <row r="750" spans="1:5" x14ac:dyDescent="0.25">
      <c r="A750" s="1" t="s">
        <v>1994</v>
      </c>
      <c r="B750" s="1" t="s">
        <v>30</v>
      </c>
      <c r="C750" s="1">
        <v>2</v>
      </c>
      <c r="D750" s="1">
        <v>0</v>
      </c>
      <c r="E750" s="1" t="s">
        <v>1995</v>
      </c>
    </row>
    <row r="751" spans="1:5" x14ac:dyDescent="0.25">
      <c r="A751" s="1" t="s">
        <v>1996</v>
      </c>
      <c r="B751" s="1" t="s">
        <v>30</v>
      </c>
      <c r="C751" s="1">
        <v>2</v>
      </c>
      <c r="D751" s="1">
        <v>0</v>
      </c>
      <c r="E751" s="1" t="s">
        <v>1997</v>
      </c>
    </row>
    <row r="752" spans="1:5" x14ac:dyDescent="0.25">
      <c r="A752" s="1" t="s">
        <v>1998</v>
      </c>
      <c r="B752" s="1" t="s">
        <v>30</v>
      </c>
      <c r="C752" s="1">
        <v>2</v>
      </c>
      <c r="D752" s="1">
        <v>0</v>
      </c>
      <c r="E752" s="1" t="s">
        <v>1999</v>
      </c>
    </row>
    <row r="753" spans="1:5" x14ac:dyDescent="0.25">
      <c r="A753" s="1" t="s">
        <v>2000</v>
      </c>
      <c r="B753" s="1" t="s">
        <v>30</v>
      </c>
      <c r="C753" s="1">
        <v>2</v>
      </c>
      <c r="D753" s="1">
        <v>0</v>
      </c>
      <c r="E753" s="1" t="s">
        <v>2001</v>
      </c>
    </row>
    <row r="754" spans="1:5" x14ac:dyDescent="0.25">
      <c r="A754" s="1" t="s">
        <v>2002</v>
      </c>
      <c r="B754" s="1" t="s">
        <v>30</v>
      </c>
      <c r="C754" s="1">
        <v>2</v>
      </c>
      <c r="D754" s="1">
        <v>0</v>
      </c>
      <c r="E754" s="1" t="s">
        <v>2003</v>
      </c>
    </row>
    <row r="755" spans="1:5" x14ac:dyDescent="0.25">
      <c r="A755" s="1" t="s">
        <v>2004</v>
      </c>
      <c r="B755" s="1" t="s">
        <v>30</v>
      </c>
      <c r="C755" s="1">
        <v>2</v>
      </c>
      <c r="D755" s="1">
        <v>0</v>
      </c>
      <c r="E755" s="1" t="s">
        <v>2005</v>
      </c>
    </row>
    <row r="756" spans="1:5" x14ac:dyDescent="0.25">
      <c r="A756" s="1" t="s">
        <v>2006</v>
      </c>
      <c r="B756" s="1" t="s">
        <v>30</v>
      </c>
      <c r="C756" s="1">
        <v>2</v>
      </c>
      <c r="D756" s="1">
        <v>0</v>
      </c>
      <c r="E756" s="1" t="s">
        <v>2007</v>
      </c>
    </row>
    <row r="757" spans="1:5" x14ac:dyDescent="0.25">
      <c r="A757" s="1" t="s">
        <v>2008</v>
      </c>
      <c r="B757" s="1" t="s">
        <v>27</v>
      </c>
      <c r="C757" s="1">
        <v>150</v>
      </c>
      <c r="D757" s="1">
        <v>0</v>
      </c>
      <c r="E757" s="1" t="s">
        <v>2001</v>
      </c>
    </row>
    <row r="758" spans="1:5" x14ac:dyDescent="0.25">
      <c r="A758" s="1" t="s">
        <v>2009</v>
      </c>
      <c r="B758" s="1" t="s">
        <v>30</v>
      </c>
      <c r="C758" s="1">
        <v>2</v>
      </c>
      <c r="D758" s="1">
        <v>0</v>
      </c>
      <c r="E758" s="1" t="s">
        <v>2010</v>
      </c>
    </row>
    <row r="759" spans="1:5" x14ac:dyDescent="0.25">
      <c r="A759" s="1" t="s">
        <v>2011</v>
      </c>
      <c r="B759" s="1" t="s">
        <v>30</v>
      </c>
      <c r="C759" s="1">
        <v>2</v>
      </c>
      <c r="D759" s="1">
        <v>0</v>
      </c>
      <c r="E759" s="1" t="s">
        <v>2012</v>
      </c>
    </row>
    <row r="760" spans="1:5" x14ac:dyDescent="0.25">
      <c r="A760" s="1" t="s">
        <v>2013</v>
      </c>
      <c r="B760" s="1" t="s">
        <v>30</v>
      </c>
      <c r="C760" s="1">
        <v>2</v>
      </c>
      <c r="D760" s="1">
        <v>0</v>
      </c>
      <c r="E760" s="1" t="s">
        <v>2014</v>
      </c>
    </row>
    <row r="761" spans="1:5" x14ac:dyDescent="0.25">
      <c r="A761" s="1" t="s">
        <v>2015</v>
      </c>
      <c r="B761" s="1" t="s">
        <v>30</v>
      </c>
      <c r="C761" s="1">
        <v>2</v>
      </c>
      <c r="D761" s="1">
        <v>0</v>
      </c>
      <c r="E761" s="1" t="s">
        <v>2016</v>
      </c>
    </row>
    <row r="762" spans="1:5" x14ac:dyDescent="0.25">
      <c r="A762" s="1" t="s">
        <v>2017</v>
      </c>
      <c r="B762" s="1" t="s">
        <v>30</v>
      </c>
      <c r="C762" s="1">
        <v>2</v>
      </c>
      <c r="D762" s="1">
        <v>0</v>
      </c>
      <c r="E762" s="1" t="s">
        <v>2018</v>
      </c>
    </row>
    <row r="763" spans="1:5" x14ac:dyDescent="0.25">
      <c r="A763" s="1" t="s">
        <v>2019</v>
      </c>
      <c r="B763" s="1" t="s">
        <v>30</v>
      </c>
      <c r="C763" s="1">
        <v>2</v>
      </c>
      <c r="D763" s="1">
        <v>0</v>
      </c>
      <c r="E763" s="1" t="s">
        <v>2020</v>
      </c>
    </row>
    <row r="764" spans="1:5" x14ac:dyDescent="0.25">
      <c r="A764" s="1" t="s">
        <v>2021</v>
      </c>
      <c r="B764" s="1" t="s">
        <v>30</v>
      </c>
      <c r="C764" s="1">
        <v>2</v>
      </c>
      <c r="D764" s="1">
        <v>0</v>
      </c>
      <c r="E764" s="1" t="s">
        <v>2022</v>
      </c>
    </row>
    <row r="765" spans="1:5" x14ac:dyDescent="0.25">
      <c r="A765" s="1" t="s">
        <v>2023</v>
      </c>
      <c r="B765" s="1" t="s">
        <v>30</v>
      </c>
      <c r="C765" s="1">
        <v>2</v>
      </c>
      <c r="D765" s="1">
        <v>0</v>
      </c>
      <c r="E765" s="1" t="s">
        <v>2024</v>
      </c>
    </row>
    <row r="766" spans="1:5" x14ac:dyDescent="0.25">
      <c r="A766" s="1" t="s">
        <v>2025</v>
      </c>
      <c r="B766" s="1" t="s">
        <v>30</v>
      </c>
      <c r="C766" s="1">
        <v>2</v>
      </c>
      <c r="D766" s="1">
        <v>0</v>
      </c>
      <c r="E766" s="1" t="s">
        <v>2026</v>
      </c>
    </row>
    <row r="767" spans="1:5" x14ac:dyDescent="0.25">
      <c r="A767" s="1" t="s">
        <v>2027</v>
      </c>
      <c r="B767" s="1" t="s">
        <v>30</v>
      </c>
      <c r="C767" s="1">
        <v>2</v>
      </c>
      <c r="D767" s="1">
        <v>0</v>
      </c>
      <c r="E767" s="1" t="s">
        <v>2028</v>
      </c>
    </row>
    <row r="768" spans="1:5" x14ac:dyDescent="0.25">
      <c r="A768" s="1" t="s">
        <v>2029</v>
      </c>
      <c r="B768" s="1" t="s">
        <v>30</v>
      </c>
      <c r="C768" s="1">
        <v>2</v>
      </c>
      <c r="D768" s="1">
        <v>0</v>
      </c>
      <c r="E768" s="1" t="s">
        <v>2030</v>
      </c>
    </row>
    <row r="769" spans="1:5" x14ac:dyDescent="0.25">
      <c r="A769" s="1" t="s">
        <v>2031</v>
      </c>
      <c r="B769" s="1" t="s">
        <v>30</v>
      </c>
      <c r="C769" s="1">
        <v>2</v>
      </c>
      <c r="D769" s="1">
        <v>0</v>
      </c>
      <c r="E769" s="1" t="s">
        <v>2032</v>
      </c>
    </row>
    <row r="770" spans="1:5" x14ac:dyDescent="0.25">
      <c r="A770" s="1" t="s">
        <v>2033</v>
      </c>
      <c r="B770" s="1" t="s">
        <v>30</v>
      </c>
      <c r="C770" s="1">
        <v>2</v>
      </c>
      <c r="D770" s="1">
        <v>0</v>
      </c>
      <c r="E770" s="1" t="s">
        <v>2034</v>
      </c>
    </row>
    <row r="771" spans="1:5" x14ac:dyDescent="0.25">
      <c r="A771" s="1" t="s">
        <v>2035</v>
      </c>
      <c r="B771" s="1" t="s">
        <v>30</v>
      </c>
      <c r="C771" s="1">
        <v>2</v>
      </c>
      <c r="D771" s="1">
        <v>0</v>
      </c>
      <c r="E771" s="1" t="s">
        <v>2036</v>
      </c>
    </row>
    <row r="772" spans="1:5" x14ac:dyDescent="0.25">
      <c r="A772" s="1" t="s">
        <v>2037</v>
      </c>
      <c r="B772" s="1" t="s">
        <v>30</v>
      </c>
      <c r="C772" s="1">
        <v>2</v>
      </c>
      <c r="D772" s="1">
        <v>0</v>
      </c>
      <c r="E772" s="1" t="s">
        <v>2038</v>
      </c>
    </row>
    <row r="773" spans="1:5" x14ac:dyDescent="0.25">
      <c r="A773" s="1" t="s">
        <v>2039</v>
      </c>
      <c r="B773" s="1" t="s">
        <v>30</v>
      </c>
      <c r="C773" s="1">
        <v>2</v>
      </c>
      <c r="D773" s="1">
        <v>0</v>
      </c>
      <c r="E773" s="1" t="s">
        <v>2040</v>
      </c>
    </row>
    <row r="774" spans="1:5" x14ac:dyDescent="0.25">
      <c r="A774" s="1" t="s">
        <v>2041</v>
      </c>
      <c r="B774" s="1" t="s">
        <v>30</v>
      </c>
      <c r="C774" s="1">
        <v>2</v>
      </c>
      <c r="D774" s="1">
        <v>0</v>
      </c>
      <c r="E774" s="1" t="s">
        <v>2042</v>
      </c>
    </row>
    <row r="775" spans="1:5" x14ac:dyDescent="0.25">
      <c r="A775" s="1" t="s">
        <v>2043</v>
      </c>
      <c r="B775" s="1" t="s">
        <v>30</v>
      </c>
      <c r="C775" s="1">
        <v>2</v>
      </c>
      <c r="D775" s="1">
        <v>0</v>
      </c>
      <c r="E775" s="1" t="s">
        <v>2044</v>
      </c>
    </row>
    <row r="776" spans="1:5" x14ac:dyDescent="0.25">
      <c r="A776" s="1" t="s">
        <v>2045</v>
      </c>
      <c r="B776" s="1" t="s">
        <v>30</v>
      </c>
      <c r="C776" s="1">
        <v>2</v>
      </c>
      <c r="D776" s="1">
        <v>0</v>
      </c>
      <c r="E776" s="1" t="s">
        <v>2046</v>
      </c>
    </row>
    <row r="777" spans="1:5" x14ac:dyDescent="0.25">
      <c r="A777" s="1" t="s">
        <v>2047</v>
      </c>
      <c r="B777" s="1" t="s">
        <v>30</v>
      </c>
      <c r="C777" s="1">
        <v>2</v>
      </c>
      <c r="D777" s="1">
        <v>0</v>
      </c>
      <c r="E777" s="1" t="s">
        <v>2048</v>
      </c>
    </row>
    <row r="778" spans="1:5" x14ac:dyDescent="0.25">
      <c r="A778" s="1" t="s">
        <v>2049</v>
      </c>
      <c r="B778" s="1" t="s">
        <v>30</v>
      </c>
      <c r="C778" s="1">
        <v>2</v>
      </c>
      <c r="D778" s="1">
        <v>0</v>
      </c>
      <c r="E778" s="1" t="s">
        <v>2050</v>
      </c>
    </row>
    <row r="779" spans="1:5" x14ac:dyDescent="0.25">
      <c r="A779" s="1" t="s">
        <v>2051</v>
      </c>
      <c r="B779" s="1" t="s">
        <v>30</v>
      </c>
      <c r="C779" s="1">
        <v>2</v>
      </c>
      <c r="D779" s="1">
        <v>0</v>
      </c>
      <c r="E779" s="1" t="s">
        <v>2052</v>
      </c>
    </row>
    <row r="780" spans="1:5" x14ac:dyDescent="0.25">
      <c r="A780" s="1" t="s">
        <v>2053</v>
      </c>
      <c r="B780" s="1" t="s">
        <v>30</v>
      </c>
      <c r="C780" s="1">
        <v>2</v>
      </c>
      <c r="D780" s="1">
        <v>0</v>
      </c>
      <c r="E780" s="1" t="s">
        <v>2054</v>
      </c>
    </row>
    <row r="781" spans="1:5" x14ac:dyDescent="0.25">
      <c r="A781" s="1" t="s">
        <v>2055</v>
      </c>
      <c r="B781" s="1" t="s">
        <v>30</v>
      </c>
      <c r="C781" s="1">
        <v>2</v>
      </c>
      <c r="D781" s="1">
        <v>0</v>
      </c>
      <c r="E781" s="1" t="s">
        <v>2056</v>
      </c>
    </row>
    <row r="782" spans="1:5" x14ac:dyDescent="0.25">
      <c r="A782" s="1" t="s">
        <v>2057</v>
      </c>
      <c r="B782" s="1" t="s">
        <v>30</v>
      </c>
      <c r="C782" s="1">
        <v>2</v>
      </c>
      <c r="D782" s="1">
        <v>0</v>
      </c>
      <c r="E782" s="1" t="s">
        <v>2058</v>
      </c>
    </row>
    <row r="783" spans="1:5" x14ac:dyDescent="0.25">
      <c r="A783" s="1" t="s">
        <v>2059</v>
      </c>
      <c r="B783" s="1" t="s">
        <v>30</v>
      </c>
      <c r="C783" s="1">
        <v>2</v>
      </c>
      <c r="D783" s="1">
        <v>0</v>
      </c>
      <c r="E783" s="1" t="s">
        <v>2060</v>
      </c>
    </row>
    <row r="784" spans="1:5" x14ac:dyDescent="0.25">
      <c r="A784" s="1" t="s">
        <v>2061</v>
      </c>
      <c r="B784" s="1" t="s">
        <v>30</v>
      </c>
      <c r="C784" s="1">
        <v>2</v>
      </c>
      <c r="D784" s="1">
        <v>0</v>
      </c>
      <c r="E784" s="1" t="s">
        <v>2062</v>
      </c>
    </row>
    <row r="785" spans="1:5" x14ac:dyDescent="0.25">
      <c r="A785" s="1" t="s">
        <v>2063</v>
      </c>
      <c r="B785" s="1" t="s">
        <v>30</v>
      </c>
      <c r="C785" s="1">
        <v>2</v>
      </c>
      <c r="D785" s="1">
        <v>0</v>
      </c>
      <c r="E785" s="1" t="s">
        <v>2064</v>
      </c>
    </row>
    <row r="786" spans="1:5" x14ac:dyDescent="0.25">
      <c r="A786" s="1" t="s">
        <v>2065</v>
      </c>
      <c r="B786" s="1" t="s">
        <v>30</v>
      </c>
      <c r="C786" s="1">
        <v>2</v>
      </c>
      <c r="D786" s="1">
        <v>0</v>
      </c>
      <c r="E786" s="1" t="s">
        <v>2066</v>
      </c>
    </row>
    <row r="787" spans="1:5" x14ac:dyDescent="0.25">
      <c r="A787" s="1" t="s">
        <v>2067</v>
      </c>
      <c r="B787" s="1" t="s">
        <v>30</v>
      </c>
      <c r="C787" s="1">
        <v>2</v>
      </c>
      <c r="D787" s="1">
        <v>0</v>
      </c>
      <c r="E787" s="1" t="s">
        <v>2068</v>
      </c>
    </row>
    <row r="788" spans="1:5" x14ac:dyDescent="0.25">
      <c r="A788" s="1" t="s">
        <v>2069</v>
      </c>
      <c r="B788" s="1" t="s">
        <v>30</v>
      </c>
      <c r="C788" s="1">
        <v>2</v>
      </c>
      <c r="D788" s="1">
        <v>0</v>
      </c>
      <c r="E788" s="1" t="s">
        <v>2070</v>
      </c>
    </row>
    <row r="789" spans="1:5" x14ac:dyDescent="0.25">
      <c r="A789" s="1" t="s">
        <v>2071</v>
      </c>
      <c r="B789" s="1" t="s">
        <v>30</v>
      </c>
      <c r="C789" s="1">
        <v>2</v>
      </c>
      <c r="D789" s="1">
        <v>0</v>
      </c>
      <c r="E789" s="1" t="s">
        <v>2072</v>
      </c>
    </row>
    <row r="790" spans="1:5" x14ac:dyDescent="0.25">
      <c r="A790" s="1" t="s">
        <v>2073</v>
      </c>
      <c r="B790" s="1" t="s">
        <v>30</v>
      </c>
      <c r="C790" s="1">
        <v>2</v>
      </c>
      <c r="D790" s="1">
        <v>0</v>
      </c>
      <c r="E790" s="1" t="s">
        <v>2074</v>
      </c>
    </row>
    <row r="791" spans="1:5" x14ac:dyDescent="0.25">
      <c r="A791" s="1" t="s">
        <v>2075</v>
      </c>
      <c r="B791" s="1" t="s">
        <v>30</v>
      </c>
      <c r="C791" s="1">
        <v>2</v>
      </c>
      <c r="D791" s="1">
        <v>0</v>
      </c>
      <c r="E791" s="1" t="s">
        <v>2076</v>
      </c>
    </row>
    <row r="792" spans="1:5" x14ac:dyDescent="0.25">
      <c r="A792" s="1" t="s">
        <v>2077</v>
      </c>
      <c r="B792" s="1" t="s">
        <v>30</v>
      </c>
      <c r="C792" s="1">
        <v>2</v>
      </c>
      <c r="D792" s="1">
        <v>0</v>
      </c>
      <c r="E792" s="1" t="s">
        <v>2078</v>
      </c>
    </row>
    <row r="793" spans="1:5" x14ac:dyDescent="0.25">
      <c r="A793" s="1" t="s">
        <v>2079</v>
      </c>
      <c r="B793" s="1" t="s">
        <v>30</v>
      </c>
      <c r="C793" s="1">
        <v>2</v>
      </c>
      <c r="D793" s="1">
        <v>0</v>
      </c>
      <c r="E793" s="1" t="s">
        <v>2080</v>
      </c>
    </row>
    <row r="794" spans="1:5" x14ac:dyDescent="0.25">
      <c r="A794" s="1" t="s">
        <v>2081</v>
      </c>
      <c r="B794" s="1" t="s">
        <v>30</v>
      </c>
      <c r="C794" s="1">
        <v>2</v>
      </c>
      <c r="D794" s="1">
        <v>0</v>
      </c>
      <c r="E794" s="1" t="s">
        <v>2082</v>
      </c>
    </row>
    <row r="795" spans="1:5" x14ac:dyDescent="0.25">
      <c r="A795" s="1" t="s">
        <v>2083</v>
      </c>
      <c r="B795" s="1" t="s">
        <v>30</v>
      </c>
      <c r="C795" s="1">
        <v>2</v>
      </c>
      <c r="D795" s="1">
        <v>0</v>
      </c>
      <c r="E795" s="1" t="s">
        <v>2084</v>
      </c>
    </row>
    <row r="796" spans="1:5" x14ac:dyDescent="0.25">
      <c r="A796" s="1" t="s">
        <v>2085</v>
      </c>
      <c r="B796" s="1" t="s">
        <v>30</v>
      </c>
      <c r="C796" s="1">
        <v>2</v>
      </c>
      <c r="D796" s="1">
        <v>0</v>
      </c>
      <c r="E796" s="1" t="s">
        <v>2086</v>
      </c>
    </row>
    <row r="797" spans="1:5" x14ac:dyDescent="0.25">
      <c r="A797" s="1" t="s">
        <v>2087</v>
      </c>
      <c r="B797" s="1" t="s">
        <v>30</v>
      </c>
      <c r="C797" s="1">
        <v>2</v>
      </c>
      <c r="D797" s="1">
        <v>0</v>
      </c>
      <c r="E797" s="1" t="s">
        <v>2088</v>
      </c>
    </row>
    <row r="798" spans="1:5" x14ac:dyDescent="0.25">
      <c r="A798" s="1" t="s">
        <v>2089</v>
      </c>
      <c r="B798" s="1" t="s">
        <v>30</v>
      </c>
      <c r="C798" s="1">
        <v>2</v>
      </c>
      <c r="D798" s="1">
        <v>0</v>
      </c>
      <c r="E798" s="1" t="s">
        <v>2090</v>
      </c>
    </row>
    <row r="799" spans="1:5" x14ac:dyDescent="0.25">
      <c r="A799" s="1" t="s">
        <v>2091</v>
      </c>
      <c r="B799" s="1" t="s">
        <v>30</v>
      </c>
      <c r="C799" s="1">
        <v>2</v>
      </c>
      <c r="D799" s="1">
        <v>0</v>
      </c>
      <c r="E799" s="1" t="s">
        <v>2092</v>
      </c>
    </row>
    <row r="800" spans="1:5" x14ac:dyDescent="0.25">
      <c r="A800" s="1" t="s">
        <v>2093</v>
      </c>
      <c r="B800" s="1" t="s">
        <v>30</v>
      </c>
      <c r="C800" s="1">
        <v>2</v>
      </c>
      <c r="D800" s="1">
        <v>0</v>
      </c>
      <c r="E800" s="1" t="s">
        <v>2094</v>
      </c>
    </row>
    <row r="801" spans="1:5" x14ac:dyDescent="0.25">
      <c r="A801" s="1" t="s">
        <v>2095</v>
      </c>
      <c r="B801" s="1" t="s">
        <v>30</v>
      </c>
      <c r="C801" s="1">
        <v>2</v>
      </c>
      <c r="D801" s="1">
        <v>0</v>
      </c>
      <c r="E801" s="1" t="s">
        <v>2096</v>
      </c>
    </row>
    <row r="802" spans="1:5" x14ac:dyDescent="0.25">
      <c r="A802" s="1" t="s">
        <v>2097</v>
      </c>
      <c r="B802" s="1" t="s">
        <v>30</v>
      </c>
      <c r="C802" s="1">
        <v>2</v>
      </c>
      <c r="D802" s="1">
        <v>0</v>
      </c>
      <c r="E802" s="1" t="s">
        <v>2098</v>
      </c>
    </row>
    <row r="803" spans="1:5" x14ac:dyDescent="0.25">
      <c r="A803" s="1" t="s">
        <v>2099</v>
      </c>
      <c r="B803" s="1" t="s">
        <v>30</v>
      </c>
      <c r="C803" s="1">
        <v>2</v>
      </c>
      <c r="D803" s="1">
        <v>0</v>
      </c>
      <c r="E803" s="1" t="s">
        <v>2100</v>
      </c>
    </row>
    <row r="804" spans="1:5" x14ac:dyDescent="0.25">
      <c r="A804" s="1" t="s">
        <v>2101</v>
      </c>
      <c r="B804" s="1" t="s">
        <v>30</v>
      </c>
      <c r="C804" s="1">
        <v>2</v>
      </c>
      <c r="D804" s="1">
        <v>0</v>
      </c>
      <c r="E804" s="1" t="s">
        <v>2102</v>
      </c>
    </row>
    <row r="805" spans="1:5" x14ac:dyDescent="0.25">
      <c r="A805" s="1" t="s">
        <v>2103</v>
      </c>
      <c r="B805" s="1" t="s">
        <v>30</v>
      </c>
      <c r="C805" s="1">
        <v>2</v>
      </c>
      <c r="D805" s="1">
        <v>0</v>
      </c>
      <c r="E805" s="1" t="s">
        <v>2104</v>
      </c>
    </row>
    <row r="806" spans="1:5" x14ac:dyDescent="0.25">
      <c r="A806" s="1" t="s">
        <v>2105</v>
      </c>
      <c r="B806" s="1" t="s">
        <v>30</v>
      </c>
      <c r="C806" s="1">
        <v>2</v>
      </c>
      <c r="D806" s="1">
        <v>0</v>
      </c>
      <c r="E806" s="1" t="s">
        <v>2106</v>
      </c>
    </row>
    <row r="807" spans="1:5" x14ac:dyDescent="0.25">
      <c r="A807" s="1" t="s">
        <v>2107</v>
      </c>
      <c r="B807" s="1" t="s">
        <v>30</v>
      </c>
      <c r="C807" s="1">
        <v>2</v>
      </c>
      <c r="D807" s="1">
        <v>0</v>
      </c>
      <c r="E807" s="1" t="s">
        <v>2108</v>
      </c>
    </row>
    <row r="808" spans="1:5" x14ac:dyDescent="0.25">
      <c r="A808" s="1" t="s">
        <v>2109</v>
      </c>
      <c r="B808" s="1" t="s">
        <v>30</v>
      </c>
      <c r="C808" s="1">
        <v>2</v>
      </c>
      <c r="D808" s="1">
        <v>0</v>
      </c>
      <c r="E808" s="1" t="s">
        <v>2110</v>
      </c>
    </row>
    <row r="809" spans="1:5" x14ac:dyDescent="0.25">
      <c r="A809" s="1" t="s">
        <v>2111</v>
      </c>
      <c r="B809" s="1" t="s">
        <v>30</v>
      </c>
      <c r="C809" s="1">
        <v>2</v>
      </c>
      <c r="D809" s="1">
        <v>0</v>
      </c>
      <c r="E809" s="1" t="s">
        <v>2112</v>
      </c>
    </row>
    <row r="810" spans="1:5" x14ac:dyDescent="0.25">
      <c r="A810" s="1" t="s">
        <v>2113</v>
      </c>
      <c r="B810" s="1" t="s">
        <v>30</v>
      </c>
      <c r="C810" s="1">
        <v>2</v>
      </c>
      <c r="D810" s="1">
        <v>0</v>
      </c>
      <c r="E810" s="1" t="s">
        <v>2114</v>
      </c>
    </row>
    <row r="811" spans="1:5" x14ac:dyDescent="0.25">
      <c r="A811" s="1" t="s">
        <v>2115</v>
      </c>
      <c r="B811" s="1" t="s">
        <v>30</v>
      </c>
      <c r="C811" s="1">
        <v>2</v>
      </c>
      <c r="D811" s="1">
        <v>0</v>
      </c>
      <c r="E811" s="1" t="s">
        <v>2116</v>
      </c>
    </row>
    <row r="812" spans="1:5" x14ac:dyDescent="0.25">
      <c r="A812" s="1" t="s">
        <v>2117</v>
      </c>
      <c r="B812" s="1" t="s">
        <v>30</v>
      </c>
      <c r="C812" s="1">
        <v>2</v>
      </c>
      <c r="D812" s="1">
        <v>0</v>
      </c>
      <c r="E812" s="1" t="s">
        <v>2118</v>
      </c>
    </row>
    <row r="813" spans="1:5" x14ac:dyDescent="0.25">
      <c r="A813" s="1" t="s">
        <v>2119</v>
      </c>
      <c r="B813" s="1" t="s">
        <v>30</v>
      </c>
      <c r="C813" s="1">
        <v>2</v>
      </c>
      <c r="D813" s="1">
        <v>0</v>
      </c>
      <c r="E813" s="1" t="s">
        <v>2120</v>
      </c>
    </row>
    <row r="814" spans="1:5" x14ac:dyDescent="0.25">
      <c r="A814" s="1" t="s">
        <v>2121</v>
      </c>
      <c r="B814" s="1" t="s">
        <v>30</v>
      </c>
      <c r="C814" s="1">
        <v>2</v>
      </c>
      <c r="D814" s="1">
        <v>0</v>
      </c>
      <c r="E814" s="1" t="s">
        <v>2122</v>
      </c>
    </row>
    <row r="815" spans="1:5" x14ac:dyDescent="0.25">
      <c r="A815" s="1" t="s">
        <v>2123</v>
      </c>
      <c r="B815" s="1" t="s">
        <v>30</v>
      </c>
      <c r="C815" s="1">
        <v>2</v>
      </c>
      <c r="D815" s="1">
        <v>0</v>
      </c>
      <c r="E815" s="1" t="s">
        <v>2124</v>
      </c>
    </row>
    <row r="816" spans="1:5" x14ac:dyDescent="0.25">
      <c r="A816" s="1" t="s">
        <v>2125</v>
      </c>
      <c r="B816" s="1" t="s">
        <v>30</v>
      </c>
      <c r="C816" s="1">
        <v>2</v>
      </c>
      <c r="D816" s="1">
        <v>0</v>
      </c>
      <c r="E816" s="1" t="s">
        <v>2126</v>
      </c>
    </row>
    <row r="817" spans="1:5" x14ac:dyDescent="0.25">
      <c r="A817" s="1" t="s">
        <v>611</v>
      </c>
      <c r="B817" s="1" t="s">
        <v>30</v>
      </c>
      <c r="C817" s="1">
        <v>2</v>
      </c>
      <c r="D817" s="1">
        <v>0</v>
      </c>
      <c r="E817" s="1" t="s">
        <v>2127</v>
      </c>
    </row>
    <row r="818" spans="1:5" x14ac:dyDescent="0.25">
      <c r="A818" s="1" t="s">
        <v>612</v>
      </c>
      <c r="B818" s="1" t="s">
        <v>30</v>
      </c>
      <c r="C818" s="1">
        <v>2</v>
      </c>
      <c r="D818" s="1">
        <v>0</v>
      </c>
      <c r="E818" s="1" t="s">
        <v>2128</v>
      </c>
    </row>
    <row r="819" spans="1:5" x14ac:dyDescent="0.25">
      <c r="A819" s="1" t="s">
        <v>613</v>
      </c>
      <c r="B819" s="1" t="s">
        <v>30</v>
      </c>
      <c r="C819" s="1">
        <v>2</v>
      </c>
      <c r="D819" s="1">
        <v>0</v>
      </c>
      <c r="E819" s="1" t="s">
        <v>2129</v>
      </c>
    </row>
    <row r="820" spans="1:5" x14ac:dyDescent="0.25">
      <c r="A820" s="1" t="s">
        <v>614</v>
      </c>
      <c r="B820" s="1" t="s">
        <v>30</v>
      </c>
      <c r="C820" s="1">
        <v>2</v>
      </c>
      <c r="D820" s="1">
        <v>0</v>
      </c>
      <c r="E820" s="1" t="s">
        <v>2130</v>
      </c>
    </row>
    <row r="821" spans="1:5" x14ac:dyDescent="0.25">
      <c r="A821" s="1" t="s">
        <v>2131</v>
      </c>
      <c r="B821" s="1" t="s">
        <v>30</v>
      </c>
      <c r="C821" s="1">
        <v>2</v>
      </c>
      <c r="D821" s="1">
        <v>0</v>
      </c>
      <c r="E821" s="1" t="s">
        <v>2132</v>
      </c>
    </row>
    <row r="822" spans="1:5" x14ac:dyDescent="0.25">
      <c r="A822" s="1" t="s">
        <v>2133</v>
      </c>
      <c r="B822" s="1" t="s">
        <v>30</v>
      </c>
      <c r="C822" s="1">
        <v>2</v>
      </c>
      <c r="D822" s="1">
        <v>0</v>
      </c>
      <c r="E822" s="1" t="s">
        <v>2134</v>
      </c>
    </row>
    <row r="823" spans="1:5" x14ac:dyDescent="0.25">
      <c r="A823" s="1" t="s">
        <v>2135</v>
      </c>
      <c r="B823" s="1" t="s">
        <v>30</v>
      </c>
      <c r="C823" s="1">
        <v>2</v>
      </c>
      <c r="D823" s="1">
        <v>0</v>
      </c>
      <c r="E823" s="1" t="s">
        <v>2136</v>
      </c>
    </row>
    <row r="824" spans="1:5" x14ac:dyDescent="0.25">
      <c r="A824" s="1" t="s">
        <v>2137</v>
      </c>
      <c r="B824" s="1" t="s">
        <v>30</v>
      </c>
      <c r="C824" s="1">
        <v>2</v>
      </c>
      <c r="D824" s="1">
        <v>0</v>
      </c>
      <c r="E824" s="1" t="s">
        <v>2138</v>
      </c>
    </row>
    <row r="825" spans="1:5" x14ac:dyDescent="0.25">
      <c r="A825" s="1" t="s">
        <v>2139</v>
      </c>
      <c r="B825" s="1" t="s">
        <v>30</v>
      </c>
      <c r="C825" s="1">
        <v>2</v>
      </c>
      <c r="D825" s="1">
        <v>0</v>
      </c>
      <c r="E825" s="1" t="s">
        <v>2140</v>
      </c>
    </row>
    <row r="826" spans="1:5" x14ac:dyDescent="0.25">
      <c r="A826" s="1" t="s">
        <v>2141</v>
      </c>
      <c r="B826" s="1" t="s">
        <v>30</v>
      </c>
      <c r="C826" s="1">
        <v>2</v>
      </c>
      <c r="D826" s="1">
        <v>0</v>
      </c>
      <c r="E826" s="1" t="s">
        <v>2142</v>
      </c>
    </row>
    <row r="827" spans="1:5" x14ac:dyDescent="0.25">
      <c r="A827" s="1" t="s">
        <v>621</v>
      </c>
      <c r="B827" s="1" t="s">
        <v>30</v>
      </c>
      <c r="C827" s="1">
        <v>2</v>
      </c>
      <c r="D827" s="1">
        <v>0</v>
      </c>
      <c r="E827" s="1" t="s">
        <v>2143</v>
      </c>
    </row>
    <row r="828" spans="1:5" x14ac:dyDescent="0.25">
      <c r="A828" s="1" t="s">
        <v>622</v>
      </c>
      <c r="B828" s="1" t="s">
        <v>30</v>
      </c>
      <c r="C828" s="1">
        <v>2</v>
      </c>
      <c r="D828" s="1">
        <v>0</v>
      </c>
      <c r="E828" s="1" t="s">
        <v>2144</v>
      </c>
    </row>
    <row r="829" spans="1:5" x14ac:dyDescent="0.25">
      <c r="A829" s="1" t="s">
        <v>623</v>
      </c>
      <c r="B829" s="1" t="s">
        <v>30</v>
      </c>
      <c r="C829" s="1">
        <v>2</v>
      </c>
      <c r="D829" s="1">
        <v>0</v>
      </c>
      <c r="E829" s="1" t="s">
        <v>2145</v>
      </c>
    </row>
    <row r="830" spans="1:5" x14ac:dyDescent="0.25">
      <c r="A830" s="1" t="s">
        <v>2146</v>
      </c>
      <c r="B830" s="1" t="s">
        <v>30</v>
      </c>
      <c r="C830" s="1">
        <v>2</v>
      </c>
      <c r="D830" s="1">
        <v>0</v>
      </c>
      <c r="E830" s="1" t="s">
        <v>2147</v>
      </c>
    </row>
    <row r="831" spans="1:5" x14ac:dyDescent="0.25">
      <c r="A831" s="1" t="s">
        <v>2148</v>
      </c>
      <c r="B831" s="1" t="s">
        <v>30</v>
      </c>
      <c r="C831" s="1">
        <v>2</v>
      </c>
      <c r="D831" s="1">
        <v>0</v>
      </c>
      <c r="E831" s="1" t="s">
        <v>2149</v>
      </c>
    </row>
    <row r="832" spans="1:5" x14ac:dyDescent="0.25">
      <c r="A832" s="1" t="s">
        <v>2150</v>
      </c>
      <c r="B832" s="1" t="s">
        <v>30</v>
      </c>
      <c r="C832" s="1">
        <v>2</v>
      </c>
      <c r="D832" s="1">
        <v>0</v>
      </c>
      <c r="E832" s="1" t="s">
        <v>2151</v>
      </c>
    </row>
    <row r="833" spans="1:5" x14ac:dyDescent="0.25">
      <c r="A833" s="1" t="s">
        <v>2152</v>
      </c>
      <c r="B833" s="1" t="s">
        <v>30</v>
      </c>
      <c r="C833" s="1">
        <v>2</v>
      </c>
      <c r="D833" s="1">
        <v>0</v>
      </c>
      <c r="E833" s="1" t="s">
        <v>2153</v>
      </c>
    </row>
    <row r="834" spans="1:5" x14ac:dyDescent="0.25">
      <c r="A834" s="1" t="s">
        <v>628</v>
      </c>
      <c r="B834" s="1" t="s">
        <v>30</v>
      </c>
      <c r="C834" s="1">
        <v>2</v>
      </c>
      <c r="D834" s="1">
        <v>0</v>
      </c>
      <c r="E834" s="1" t="s">
        <v>2154</v>
      </c>
    </row>
    <row r="835" spans="1:5" x14ac:dyDescent="0.25">
      <c r="A835" s="1" t="s">
        <v>629</v>
      </c>
      <c r="B835" s="1" t="s">
        <v>30</v>
      </c>
      <c r="C835" s="1">
        <v>2</v>
      </c>
      <c r="D835" s="1">
        <v>0</v>
      </c>
      <c r="E835" s="1" t="s">
        <v>2155</v>
      </c>
    </row>
    <row r="836" spans="1:5" x14ac:dyDescent="0.25">
      <c r="A836" s="1" t="s">
        <v>2156</v>
      </c>
      <c r="B836" s="1" t="s">
        <v>30</v>
      </c>
      <c r="C836" s="1">
        <v>2</v>
      </c>
      <c r="D836" s="1">
        <v>0</v>
      </c>
      <c r="E836" s="1" t="s">
        <v>2157</v>
      </c>
    </row>
    <row r="837" spans="1:5" x14ac:dyDescent="0.25">
      <c r="A837" s="1" t="s">
        <v>631</v>
      </c>
      <c r="B837" s="1" t="s">
        <v>30</v>
      </c>
      <c r="C837" s="1">
        <v>2</v>
      </c>
      <c r="D837" s="1">
        <v>0</v>
      </c>
      <c r="E837" s="1" t="s">
        <v>2158</v>
      </c>
    </row>
    <row r="838" spans="1:5" x14ac:dyDescent="0.25">
      <c r="A838" s="1" t="s">
        <v>632</v>
      </c>
      <c r="B838" s="1" t="s">
        <v>30</v>
      </c>
      <c r="C838" s="1">
        <v>2</v>
      </c>
      <c r="D838" s="1">
        <v>0</v>
      </c>
      <c r="E838" s="1" t="s">
        <v>2159</v>
      </c>
    </row>
    <row r="839" spans="1:5" x14ac:dyDescent="0.25">
      <c r="A839" s="1" t="s">
        <v>2160</v>
      </c>
      <c r="B839" s="1" t="s">
        <v>30</v>
      </c>
      <c r="C839" s="1">
        <v>2</v>
      </c>
      <c r="D839" s="1">
        <v>0</v>
      </c>
      <c r="E839" s="1" t="s">
        <v>2161</v>
      </c>
    </row>
    <row r="840" spans="1:5" x14ac:dyDescent="0.25">
      <c r="A840" s="1" t="s">
        <v>2162</v>
      </c>
      <c r="B840" s="1" t="s">
        <v>30</v>
      </c>
      <c r="C840" s="1">
        <v>2</v>
      </c>
      <c r="D840" s="1">
        <v>0</v>
      </c>
      <c r="E840" s="1" t="s">
        <v>2163</v>
      </c>
    </row>
    <row r="841" spans="1:5" x14ac:dyDescent="0.25">
      <c r="A841" s="1" t="s">
        <v>2164</v>
      </c>
      <c r="B841" s="1" t="s">
        <v>30</v>
      </c>
      <c r="C841" s="1">
        <v>2</v>
      </c>
      <c r="D841" s="1">
        <v>0</v>
      </c>
      <c r="E841" s="1" t="s">
        <v>2165</v>
      </c>
    </row>
    <row r="842" spans="1:5" x14ac:dyDescent="0.25">
      <c r="A842" s="1" t="s">
        <v>636</v>
      </c>
      <c r="B842" s="1" t="s">
        <v>30</v>
      </c>
      <c r="C842" s="1">
        <v>2</v>
      </c>
      <c r="D842" s="1">
        <v>0</v>
      </c>
      <c r="E842" s="1" t="s">
        <v>2166</v>
      </c>
    </row>
    <row r="843" spans="1:5" x14ac:dyDescent="0.25">
      <c r="A843" s="1" t="s">
        <v>637</v>
      </c>
      <c r="B843" s="1" t="s">
        <v>30</v>
      </c>
      <c r="C843" s="1">
        <v>2</v>
      </c>
      <c r="D843" s="1">
        <v>0</v>
      </c>
      <c r="E843" s="1" t="s">
        <v>2167</v>
      </c>
    </row>
    <row r="844" spans="1:5" x14ac:dyDescent="0.25">
      <c r="A844" s="1" t="s">
        <v>638</v>
      </c>
      <c r="B844" s="1" t="s">
        <v>30</v>
      </c>
      <c r="C844" s="1">
        <v>2</v>
      </c>
      <c r="D844" s="1">
        <v>0</v>
      </c>
      <c r="E844" s="1" t="s">
        <v>2168</v>
      </c>
    </row>
    <row r="845" spans="1:5" x14ac:dyDescent="0.25">
      <c r="A845" s="1" t="s">
        <v>639</v>
      </c>
      <c r="B845" s="1" t="s">
        <v>30</v>
      </c>
      <c r="C845" s="1">
        <v>2</v>
      </c>
      <c r="D845" s="1">
        <v>0</v>
      </c>
      <c r="E845" s="1" t="s">
        <v>2169</v>
      </c>
    </row>
    <row r="846" spans="1:5" x14ac:dyDescent="0.25">
      <c r="A846" s="1" t="s">
        <v>640</v>
      </c>
      <c r="B846" s="1" t="s">
        <v>30</v>
      </c>
      <c r="C846" s="1">
        <v>2</v>
      </c>
      <c r="D846" s="1">
        <v>0</v>
      </c>
      <c r="E846" s="1" t="s">
        <v>2170</v>
      </c>
    </row>
    <row r="847" spans="1:5" x14ac:dyDescent="0.25">
      <c r="A847" s="1" t="s">
        <v>641</v>
      </c>
      <c r="B847" s="1" t="s">
        <v>30</v>
      </c>
      <c r="C847" s="1">
        <v>2</v>
      </c>
      <c r="D847" s="1">
        <v>0</v>
      </c>
      <c r="E847" s="1" t="s">
        <v>2171</v>
      </c>
    </row>
    <row r="848" spans="1:5" x14ac:dyDescent="0.25">
      <c r="A848" s="1" t="s">
        <v>642</v>
      </c>
      <c r="B848" s="1" t="s">
        <v>30</v>
      </c>
      <c r="C848" s="1">
        <v>2</v>
      </c>
      <c r="D848" s="1">
        <v>0</v>
      </c>
      <c r="E848" s="1" t="s">
        <v>2172</v>
      </c>
    </row>
    <row r="849" spans="1:5" x14ac:dyDescent="0.25">
      <c r="A849" s="1" t="s">
        <v>2173</v>
      </c>
      <c r="B849" s="1" t="s">
        <v>30</v>
      </c>
      <c r="C849" s="1">
        <v>3</v>
      </c>
      <c r="D849" s="1">
        <v>0</v>
      </c>
      <c r="E849" s="1" t="s">
        <v>2174</v>
      </c>
    </row>
    <row r="850" spans="1:5" x14ac:dyDescent="0.25">
      <c r="A850" s="1" t="s">
        <v>2175</v>
      </c>
      <c r="B850" s="1" t="s">
        <v>30</v>
      </c>
      <c r="C850" s="1">
        <v>3</v>
      </c>
      <c r="D850" s="1">
        <v>0</v>
      </c>
      <c r="E850" s="1" t="s">
        <v>2176</v>
      </c>
    </row>
    <row r="851" spans="1:5" x14ac:dyDescent="0.25">
      <c r="A851" s="1" t="s">
        <v>2177</v>
      </c>
      <c r="B851" s="1" t="s">
        <v>30</v>
      </c>
      <c r="C851" s="1">
        <v>3</v>
      </c>
      <c r="D851" s="1">
        <v>0</v>
      </c>
      <c r="E851" s="1" t="s">
        <v>2178</v>
      </c>
    </row>
    <row r="852" spans="1:5" x14ac:dyDescent="0.25">
      <c r="A852" s="1" t="s">
        <v>2179</v>
      </c>
      <c r="B852" s="1" t="s">
        <v>30</v>
      </c>
      <c r="C852" s="1">
        <v>2</v>
      </c>
      <c r="D852" s="1">
        <v>0</v>
      </c>
      <c r="E852" s="1" t="s">
        <v>2180</v>
      </c>
    </row>
    <row r="853" spans="1:5" x14ac:dyDescent="0.25">
      <c r="A853" s="1" t="s">
        <v>2181</v>
      </c>
      <c r="B853" s="1" t="s">
        <v>30</v>
      </c>
      <c r="C853" s="1">
        <v>2</v>
      </c>
      <c r="D853" s="1">
        <v>0</v>
      </c>
      <c r="E853" s="1" t="s">
        <v>2182</v>
      </c>
    </row>
    <row r="854" spans="1:5" x14ac:dyDescent="0.25">
      <c r="A854" s="1" t="s">
        <v>2183</v>
      </c>
      <c r="B854" s="1" t="s">
        <v>30</v>
      </c>
      <c r="C854" s="1">
        <v>2</v>
      </c>
      <c r="D854" s="1">
        <v>0</v>
      </c>
      <c r="E854" s="1" t="s">
        <v>2184</v>
      </c>
    </row>
    <row r="855" spans="1:5" x14ac:dyDescent="0.25">
      <c r="A855" s="1" t="s">
        <v>2185</v>
      </c>
      <c r="B855" s="1" t="s">
        <v>30</v>
      </c>
      <c r="C855" s="1">
        <v>2</v>
      </c>
      <c r="D855" s="1">
        <v>0</v>
      </c>
      <c r="E855" s="1" t="s">
        <v>2186</v>
      </c>
    </row>
    <row r="856" spans="1:5" x14ac:dyDescent="0.25">
      <c r="A856" s="1" t="s">
        <v>2187</v>
      </c>
      <c r="B856" s="1" t="s">
        <v>30</v>
      </c>
      <c r="C856" s="1">
        <v>2</v>
      </c>
      <c r="D856" s="1">
        <v>0</v>
      </c>
      <c r="E856" s="1" t="s">
        <v>2188</v>
      </c>
    </row>
    <row r="857" spans="1:5" x14ac:dyDescent="0.25">
      <c r="A857" s="1" t="s">
        <v>2189</v>
      </c>
      <c r="B857" s="1" t="s">
        <v>30</v>
      </c>
      <c r="C857" s="1">
        <v>2</v>
      </c>
      <c r="D857" s="1">
        <v>0</v>
      </c>
      <c r="E857" s="1" t="s">
        <v>2190</v>
      </c>
    </row>
    <row r="858" spans="1:5" x14ac:dyDescent="0.25">
      <c r="A858" s="1" t="s">
        <v>72</v>
      </c>
      <c r="B858" s="1" t="s">
        <v>30</v>
      </c>
      <c r="C858" s="1">
        <v>2</v>
      </c>
      <c r="D858" s="1">
        <v>0</v>
      </c>
      <c r="E858" s="1" t="s">
        <v>2191</v>
      </c>
    </row>
    <row r="859" spans="1:5" x14ac:dyDescent="0.25">
      <c r="A859" s="1" t="s">
        <v>73</v>
      </c>
      <c r="B859" s="1" t="s">
        <v>27</v>
      </c>
      <c r="C859" s="1">
        <v>150</v>
      </c>
      <c r="D859" s="1">
        <v>0</v>
      </c>
      <c r="E859" s="1" t="s">
        <v>2192</v>
      </c>
    </row>
    <row r="860" spans="1:5" x14ac:dyDescent="0.25">
      <c r="A860" s="1" t="s">
        <v>74</v>
      </c>
      <c r="B860" s="1" t="s">
        <v>30</v>
      </c>
      <c r="C860" s="1">
        <v>2</v>
      </c>
      <c r="D860" s="1">
        <v>0</v>
      </c>
      <c r="E860" s="1" t="s">
        <v>2193</v>
      </c>
    </row>
    <row r="861" spans="1:5" x14ac:dyDescent="0.25">
      <c r="A861" s="1" t="s">
        <v>75</v>
      </c>
      <c r="B861" s="1" t="s">
        <v>27</v>
      </c>
      <c r="C861" s="1">
        <v>150</v>
      </c>
      <c r="D861" s="1">
        <v>0</v>
      </c>
      <c r="E861" s="1" t="s">
        <v>2194</v>
      </c>
    </row>
    <row r="862" spans="1:5" x14ac:dyDescent="0.25">
      <c r="A862" s="1" t="s">
        <v>76</v>
      </c>
      <c r="B862" s="1" t="s">
        <v>30</v>
      </c>
      <c r="C862" s="1">
        <v>2</v>
      </c>
      <c r="D862" s="1">
        <v>0</v>
      </c>
      <c r="E862" s="1" t="s">
        <v>2195</v>
      </c>
    </row>
    <row r="863" spans="1:5" x14ac:dyDescent="0.25">
      <c r="A863" s="1" t="s">
        <v>77</v>
      </c>
      <c r="B863" s="1" t="s">
        <v>27</v>
      </c>
      <c r="C863" s="1">
        <v>150</v>
      </c>
      <c r="D863" s="1">
        <v>0</v>
      </c>
      <c r="E863" s="1" t="s">
        <v>2196</v>
      </c>
    </row>
    <row r="864" spans="1:5" x14ac:dyDescent="0.25">
      <c r="A864" s="1" t="s">
        <v>2197</v>
      </c>
      <c r="B864" s="1" t="s">
        <v>30</v>
      </c>
      <c r="C864" s="1">
        <v>2</v>
      </c>
      <c r="D864" s="1">
        <v>0</v>
      </c>
      <c r="E864" s="1" t="s">
        <v>2198</v>
      </c>
    </row>
    <row r="865" spans="1:5" x14ac:dyDescent="0.25">
      <c r="A865" s="1" t="s">
        <v>1104</v>
      </c>
      <c r="B865" s="1" t="s">
        <v>30</v>
      </c>
      <c r="C865" s="1">
        <v>5</v>
      </c>
      <c r="D865" s="1">
        <v>0</v>
      </c>
      <c r="E865" s="1" t="s">
        <v>2199</v>
      </c>
    </row>
    <row r="866" spans="1:5" x14ac:dyDescent="0.25">
      <c r="A866" s="1" t="s">
        <v>643</v>
      </c>
      <c r="B866" s="1" t="s">
        <v>30</v>
      </c>
      <c r="C866" s="1">
        <v>2</v>
      </c>
      <c r="D866" s="1">
        <v>0</v>
      </c>
      <c r="E866" s="1" t="s">
        <v>2200</v>
      </c>
    </row>
    <row r="867" spans="1:5" x14ac:dyDescent="0.25">
      <c r="A867" s="1" t="s">
        <v>899</v>
      </c>
      <c r="B867" s="1" t="s">
        <v>27</v>
      </c>
      <c r="C867" s="1">
        <v>36</v>
      </c>
      <c r="D867" s="1">
        <v>0</v>
      </c>
      <c r="E867" s="1" t="s">
        <v>2201</v>
      </c>
    </row>
    <row r="868" spans="1:5" x14ac:dyDescent="0.25">
      <c r="A868" s="1" t="s">
        <v>900</v>
      </c>
      <c r="B868" s="1" t="s">
        <v>27</v>
      </c>
      <c r="C868" s="1">
        <v>24</v>
      </c>
      <c r="D868" s="1">
        <v>0</v>
      </c>
      <c r="E868" s="1" t="s">
        <v>2202</v>
      </c>
    </row>
    <row r="869" spans="1:5" x14ac:dyDescent="0.25">
      <c r="A869" s="1" t="s">
        <v>901</v>
      </c>
      <c r="B869" s="1" t="s">
        <v>27</v>
      </c>
      <c r="C869" s="1">
        <v>30</v>
      </c>
      <c r="D869" s="1">
        <v>0</v>
      </c>
      <c r="E869" s="1" t="s">
        <v>2203</v>
      </c>
    </row>
    <row r="870" spans="1:5" x14ac:dyDescent="0.25">
      <c r="A870" s="1" t="s">
        <v>902</v>
      </c>
      <c r="B870" s="1" t="s">
        <v>30</v>
      </c>
      <c r="C870" s="1">
        <v>2</v>
      </c>
      <c r="D870" s="1">
        <v>0</v>
      </c>
      <c r="E870" s="1" t="s">
        <v>2204</v>
      </c>
    </row>
    <row r="871" spans="1:5" x14ac:dyDescent="0.25">
      <c r="A871" s="1" t="s">
        <v>903</v>
      </c>
      <c r="B871" s="1" t="s">
        <v>27</v>
      </c>
      <c r="C871" s="1">
        <v>150</v>
      </c>
      <c r="D871" s="1">
        <v>0</v>
      </c>
      <c r="E871" s="1" t="s">
        <v>2204</v>
      </c>
    </row>
    <row r="872" spans="1:5" x14ac:dyDescent="0.25">
      <c r="A872" s="1" t="s">
        <v>904</v>
      </c>
      <c r="B872" s="1" t="s">
        <v>27</v>
      </c>
      <c r="C872" s="1">
        <v>150</v>
      </c>
      <c r="D872" s="1">
        <v>0</v>
      </c>
      <c r="E872" s="1" t="s">
        <v>2204</v>
      </c>
    </row>
    <row r="873" spans="1:5" x14ac:dyDescent="0.25">
      <c r="A873" s="1" t="s">
        <v>906</v>
      </c>
      <c r="B873" s="1" t="s">
        <v>30</v>
      </c>
      <c r="C873" s="1">
        <v>2</v>
      </c>
      <c r="D873" s="1">
        <v>0</v>
      </c>
      <c r="E873" s="1" t="s">
        <v>2205</v>
      </c>
    </row>
    <row r="874" spans="1:5" x14ac:dyDescent="0.25">
      <c r="A874" s="1" t="s">
        <v>907</v>
      </c>
      <c r="B874" s="1" t="s">
        <v>30</v>
      </c>
      <c r="C874" s="1">
        <v>2</v>
      </c>
      <c r="D874" s="1">
        <v>0</v>
      </c>
      <c r="E874" s="1" t="s">
        <v>2205</v>
      </c>
    </row>
    <row r="875" spans="1:5" x14ac:dyDescent="0.25">
      <c r="A875" s="1" t="s">
        <v>908</v>
      </c>
      <c r="B875" s="1" t="s">
        <v>30</v>
      </c>
      <c r="C875" s="1">
        <v>2</v>
      </c>
      <c r="D875" s="1">
        <v>0</v>
      </c>
      <c r="E875" s="1" t="s">
        <v>2205</v>
      </c>
    </row>
    <row r="876" spans="1:5" x14ac:dyDescent="0.25">
      <c r="A876" s="1" t="s">
        <v>2206</v>
      </c>
      <c r="B876" s="1" t="s">
        <v>30</v>
      </c>
      <c r="C876" s="1">
        <v>2</v>
      </c>
      <c r="D876" s="1">
        <v>0</v>
      </c>
      <c r="E876" s="1" t="s">
        <v>2205</v>
      </c>
    </row>
    <row r="877" spans="1:5" x14ac:dyDescent="0.25">
      <c r="A877" s="1" t="s">
        <v>2207</v>
      </c>
      <c r="B877" s="1" t="s">
        <v>30</v>
      </c>
      <c r="C877" s="1">
        <v>2</v>
      </c>
      <c r="D877" s="1">
        <v>0</v>
      </c>
      <c r="E877" s="1" t="s">
        <v>2208</v>
      </c>
    </row>
    <row r="878" spans="1:5" x14ac:dyDescent="0.25">
      <c r="A878" s="1" t="s">
        <v>2209</v>
      </c>
      <c r="B878" s="1" t="s">
        <v>30</v>
      </c>
      <c r="C878" s="1">
        <v>2</v>
      </c>
      <c r="D878" s="1">
        <v>0</v>
      </c>
      <c r="E878" s="1" t="s">
        <v>2208</v>
      </c>
    </row>
    <row r="879" spans="1:5" x14ac:dyDescent="0.25">
      <c r="A879" s="1" t="s">
        <v>2210</v>
      </c>
      <c r="B879" s="1" t="s">
        <v>30</v>
      </c>
      <c r="C879" s="1">
        <v>2</v>
      </c>
      <c r="D879" s="1">
        <v>0</v>
      </c>
      <c r="E879" s="1" t="s">
        <v>2208</v>
      </c>
    </row>
    <row r="880" spans="1:5" x14ac:dyDescent="0.25">
      <c r="A880" s="1" t="s">
        <v>2211</v>
      </c>
      <c r="B880" s="1" t="s">
        <v>30</v>
      </c>
      <c r="C880" s="1">
        <v>2</v>
      </c>
      <c r="D880" s="1">
        <v>0</v>
      </c>
      <c r="E880" s="1" t="s">
        <v>2208</v>
      </c>
    </row>
    <row r="881" spans="1:5" x14ac:dyDescent="0.25">
      <c r="A881" s="1" t="s">
        <v>2212</v>
      </c>
      <c r="B881" s="1" t="s">
        <v>30</v>
      </c>
      <c r="C881" s="1">
        <v>2</v>
      </c>
      <c r="D881" s="1">
        <v>0</v>
      </c>
      <c r="E881" s="1" t="s">
        <v>2208</v>
      </c>
    </row>
    <row r="882" spans="1:5" x14ac:dyDescent="0.25">
      <c r="A882" s="1" t="s">
        <v>910</v>
      </c>
      <c r="B882" s="1" t="s">
        <v>27</v>
      </c>
      <c r="C882" s="1">
        <v>30</v>
      </c>
      <c r="D882" s="1">
        <v>0</v>
      </c>
      <c r="E882" s="1" t="s">
        <v>2213</v>
      </c>
    </row>
    <row r="883" spans="1:5" x14ac:dyDescent="0.25">
      <c r="A883" s="1" t="s">
        <v>911</v>
      </c>
      <c r="B883" s="1" t="s">
        <v>27</v>
      </c>
      <c r="C883" s="1">
        <v>450</v>
      </c>
      <c r="D883" s="1">
        <v>0</v>
      </c>
      <c r="E883" s="1" t="s">
        <v>2214</v>
      </c>
    </row>
    <row r="884" spans="1:5" x14ac:dyDescent="0.25">
      <c r="A884" s="1" t="s">
        <v>2215</v>
      </c>
      <c r="B884" s="1" t="s">
        <v>27</v>
      </c>
      <c r="C884" s="1">
        <v>150</v>
      </c>
      <c r="D884" s="1">
        <v>0</v>
      </c>
      <c r="E884" s="1" t="s">
        <v>2216</v>
      </c>
    </row>
    <row r="885" spans="1:5" x14ac:dyDescent="0.25">
      <c r="A885" s="1" t="s">
        <v>912</v>
      </c>
      <c r="B885" s="1" t="s">
        <v>30</v>
      </c>
      <c r="C885" s="1">
        <v>14</v>
      </c>
      <c r="D885" s="1">
        <v>0</v>
      </c>
      <c r="E885" s="1" t="s">
        <v>2217</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57"/>
  <sheetViews>
    <sheetView topLeftCell="A41" workbookViewId="0">
      <selection activeCell="A3" sqref="A3:A57"/>
    </sheetView>
  </sheetViews>
  <sheetFormatPr defaultRowHeight="16.5" x14ac:dyDescent="0.25"/>
  <sheetData>
    <row r="1" spans="1:3" s="1" customFormat="1" x14ac:dyDescent="0.25">
      <c r="A1" s="1" t="s">
        <v>23</v>
      </c>
      <c r="B1" s="1" t="s">
        <v>24</v>
      </c>
      <c r="C1" s="1" t="s">
        <v>25</v>
      </c>
    </row>
    <row r="2" spans="1:3" hidden="1" x14ac:dyDescent="0.25">
      <c r="A2" s="1" t="s">
        <v>2218</v>
      </c>
      <c r="B2" s="1" t="s">
        <v>27</v>
      </c>
      <c r="C2" s="1">
        <v>1500</v>
      </c>
    </row>
    <row r="3" spans="1:3" x14ac:dyDescent="0.25">
      <c r="A3" s="1" t="s">
        <v>2219</v>
      </c>
      <c r="B3" s="1" t="s">
        <v>30</v>
      </c>
      <c r="C3" s="1">
        <v>2</v>
      </c>
    </row>
    <row r="4" spans="1:3" x14ac:dyDescent="0.25">
      <c r="A4" s="1" t="s">
        <v>2220</v>
      </c>
      <c r="B4" s="1" t="s">
        <v>30</v>
      </c>
      <c r="C4" s="1">
        <v>2</v>
      </c>
    </row>
    <row r="5" spans="1:3" x14ac:dyDescent="0.25">
      <c r="A5" s="1" t="s">
        <v>2221</v>
      </c>
      <c r="B5" s="1" t="s">
        <v>30</v>
      </c>
      <c r="C5" s="1">
        <v>2</v>
      </c>
    </row>
    <row r="6" spans="1:3" hidden="1" x14ac:dyDescent="0.25">
      <c r="A6" s="1" t="s">
        <v>2222</v>
      </c>
      <c r="B6" s="1" t="s">
        <v>27</v>
      </c>
      <c r="C6" s="1">
        <v>150</v>
      </c>
    </row>
    <row r="7" spans="1:3" hidden="1" x14ac:dyDescent="0.25">
      <c r="A7" s="1" t="s">
        <v>2223</v>
      </c>
      <c r="B7" s="1" t="s">
        <v>27</v>
      </c>
      <c r="C7" s="1">
        <v>150</v>
      </c>
    </row>
    <row r="8" spans="1:3" x14ac:dyDescent="0.25">
      <c r="A8" s="1" t="s">
        <v>2224</v>
      </c>
      <c r="B8" s="1" t="s">
        <v>30</v>
      </c>
      <c r="C8" s="1">
        <v>2</v>
      </c>
    </row>
    <row r="9" spans="1:3" x14ac:dyDescent="0.25">
      <c r="A9" s="1" t="s">
        <v>2225</v>
      </c>
      <c r="B9" s="1" t="s">
        <v>30</v>
      </c>
      <c r="C9" s="1">
        <v>2</v>
      </c>
    </row>
    <row r="10" spans="1:3" x14ac:dyDescent="0.25">
      <c r="A10" s="1" t="s">
        <v>2226</v>
      </c>
      <c r="B10" s="1" t="s">
        <v>30</v>
      </c>
      <c r="C10" s="1">
        <v>2</v>
      </c>
    </row>
    <row r="11" spans="1:3" x14ac:dyDescent="0.25">
      <c r="A11" s="1" t="s">
        <v>2227</v>
      </c>
      <c r="B11" s="1" t="s">
        <v>30</v>
      </c>
      <c r="C11" s="1">
        <v>2</v>
      </c>
    </row>
    <row r="12" spans="1:3" x14ac:dyDescent="0.25">
      <c r="A12" s="1" t="s">
        <v>2228</v>
      </c>
      <c r="B12" s="1" t="s">
        <v>30</v>
      </c>
      <c r="C12" s="1">
        <v>2</v>
      </c>
    </row>
    <row r="13" spans="1:3" x14ac:dyDescent="0.25">
      <c r="A13" s="1" t="s">
        <v>2229</v>
      </c>
      <c r="B13" s="1" t="s">
        <v>30</v>
      </c>
      <c r="C13" s="1">
        <v>2</v>
      </c>
    </row>
    <row r="14" spans="1:3" x14ac:dyDescent="0.25">
      <c r="A14" s="1" t="s">
        <v>2230</v>
      </c>
      <c r="B14" s="1" t="s">
        <v>30</v>
      </c>
      <c r="C14" s="1">
        <v>2</v>
      </c>
    </row>
    <row r="15" spans="1:3" x14ac:dyDescent="0.25">
      <c r="A15" s="1" t="s">
        <v>2231</v>
      </c>
      <c r="B15" s="1" t="s">
        <v>30</v>
      </c>
      <c r="C15" s="1">
        <v>2</v>
      </c>
    </row>
    <row r="16" spans="1:3" hidden="1" x14ac:dyDescent="0.25">
      <c r="A16" s="1" t="s">
        <v>2232</v>
      </c>
      <c r="B16" s="1" t="s">
        <v>27</v>
      </c>
      <c r="C16" s="1">
        <v>150</v>
      </c>
    </row>
    <row r="17" spans="1:3" x14ac:dyDescent="0.25">
      <c r="A17" s="1" t="s">
        <v>2233</v>
      </c>
      <c r="B17" s="1" t="s">
        <v>30</v>
      </c>
      <c r="C17" s="1">
        <v>2</v>
      </c>
    </row>
    <row r="18" spans="1:3" hidden="1" x14ac:dyDescent="0.25">
      <c r="A18" s="1" t="s">
        <v>2234</v>
      </c>
      <c r="B18" s="1" t="s">
        <v>27</v>
      </c>
      <c r="C18" s="1">
        <v>150</v>
      </c>
    </row>
    <row r="19" spans="1:3" x14ac:dyDescent="0.25">
      <c r="A19" s="1" t="s">
        <v>2235</v>
      </c>
      <c r="B19" s="1" t="s">
        <v>30</v>
      </c>
      <c r="C19" s="1">
        <v>2</v>
      </c>
    </row>
    <row r="20" spans="1:3" hidden="1" x14ac:dyDescent="0.25">
      <c r="A20" s="1" t="s">
        <v>2236</v>
      </c>
      <c r="B20" s="1" t="s">
        <v>27</v>
      </c>
      <c r="C20" s="1">
        <v>150</v>
      </c>
    </row>
    <row r="21" spans="1:3" hidden="1" x14ac:dyDescent="0.25">
      <c r="A21" s="1" t="s">
        <v>2237</v>
      </c>
      <c r="B21" s="1" t="s">
        <v>27</v>
      </c>
      <c r="C21" s="1">
        <v>150</v>
      </c>
    </row>
    <row r="22" spans="1:3" x14ac:dyDescent="0.25">
      <c r="A22" s="1" t="s">
        <v>2238</v>
      </c>
      <c r="B22" s="1" t="s">
        <v>30</v>
      </c>
      <c r="C22" s="1">
        <v>2</v>
      </c>
    </row>
    <row r="23" spans="1:3" x14ac:dyDescent="0.25">
      <c r="A23" s="1" t="s">
        <v>2239</v>
      </c>
      <c r="B23" s="1" t="s">
        <v>30</v>
      </c>
      <c r="C23" s="1">
        <v>2</v>
      </c>
    </row>
    <row r="24" spans="1:3" x14ac:dyDescent="0.25">
      <c r="A24" s="1" t="s">
        <v>2240</v>
      </c>
      <c r="B24" s="1" t="s">
        <v>30</v>
      </c>
      <c r="C24" s="1">
        <v>2</v>
      </c>
    </row>
    <row r="25" spans="1:3" x14ac:dyDescent="0.25">
      <c r="A25" s="1" t="s">
        <v>2241</v>
      </c>
      <c r="B25" s="1" t="s">
        <v>30</v>
      </c>
      <c r="C25" s="1">
        <v>2</v>
      </c>
    </row>
    <row r="26" spans="1:3" x14ac:dyDescent="0.25">
      <c r="A26" s="1" t="s">
        <v>2242</v>
      </c>
      <c r="B26" s="1" t="s">
        <v>30</v>
      </c>
      <c r="C26" s="1">
        <v>2</v>
      </c>
    </row>
    <row r="27" spans="1:3" x14ac:dyDescent="0.25">
      <c r="A27" s="1" t="s">
        <v>2243</v>
      </c>
      <c r="B27" s="1" t="s">
        <v>30</v>
      </c>
      <c r="C27" s="1">
        <v>2</v>
      </c>
    </row>
    <row r="28" spans="1:3" x14ac:dyDescent="0.25">
      <c r="A28" s="1" t="s">
        <v>2244</v>
      </c>
      <c r="B28" s="1" t="s">
        <v>30</v>
      </c>
      <c r="C28" s="1">
        <v>2</v>
      </c>
    </row>
    <row r="29" spans="1:3" x14ac:dyDescent="0.25">
      <c r="A29" s="1" t="s">
        <v>2245</v>
      </c>
      <c r="B29" s="1" t="s">
        <v>30</v>
      </c>
      <c r="C29" s="1">
        <v>2</v>
      </c>
    </row>
    <row r="30" spans="1:3" x14ac:dyDescent="0.25">
      <c r="A30" s="1" t="s">
        <v>2246</v>
      </c>
      <c r="B30" s="1" t="s">
        <v>30</v>
      </c>
      <c r="C30" s="1">
        <v>2</v>
      </c>
    </row>
    <row r="31" spans="1:3" x14ac:dyDescent="0.25">
      <c r="A31" s="1" t="s">
        <v>2247</v>
      </c>
      <c r="B31" s="1" t="s">
        <v>30</v>
      </c>
      <c r="C31" s="1">
        <v>2</v>
      </c>
    </row>
    <row r="32" spans="1:3" x14ac:dyDescent="0.25">
      <c r="A32" s="1" t="s">
        <v>2248</v>
      </c>
      <c r="B32" s="1" t="s">
        <v>30</v>
      </c>
      <c r="C32" s="1">
        <v>2</v>
      </c>
    </row>
    <row r="33" spans="1:3" x14ac:dyDescent="0.25">
      <c r="A33" s="1" t="s">
        <v>2249</v>
      </c>
      <c r="B33" s="1" t="s">
        <v>30</v>
      </c>
      <c r="C33" s="1">
        <v>2</v>
      </c>
    </row>
    <row r="34" spans="1:3" x14ac:dyDescent="0.25">
      <c r="A34" s="1" t="s">
        <v>2250</v>
      </c>
      <c r="B34" s="1" t="s">
        <v>30</v>
      </c>
      <c r="C34" s="1">
        <v>2</v>
      </c>
    </row>
    <row r="35" spans="1:3" hidden="1" x14ac:dyDescent="0.25">
      <c r="A35" s="1" t="s">
        <v>2251</v>
      </c>
      <c r="B35" s="1" t="s">
        <v>27</v>
      </c>
      <c r="C35" s="1">
        <v>150</v>
      </c>
    </row>
    <row r="36" spans="1:3" x14ac:dyDescent="0.25">
      <c r="A36" s="1" t="s">
        <v>2252</v>
      </c>
      <c r="B36" s="1" t="s">
        <v>30</v>
      </c>
      <c r="C36" s="1">
        <v>2</v>
      </c>
    </row>
    <row r="37" spans="1:3" hidden="1" x14ac:dyDescent="0.25">
      <c r="A37" s="1" t="s">
        <v>2253</v>
      </c>
      <c r="B37" s="1" t="s">
        <v>27</v>
      </c>
      <c r="C37" s="1">
        <v>150</v>
      </c>
    </row>
    <row r="38" spans="1:3" x14ac:dyDescent="0.25">
      <c r="A38" s="1" t="s">
        <v>2254</v>
      </c>
      <c r="B38" s="1" t="s">
        <v>30</v>
      </c>
      <c r="C38" s="1">
        <v>2</v>
      </c>
    </row>
    <row r="39" spans="1:3" x14ac:dyDescent="0.25">
      <c r="A39" s="1" t="s">
        <v>2255</v>
      </c>
      <c r="B39" s="1" t="s">
        <v>30</v>
      </c>
      <c r="C39" s="1">
        <v>2</v>
      </c>
    </row>
    <row r="40" spans="1:3" x14ac:dyDescent="0.25">
      <c r="A40" s="1" t="s">
        <v>2256</v>
      </c>
      <c r="B40" s="1" t="s">
        <v>30</v>
      </c>
      <c r="C40" s="1">
        <v>2</v>
      </c>
    </row>
    <row r="41" spans="1:3" x14ac:dyDescent="0.25">
      <c r="A41" s="1" t="s">
        <v>2257</v>
      </c>
      <c r="B41" s="1" t="s">
        <v>30</v>
      </c>
      <c r="C41" s="1">
        <v>2</v>
      </c>
    </row>
    <row r="42" spans="1:3" x14ac:dyDescent="0.25">
      <c r="A42" s="1" t="s">
        <v>2258</v>
      </c>
      <c r="B42" s="1" t="s">
        <v>30</v>
      </c>
      <c r="C42" s="1">
        <v>2</v>
      </c>
    </row>
    <row r="43" spans="1:3" x14ac:dyDescent="0.25">
      <c r="A43" s="1" t="s">
        <v>2259</v>
      </c>
      <c r="B43" s="1" t="s">
        <v>30</v>
      </c>
      <c r="C43" s="1">
        <v>2</v>
      </c>
    </row>
    <row r="44" spans="1:3" hidden="1" x14ac:dyDescent="0.25">
      <c r="A44" s="1" t="s">
        <v>2260</v>
      </c>
      <c r="B44" s="1" t="s">
        <v>27</v>
      </c>
      <c r="C44" s="1">
        <v>150</v>
      </c>
    </row>
    <row r="45" spans="1:3" hidden="1" x14ac:dyDescent="0.25">
      <c r="A45" s="1" t="s">
        <v>2261</v>
      </c>
      <c r="B45" s="1" t="s">
        <v>27</v>
      </c>
      <c r="C45" s="1">
        <v>150</v>
      </c>
    </row>
    <row r="46" spans="1:3" hidden="1" x14ac:dyDescent="0.25">
      <c r="A46" s="1" t="s">
        <v>2262</v>
      </c>
      <c r="B46" s="1" t="s">
        <v>27</v>
      </c>
      <c r="C46" s="1">
        <v>150</v>
      </c>
    </row>
    <row r="47" spans="1:3" x14ac:dyDescent="0.25">
      <c r="A47" s="1" t="s">
        <v>2263</v>
      </c>
      <c r="B47" s="1" t="s">
        <v>30</v>
      </c>
      <c r="C47" s="1">
        <v>2</v>
      </c>
    </row>
    <row r="48" spans="1:3" x14ac:dyDescent="0.25">
      <c r="A48" s="1" t="s">
        <v>2264</v>
      </c>
      <c r="B48" s="1" t="s">
        <v>30</v>
      </c>
      <c r="C48" s="1">
        <v>2</v>
      </c>
    </row>
    <row r="49" spans="1:3" x14ac:dyDescent="0.25">
      <c r="A49" s="1" t="s">
        <v>2265</v>
      </c>
      <c r="B49" s="1" t="s">
        <v>30</v>
      </c>
      <c r="C49" s="1">
        <v>2</v>
      </c>
    </row>
    <row r="50" spans="1:3" x14ac:dyDescent="0.25">
      <c r="A50" s="1" t="s">
        <v>2266</v>
      </c>
      <c r="B50" s="1" t="s">
        <v>30</v>
      </c>
      <c r="C50" s="1">
        <v>2</v>
      </c>
    </row>
    <row r="51" spans="1:3" x14ac:dyDescent="0.25">
      <c r="A51" s="1" t="s">
        <v>2267</v>
      </c>
      <c r="B51" s="1" t="s">
        <v>30</v>
      </c>
      <c r="C51" s="1">
        <v>2</v>
      </c>
    </row>
    <row r="52" spans="1:3" x14ac:dyDescent="0.25">
      <c r="A52" s="1" t="s">
        <v>2268</v>
      </c>
      <c r="B52" s="1" t="s">
        <v>30</v>
      </c>
      <c r="C52" s="1">
        <v>2</v>
      </c>
    </row>
    <row r="53" spans="1:3" hidden="1" x14ac:dyDescent="0.25">
      <c r="A53" s="1" t="s">
        <v>2269</v>
      </c>
      <c r="B53" s="1" t="s">
        <v>27</v>
      </c>
      <c r="C53" s="1">
        <v>150</v>
      </c>
    </row>
    <row r="54" spans="1:3" hidden="1" x14ac:dyDescent="0.25">
      <c r="A54" s="1" t="s">
        <v>2270</v>
      </c>
      <c r="B54" s="1" t="s">
        <v>27</v>
      </c>
      <c r="C54" s="1">
        <v>150</v>
      </c>
    </row>
    <row r="55" spans="1:3" x14ac:dyDescent="0.25">
      <c r="A55" s="1" t="s">
        <v>2271</v>
      </c>
      <c r="B55" s="1" t="s">
        <v>30</v>
      </c>
      <c r="C55" s="1">
        <v>2</v>
      </c>
    </row>
    <row r="56" spans="1:3" x14ac:dyDescent="0.25">
      <c r="A56" s="1" t="s">
        <v>2272</v>
      </c>
      <c r="B56" s="1" t="s">
        <v>30</v>
      </c>
      <c r="C56" s="1">
        <v>2</v>
      </c>
    </row>
    <row r="57" spans="1:3" x14ac:dyDescent="0.25">
      <c r="A57" s="1" t="s">
        <v>2273</v>
      </c>
      <c r="B57" s="1" t="s">
        <v>30</v>
      </c>
      <c r="C57" s="1">
        <v>14</v>
      </c>
    </row>
  </sheetData>
  <autoFilter ref="A1:C57" xr:uid="{00000000-0009-0000-0000-00000B000000}">
    <filterColumn colId="1">
      <filters>
        <filter val="數值"/>
      </filters>
    </filterColumn>
  </autoFilter>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574"/>
  <sheetViews>
    <sheetView topLeftCell="A1543" workbookViewId="0">
      <selection activeCell="I1571" sqref="I1571"/>
    </sheetView>
  </sheetViews>
  <sheetFormatPr defaultRowHeight="16.5" x14ac:dyDescent="0.25"/>
  <cols>
    <col min="6" max="6" width="29.125" style="21" customWidth="1"/>
  </cols>
  <sheetData>
    <row r="1" spans="1:6" s="1" customFormat="1" x14ac:dyDescent="0.25">
      <c r="A1" s="1" t="s">
        <v>23</v>
      </c>
      <c r="B1" s="1" t="s">
        <v>24</v>
      </c>
      <c r="C1" s="1" t="s">
        <v>25</v>
      </c>
      <c r="D1" s="1" t="s">
        <v>1105</v>
      </c>
    </row>
    <row r="2" spans="1:6" x14ac:dyDescent="0.25">
      <c r="A2" s="1" t="s">
        <v>26</v>
      </c>
      <c r="B2" s="1" t="s">
        <v>27</v>
      </c>
      <c r="C2" s="1">
        <v>20</v>
      </c>
      <c r="D2" s="1">
        <v>0</v>
      </c>
      <c r="E2" s="1" t="str">
        <f>IF(B2="數值","F("&amp;C2&amp;"."&amp;D2&amp;")","(A"&amp;C2&amp;")")</f>
        <v>(A20)</v>
      </c>
      <c r="F2" s="1" t="str">
        <f t="shared" ref="F2:F65" si="0">"alter type "&amp;A2&amp;" "&amp;E2&amp;"."</f>
        <v>alter type id (A20).</v>
      </c>
    </row>
    <row r="3" spans="1:6" x14ac:dyDescent="0.25">
      <c r="A3" s="1" t="s">
        <v>48</v>
      </c>
      <c r="B3" s="1" t="s">
        <v>30</v>
      </c>
      <c r="C3" s="1">
        <v>5</v>
      </c>
      <c r="D3" s="1">
        <v>0</v>
      </c>
      <c r="E3" s="1" t="str">
        <f t="shared" ref="E3:E66" si="1">IF(B3="數值","(F"&amp;C3&amp;"."&amp;D3&amp;")","(A"&amp;C3&amp;")")</f>
        <v>(F5.0)</v>
      </c>
      <c r="F3" s="1" t="str">
        <f t="shared" si="0"/>
        <v>alter type last (F5.0).</v>
      </c>
    </row>
    <row r="4" spans="1:6" x14ac:dyDescent="0.25">
      <c r="A4" s="1" t="s">
        <v>51</v>
      </c>
      <c r="B4" s="1" t="s">
        <v>30</v>
      </c>
      <c r="C4" s="1">
        <v>2</v>
      </c>
      <c r="D4" s="1">
        <v>0</v>
      </c>
      <c r="E4" s="1" t="str">
        <f t="shared" si="1"/>
        <v>(F2.0)</v>
      </c>
      <c r="F4" s="1" t="str">
        <f t="shared" si="0"/>
        <v>alter type vZA0 (F2.0).</v>
      </c>
    </row>
    <row r="5" spans="1:6" x14ac:dyDescent="0.25">
      <c r="A5" s="1" t="s">
        <v>1108</v>
      </c>
      <c r="B5" s="1" t="s">
        <v>30</v>
      </c>
      <c r="C5" s="1">
        <v>2</v>
      </c>
      <c r="D5" s="1">
        <v>0</v>
      </c>
      <c r="E5" s="1" t="str">
        <f t="shared" si="1"/>
        <v>(F2.0)</v>
      </c>
      <c r="F5" s="1" t="str">
        <f t="shared" si="0"/>
        <v>alter type vSF0_1 (F2.0).</v>
      </c>
    </row>
    <row r="6" spans="1:6" x14ac:dyDescent="0.25">
      <c r="A6" s="1" t="s">
        <v>1110</v>
      </c>
      <c r="B6" s="1" t="s">
        <v>30</v>
      </c>
      <c r="C6" s="1">
        <v>2</v>
      </c>
      <c r="D6" s="1">
        <v>0</v>
      </c>
      <c r="E6" s="1" t="str">
        <f t="shared" si="1"/>
        <v>(F2.0)</v>
      </c>
      <c r="F6" s="1" t="str">
        <f t="shared" si="0"/>
        <v>alter type vSF0_2 (F2.0).</v>
      </c>
    </row>
    <row r="7" spans="1:6" x14ac:dyDescent="0.25">
      <c r="A7" s="1" t="s">
        <v>52</v>
      </c>
      <c r="B7" s="1" t="s">
        <v>30</v>
      </c>
      <c r="C7" s="1">
        <v>2</v>
      </c>
      <c r="D7" s="1">
        <v>0</v>
      </c>
      <c r="E7" s="1" t="str">
        <f t="shared" si="1"/>
        <v>(F2.0)</v>
      </c>
      <c r="F7" s="1" t="str">
        <f t="shared" si="0"/>
        <v>alter type vZA0_1 (F2.0).</v>
      </c>
    </row>
    <row r="8" spans="1:6" x14ac:dyDescent="0.25">
      <c r="A8" s="1" t="s">
        <v>1113</v>
      </c>
      <c r="B8" s="1" t="s">
        <v>30</v>
      </c>
      <c r="C8" s="1">
        <v>2</v>
      </c>
      <c r="D8" s="1">
        <v>0</v>
      </c>
      <c r="E8" s="1" t="str">
        <f t="shared" si="1"/>
        <v>(F2.0)</v>
      </c>
      <c r="F8" s="1" t="str">
        <f t="shared" si="0"/>
        <v>alter type vZA1 (F2.0).</v>
      </c>
    </row>
    <row r="9" spans="1:6" x14ac:dyDescent="0.25">
      <c r="A9" s="1" t="s">
        <v>1115</v>
      </c>
      <c r="B9" s="1" t="s">
        <v>27</v>
      </c>
      <c r="C9" s="1">
        <v>150</v>
      </c>
      <c r="D9" s="1">
        <v>0</v>
      </c>
      <c r="E9" s="1" t="str">
        <f t="shared" si="1"/>
        <v>(A150)</v>
      </c>
      <c r="F9" s="1" t="str">
        <f t="shared" si="0"/>
        <v>alter type vZA1o05 (A150).</v>
      </c>
    </row>
    <row r="10" spans="1:6" x14ac:dyDescent="0.25">
      <c r="A10" s="1" t="s">
        <v>1117</v>
      </c>
      <c r="B10" s="1" t="s">
        <v>30</v>
      </c>
      <c r="C10" s="1">
        <v>2</v>
      </c>
      <c r="D10" s="1">
        <v>0</v>
      </c>
      <c r="E10" s="1" t="str">
        <f t="shared" si="1"/>
        <v>(F2.0)</v>
      </c>
      <c r="F10" s="1" t="str">
        <f t="shared" si="0"/>
        <v>alter type vR1 (F2.0).</v>
      </c>
    </row>
    <row r="11" spans="1:6" x14ac:dyDescent="0.25">
      <c r="A11" s="1" t="s">
        <v>1119</v>
      </c>
      <c r="B11" s="1" t="s">
        <v>30</v>
      </c>
      <c r="C11" s="1">
        <v>2</v>
      </c>
      <c r="D11" s="1">
        <v>0</v>
      </c>
      <c r="E11" s="1" t="str">
        <f t="shared" si="1"/>
        <v>(F2.0)</v>
      </c>
      <c r="F11" s="1" t="str">
        <f t="shared" si="0"/>
        <v>alter type vR1_1 (F2.0).</v>
      </c>
    </row>
    <row r="12" spans="1:6" x14ac:dyDescent="0.25">
      <c r="A12" s="1" t="s">
        <v>1121</v>
      </c>
      <c r="B12" s="1" t="s">
        <v>30</v>
      </c>
      <c r="C12" s="1">
        <v>2</v>
      </c>
      <c r="D12" s="1">
        <v>0</v>
      </c>
      <c r="E12" s="1" t="str">
        <f t="shared" si="1"/>
        <v>(F2.0)</v>
      </c>
      <c r="F12" s="1" t="str">
        <f t="shared" si="0"/>
        <v>alter type vR9m01 (F2.0).</v>
      </c>
    </row>
    <row r="13" spans="1:6" x14ac:dyDescent="0.25">
      <c r="A13" s="1" t="s">
        <v>1123</v>
      </c>
      <c r="B13" s="1" t="s">
        <v>30</v>
      </c>
      <c r="C13" s="1">
        <v>2</v>
      </c>
      <c r="D13" s="1">
        <v>0</v>
      </c>
      <c r="E13" s="1" t="str">
        <f t="shared" si="1"/>
        <v>(F2.0)</v>
      </c>
      <c r="F13" s="1" t="str">
        <f t="shared" si="0"/>
        <v>alter type vR9m02 (F2.0).</v>
      </c>
    </row>
    <row r="14" spans="1:6" x14ac:dyDescent="0.25">
      <c r="A14" s="1" t="s">
        <v>1125</v>
      </c>
      <c r="B14" s="1" t="s">
        <v>30</v>
      </c>
      <c r="C14" s="1">
        <v>2</v>
      </c>
      <c r="D14" s="1">
        <v>0</v>
      </c>
      <c r="E14" s="1" t="str">
        <f t="shared" si="1"/>
        <v>(F2.0)</v>
      </c>
      <c r="F14" s="1" t="str">
        <f t="shared" si="0"/>
        <v>alter type vR9m03 (F2.0).</v>
      </c>
    </row>
    <row r="15" spans="1:6" x14ac:dyDescent="0.25">
      <c r="A15" s="1" t="s">
        <v>1127</v>
      </c>
      <c r="B15" s="1" t="s">
        <v>30</v>
      </c>
      <c r="C15" s="1">
        <v>2</v>
      </c>
      <c r="D15" s="1">
        <v>0</v>
      </c>
      <c r="E15" s="1" t="str">
        <f t="shared" si="1"/>
        <v>(F2.0)</v>
      </c>
      <c r="F15" s="1" t="str">
        <f t="shared" si="0"/>
        <v>alter type vR9_1 (F2.0).</v>
      </c>
    </row>
    <row r="16" spans="1:6" x14ac:dyDescent="0.25">
      <c r="A16" s="1" t="s">
        <v>1129</v>
      </c>
      <c r="B16" s="1" t="s">
        <v>27</v>
      </c>
      <c r="C16" s="1">
        <v>45</v>
      </c>
      <c r="D16" s="1">
        <v>0</v>
      </c>
      <c r="E16" s="1" t="str">
        <f t="shared" si="1"/>
        <v>(A45)</v>
      </c>
      <c r="F16" s="1" t="str">
        <f t="shared" si="0"/>
        <v>alter type vR2 (A45).</v>
      </c>
    </row>
    <row r="17" spans="1:6" x14ac:dyDescent="0.25">
      <c r="A17" s="1" t="s">
        <v>54</v>
      </c>
      <c r="B17" s="1" t="s">
        <v>30</v>
      </c>
      <c r="C17" s="1">
        <v>3</v>
      </c>
      <c r="D17" s="1">
        <v>0</v>
      </c>
      <c r="E17" s="1" t="str">
        <f t="shared" si="1"/>
        <v>(F3.0)</v>
      </c>
      <c r="F17" s="1" t="str">
        <f t="shared" si="0"/>
        <v>alter type vA1 (F3.0).</v>
      </c>
    </row>
    <row r="18" spans="1:6" x14ac:dyDescent="0.25">
      <c r="A18" s="1" t="s">
        <v>55</v>
      </c>
      <c r="B18" s="1" t="s">
        <v>30</v>
      </c>
      <c r="C18" s="1">
        <v>2</v>
      </c>
      <c r="D18" s="1">
        <v>0</v>
      </c>
      <c r="E18" s="1" t="str">
        <f t="shared" si="1"/>
        <v>(F2.0)</v>
      </c>
      <c r="F18" s="1" t="str">
        <f t="shared" si="0"/>
        <v>alter type vA2 (F2.0).</v>
      </c>
    </row>
    <row r="19" spans="1:6" x14ac:dyDescent="0.25">
      <c r="A19" s="1" t="s">
        <v>1133</v>
      </c>
      <c r="B19" s="1" t="s">
        <v>30</v>
      </c>
      <c r="C19" s="1">
        <v>2</v>
      </c>
      <c r="D19" s="1">
        <v>0</v>
      </c>
      <c r="E19" s="1" t="str">
        <f t="shared" si="1"/>
        <v>(F2.0)</v>
      </c>
      <c r="F19" s="1" t="str">
        <f t="shared" si="0"/>
        <v>alter type vR3 (F2.0).</v>
      </c>
    </row>
    <row r="20" spans="1:6" x14ac:dyDescent="0.25">
      <c r="A20" s="1" t="s">
        <v>1135</v>
      </c>
      <c r="B20" s="1" t="s">
        <v>27</v>
      </c>
      <c r="C20" s="1">
        <v>150</v>
      </c>
      <c r="D20" s="1">
        <v>0</v>
      </c>
      <c r="E20" s="1" t="str">
        <f t="shared" si="1"/>
        <v>(A150)</v>
      </c>
      <c r="F20" s="1" t="str">
        <f t="shared" si="0"/>
        <v>alter type vR3o88 (A150).</v>
      </c>
    </row>
    <row r="21" spans="1:6" x14ac:dyDescent="0.25">
      <c r="A21" s="1" t="s">
        <v>1137</v>
      </c>
      <c r="B21" s="1" t="s">
        <v>30</v>
      </c>
      <c r="C21" s="1">
        <v>2</v>
      </c>
      <c r="D21" s="1">
        <v>0</v>
      </c>
      <c r="E21" s="1" t="str">
        <f t="shared" si="1"/>
        <v>(F2.0)</v>
      </c>
      <c r="F21" s="1" t="str">
        <f t="shared" si="0"/>
        <v>alter type vT4_1 (F2.0).</v>
      </c>
    </row>
    <row r="22" spans="1:6" x14ac:dyDescent="0.25">
      <c r="A22" s="1" t="s">
        <v>1139</v>
      </c>
      <c r="B22" s="1" t="s">
        <v>30</v>
      </c>
      <c r="C22" s="1">
        <v>2</v>
      </c>
      <c r="D22" s="1">
        <v>0</v>
      </c>
      <c r="E22" s="1" t="str">
        <f t="shared" si="1"/>
        <v>(F2.0)</v>
      </c>
      <c r="F22" s="1" t="str">
        <f t="shared" si="0"/>
        <v>alter type vT4_2 (F2.0).</v>
      </c>
    </row>
    <row r="23" spans="1:6" x14ac:dyDescent="0.25">
      <c r="A23" s="1" t="s">
        <v>56</v>
      </c>
      <c r="B23" s="1" t="s">
        <v>30</v>
      </c>
      <c r="C23" s="1">
        <v>2</v>
      </c>
      <c r="D23" s="1">
        <v>0</v>
      </c>
      <c r="E23" s="1" t="str">
        <f t="shared" si="1"/>
        <v>(F2.0)</v>
      </c>
      <c r="F23" s="1" t="str">
        <f t="shared" si="0"/>
        <v>alter type vA3 (F2.0).</v>
      </c>
    </row>
    <row r="24" spans="1:6" x14ac:dyDescent="0.25">
      <c r="A24" s="1" t="s">
        <v>57</v>
      </c>
      <c r="B24" s="1" t="s">
        <v>27</v>
      </c>
      <c r="C24" s="1">
        <v>150</v>
      </c>
      <c r="D24" s="1">
        <v>0</v>
      </c>
      <c r="E24" s="1" t="str">
        <f t="shared" si="1"/>
        <v>(A150)</v>
      </c>
      <c r="F24" s="1" t="str">
        <f t="shared" si="0"/>
        <v>alter type vA3o88 (A150).</v>
      </c>
    </row>
    <row r="25" spans="1:6" x14ac:dyDescent="0.25">
      <c r="A25" s="1" t="s">
        <v>1143</v>
      </c>
      <c r="B25" s="1" t="s">
        <v>30</v>
      </c>
      <c r="C25" s="1">
        <v>2</v>
      </c>
      <c r="D25" s="1">
        <v>0</v>
      </c>
      <c r="E25" s="1" t="str">
        <f t="shared" si="1"/>
        <v>(F2.0)</v>
      </c>
      <c r="F25" s="1" t="str">
        <f t="shared" si="0"/>
        <v>alter type vR4city (F2.0).</v>
      </c>
    </row>
    <row r="26" spans="1:6" x14ac:dyDescent="0.25">
      <c r="A26" s="1" t="s">
        <v>1145</v>
      </c>
      <c r="B26" s="1" t="s">
        <v>27</v>
      </c>
      <c r="C26" s="1">
        <v>150</v>
      </c>
      <c r="D26" s="1">
        <v>0</v>
      </c>
      <c r="E26" s="1" t="str">
        <f t="shared" si="1"/>
        <v>(A150)</v>
      </c>
      <c r="F26" s="1" t="str">
        <f t="shared" si="0"/>
        <v>alter type vR4city_oth (A150).</v>
      </c>
    </row>
    <row r="27" spans="1:6" x14ac:dyDescent="0.25">
      <c r="A27" s="1" t="s">
        <v>1147</v>
      </c>
      <c r="B27" s="1" t="s">
        <v>30</v>
      </c>
      <c r="C27" s="1">
        <v>4</v>
      </c>
      <c r="D27" s="1">
        <v>0</v>
      </c>
      <c r="E27" s="1" t="str">
        <f t="shared" si="1"/>
        <v>(F4.0)</v>
      </c>
      <c r="F27" s="1" t="str">
        <f t="shared" si="0"/>
        <v>alter type vR4town (F4.0).</v>
      </c>
    </row>
    <row r="28" spans="1:6" x14ac:dyDescent="0.25">
      <c r="A28" s="1" t="s">
        <v>58</v>
      </c>
      <c r="B28" s="1" t="s">
        <v>30</v>
      </c>
      <c r="C28" s="1">
        <v>2</v>
      </c>
      <c r="D28" s="1">
        <v>0</v>
      </c>
      <c r="E28" s="1" t="str">
        <f t="shared" si="1"/>
        <v>(F2.0)</v>
      </c>
      <c r="F28" s="1" t="str">
        <f t="shared" si="0"/>
        <v>alter type vA4 (F2.0).</v>
      </c>
    </row>
    <row r="29" spans="1:6" x14ac:dyDescent="0.25">
      <c r="A29" s="1" t="s">
        <v>59</v>
      </c>
      <c r="B29" s="1" t="s">
        <v>30</v>
      </c>
      <c r="C29" s="1">
        <v>2</v>
      </c>
      <c r="D29" s="1">
        <v>0</v>
      </c>
      <c r="E29" s="1" t="str">
        <f t="shared" si="1"/>
        <v>(F2.0)</v>
      </c>
      <c r="F29" s="1" t="str">
        <f t="shared" si="0"/>
        <v>alter type vA5city (F2.0).</v>
      </c>
    </row>
    <row r="30" spans="1:6" x14ac:dyDescent="0.25">
      <c r="A30" s="1" t="s">
        <v>60</v>
      </c>
      <c r="B30" s="1" t="s">
        <v>27</v>
      </c>
      <c r="C30" s="1">
        <v>150</v>
      </c>
      <c r="D30" s="1">
        <v>0</v>
      </c>
      <c r="E30" s="1" t="str">
        <f t="shared" si="1"/>
        <v>(A150)</v>
      </c>
      <c r="F30" s="1" t="str">
        <f t="shared" si="0"/>
        <v>alter type vA5city_oth (A150).</v>
      </c>
    </row>
    <row r="31" spans="1:6" x14ac:dyDescent="0.25">
      <c r="A31" s="1" t="s">
        <v>61</v>
      </c>
      <c r="B31" s="1" t="s">
        <v>30</v>
      </c>
      <c r="C31" s="1">
        <v>4</v>
      </c>
      <c r="D31" s="1">
        <v>0</v>
      </c>
      <c r="E31" s="1" t="str">
        <f t="shared" si="1"/>
        <v>(F4.0)</v>
      </c>
      <c r="F31" s="1" t="str">
        <f t="shared" si="0"/>
        <v>alter type vA5town (F4.0).</v>
      </c>
    </row>
    <row r="32" spans="1:6" x14ac:dyDescent="0.25">
      <c r="A32" s="1" t="s">
        <v>62</v>
      </c>
      <c r="B32" s="1" t="s">
        <v>30</v>
      </c>
      <c r="C32" s="1">
        <v>2</v>
      </c>
      <c r="D32" s="1">
        <v>0</v>
      </c>
      <c r="E32" s="1" t="str">
        <f t="shared" si="1"/>
        <v>(F2.0)</v>
      </c>
      <c r="F32" s="1" t="str">
        <f t="shared" si="0"/>
        <v>alter type vA6 (F2.0).</v>
      </c>
    </row>
    <row r="33" spans="1:6" x14ac:dyDescent="0.25">
      <c r="A33" s="1" t="s">
        <v>63</v>
      </c>
      <c r="B33" s="1" t="s">
        <v>27</v>
      </c>
      <c r="C33" s="1">
        <v>150</v>
      </c>
      <c r="D33" s="1">
        <v>0</v>
      </c>
      <c r="E33" s="1" t="str">
        <f t="shared" si="1"/>
        <v>(A150)</v>
      </c>
      <c r="F33" s="1" t="str">
        <f t="shared" si="0"/>
        <v>alter type vA6o88 (A150).</v>
      </c>
    </row>
    <row r="34" spans="1:6" x14ac:dyDescent="0.25">
      <c r="A34" s="1" t="s">
        <v>64</v>
      </c>
      <c r="B34" s="1" t="s">
        <v>30</v>
      </c>
      <c r="C34" s="1">
        <v>2</v>
      </c>
      <c r="D34" s="1">
        <v>0</v>
      </c>
      <c r="E34" s="1" t="str">
        <f t="shared" si="1"/>
        <v>(F2.0)</v>
      </c>
      <c r="F34" s="1" t="str">
        <f t="shared" si="0"/>
        <v>alter type vA7 (F2.0).</v>
      </c>
    </row>
    <row r="35" spans="1:6" x14ac:dyDescent="0.25">
      <c r="A35" s="1" t="s">
        <v>65</v>
      </c>
      <c r="B35" s="1" t="s">
        <v>27</v>
      </c>
      <c r="C35" s="1">
        <v>150</v>
      </c>
      <c r="D35" s="1">
        <v>0</v>
      </c>
      <c r="E35" s="1" t="str">
        <f t="shared" si="1"/>
        <v>(A150)</v>
      </c>
      <c r="F35" s="1" t="str">
        <f t="shared" si="0"/>
        <v>alter type vA7o88 (A150).</v>
      </c>
    </row>
    <row r="36" spans="1:6" x14ac:dyDescent="0.25">
      <c r="A36" s="1" t="s">
        <v>66</v>
      </c>
      <c r="B36" s="1" t="s">
        <v>30</v>
      </c>
      <c r="C36" s="1">
        <v>2</v>
      </c>
      <c r="D36" s="1">
        <v>0</v>
      </c>
      <c r="E36" s="1" t="str">
        <f t="shared" si="1"/>
        <v>(F2.0)</v>
      </c>
      <c r="F36" s="1" t="str">
        <f t="shared" si="0"/>
        <v>alter type vA8 (F2.0).</v>
      </c>
    </row>
    <row r="37" spans="1:6" x14ac:dyDescent="0.25">
      <c r="A37" s="1" t="s">
        <v>67</v>
      </c>
      <c r="B37" s="1" t="s">
        <v>27</v>
      </c>
      <c r="C37" s="1">
        <v>150</v>
      </c>
      <c r="D37" s="1">
        <v>0</v>
      </c>
      <c r="E37" s="1" t="str">
        <f t="shared" si="1"/>
        <v>(A150)</v>
      </c>
      <c r="F37" s="1" t="str">
        <f t="shared" si="0"/>
        <v>alter type vA8o88 (A150).</v>
      </c>
    </row>
    <row r="38" spans="1:6" x14ac:dyDescent="0.25">
      <c r="A38" s="1" t="s">
        <v>68</v>
      </c>
      <c r="B38" s="1" t="s">
        <v>30</v>
      </c>
      <c r="C38" s="1">
        <v>2</v>
      </c>
      <c r="D38" s="1">
        <v>0</v>
      </c>
      <c r="E38" s="1" t="str">
        <f t="shared" si="1"/>
        <v>(F2.0)</v>
      </c>
      <c r="F38" s="1" t="str">
        <f t="shared" si="0"/>
        <v>alter type vA9 (F2.0).</v>
      </c>
    </row>
    <row r="39" spans="1:6" x14ac:dyDescent="0.25">
      <c r="A39" s="1" t="s">
        <v>69</v>
      </c>
      <c r="B39" s="1" t="s">
        <v>27</v>
      </c>
      <c r="C39" s="1">
        <v>150</v>
      </c>
      <c r="D39" s="1">
        <v>0</v>
      </c>
      <c r="E39" s="1" t="str">
        <f t="shared" si="1"/>
        <v>(A150)</v>
      </c>
      <c r="F39" s="1" t="str">
        <f t="shared" si="0"/>
        <v>alter type vA9o88 (A150).</v>
      </c>
    </row>
    <row r="40" spans="1:6" x14ac:dyDescent="0.25">
      <c r="A40" s="1" t="s">
        <v>381</v>
      </c>
      <c r="B40" s="1" t="s">
        <v>30</v>
      </c>
      <c r="C40" s="1">
        <v>4</v>
      </c>
      <c r="D40" s="1">
        <v>1</v>
      </c>
      <c r="E40" s="1" t="str">
        <f t="shared" si="1"/>
        <v>(F4.1)</v>
      </c>
      <c r="F40" s="1" t="str">
        <f t="shared" si="0"/>
        <v>alter type vB1 (F4.1).</v>
      </c>
    </row>
    <row r="41" spans="1:6" x14ac:dyDescent="0.25">
      <c r="A41" s="1" t="s">
        <v>382</v>
      </c>
      <c r="B41" s="1" t="s">
        <v>30</v>
      </c>
      <c r="C41" s="1">
        <v>5</v>
      </c>
      <c r="D41" s="1">
        <v>0</v>
      </c>
      <c r="E41" s="1" t="str">
        <f t="shared" si="1"/>
        <v>(F5.0)</v>
      </c>
      <c r="F41" s="1" t="str">
        <f t="shared" si="0"/>
        <v>alter type vB2 (F5.0).</v>
      </c>
    </row>
    <row r="42" spans="1:6" x14ac:dyDescent="0.25">
      <c r="A42" s="1" t="s">
        <v>383</v>
      </c>
      <c r="B42" s="1" t="s">
        <v>30</v>
      </c>
      <c r="C42" s="1">
        <v>4</v>
      </c>
      <c r="D42" s="1">
        <v>1</v>
      </c>
      <c r="E42" s="1" t="str">
        <f t="shared" si="1"/>
        <v>(F4.1)</v>
      </c>
      <c r="F42" s="1" t="str">
        <f t="shared" si="0"/>
        <v>alter type vB3 (F4.1).</v>
      </c>
    </row>
    <row r="43" spans="1:6" x14ac:dyDescent="0.25">
      <c r="A43" s="1" t="s">
        <v>384</v>
      </c>
      <c r="B43" s="1" t="s">
        <v>30</v>
      </c>
      <c r="C43" s="1">
        <v>5</v>
      </c>
      <c r="D43" s="1">
        <v>0</v>
      </c>
      <c r="E43" s="1" t="str">
        <f t="shared" si="1"/>
        <v>(F5.0)</v>
      </c>
      <c r="F43" s="1" t="str">
        <f t="shared" si="0"/>
        <v>alter type vB4 (F5.0).</v>
      </c>
    </row>
    <row r="44" spans="1:6" x14ac:dyDescent="0.25">
      <c r="A44" s="1" t="s">
        <v>385</v>
      </c>
      <c r="B44" s="1" t="s">
        <v>30</v>
      </c>
      <c r="C44" s="1">
        <v>4</v>
      </c>
      <c r="D44" s="1">
        <v>1</v>
      </c>
      <c r="E44" s="1" t="str">
        <f t="shared" si="1"/>
        <v>(F4.1)</v>
      </c>
      <c r="F44" s="1" t="str">
        <f t="shared" si="0"/>
        <v>alter type vB5 (F4.1).</v>
      </c>
    </row>
    <row r="45" spans="1:6" x14ac:dyDescent="0.25">
      <c r="A45" s="1" t="s">
        <v>386</v>
      </c>
      <c r="B45" s="1" t="s">
        <v>30</v>
      </c>
      <c r="C45" s="1">
        <v>2</v>
      </c>
      <c r="D45" s="1">
        <v>0</v>
      </c>
      <c r="E45" s="1" t="str">
        <f t="shared" si="1"/>
        <v>(F2.0)</v>
      </c>
      <c r="F45" s="1" t="str">
        <f t="shared" si="0"/>
        <v>alter type vCKB5 (F2.0).</v>
      </c>
    </row>
    <row r="46" spans="1:6" x14ac:dyDescent="0.25">
      <c r="A46" s="1" t="s">
        <v>387</v>
      </c>
      <c r="B46" s="1" t="s">
        <v>30</v>
      </c>
      <c r="C46" s="1">
        <v>5</v>
      </c>
      <c r="D46" s="1">
        <v>0</v>
      </c>
      <c r="E46" s="1" t="str">
        <f t="shared" si="1"/>
        <v>(F5.0)</v>
      </c>
      <c r="F46" s="1" t="str">
        <f t="shared" si="0"/>
        <v>alter type vB6 (F5.0).</v>
      </c>
    </row>
    <row r="47" spans="1:6" x14ac:dyDescent="0.25">
      <c r="A47" s="1" t="s">
        <v>388</v>
      </c>
      <c r="B47" s="1" t="s">
        <v>30</v>
      </c>
      <c r="C47" s="1">
        <v>2</v>
      </c>
      <c r="D47" s="1">
        <v>0</v>
      </c>
      <c r="E47" s="1" t="str">
        <f t="shared" si="1"/>
        <v>(F2.0)</v>
      </c>
      <c r="F47" s="1" t="str">
        <f t="shared" si="0"/>
        <v>alter type vB7am01 (F2.0).</v>
      </c>
    </row>
    <row r="48" spans="1:6" x14ac:dyDescent="0.25">
      <c r="A48" s="1" t="s">
        <v>389</v>
      </c>
      <c r="B48" s="1" t="s">
        <v>30</v>
      </c>
      <c r="C48" s="1">
        <v>2</v>
      </c>
      <c r="D48" s="1">
        <v>0</v>
      </c>
      <c r="E48" s="1" t="str">
        <f t="shared" si="1"/>
        <v>(F2.0)</v>
      </c>
      <c r="F48" s="1" t="str">
        <f t="shared" si="0"/>
        <v>alter type vB7am02 (F2.0).</v>
      </c>
    </row>
    <row r="49" spans="1:6" x14ac:dyDescent="0.25">
      <c r="A49" s="1" t="s">
        <v>390</v>
      </c>
      <c r="B49" s="1" t="s">
        <v>30</v>
      </c>
      <c r="C49" s="1">
        <v>2</v>
      </c>
      <c r="D49" s="1">
        <v>0</v>
      </c>
      <c r="E49" s="1" t="str">
        <f t="shared" si="1"/>
        <v>(F2.0)</v>
      </c>
      <c r="F49" s="1" t="str">
        <f t="shared" si="0"/>
        <v>alter type vB7am03 (F2.0).</v>
      </c>
    </row>
    <row r="50" spans="1:6" x14ac:dyDescent="0.25">
      <c r="A50" s="1" t="s">
        <v>391</v>
      </c>
      <c r="B50" s="1" t="s">
        <v>30</v>
      </c>
      <c r="C50" s="1">
        <v>2</v>
      </c>
      <c r="D50" s="1">
        <v>0</v>
      </c>
      <c r="E50" s="1" t="str">
        <f t="shared" si="1"/>
        <v>(F2.0)</v>
      </c>
      <c r="F50" s="1" t="str">
        <f t="shared" si="0"/>
        <v>alter type vB7am04 (F2.0).</v>
      </c>
    </row>
    <row r="51" spans="1:6" x14ac:dyDescent="0.25">
      <c r="A51" s="1" t="s">
        <v>392</v>
      </c>
      <c r="B51" s="1" t="s">
        <v>30</v>
      </c>
      <c r="C51" s="1">
        <v>2</v>
      </c>
      <c r="D51" s="1">
        <v>0</v>
      </c>
      <c r="E51" s="1" t="str">
        <f t="shared" si="1"/>
        <v>(F2.0)</v>
      </c>
      <c r="F51" s="1" t="str">
        <f t="shared" si="0"/>
        <v>alter type vB7am05 (F2.0).</v>
      </c>
    </row>
    <row r="52" spans="1:6" x14ac:dyDescent="0.25">
      <c r="A52" s="1" t="s">
        <v>393</v>
      </c>
      <c r="B52" s="1" t="s">
        <v>30</v>
      </c>
      <c r="C52" s="1">
        <v>2</v>
      </c>
      <c r="D52" s="1">
        <v>0</v>
      </c>
      <c r="E52" s="1" t="str">
        <f t="shared" si="1"/>
        <v>(F2.0)</v>
      </c>
      <c r="F52" s="1" t="str">
        <f t="shared" si="0"/>
        <v>alter type vB7am06 (F2.0).</v>
      </c>
    </row>
    <row r="53" spans="1:6" x14ac:dyDescent="0.25">
      <c r="A53" s="1" t="s">
        <v>394</v>
      </c>
      <c r="B53" s="1" t="s">
        <v>30</v>
      </c>
      <c r="C53" s="1">
        <v>2</v>
      </c>
      <c r="D53" s="1">
        <v>0</v>
      </c>
      <c r="E53" s="1" t="str">
        <f t="shared" si="1"/>
        <v>(F2.0)</v>
      </c>
      <c r="F53" s="1" t="str">
        <f t="shared" si="0"/>
        <v>alter type vB7am07 (F2.0).</v>
      </c>
    </row>
    <row r="54" spans="1:6" x14ac:dyDescent="0.25">
      <c r="A54" s="1" t="s">
        <v>395</v>
      </c>
      <c r="B54" s="1" t="s">
        <v>30</v>
      </c>
      <c r="C54" s="1">
        <v>2</v>
      </c>
      <c r="D54" s="1">
        <v>0</v>
      </c>
      <c r="E54" s="1" t="str">
        <f t="shared" si="1"/>
        <v>(F2.0)</v>
      </c>
      <c r="F54" s="1" t="str">
        <f t="shared" si="0"/>
        <v>alter type vB7am08 (F2.0).</v>
      </c>
    </row>
    <row r="55" spans="1:6" x14ac:dyDescent="0.25">
      <c r="A55" s="1" t="s">
        <v>396</v>
      </c>
      <c r="B55" s="1" t="s">
        <v>30</v>
      </c>
      <c r="C55" s="1">
        <v>2</v>
      </c>
      <c r="D55" s="1">
        <v>0</v>
      </c>
      <c r="E55" s="1" t="str">
        <f t="shared" si="1"/>
        <v>(F2.0)</v>
      </c>
      <c r="F55" s="1" t="str">
        <f t="shared" si="0"/>
        <v>alter type vB7am09 (F2.0).</v>
      </c>
    </row>
    <row r="56" spans="1:6" x14ac:dyDescent="0.25">
      <c r="A56" s="1" t="s">
        <v>397</v>
      </c>
      <c r="B56" s="1" t="s">
        <v>30</v>
      </c>
      <c r="C56" s="1">
        <v>2</v>
      </c>
      <c r="D56" s="1">
        <v>0</v>
      </c>
      <c r="E56" s="1" t="str">
        <f t="shared" si="1"/>
        <v>(F2.0)</v>
      </c>
      <c r="F56" s="1" t="str">
        <f t="shared" si="0"/>
        <v>alter type vB7am10 (F2.0).</v>
      </c>
    </row>
    <row r="57" spans="1:6" x14ac:dyDescent="0.25">
      <c r="A57" s="1" t="s">
        <v>398</v>
      </c>
      <c r="B57" s="1" t="s">
        <v>30</v>
      </c>
      <c r="C57" s="1">
        <v>2</v>
      </c>
      <c r="D57" s="1">
        <v>0</v>
      </c>
      <c r="E57" s="1" t="str">
        <f t="shared" si="1"/>
        <v>(F2.0)</v>
      </c>
      <c r="F57" s="1" t="str">
        <f t="shared" si="0"/>
        <v>alter type vB7am11 (F2.0).</v>
      </c>
    </row>
    <row r="58" spans="1:6" x14ac:dyDescent="0.25">
      <c r="A58" s="1" t="s">
        <v>399</v>
      </c>
      <c r="B58" s="1" t="s">
        <v>30</v>
      </c>
      <c r="C58" s="1">
        <v>2</v>
      </c>
      <c r="D58" s="1">
        <v>0</v>
      </c>
      <c r="E58" s="1" t="str">
        <f t="shared" si="1"/>
        <v>(F2.0)</v>
      </c>
      <c r="F58" s="1" t="str">
        <f t="shared" si="0"/>
        <v>alter type vB7am12 (F2.0).</v>
      </c>
    </row>
    <row r="59" spans="1:6" x14ac:dyDescent="0.25">
      <c r="A59" s="1" t="s">
        <v>400</v>
      </c>
      <c r="B59" s="1" t="s">
        <v>30</v>
      </c>
      <c r="C59" s="1">
        <v>2</v>
      </c>
      <c r="D59" s="1">
        <v>0</v>
      </c>
      <c r="E59" s="1" t="str">
        <f t="shared" si="1"/>
        <v>(F2.0)</v>
      </c>
      <c r="F59" s="1" t="str">
        <f t="shared" si="0"/>
        <v>alter type vB7am13 (F2.0).</v>
      </c>
    </row>
    <row r="60" spans="1:6" x14ac:dyDescent="0.25">
      <c r="A60" s="1" t="s">
        <v>401</v>
      </c>
      <c r="B60" s="1" t="s">
        <v>30</v>
      </c>
      <c r="C60" s="1">
        <v>2</v>
      </c>
      <c r="D60" s="1">
        <v>0</v>
      </c>
      <c r="E60" s="1" t="str">
        <f t="shared" si="1"/>
        <v>(F2.0)</v>
      </c>
      <c r="F60" s="1" t="str">
        <f t="shared" si="0"/>
        <v>alter type vB7am14 (F2.0).</v>
      </c>
    </row>
    <row r="61" spans="1:6" x14ac:dyDescent="0.25">
      <c r="A61" s="1" t="s">
        <v>402</v>
      </c>
      <c r="B61" s="1" t="s">
        <v>30</v>
      </c>
      <c r="C61" s="1">
        <v>2</v>
      </c>
      <c r="D61" s="1">
        <v>0</v>
      </c>
      <c r="E61" s="1" t="str">
        <f t="shared" si="1"/>
        <v>(F2.0)</v>
      </c>
      <c r="F61" s="1" t="str">
        <f t="shared" si="0"/>
        <v>alter type vB7am15 (F2.0).</v>
      </c>
    </row>
    <row r="62" spans="1:6" x14ac:dyDescent="0.25">
      <c r="A62" s="1" t="s">
        <v>403</v>
      </c>
      <c r="B62" s="1" t="s">
        <v>30</v>
      </c>
      <c r="C62" s="1">
        <v>2</v>
      </c>
      <c r="D62" s="1">
        <v>0</v>
      </c>
      <c r="E62" s="1" t="str">
        <f t="shared" si="1"/>
        <v>(F2.0)</v>
      </c>
      <c r="F62" s="1" t="str">
        <f t="shared" si="0"/>
        <v>alter type vB7am16 (F2.0).</v>
      </c>
    </row>
    <row r="63" spans="1:6" x14ac:dyDescent="0.25">
      <c r="A63" s="1" t="s">
        <v>404</v>
      </c>
      <c r="B63" s="1" t="s">
        <v>30</v>
      </c>
      <c r="C63" s="1">
        <v>2</v>
      </c>
      <c r="D63" s="1">
        <v>0</v>
      </c>
      <c r="E63" s="1" t="str">
        <f t="shared" si="1"/>
        <v>(F2.0)</v>
      </c>
      <c r="F63" s="1" t="str">
        <f t="shared" si="0"/>
        <v>alter type vB7am17 (F2.0).</v>
      </c>
    </row>
    <row r="64" spans="1:6" x14ac:dyDescent="0.25">
      <c r="A64" s="1" t="s">
        <v>405</v>
      </c>
      <c r="B64" s="1" t="s">
        <v>30</v>
      </c>
      <c r="C64" s="1">
        <v>2</v>
      </c>
      <c r="D64" s="1">
        <v>0</v>
      </c>
      <c r="E64" s="1" t="str">
        <f t="shared" si="1"/>
        <v>(F2.0)</v>
      </c>
      <c r="F64" s="1" t="str">
        <f t="shared" si="0"/>
        <v>alter type vB7am18 (F2.0).</v>
      </c>
    </row>
    <row r="65" spans="1:6" x14ac:dyDescent="0.25">
      <c r="A65" s="1" t="s">
        <v>406</v>
      </c>
      <c r="B65" s="1" t="s">
        <v>30</v>
      </c>
      <c r="C65" s="1">
        <v>2</v>
      </c>
      <c r="D65" s="1">
        <v>0</v>
      </c>
      <c r="E65" s="1" t="str">
        <f t="shared" si="1"/>
        <v>(F2.0)</v>
      </c>
      <c r="F65" s="1" t="str">
        <f t="shared" si="0"/>
        <v>alter type vB7am19 (F2.0).</v>
      </c>
    </row>
    <row r="66" spans="1:6" x14ac:dyDescent="0.25">
      <c r="A66" s="1" t="s">
        <v>407</v>
      </c>
      <c r="B66" s="1" t="s">
        <v>30</v>
      </c>
      <c r="C66" s="1">
        <v>2</v>
      </c>
      <c r="D66" s="1">
        <v>0</v>
      </c>
      <c r="E66" s="1" t="str">
        <f t="shared" si="1"/>
        <v>(F2.0)</v>
      </c>
      <c r="F66" s="1" t="str">
        <f t="shared" ref="F66:F129" si="2">"alter type "&amp;A66&amp;" "&amp;E66&amp;"."</f>
        <v>alter type vB7am20 (F2.0).</v>
      </c>
    </row>
    <row r="67" spans="1:6" x14ac:dyDescent="0.25">
      <c r="A67" s="1" t="s">
        <v>408</v>
      </c>
      <c r="B67" s="1" t="s">
        <v>30</v>
      </c>
      <c r="C67" s="1">
        <v>2</v>
      </c>
      <c r="D67" s="1">
        <v>0</v>
      </c>
      <c r="E67" s="1" t="str">
        <f t="shared" ref="E67:E130" si="3">IF(B67="數值","(F"&amp;C67&amp;"."&amp;D67&amp;")","(A"&amp;C67&amp;")")</f>
        <v>(F2.0)</v>
      </c>
      <c r="F67" s="1" t="str">
        <f t="shared" si="2"/>
        <v>alter type vB7am21 (F2.0).</v>
      </c>
    </row>
    <row r="68" spans="1:6" x14ac:dyDescent="0.25">
      <c r="A68" s="1" t="s">
        <v>409</v>
      </c>
      <c r="B68" s="1" t="s">
        <v>30</v>
      </c>
      <c r="C68" s="1">
        <v>2</v>
      </c>
      <c r="D68" s="1">
        <v>0</v>
      </c>
      <c r="E68" s="1" t="str">
        <f t="shared" si="3"/>
        <v>(F2.0)</v>
      </c>
      <c r="F68" s="1" t="str">
        <f t="shared" si="2"/>
        <v>alter type vB7am22 (F2.0).</v>
      </c>
    </row>
    <row r="69" spans="1:6" x14ac:dyDescent="0.25">
      <c r="A69" s="1" t="s">
        <v>410</v>
      </c>
      <c r="B69" s="1" t="s">
        <v>30</v>
      </c>
      <c r="C69" s="1">
        <v>2</v>
      </c>
      <c r="D69" s="1">
        <v>0</v>
      </c>
      <c r="E69" s="1" t="str">
        <f t="shared" si="3"/>
        <v>(F2.0)</v>
      </c>
      <c r="F69" s="1" t="str">
        <f t="shared" si="2"/>
        <v>alter type vB7am23 (F2.0).</v>
      </c>
    </row>
    <row r="70" spans="1:6" x14ac:dyDescent="0.25">
      <c r="A70" s="1" t="s">
        <v>411</v>
      </c>
      <c r="B70" s="1" t="s">
        <v>30</v>
      </c>
      <c r="C70" s="1">
        <v>2</v>
      </c>
      <c r="D70" s="1">
        <v>0</v>
      </c>
      <c r="E70" s="1" t="str">
        <f t="shared" si="3"/>
        <v>(F2.0)</v>
      </c>
      <c r="F70" s="1" t="str">
        <f t="shared" si="2"/>
        <v>alter type vB7am24 (F2.0).</v>
      </c>
    </row>
    <row r="71" spans="1:6" x14ac:dyDescent="0.25">
      <c r="A71" s="1" t="s">
        <v>412</v>
      </c>
      <c r="B71" s="1" t="s">
        <v>30</v>
      </c>
      <c r="C71" s="1">
        <v>2</v>
      </c>
      <c r="D71" s="1">
        <v>0</v>
      </c>
      <c r="E71" s="1" t="str">
        <f t="shared" si="3"/>
        <v>(F2.0)</v>
      </c>
      <c r="F71" s="1" t="str">
        <f t="shared" si="2"/>
        <v>alter type vB7am25 (F2.0).</v>
      </c>
    </row>
    <row r="72" spans="1:6" x14ac:dyDescent="0.25">
      <c r="A72" s="1" t="s">
        <v>413</v>
      </c>
      <c r="B72" s="1" t="s">
        <v>30</v>
      </c>
      <c r="C72" s="1">
        <v>2</v>
      </c>
      <c r="D72" s="1">
        <v>0</v>
      </c>
      <c r="E72" s="1" t="str">
        <f t="shared" si="3"/>
        <v>(F2.0)</v>
      </c>
      <c r="F72" s="1" t="str">
        <f t="shared" si="2"/>
        <v>alter type vB7am26 (F2.0).</v>
      </c>
    </row>
    <row r="73" spans="1:6" x14ac:dyDescent="0.25">
      <c r="A73" s="1" t="s">
        <v>414</v>
      </c>
      <c r="B73" s="1" t="s">
        <v>30</v>
      </c>
      <c r="C73" s="1">
        <v>2</v>
      </c>
      <c r="D73" s="1">
        <v>0</v>
      </c>
      <c r="E73" s="1" t="str">
        <f t="shared" si="3"/>
        <v>(F2.0)</v>
      </c>
      <c r="F73" s="1" t="str">
        <f t="shared" si="2"/>
        <v>alter type vB7am27 (F2.0).</v>
      </c>
    </row>
    <row r="74" spans="1:6" x14ac:dyDescent="0.25">
      <c r="A74" s="1" t="s">
        <v>415</v>
      </c>
      <c r="B74" s="1" t="s">
        <v>30</v>
      </c>
      <c r="C74" s="1">
        <v>2</v>
      </c>
      <c r="D74" s="1">
        <v>0</v>
      </c>
      <c r="E74" s="1" t="str">
        <f t="shared" si="3"/>
        <v>(F2.0)</v>
      </c>
      <c r="F74" s="1" t="str">
        <f t="shared" si="2"/>
        <v>alter type vB7am28 (F2.0).</v>
      </c>
    </row>
    <row r="75" spans="1:6" x14ac:dyDescent="0.25">
      <c r="A75" s="1" t="s">
        <v>416</v>
      </c>
      <c r="B75" s="1" t="s">
        <v>30</v>
      </c>
      <c r="C75" s="1">
        <v>2</v>
      </c>
      <c r="D75" s="1">
        <v>0</v>
      </c>
      <c r="E75" s="1" t="str">
        <f t="shared" si="3"/>
        <v>(F2.0)</v>
      </c>
      <c r="F75" s="1" t="str">
        <f t="shared" si="2"/>
        <v>alter type vB7am29 (F2.0).</v>
      </c>
    </row>
    <row r="76" spans="1:6" x14ac:dyDescent="0.25">
      <c r="A76" s="1" t="s">
        <v>417</v>
      </c>
      <c r="B76" s="1" t="s">
        <v>30</v>
      </c>
      <c r="C76" s="1">
        <v>2</v>
      </c>
      <c r="D76" s="1">
        <v>0</v>
      </c>
      <c r="E76" s="1" t="str">
        <f t="shared" si="3"/>
        <v>(F2.0)</v>
      </c>
      <c r="F76" s="1" t="str">
        <f t="shared" si="2"/>
        <v>alter type vB7am30 (F2.0).</v>
      </c>
    </row>
    <row r="77" spans="1:6" x14ac:dyDescent="0.25">
      <c r="A77" s="1" t="s">
        <v>418</v>
      </c>
      <c r="B77" s="1" t="s">
        <v>30</v>
      </c>
      <c r="C77" s="1">
        <v>2</v>
      </c>
      <c r="D77" s="1">
        <v>0</v>
      </c>
      <c r="E77" s="1" t="str">
        <f t="shared" si="3"/>
        <v>(F2.0)</v>
      </c>
      <c r="F77" s="1" t="str">
        <f t="shared" si="2"/>
        <v>alter type vB7am31 (F2.0).</v>
      </c>
    </row>
    <row r="78" spans="1:6" x14ac:dyDescent="0.25">
      <c r="A78" s="1" t="s">
        <v>419</v>
      </c>
      <c r="B78" s="1" t="s">
        <v>30</v>
      </c>
      <c r="C78" s="1">
        <v>2</v>
      </c>
      <c r="D78" s="1">
        <v>0</v>
      </c>
      <c r="E78" s="1" t="str">
        <f t="shared" si="3"/>
        <v>(F2.0)</v>
      </c>
      <c r="F78" s="1" t="str">
        <f t="shared" si="2"/>
        <v>alter type vB7am32 (F2.0).</v>
      </c>
    </row>
    <row r="79" spans="1:6" x14ac:dyDescent="0.25">
      <c r="A79" s="1" t="s">
        <v>420</v>
      </c>
      <c r="B79" s="1" t="s">
        <v>30</v>
      </c>
      <c r="C79" s="1">
        <v>2</v>
      </c>
      <c r="D79" s="1">
        <v>0</v>
      </c>
      <c r="E79" s="1" t="str">
        <f t="shared" si="3"/>
        <v>(F2.0)</v>
      </c>
      <c r="F79" s="1" t="str">
        <f t="shared" si="2"/>
        <v>alter type vB7am33 (F2.0).</v>
      </c>
    </row>
    <row r="80" spans="1:6" x14ac:dyDescent="0.25">
      <c r="A80" s="1" t="s">
        <v>421</v>
      </c>
      <c r="B80" s="1" t="s">
        <v>30</v>
      </c>
      <c r="C80" s="1">
        <v>2</v>
      </c>
      <c r="D80" s="1">
        <v>0</v>
      </c>
      <c r="E80" s="1" t="str">
        <f t="shared" si="3"/>
        <v>(F2.0)</v>
      </c>
      <c r="F80" s="1" t="str">
        <f t="shared" si="2"/>
        <v>alter type vB7am34 (F2.0).</v>
      </c>
    </row>
    <row r="81" spans="1:6" x14ac:dyDescent="0.25">
      <c r="A81" s="1" t="s">
        <v>422</v>
      </c>
      <c r="B81" s="1" t="s">
        <v>30</v>
      </c>
      <c r="C81" s="1">
        <v>2</v>
      </c>
      <c r="D81" s="1">
        <v>0</v>
      </c>
      <c r="E81" s="1" t="str">
        <f t="shared" si="3"/>
        <v>(F2.0)</v>
      </c>
      <c r="F81" s="1" t="str">
        <f t="shared" si="2"/>
        <v>alter type vB7am35 (F2.0).</v>
      </c>
    </row>
    <row r="82" spans="1:6" x14ac:dyDescent="0.25">
      <c r="A82" s="1" t="s">
        <v>423</v>
      </c>
      <c r="B82" s="1" t="s">
        <v>30</v>
      </c>
      <c r="C82" s="1">
        <v>2</v>
      </c>
      <c r="D82" s="1">
        <v>0</v>
      </c>
      <c r="E82" s="1" t="str">
        <f t="shared" si="3"/>
        <v>(F2.0)</v>
      </c>
      <c r="F82" s="1" t="str">
        <f t="shared" si="2"/>
        <v>alter type vB7am36 (F2.0).</v>
      </c>
    </row>
    <row r="83" spans="1:6" x14ac:dyDescent="0.25">
      <c r="A83" s="1" t="s">
        <v>424</v>
      </c>
      <c r="B83" s="1" t="s">
        <v>30</v>
      </c>
      <c r="C83" s="1">
        <v>2</v>
      </c>
      <c r="D83" s="1">
        <v>0</v>
      </c>
      <c r="E83" s="1" t="str">
        <f t="shared" si="3"/>
        <v>(F2.0)</v>
      </c>
      <c r="F83" s="1" t="str">
        <f t="shared" si="2"/>
        <v>alter type vB7am37 (F2.0).</v>
      </c>
    </row>
    <row r="84" spans="1:6" x14ac:dyDescent="0.25">
      <c r="A84" s="1" t="s">
        <v>425</v>
      </c>
      <c r="B84" s="1" t="s">
        <v>30</v>
      </c>
      <c r="C84" s="1">
        <v>2</v>
      </c>
      <c r="D84" s="1">
        <v>0</v>
      </c>
      <c r="E84" s="1" t="str">
        <f t="shared" si="3"/>
        <v>(F2.0)</v>
      </c>
      <c r="F84" s="1" t="str">
        <f t="shared" si="2"/>
        <v>alter type vB7am38 (F2.0).</v>
      </c>
    </row>
    <row r="85" spans="1:6" x14ac:dyDescent="0.25">
      <c r="A85" s="1" t="s">
        <v>426</v>
      </c>
      <c r="B85" s="1" t="s">
        <v>30</v>
      </c>
      <c r="C85" s="1">
        <v>2</v>
      </c>
      <c r="D85" s="1">
        <v>0</v>
      </c>
      <c r="E85" s="1" t="str">
        <f t="shared" si="3"/>
        <v>(F2.0)</v>
      </c>
      <c r="F85" s="1" t="str">
        <f t="shared" si="2"/>
        <v>alter type vB7am39 (F2.0).</v>
      </c>
    </row>
    <row r="86" spans="1:6" x14ac:dyDescent="0.25">
      <c r="A86" s="1" t="s">
        <v>427</v>
      </c>
      <c r="B86" s="1" t="s">
        <v>30</v>
      </c>
      <c r="C86" s="1">
        <v>2</v>
      </c>
      <c r="D86" s="1">
        <v>0</v>
      </c>
      <c r="E86" s="1" t="str">
        <f t="shared" si="3"/>
        <v>(F2.0)</v>
      </c>
      <c r="F86" s="1" t="str">
        <f t="shared" si="2"/>
        <v>alter type vB7am40 (F2.0).</v>
      </c>
    </row>
    <row r="87" spans="1:6" x14ac:dyDescent="0.25">
      <c r="A87" s="1" t="s">
        <v>428</v>
      </c>
      <c r="B87" s="1" t="s">
        <v>30</v>
      </c>
      <c r="C87" s="1">
        <v>2</v>
      </c>
      <c r="D87" s="1">
        <v>0</v>
      </c>
      <c r="E87" s="1" t="str">
        <f t="shared" si="3"/>
        <v>(F2.0)</v>
      </c>
      <c r="F87" s="1" t="str">
        <f t="shared" si="2"/>
        <v>alter type vB7am41 (F2.0).</v>
      </c>
    </row>
    <row r="88" spans="1:6" x14ac:dyDescent="0.25">
      <c r="A88" s="1" t="s">
        <v>429</v>
      </c>
      <c r="B88" s="1" t="s">
        <v>30</v>
      </c>
      <c r="C88" s="1">
        <v>2</v>
      </c>
      <c r="D88" s="1">
        <v>0</v>
      </c>
      <c r="E88" s="1" t="str">
        <f t="shared" si="3"/>
        <v>(F2.0)</v>
      </c>
      <c r="F88" s="1" t="str">
        <f t="shared" si="2"/>
        <v>alter type vB7am42 (F2.0).</v>
      </c>
    </row>
    <row r="89" spans="1:6" x14ac:dyDescent="0.25">
      <c r="A89" s="1" t="s">
        <v>430</v>
      </c>
      <c r="B89" s="1" t="s">
        <v>30</v>
      </c>
      <c r="C89" s="1">
        <v>2</v>
      </c>
      <c r="D89" s="1">
        <v>0</v>
      </c>
      <c r="E89" s="1" t="str">
        <f t="shared" si="3"/>
        <v>(F2.0)</v>
      </c>
      <c r="F89" s="1" t="str">
        <f t="shared" si="2"/>
        <v>alter type vB7am43 (F2.0).</v>
      </c>
    </row>
    <row r="90" spans="1:6" x14ac:dyDescent="0.25">
      <c r="A90" s="1" t="s">
        <v>431</v>
      </c>
      <c r="B90" s="1" t="s">
        <v>30</v>
      </c>
      <c r="C90" s="1">
        <v>2</v>
      </c>
      <c r="D90" s="1">
        <v>0</v>
      </c>
      <c r="E90" s="1" t="str">
        <f t="shared" si="3"/>
        <v>(F2.0)</v>
      </c>
      <c r="F90" s="1" t="str">
        <f t="shared" si="2"/>
        <v>alter type vB7am44 (F2.0).</v>
      </c>
    </row>
    <row r="91" spans="1:6" x14ac:dyDescent="0.25">
      <c r="A91" s="1" t="s">
        <v>432</v>
      </c>
      <c r="B91" s="1" t="s">
        <v>30</v>
      </c>
      <c r="C91" s="1">
        <v>2</v>
      </c>
      <c r="D91" s="1">
        <v>0</v>
      </c>
      <c r="E91" s="1" t="str">
        <f t="shared" si="3"/>
        <v>(F2.0)</v>
      </c>
      <c r="F91" s="1" t="str">
        <f t="shared" si="2"/>
        <v>alter type vB7am45 (F2.0).</v>
      </c>
    </row>
    <row r="92" spans="1:6" x14ac:dyDescent="0.25">
      <c r="A92" s="1" t="s">
        <v>433</v>
      </c>
      <c r="B92" s="1" t="s">
        <v>30</v>
      </c>
      <c r="C92" s="1">
        <v>2</v>
      </c>
      <c r="D92" s="1">
        <v>0</v>
      </c>
      <c r="E92" s="1" t="str">
        <f t="shared" si="3"/>
        <v>(F2.0)</v>
      </c>
      <c r="F92" s="1" t="str">
        <f t="shared" si="2"/>
        <v>alter type vB7am46 (F2.0).</v>
      </c>
    </row>
    <row r="93" spans="1:6" x14ac:dyDescent="0.25">
      <c r="A93" s="1" t="s">
        <v>434</v>
      </c>
      <c r="B93" s="1" t="s">
        <v>30</v>
      </c>
      <c r="C93" s="1">
        <v>2</v>
      </c>
      <c r="D93" s="1">
        <v>0</v>
      </c>
      <c r="E93" s="1" t="str">
        <f t="shared" si="3"/>
        <v>(F2.0)</v>
      </c>
      <c r="F93" s="1" t="str">
        <f t="shared" si="2"/>
        <v>alter type vB7am47 (F2.0).</v>
      </c>
    </row>
    <row r="94" spans="1:6" x14ac:dyDescent="0.25">
      <c r="A94" s="1" t="s">
        <v>435</v>
      </c>
      <c r="B94" s="1" t="s">
        <v>30</v>
      </c>
      <c r="C94" s="1">
        <v>2</v>
      </c>
      <c r="D94" s="1">
        <v>0</v>
      </c>
      <c r="E94" s="1" t="str">
        <f t="shared" si="3"/>
        <v>(F2.0)</v>
      </c>
      <c r="F94" s="1" t="str">
        <f t="shared" si="2"/>
        <v>alter type vB7am48 (F2.0).</v>
      </c>
    </row>
    <row r="95" spans="1:6" x14ac:dyDescent="0.25">
      <c r="A95" s="1" t="s">
        <v>436</v>
      </c>
      <c r="B95" s="1" t="s">
        <v>30</v>
      </c>
      <c r="C95" s="1">
        <v>2</v>
      </c>
      <c r="D95" s="1">
        <v>0</v>
      </c>
      <c r="E95" s="1" t="str">
        <f t="shared" si="3"/>
        <v>(F2.0)</v>
      </c>
      <c r="F95" s="1" t="str">
        <f t="shared" si="2"/>
        <v>alter type vB7am49 (F2.0).</v>
      </c>
    </row>
    <row r="96" spans="1:6" x14ac:dyDescent="0.25">
      <c r="A96" s="1" t="s">
        <v>437</v>
      </c>
      <c r="B96" s="1" t="s">
        <v>30</v>
      </c>
      <c r="C96" s="1">
        <v>2</v>
      </c>
      <c r="D96" s="1">
        <v>0</v>
      </c>
      <c r="E96" s="1" t="str">
        <f t="shared" si="3"/>
        <v>(F2.0)</v>
      </c>
      <c r="F96" s="1" t="str">
        <f t="shared" si="2"/>
        <v>alter type vB7am50 (F2.0).</v>
      </c>
    </row>
    <row r="97" spans="1:6" x14ac:dyDescent="0.25">
      <c r="A97" s="1" t="s">
        <v>438</v>
      </c>
      <c r="B97" s="1" t="s">
        <v>30</v>
      </c>
      <c r="C97" s="1">
        <v>2</v>
      </c>
      <c r="D97" s="1">
        <v>0</v>
      </c>
      <c r="E97" s="1" t="str">
        <f t="shared" si="3"/>
        <v>(F2.0)</v>
      </c>
      <c r="F97" s="1" t="str">
        <f t="shared" si="2"/>
        <v>alter type vB7am51 (F2.0).</v>
      </c>
    </row>
    <row r="98" spans="1:6" x14ac:dyDescent="0.25">
      <c r="A98" s="1" t="s">
        <v>439</v>
      </c>
      <c r="B98" s="1" t="s">
        <v>30</v>
      </c>
      <c r="C98" s="1">
        <v>2</v>
      </c>
      <c r="D98" s="1">
        <v>0</v>
      </c>
      <c r="E98" s="1" t="str">
        <f t="shared" si="3"/>
        <v>(F2.0)</v>
      </c>
      <c r="F98" s="1" t="str">
        <f t="shared" si="2"/>
        <v>alter type vB7am52 (F2.0).</v>
      </c>
    </row>
    <row r="99" spans="1:6" x14ac:dyDescent="0.25">
      <c r="A99" s="1" t="s">
        <v>440</v>
      </c>
      <c r="B99" s="1" t="s">
        <v>30</v>
      </c>
      <c r="C99" s="1">
        <v>2</v>
      </c>
      <c r="D99" s="1">
        <v>0</v>
      </c>
      <c r="E99" s="1" t="str">
        <f t="shared" si="3"/>
        <v>(F2.0)</v>
      </c>
      <c r="F99" s="1" t="str">
        <f t="shared" si="2"/>
        <v>alter type vB7am53 (F2.0).</v>
      </c>
    </row>
    <row r="100" spans="1:6" x14ac:dyDescent="0.25">
      <c r="A100" s="1" t="s">
        <v>441</v>
      </c>
      <c r="B100" s="1" t="s">
        <v>30</v>
      </c>
      <c r="C100" s="1">
        <v>2</v>
      </c>
      <c r="D100" s="1">
        <v>0</v>
      </c>
      <c r="E100" s="1" t="str">
        <f t="shared" si="3"/>
        <v>(F2.0)</v>
      </c>
      <c r="F100" s="1" t="str">
        <f t="shared" si="2"/>
        <v>alter type vB7am54 (F2.0).</v>
      </c>
    </row>
    <row r="101" spans="1:6" x14ac:dyDescent="0.25">
      <c r="A101" s="1" t="s">
        <v>442</v>
      </c>
      <c r="B101" s="1" t="s">
        <v>30</v>
      </c>
      <c r="C101" s="1">
        <v>2</v>
      </c>
      <c r="D101" s="1">
        <v>0</v>
      </c>
      <c r="E101" s="1" t="str">
        <f t="shared" si="3"/>
        <v>(F2.0)</v>
      </c>
      <c r="F101" s="1" t="str">
        <f t="shared" si="2"/>
        <v>alter type vB7am88 (F2.0).</v>
      </c>
    </row>
    <row r="102" spans="1:6" x14ac:dyDescent="0.25">
      <c r="A102" s="1" t="s">
        <v>443</v>
      </c>
      <c r="B102" s="1" t="s">
        <v>27</v>
      </c>
      <c r="C102" s="1">
        <v>150</v>
      </c>
      <c r="D102" s="1">
        <v>0</v>
      </c>
      <c r="E102" s="1" t="str">
        <f t="shared" si="3"/>
        <v>(A150)</v>
      </c>
      <c r="F102" s="1" t="str">
        <f t="shared" si="2"/>
        <v>alter type vB7ao88 (A150).</v>
      </c>
    </row>
    <row r="103" spans="1:6" x14ac:dyDescent="0.25">
      <c r="A103" s="1" t="s">
        <v>444</v>
      </c>
      <c r="B103" s="1" t="s">
        <v>30</v>
      </c>
      <c r="C103" s="1">
        <v>2</v>
      </c>
      <c r="D103" s="1">
        <v>0</v>
      </c>
      <c r="E103" s="1" t="str">
        <f t="shared" si="3"/>
        <v>(F2.0)</v>
      </c>
      <c r="F103" s="1" t="str">
        <f t="shared" si="2"/>
        <v>alter type vB7 (F2.0).</v>
      </c>
    </row>
    <row r="104" spans="1:6" x14ac:dyDescent="0.25">
      <c r="A104" s="1" t="s">
        <v>445</v>
      </c>
      <c r="B104" s="1" t="s">
        <v>27</v>
      </c>
      <c r="C104" s="1">
        <v>150</v>
      </c>
      <c r="D104" s="1">
        <v>0</v>
      </c>
      <c r="E104" s="1" t="str">
        <f t="shared" si="3"/>
        <v>(A150)</v>
      </c>
      <c r="F104" s="1" t="str">
        <f t="shared" si="2"/>
        <v>alter type vB7o88 (A150).</v>
      </c>
    </row>
    <row r="105" spans="1:6" x14ac:dyDescent="0.25">
      <c r="A105" s="1" t="s">
        <v>446</v>
      </c>
      <c r="B105" s="1" t="s">
        <v>30</v>
      </c>
      <c r="C105" s="1">
        <v>2</v>
      </c>
      <c r="D105" s="1">
        <v>0</v>
      </c>
      <c r="E105" s="1" t="str">
        <f t="shared" si="3"/>
        <v>(F2.0)</v>
      </c>
      <c r="F105" s="1" t="str">
        <f t="shared" si="2"/>
        <v>alter type vB8m01 (F2.0).</v>
      </c>
    </row>
    <row r="106" spans="1:6" x14ac:dyDescent="0.25">
      <c r="A106" s="1" t="s">
        <v>447</v>
      </c>
      <c r="B106" s="1" t="s">
        <v>30</v>
      </c>
      <c r="C106" s="1">
        <v>2</v>
      </c>
      <c r="D106" s="1">
        <v>0</v>
      </c>
      <c r="E106" s="1" t="str">
        <f t="shared" si="3"/>
        <v>(F2.0)</v>
      </c>
      <c r="F106" s="1" t="str">
        <f t="shared" si="2"/>
        <v>alter type vB8m02 (F2.0).</v>
      </c>
    </row>
    <row r="107" spans="1:6" x14ac:dyDescent="0.25">
      <c r="A107" s="1" t="s">
        <v>448</v>
      </c>
      <c r="B107" s="1" t="s">
        <v>30</v>
      </c>
      <c r="C107" s="1">
        <v>2</v>
      </c>
      <c r="D107" s="1">
        <v>0</v>
      </c>
      <c r="E107" s="1" t="str">
        <f t="shared" si="3"/>
        <v>(F2.0)</v>
      </c>
      <c r="F107" s="1" t="str">
        <f t="shared" si="2"/>
        <v>alter type vB8m03 (F2.0).</v>
      </c>
    </row>
    <row r="108" spans="1:6" x14ac:dyDescent="0.25">
      <c r="A108" s="1" t="s">
        <v>449</v>
      </c>
      <c r="B108" s="1" t="s">
        <v>30</v>
      </c>
      <c r="C108" s="1">
        <v>2</v>
      </c>
      <c r="D108" s="1">
        <v>0</v>
      </c>
      <c r="E108" s="1" t="str">
        <f t="shared" si="3"/>
        <v>(F2.0)</v>
      </c>
      <c r="F108" s="1" t="str">
        <f t="shared" si="2"/>
        <v>alter type vB8m04 (F2.0).</v>
      </c>
    </row>
    <row r="109" spans="1:6" x14ac:dyDescent="0.25">
      <c r="A109" s="1" t="s">
        <v>450</v>
      </c>
      <c r="B109" s="1" t="s">
        <v>30</v>
      </c>
      <c r="C109" s="1">
        <v>2</v>
      </c>
      <c r="D109" s="1">
        <v>0</v>
      </c>
      <c r="E109" s="1" t="str">
        <f t="shared" si="3"/>
        <v>(F2.0)</v>
      </c>
      <c r="F109" s="1" t="str">
        <f t="shared" si="2"/>
        <v>alter type vB8m05 (F2.0).</v>
      </c>
    </row>
    <row r="110" spans="1:6" x14ac:dyDescent="0.25">
      <c r="A110" s="1" t="s">
        <v>451</v>
      </c>
      <c r="B110" s="1" t="s">
        <v>30</v>
      </c>
      <c r="C110" s="1">
        <v>2</v>
      </c>
      <c r="D110" s="1">
        <v>0</v>
      </c>
      <c r="E110" s="1" t="str">
        <f t="shared" si="3"/>
        <v>(F2.0)</v>
      </c>
      <c r="F110" s="1" t="str">
        <f t="shared" si="2"/>
        <v>alter type vB8m06 (F2.0).</v>
      </c>
    </row>
    <row r="111" spans="1:6" x14ac:dyDescent="0.25">
      <c r="A111" s="1" t="s">
        <v>452</v>
      </c>
      <c r="B111" s="1" t="s">
        <v>30</v>
      </c>
      <c r="C111" s="1">
        <v>2</v>
      </c>
      <c r="D111" s="1">
        <v>0</v>
      </c>
      <c r="E111" s="1" t="str">
        <f t="shared" si="3"/>
        <v>(F2.0)</v>
      </c>
      <c r="F111" s="1" t="str">
        <f t="shared" si="2"/>
        <v>alter type vB8m07 (F2.0).</v>
      </c>
    </row>
    <row r="112" spans="1:6" x14ac:dyDescent="0.25">
      <c r="A112" s="1" t="s">
        <v>453</v>
      </c>
      <c r="B112" s="1" t="s">
        <v>30</v>
      </c>
      <c r="C112" s="1">
        <v>2</v>
      </c>
      <c r="D112" s="1">
        <v>0</v>
      </c>
      <c r="E112" s="1" t="str">
        <f t="shared" si="3"/>
        <v>(F2.0)</v>
      </c>
      <c r="F112" s="1" t="str">
        <f t="shared" si="2"/>
        <v>alter type vB8m08 (F2.0).</v>
      </c>
    </row>
    <row r="113" spans="1:6" x14ac:dyDescent="0.25">
      <c r="A113" s="1" t="s">
        <v>454</v>
      </c>
      <c r="B113" s="1" t="s">
        <v>30</v>
      </c>
      <c r="C113" s="1">
        <v>2</v>
      </c>
      <c r="D113" s="1">
        <v>0</v>
      </c>
      <c r="E113" s="1" t="str">
        <f t="shared" si="3"/>
        <v>(F2.0)</v>
      </c>
      <c r="F113" s="1" t="str">
        <f t="shared" si="2"/>
        <v>alter type vB8m09 (F2.0).</v>
      </c>
    </row>
    <row r="114" spans="1:6" x14ac:dyDescent="0.25">
      <c r="A114" s="1" t="s">
        <v>455</v>
      </c>
      <c r="B114" s="1" t="s">
        <v>30</v>
      </c>
      <c r="C114" s="1">
        <v>2</v>
      </c>
      <c r="D114" s="1">
        <v>0</v>
      </c>
      <c r="E114" s="1" t="str">
        <f t="shared" si="3"/>
        <v>(F2.0)</v>
      </c>
      <c r="F114" s="1" t="str">
        <f t="shared" si="2"/>
        <v>alter type vB8m10 (F2.0).</v>
      </c>
    </row>
    <row r="115" spans="1:6" x14ac:dyDescent="0.25">
      <c r="A115" s="1" t="s">
        <v>456</v>
      </c>
      <c r="B115" s="1" t="s">
        <v>30</v>
      </c>
      <c r="C115" s="1">
        <v>2</v>
      </c>
      <c r="D115" s="1">
        <v>0</v>
      </c>
      <c r="E115" s="1" t="str">
        <f t="shared" si="3"/>
        <v>(F2.0)</v>
      </c>
      <c r="F115" s="1" t="str">
        <f t="shared" si="2"/>
        <v>alter type vB8m88 (F2.0).</v>
      </c>
    </row>
    <row r="116" spans="1:6" x14ac:dyDescent="0.25">
      <c r="A116" s="1" t="s">
        <v>457</v>
      </c>
      <c r="B116" s="1" t="s">
        <v>27</v>
      </c>
      <c r="C116" s="1">
        <v>150</v>
      </c>
      <c r="D116" s="1">
        <v>0</v>
      </c>
      <c r="E116" s="1" t="str">
        <f t="shared" si="3"/>
        <v>(A150)</v>
      </c>
      <c r="F116" s="1" t="str">
        <f t="shared" si="2"/>
        <v>alter type vB8o88 (A150).</v>
      </c>
    </row>
    <row r="117" spans="1:6" x14ac:dyDescent="0.25">
      <c r="A117" s="1" t="s">
        <v>514</v>
      </c>
      <c r="B117" s="1" t="s">
        <v>30</v>
      </c>
      <c r="C117" s="1">
        <v>4</v>
      </c>
      <c r="D117" s="1">
        <v>1</v>
      </c>
      <c r="E117" s="1" t="str">
        <f t="shared" si="3"/>
        <v>(F4.1)</v>
      </c>
      <c r="F117" s="1" t="str">
        <f t="shared" si="2"/>
        <v>alter type vC1 (F4.1).</v>
      </c>
    </row>
    <row r="118" spans="1:6" x14ac:dyDescent="0.25">
      <c r="A118" s="1" t="s">
        <v>515</v>
      </c>
      <c r="B118" s="1" t="s">
        <v>30</v>
      </c>
      <c r="C118" s="1">
        <v>5</v>
      </c>
      <c r="D118" s="1">
        <v>0</v>
      </c>
      <c r="E118" s="1" t="str">
        <f t="shared" si="3"/>
        <v>(F5.0)</v>
      </c>
      <c r="F118" s="1" t="str">
        <f t="shared" si="2"/>
        <v>alter type vC2 (F5.0).</v>
      </c>
    </row>
    <row r="119" spans="1:6" x14ac:dyDescent="0.25">
      <c r="A119" s="1" t="s">
        <v>516</v>
      </c>
      <c r="B119" s="1" t="s">
        <v>30</v>
      </c>
      <c r="C119" s="1">
        <v>2</v>
      </c>
      <c r="D119" s="1">
        <v>0</v>
      </c>
      <c r="E119" s="1" t="str">
        <f t="shared" si="3"/>
        <v>(F2.0)</v>
      </c>
      <c r="F119" s="1" t="str">
        <f t="shared" si="2"/>
        <v>alter type vC3m01 (F2.0).</v>
      </c>
    </row>
    <row r="120" spans="1:6" x14ac:dyDescent="0.25">
      <c r="A120" s="1" t="s">
        <v>517</v>
      </c>
      <c r="B120" s="1" t="s">
        <v>30</v>
      </c>
      <c r="C120" s="1">
        <v>2</v>
      </c>
      <c r="D120" s="1">
        <v>0</v>
      </c>
      <c r="E120" s="1" t="str">
        <f t="shared" si="3"/>
        <v>(F2.0)</v>
      </c>
      <c r="F120" s="1" t="str">
        <f t="shared" si="2"/>
        <v>alter type vC3m02 (F2.0).</v>
      </c>
    </row>
    <row r="121" spans="1:6" x14ac:dyDescent="0.25">
      <c r="A121" s="1" t="s">
        <v>518</v>
      </c>
      <c r="B121" s="1" t="s">
        <v>30</v>
      </c>
      <c r="C121" s="1">
        <v>2</v>
      </c>
      <c r="D121" s="1">
        <v>0</v>
      </c>
      <c r="E121" s="1" t="str">
        <f t="shared" si="3"/>
        <v>(F2.0)</v>
      </c>
      <c r="F121" s="1" t="str">
        <f t="shared" si="2"/>
        <v>alter type vC3m03 (F2.0).</v>
      </c>
    </row>
    <row r="122" spans="1:6" x14ac:dyDescent="0.25">
      <c r="A122" s="1" t="s">
        <v>519</v>
      </c>
      <c r="B122" s="1" t="s">
        <v>30</v>
      </c>
      <c r="C122" s="1">
        <v>2</v>
      </c>
      <c r="D122" s="1">
        <v>0</v>
      </c>
      <c r="E122" s="1" t="str">
        <f t="shared" si="3"/>
        <v>(F2.0)</v>
      </c>
      <c r="F122" s="1" t="str">
        <f t="shared" si="2"/>
        <v>alter type vC3m04 (F2.0).</v>
      </c>
    </row>
    <row r="123" spans="1:6" x14ac:dyDescent="0.25">
      <c r="A123" s="1" t="s">
        <v>520</v>
      </c>
      <c r="B123" s="1" t="s">
        <v>30</v>
      </c>
      <c r="C123" s="1">
        <v>2</v>
      </c>
      <c r="D123" s="1">
        <v>0</v>
      </c>
      <c r="E123" s="1" t="str">
        <f t="shared" si="3"/>
        <v>(F2.0)</v>
      </c>
      <c r="F123" s="1" t="str">
        <f t="shared" si="2"/>
        <v>alter type vC3m05 (F2.0).</v>
      </c>
    </row>
    <row r="124" spans="1:6" x14ac:dyDescent="0.25">
      <c r="A124" s="1" t="s">
        <v>521</v>
      </c>
      <c r="B124" s="1" t="s">
        <v>30</v>
      </c>
      <c r="C124" s="1">
        <v>2</v>
      </c>
      <c r="D124" s="1">
        <v>0</v>
      </c>
      <c r="E124" s="1" t="str">
        <f t="shared" si="3"/>
        <v>(F2.0)</v>
      </c>
      <c r="F124" s="1" t="str">
        <f t="shared" si="2"/>
        <v>alter type vC3m06 (F2.0).</v>
      </c>
    </row>
    <row r="125" spans="1:6" x14ac:dyDescent="0.25">
      <c r="A125" s="1" t="s">
        <v>522</v>
      </c>
      <c r="B125" s="1" t="s">
        <v>30</v>
      </c>
      <c r="C125" s="1">
        <v>2</v>
      </c>
      <c r="D125" s="1">
        <v>0</v>
      </c>
      <c r="E125" s="1" t="str">
        <f t="shared" si="3"/>
        <v>(F2.0)</v>
      </c>
      <c r="F125" s="1" t="str">
        <f t="shared" si="2"/>
        <v>alter type vC3m07 (F2.0).</v>
      </c>
    </row>
    <row r="126" spans="1:6" x14ac:dyDescent="0.25">
      <c r="A126" s="1" t="s">
        <v>523</v>
      </c>
      <c r="B126" s="1" t="s">
        <v>30</v>
      </c>
      <c r="C126" s="1">
        <v>2</v>
      </c>
      <c r="D126" s="1">
        <v>0</v>
      </c>
      <c r="E126" s="1" t="str">
        <f t="shared" si="3"/>
        <v>(F2.0)</v>
      </c>
      <c r="F126" s="1" t="str">
        <f t="shared" si="2"/>
        <v>alter type vC3m08 (F2.0).</v>
      </c>
    </row>
    <row r="127" spans="1:6" x14ac:dyDescent="0.25">
      <c r="A127" s="1" t="s">
        <v>524</v>
      </c>
      <c r="B127" s="1" t="s">
        <v>30</v>
      </c>
      <c r="C127" s="1">
        <v>2</v>
      </c>
      <c r="D127" s="1">
        <v>0</v>
      </c>
      <c r="E127" s="1" t="str">
        <f t="shared" si="3"/>
        <v>(F2.0)</v>
      </c>
      <c r="F127" s="1" t="str">
        <f t="shared" si="2"/>
        <v>alter type vC3m09 (F2.0).</v>
      </c>
    </row>
    <row r="128" spans="1:6" x14ac:dyDescent="0.25">
      <c r="A128" s="1" t="s">
        <v>525</v>
      </c>
      <c r="B128" s="1" t="s">
        <v>30</v>
      </c>
      <c r="C128" s="1">
        <v>2</v>
      </c>
      <c r="D128" s="1">
        <v>0</v>
      </c>
      <c r="E128" s="1" t="str">
        <f t="shared" si="3"/>
        <v>(F2.0)</v>
      </c>
      <c r="F128" s="1" t="str">
        <f t="shared" si="2"/>
        <v>alter type vC3m10 (F2.0).</v>
      </c>
    </row>
    <row r="129" spans="1:6" x14ac:dyDescent="0.25">
      <c r="A129" s="1" t="s">
        <v>526</v>
      </c>
      <c r="B129" s="1" t="s">
        <v>30</v>
      </c>
      <c r="C129" s="1">
        <v>2</v>
      </c>
      <c r="D129" s="1">
        <v>0</v>
      </c>
      <c r="E129" s="1" t="str">
        <f t="shared" si="3"/>
        <v>(F2.0)</v>
      </c>
      <c r="F129" s="1" t="str">
        <f t="shared" si="2"/>
        <v>alter type vC3m11 (F2.0).</v>
      </c>
    </row>
    <row r="130" spans="1:6" x14ac:dyDescent="0.25">
      <c r="A130" s="1" t="s">
        <v>527</v>
      </c>
      <c r="B130" s="1" t="s">
        <v>30</v>
      </c>
      <c r="C130" s="1">
        <v>2</v>
      </c>
      <c r="D130" s="1">
        <v>0</v>
      </c>
      <c r="E130" s="1" t="str">
        <f t="shared" si="3"/>
        <v>(F2.0)</v>
      </c>
      <c r="F130" s="1" t="str">
        <f t="shared" ref="F130:F193" si="4">"alter type "&amp;A130&amp;" "&amp;E130&amp;"."</f>
        <v>alter type vC3m88 (F2.0).</v>
      </c>
    </row>
    <row r="131" spans="1:6" x14ac:dyDescent="0.25">
      <c r="A131" s="1" t="s">
        <v>528</v>
      </c>
      <c r="B131" s="1" t="s">
        <v>27</v>
      </c>
      <c r="C131" s="1">
        <v>150</v>
      </c>
      <c r="D131" s="1">
        <v>0</v>
      </c>
      <c r="E131" s="1" t="str">
        <f t="shared" ref="E131:E194" si="5">IF(B131="數值","(F"&amp;C131&amp;"."&amp;D131&amp;")","(A"&amp;C131&amp;")")</f>
        <v>(A150)</v>
      </c>
      <c r="F131" s="1" t="str">
        <f t="shared" si="4"/>
        <v>alter type vC3o88 (A150).</v>
      </c>
    </row>
    <row r="132" spans="1:6" x14ac:dyDescent="0.25">
      <c r="A132" s="1" t="s">
        <v>79</v>
      </c>
      <c r="B132" s="1" t="s">
        <v>30</v>
      </c>
      <c r="C132" s="1">
        <v>2</v>
      </c>
      <c r="D132" s="1">
        <v>0</v>
      </c>
      <c r="E132" s="1" t="str">
        <f t="shared" si="5"/>
        <v>(F2.0)</v>
      </c>
      <c r="F132" s="1" t="str">
        <f t="shared" si="4"/>
        <v>alter type vD1 (F2.0).</v>
      </c>
    </row>
    <row r="133" spans="1:6" x14ac:dyDescent="0.25">
      <c r="A133" s="1" t="s">
        <v>80</v>
      </c>
      <c r="B133" s="1" t="s">
        <v>30</v>
      </c>
      <c r="C133" s="1">
        <v>4</v>
      </c>
      <c r="D133" s="1">
        <v>1</v>
      </c>
      <c r="E133" s="1" t="str">
        <f t="shared" si="5"/>
        <v>(F4.1)</v>
      </c>
      <c r="F133" s="1" t="str">
        <f t="shared" si="4"/>
        <v>alter type vD2 (F4.1).</v>
      </c>
    </row>
    <row r="134" spans="1:6" x14ac:dyDescent="0.25">
      <c r="A134" s="1" t="s">
        <v>81</v>
      </c>
      <c r="B134" s="1" t="s">
        <v>30</v>
      </c>
      <c r="C134" s="1">
        <v>5</v>
      </c>
      <c r="D134" s="1">
        <v>0</v>
      </c>
      <c r="E134" s="1" t="str">
        <f t="shared" si="5"/>
        <v>(F5.0)</v>
      </c>
      <c r="F134" s="1" t="str">
        <f t="shared" si="4"/>
        <v>alter type vD3 (F5.0).</v>
      </c>
    </row>
    <row r="135" spans="1:6" x14ac:dyDescent="0.25">
      <c r="A135" s="1" t="s">
        <v>268</v>
      </c>
      <c r="B135" s="1" t="s">
        <v>30</v>
      </c>
      <c r="C135" s="1">
        <v>2</v>
      </c>
      <c r="D135" s="1">
        <v>0</v>
      </c>
      <c r="E135" s="1" t="str">
        <f t="shared" si="5"/>
        <v>(F2.0)</v>
      </c>
      <c r="F135" s="1" t="str">
        <f t="shared" si="4"/>
        <v>alter type vE1 (F2.0).</v>
      </c>
    </row>
    <row r="136" spans="1:6" x14ac:dyDescent="0.25">
      <c r="A136" s="1" t="s">
        <v>1228</v>
      </c>
      <c r="B136" s="1" t="s">
        <v>30</v>
      </c>
      <c r="C136" s="1">
        <v>2</v>
      </c>
      <c r="D136" s="1">
        <v>0</v>
      </c>
      <c r="E136" s="1" t="str">
        <f t="shared" si="5"/>
        <v>(F2.0)</v>
      </c>
      <c r="F136" s="1" t="str">
        <f t="shared" si="4"/>
        <v>alter type vE1LI (F2.0).</v>
      </c>
    </row>
    <row r="137" spans="1:6" x14ac:dyDescent="0.25">
      <c r="A137" s="1" t="s">
        <v>1230</v>
      </c>
      <c r="B137" s="1" t="s">
        <v>30</v>
      </c>
      <c r="C137" s="1">
        <v>2</v>
      </c>
      <c r="D137" s="1">
        <v>0</v>
      </c>
      <c r="E137" s="1" t="str">
        <f t="shared" si="5"/>
        <v>(F2.0)</v>
      </c>
      <c r="F137" s="1" t="str">
        <f t="shared" si="4"/>
        <v>alter type vE1VP (F2.0).</v>
      </c>
    </row>
    <row r="138" spans="1:6" x14ac:dyDescent="0.25">
      <c r="A138" s="1" t="s">
        <v>1232</v>
      </c>
      <c r="B138" s="1" t="s">
        <v>30</v>
      </c>
      <c r="C138" s="1">
        <v>2</v>
      </c>
      <c r="D138" s="1">
        <v>0</v>
      </c>
      <c r="E138" s="1" t="str">
        <f t="shared" si="5"/>
        <v>(F2.0)</v>
      </c>
      <c r="F138" s="1" t="str">
        <f t="shared" si="4"/>
        <v>alter type vE1YT (F2.0).</v>
      </c>
    </row>
    <row r="139" spans="1:6" x14ac:dyDescent="0.25">
      <c r="A139" s="1" t="s">
        <v>1234</v>
      </c>
      <c r="B139" s="1" t="s">
        <v>30</v>
      </c>
      <c r="C139" s="1">
        <v>2</v>
      </c>
      <c r="D139" s="1">
        <v>0</v>
      </c>
      <c r="E139" s="1" t="str">
        <f t="shared" si="5"/>
        <v>(F2.0)</v>
      </c>
      <c r="F139" s="1" t="str">
        <f t="shared" si="4"/>
        <v>alter type vCKE1 (F2.0).</v>
      </c>
    </row>
    <row r="140" spans="1:6" x14ac:dyDescent="0.25">
      <c r="A140" s="1" t="s">
        <v>269</v>
      </c>
      <c r="B140" s="1" t="s">
        <v>30</v>
      </c>
      <c r="C140" s="1">
        <v>2</v>
      </c>
      <c r="D140" s="1">
        <v>0</v>
      </c>
      <c r="E140" s="1" t="str">
        <f t="shared" si="5"/>
        <v>(F2.0)</v>
      </c>
      <c r="F140" s="1" t="str">
        <f t="shared" si="4"/>
        <v>alter type vE2m01 (F2.0).</v>
      </c>
    </row>
    <row r="141" spans="1:6" x14ac:dyDescent="0.25">
      <c r="A141" s="1" t="s">
        <v>270</v>
      </c>
      <c r="B141" s="1" t="s">
        <v>30</v>
      </c>
      <c r="C141" s="1">
        <v>2</v>
      </c>
      <c r="D141" s="1">
        <v>0</v>
      </c>
      <c r="E141" s="1" t="str">
        <f t="shared" si="5"/>
        <v>(F2.0)</v>
      </c>
      <c r="F141" s="1" t="str">
        <f t="shared" si="4"/>
        <v>alter type vE2m02 (F2.0).</v>
      </c>
    </row>
    <row r="142" spans="1:6" x14ac:dyDescent="0.25">
      <c r="A142" s="1" t="s">
        <v>271</v>
      </c>
      <c r="B142" s="1" t="s">
        <v>30</v>
      </c>
      <c r="C142" s="1">
        <v>2</v>
      </c>
      <c r="D142" s="1">
        <v>0</v>
      </c>
      <c r="E142" s="1" t="str">
        <f t="shared" si="5"/>
        <v>(F2.0)</v>
      </c>
      <c r="F142" s="1" t="str">
        <f t="shared" si="4"/>
        <v>alter type vE2m03 (F2.0).</v>
      </c>
    </row>
    <row r="143" spans="1:6" x14ac:dyDescent="0.25">
      <c r="A143" s="1" t="s">
        <v>272</v>
      </c>
      <c r="B143" s="1" t="s">
        <v>30</v>
      </c>
      <c r="C143" s="1">
        <v>2</v>
      </c>
      <c r="D143" s="1">
        <v>0</v>
      </c>
      <c r="E143" s="1" t="str">
        <f t="shared" si="5"/>
        <v>(F2.0)</v>
      </c>
      <c r="F143" s="1" t="str">
        <f t="shared" si="4"/>
        <v>alter type vE2m04 (F2.0).</v>
      </c>
    </row>
    <row r="144" spans="1:6" x14ac:dyDescent="0.25">
      <c r="A144" s="1" t="s">
        <v>273</v>
      </c>
      <c r="B144" s="1" t="s">
        <v>30</v>
      </c>
      <c r="C144" s="1">
        <v>2</v>
      </c>
      <c r="D144" s="1">
        <v>0</v>
      </c>
      <c r="E144" s="1" t="str">
        <f t="shared" si="5"/>
        <v>(F2.0)</v>
      </c>
      <c r="F144" s="1" t="str">
        <f t="shared" si="4"/>
        <v>alter type vE2m88 (F2.0).</v>
      </c>
    </row>
    <row r="145" spans="1:6" x14ac:dyDescent="0.25">
      <c r="A145" s="1" t="s">
        <v>274</v>
      </c>
      <c r="B145" s="1" t="s">
        <v>27</v>
      </c>
      <c r="C145" s="1">
        <v>150</v>
      </c>
      <c r="D145" s="1">
        <v>0</v>
      </c>
      <c r="E145" s="1" t="str">
        <f t="shared" si="5"/>
        <v>(A150)</v>
      </c>
      <c r="F145" s="1" t="str">
        <f t="shared" si="4"/>
        <v>alter type vE2o88 (A150).</v>
      </c>
    </row>
    <row r="146" spans="1:6" x14ac:dyDescent="0.25">
      <c r="A146" s="1" t="s">
        <v>118</v>
      </c>
      <c r="B146" s="1" t="s">
        <v>30</v>
      </c>
      <c r="C146" s="1">
        <v>2</v>
      </c>
      <c r="D146" s="1">
        <v>0</v>
      </c>
      <c r="E146" s="1" t="str">
        <f t="shared" si="5"/>
        <v>(F2.0)</v>
      </c>
      <c r="F146" s="1" t="str">
        <f t="shared" si="4"/>
        <v>alter type vE17 (F2.0).</v>
      </c>
    </row>
    <row r="147" spans="1:6" x14ac:dyDescent="0.25">
      <c r="A147" s="1" t="s">
        <v>119</v>
      </c>
      <c r="B147" s="1" t="s">
        <v>27</v>
      </c>
      <c r="C147" s="1">
        <v>150</v>
      </c>
      <c r="D147" s="1">
        <v>0</v>
      </c>
      <c r="E147" s="1" t="str">
        <f t="shared" si="5"/>
        <v>(A150)</v>
      </c>
      <c r="F147" s="1" t="str">
        <f t="shared" si="4"/>
        <v>alter type vE17o88 (A150).</v>
      </c>
    </row>
    <row r="148" spans="1:6" x14ac:dyDescent="0.25">
      <c r="A148" s="1" t="s">
        <v>264</v>
      </c>
      <c r="B148" s="1" t="s">
        <v>30</v>
      </c>
      <c r="C148" s="1">
        <v>2</v>
      </c>
      <c r="D148" s="1">
        <v>0</v>
      </c>
      <c r="E148" s="1" t="str">
        <f t="shared" si="5"/>
        <v>(F2.0)</v>
      </c>
      <c r="F148" s="1" t="str">
        <f t="shared" si="4"/>
        <v>alter type vE18 (F2.0).</v>
      </c>
    </row>
    <row r="149" spans="1:6" x14ac:dyDescent="0.25">
      <c r="A149" s="1" t="s">
        <v>265</v>
      </c>
      <c r="B149" s="1" t="s">
        <v>27</v>
      </c>
      <c r="C149" s="1">
        <v>150</v>
      </c>
      <c r="D149" s="1">
        <v>0</v>
      </c>
      <c r="E149" s="1" t="str">
        <f t="shared" si="5"/>
        <v>(A150)</v>
      </c>
      <c r="F149" s="1" t="str">
        <f t="shared" si="4"/>
        <v>alter type vE18o88 (A150).</v>
      </c>
    </row>
    <row r="150" spans="1:6" x14ac:dyDescent="0.25">
      <c r="A150" s="1" t="s">
        <v>275</v>
      </c>
      <c r="B150" s="1" t="s">
        <v>30</v>
      </c>
      <c r="C150" s="1">
        <v>4</v>
      </c>
      <c r="D150" s="1">
        <v>1</v>
      </c>
      <c r="E150" s="1" t="str">
        <f t="shared" si="5"/>
        <v>(F4.1)</v>
      </c>
      <c r="F150" s="1" t="str">
        <f t="shared" si="4"/>
        <v>alter type vE4 (F4.1).</v>
      </c>
    </row>
    <row r="151" spans="1:6" x14ac:dyDescent="0.25">
      <c r="A151" s="1" t="s">
        <v>276</v>
      </c>
      <c r="B151" s="1" t="s">
        <v>30</v>
      </c>
      <c r="C151" s="1">
        <v>2</v>
      </c>
      <c r="D151" s="1">
        <v>0</v>
      </c>
      <c r="E151" s="1" t="str">
        <f t="shared" si="5"/>
        <v>(F2.0)</v>
      </c>
      <c r="F151" s="1" t="str">
        <f t="shared" si="4"/>
        <v>alter type vCKE4 (F2.0).</v>
      </c>
    </row>
    <row r="152" spans="1:6" x14ac:dyDescent="0.25">
      <c r="A152" s="1" t="s">
        <v>1082</v>
      </c>
      <c r="B152" s="1" t="s">
        <v>30</v>
      </c>
      <c r="C152" s="1">
        <v>5</v>
      </c>
      <c r="D152" s="1">
        <v>0</v>
      </c>
      <c r="E152" s="1" t="str">
        <f t="shared" si="5"/>
        <v>(F5.0)</v>
      </c>
      <c r="F152" s="1" t="str">
        <f t="shared" si="4"/>
        <v>alter type vE5sE5 (F5.0).</v>
      </c>
    </row>
    <row r="153" spans="1:6" x14ac:dyDescent="0.25">
      <c r="A153" s="1" t="s">
        <v>1084</v>
      </c>
      <c r="B153" s="1" t="s">
        <v>30</v>
      </c>
      <c r="C153" s="1">
        <v>5</v>
      </c>
      <c r="D153" s="1">
        <v>0</v>
      </c>
      <c r="E153" s="1" t="str">
        <f t="shared" si="5"/>
        <v>(F5.0)</v>
      </c>
      <c r="F153" s="1" t="str">
        <f t="shared" si="4"/>
        <v>alter type vE5sE6 (F5.0).</v>
      </c>
    </row>
    <row r="154" spans="1:6" x14ac:dyDescent="0.25">
      <c r="A154" s="1" t="s">
        <v>280</v>
      </c>
      <c r="B154" s="1" t="s">
        <v>30</v>
      </c>
      <c r="C154" s="1">
        <v>4</v>
      </c>
      <c r="D154" s="1">
        <v>1</v>
      </c>
      <c r="E154" s="1" t="str">
        <f t="shared" si="5"/>
        <v>(F4.1)</v>
      </c>
      <c r="F154" s="1" t="str">
        <f t="shared" si="4"/>
        <v>alter type vE7 (F4.1).</v>
      </c>
    </row>
    <row r="155" spans="1:6" x14ac:dyDescent="0.25">
      <c r="A155" s="1" t="s">
        <v>1085</v>
      </c>
      <c r="B155" s="1" t="s">
        <v>30</v>
      </c>
      <c r="C155" s="1">
        <v>5</v>
      </c>
      <c r="D155" s="1">
        <v>0</v>
      </c>
      <c r="E155" s="1" t="str">
        <f t="shared" si="5"/>
        <v>(F5.0)</v>
      </c>
      <c r="F155" s="1" t="str">
        <f t="shared" si="4"/>
        <v>alter type vE8sE8 (F5.0).</v>
      </c>
    </row>
    <row r="156" spans="1:6" x14ac:dyDescent="0.25">
      <c r="A156" s="1" t="s">
        <v>1086</v>
      </c>
      <c r="B156" s="1" t="s">
        <v>30</v>
      </c>
      <c r="C156" s="1">
        <v>5</v>
      </c>
      <c r="D156" s="1">
        <v>0</v>
      </c>
      <c r="E156" s="1" t="str">
        <f t="shared" si="5"/>
        <v>(F5.0)</v>
      </c>
      <c r="F156" s="1" t="str">
        <f t="shared" si="4"/>
        <v>alter type vE8sE9 (F5.0).</v>
      </c>
    </row>
    <row r="157" spans="1:6" x14ac:dyDescent="0.25">
      <c r="A157" s="1" t="s">
        <v>284</v>
      </c>
      <c r="B157" s="1" t="s">
        <v>30</v>
      </c>
      <c r="C157" s="1">
        <v>4</v>
      </c>
      <c r="D157" s="1">
        <v>1</v>
      </c>
      <c r="E157" s="1" t="str">
        <f t="shared" si="5"/>
        <v>(F4.1)</v>
      </c>
      <c r="F157" s="1" t="str">
        <f t="shared" si="4"/>
        <v>alter type vE10 (F4.1).</v>
      </c>
    </row>
    <row r="158" spans="1:6" x14ac:dyDescent="0.25">
      <c r="A158" s="1" t="s">
        <v>1087</v>
      </c>
      <c r="B158" s="1" t="s">
        <v>30</v>
      </c>
      <c r="C158" s="1">
        <v>5</v>
      </c>
      <c r="D158" s="1">
        <v>0</v>
      </c>
      <c r="E158" s="1" t="str">
        <f t="shared" si="5"/>
        <v>(F5.0)</v>
      </c>
      <c r="F158" s="1" t="str">
        <f t="shared" si="4"/>
        <v>alter type vE11sE11 (F5.0).</v>
      </c>
    </row>
    <row r="159" spans="1:6" x14ac:dyDescent="0.25">
      <c r="A159" s="1" t="s">
        <v>1088</v>
      </c>
      <c r="B159" s="1" t="s">
        <v>30</v>
      </c>
      <c r="C159" s="1">
        <v>5</v>
      </c>
      <c r="D159" s="1">
        <v>0</v>
      </c>
      <c r="E159" s="1" t="str">
        <f t="shared" si="5"/>
        <v>(F5.0)</v>
      </c>
      <c r="F159" s="1" t="str">
        <f t="shared" si="4"/>
        <v>alter type vE11sE12 (F5.0).</v>
      </c>
    </row>
    <row r="160" spans="1:6" x14ac:dyDescent="0.25">
      <c r="A160" s="1" t="s">
        <v>288</v>
      </c>
      <c r="B160" s="1" t="s">
        <v>27</v>
      </c>
      <c r="C160" s="1">
        <v>3000</v>
      </c>
      <c r="D160" s="1">
        <v>0</v>
      </c>
      <c r="E160" s="1" t="str">
        <f t="shared" si="5"/>
        <v>(A3000)</v>
      </c>
      <c r="F160" s="1" t="str">
        <f t="shared" si="4"/>
        <v>alter type vE3_1 (A3000).</v>
      </c>
    </row>
    <row r="161" spans="1:6" x14ac:dyDescent="0.25">
      <c r="A161" s="1" t="s">
        <v>289</v>
      </c>
      <c r="B161" s="1" t="s">
        <v>30</v>
      </c>
      <c r="C161" s="1">
        <v>5</v>
      </c>
      <c r="D161" s="1">
        <v>0</v>
      </c>
      <c r="E161" s="1" t="str">
        <f t="shared" si="5"/>
        <v>(F5.0)</v>
      </c>
      <c r="F161" s="1" t="str">
        <f t="shared" si="4"/>
        <v>alter type vE3 (F5.0).</v>
      </c>
    </row>
    <row r="162" spans="1:6" x14ac:dyDescent="0.25">
      <c r="A162" s="1" t="s">
        <v>290</v>
      </c>
      <c r="B162" s="1" t="s">
        <v>30</v>
      </c>
      <c r="C162" s="1">
        <v>2</v>
      </c>
      <c r="D162" s="1">
        <v>0</v>
      </c>
      <c r="E162" s="1" t="str">
        <f t="shared" si="5"/>
        <v>(F2.0)</v>
      </c>
      <c r="F162" s="1" t="str">
        <f t="shared" si="4"/>
        <v>alter type vE13m01 (F2.0).</v>
      </c>
    </row>
    <row r="163" spans="1:6" x14ac:dyDescent="0.25">
      <c r="A163" s="1" t="s">
        <v>291</v>
      </c>
      <c r="B163" s="1" t="s">
        <v>30</v>
      </c>
      <c r="C163" s="1">
        <v>2</v>
      </c>
      <c r="D163" s="1">
        <v>0</v>
      </c>
      <c r="E163" s="1" t="str">
        <f t="shared" si="5"/>
        <v>(F2.0)</v>
      </c>
      <c r="F163" s="1" t="str">
        <f t="shared" si="4"/>
        <v>alter type vE13m02 (F2.0).</v>
      </c>
    </row>
    <row r="164" spans="1:6" x14ac:dyDescent="0.25">
      <c r="A164" s="1" t="s">
        <v>292</v>
      </c>
      <c r="B164" s="1" t="s">
        <v>30</v>
      </c>
      <c r="C164" s="1">
        <v>2</v>
      </c>
      <c r="D164" s="1">
        <v>0</v>
      </c>
      <c r="E164" s="1" t="str">
        <f t="shared" si="5"/>
        <v>(F2.0)</v>
      </c>
      <c r="F164" s="1" t="str">
        <f t="shared" si="4"/>
        <v>alter type vE13m03 (F2.0).</v>
      </c>
    </row>
    <row r="165" spans="1:6" x14ac:dyDescent="0.25">
      <c r="A165" s="1" t="s">
        <v>293</v>
      </c>
      <c r="B165" s="1" t="s">
        <v>30</v>
      </c>
      <c r="C165" s="1">
        <v>2</v>
      </c>
      <c r="D165" s="1">
        <v>0</v>
      </c>
      <c r="E165" s="1" t="str">
        <f t="shared" si="5"/>
        <v>(F2.0)</v>
      </c>
      <c r="F165" s="1" t="str">
        <f t="shared" si="4"/>
        <v>alter type vE13m04 (F2.0).</v>
      </c>
    </row>
    <row r="166" spans="1:6" x14ac:dyDescent="0.25">
      <c r="A166" s="1" t="s">
        <v>294</v>
      </c>
      <c r="B166" s="1" t="s">
        <v>30</v>
      </c>
      <c r="C166" s="1">
        <v>2</v>
      </c>
      <c r="D166" s="1">
        <v>0</v>
      </c>
      <c r="E166" s="1" t="str">
        <f t="shared" si="5"/>
        <v>(F2.0)</v>
      </c>
      <c r="F166" s="1" t="str">
        <f t="shared" si="4"/>
        <v>alter type vE13m05 (F2.0).</v>
      </c>
    </row>
    <row r="167" spans="1:6" x14ac:dyDescent="0.25">
      <c r="A167" s="1" t="s">
        <v>295</v>
      </c>
      <c r="B167" s="1" t="s">
        <v>30</v>
      </c>
      <c r="C167" s="1">
        <v>2</v>
      </c>
      <c r="D167" s="1">
        <v>0</v>
      </c>
      <c r="E167" s="1" t="str">
        <f t="shared" si="5"/>
        <v>(F2.0)</v>
      </c>
      <c r="F167" s="1" t="str">
        <f t="shared" si="4"/>
        <v>alter type vE13m06 (F2.0).</v>
      </c>
    </row>
    <row r="168" spans="1:6" x14ac:dyDescent="0.25">
      <c r="A168" s="1" t="s">
        <v>296</v>
      </c>
      <c r="B168" s="1" t="s">
        <v>30</v>
      </c>
      <c r="C168" s="1">
        <v>2</v>
      </c>
      <c r="D168" s="1">
        <v>0</v>
      </c>
      <c r="E168" s="1" t="str">
        <f t="shared" si="5"/>
        <v>(F2.0)</v>
      </c>
      <c r="F168" s="1" t="str">
        <f t="shared" si="4"/>
        <v>alter type vE13m88 (F2.0).</v>
      </c>
    </row>
    <row r="169" spans="1:6" x14ac:dyDescent="0.25">
      <c r="A169" s="1" t="s">
        <v>297</v>
      </c>
      <c r="B169" s="1" t="s">
        <v>27</v>
      </c>
      <c r="C169" s="1">
        <v>150</v>
      </c>
      <c r="D169" s="1">
        <v>0</v>
      </c>
      <c r="E169" s="1" t="str">
        <f t="shared" si="5"/>
        <v>(A150)</v>
      </c>
      <c r="F169" s="1" t="str">
        <f t="shared" si="4"/>
        <v>alter type vE13o88 (A150).</v>
      </c>
    </row>
    <row r="170" spans="1:6" x14ac:dyDescent="0.25">
      <c r="A170" s="1" t="s">
        <v>298</v>
      </c>
      <c r="B170" s="1" t="s">
        <v>30</v>
      </c>
      <c r="C170" s="1">
        <v>7</v>
      </c>
      <c r="D170" s="1">
        <v>0</v>
      </c>
      <c r="E170" s="1" t="str">
        <f t="shared" si="5"/>
        <v>(F7.0)</v>
      </c>
      <c r="F170" s="1" t="str">
        <f t="shared" si="4"/>
        <v>alter type vE14 (F7.0).</v>
      </c>
    </row>
    <row r="171" spans="1:6" x14ac:dyDescent="0.25">
      <c r="A171" s="1" t="s">
        <v>1262</v>
      </c>
      <c r="B171" s="1" t="s">
        <v>30</v>
      </c>
      <c r="C171" s="1">
        <v>2</v>
      </c>
      <c r="D171" s="1">
        <v>0</v>
      </c>
      <c r="E171" s="1" t="str">
        <f t="shared" si="5"/>
        <v>(F2.0)</v>
      </c>
      <c r="F171" s="1" t="str">
        <f t="shared" si="4"/>
        <v>alter type vQ1m01 (F2.0).</v>
      </c>
    </row>
    <row r="172" spans="1:6" x14ac:dyDescent="0.25">
      <c r="A172" s="1" t="s">
        <v>1264</v>
      </c>
      <c r="B172" s="1" t="s">
        <v>30</v>
      </c>
      <c r="C172" s="1">
        <v>2</v>
      </c>
      <c r="D172" s="1">
        <v>0</v>
      </c>
      <c r="E172" s="1" t="str">
        <f t="shared" si="5"/>
        <v>(F2.0)</v>
      </c>
      <c r="F172" s="1" t="str">
        <f t="shared" si="4"/>
        <v>alter type vQ1m02 (F2.0).</v>
      </c>
    </row>
    <row r="173" spans="1:6" x14ac:dyDescent="0.25">
      <c r="A173" s="1" t="s">
        <v>1266</v>
      </c>
      <c r="B173" s="1" t="s">
        <v>30</v>
      </c>
      <c r="C173" s="1">
        <v>2</v>
      </c>
      <c r="D173" s="1">
        <v>0</v>
      </c>
      <c r="E173" s="1" t="str">
        <f t="shared" si="5"/>
        <v>(F2.0)</v>
      </c>
      <c r="F173" s="1" t="str">
        <f t="shared" si="4"/>
        <v>alter type vQ1m03 (F2.0).</v>
      </c>
    </row>
    <row r="174" spans="1:6" x14ac:dyDescent="0.25">
      <c r="A174" s="1" t="s">
        <v>1268</v>
      </c>
      <c r="B174" s="1" t="s">
        <v>30</v>
      </c>
      <c r="C174" s="1">
        <v>2</v>
      </c>
      <c r="D174" s="1">
        <v>0</v>
      </c>
      <c r="E174" s="1" t="str">
        <f t="shared" si="5"/>
        <v>(F2.0)</v>
      </c>
      <c r="F174" s="1" t="str">
        <f t="shared" si="4"/>
        <v>alter type vQ1m04 (F2.0).</v>
      </c>
    </row>
    <row r="175" spans="1:6" x14ac:dyDescent="0.25">
      <c r="A175" s="1" t="s">
        <v>1270</v>
      </c>
      <c r="B175" s="1" t="s">
        <v>30</v>
      </c>
      <c r="C175" s="1">
        <v>2</v>
      </c>
      <c r="D175" s="1">
        <v>0</v>
      </c>
      <c r="E175" s="1" t="str">
        <f t="shared" si="5"/>
        <v>(F2.0)</v>
      </c>
      <c r="F175" s="1" t="str">
        <f t="shared" si="4"/>
        <v>alter type vQ1m05 (F2.0).</v>
      </c>
    </row>
    <row r="176" spans="1:6" x14ac:dyDescent="0.25">
      <c r="A176" s="1" t="s">
        <v>1272</v>
      </c>
      <c r="B176" s="1" t="s">
        <v>30</v>
      </c>
      <c r="C176" s="1">
        <v>2</v>
      </c>
      <c r="D176" s="1">
        <v>0</v>
      </c>
      <c r="E176" s="1" t="str">
        <f t="shared" si="5"/>
        <v>(F2.0)</v>
      </c>
      <c r="F176" s="1" t="str">
        <f t="shared" si="4"/>
        <v>alter type vQ1m06 (F2.0).</v>
      </c>
    </row>
    <row r="177" spans="1:6" x14ac:dyDescent="0.25">
      <c r="A177" s="1" t="s">
        <v>1274</v>
      </c>
      <c r="B177" s="1" t="s">
        <v>30</v>
      </c>
      <c r="C177" s="1">
        <v>2</v>
      </c>
      <c r="D177" s="1">
        <v>0</v>
      </c>
      <c r="E177" s="1" t="str">
        <f t="shared" si="5"/>
        <v>(F2.0)</v>
      </c>
      <c r="F177" s="1" t="str">
        <f t="shared" si="4"/>
        <v>alter type vQ1m07 (F2.0).</v>
      </c>
    </row>
    <row r="178" spans="1:6" x14ac:dyDescent="0.25">
      <c r="A178" s="1" t="s">
        <v>1276</v>
      </c>
      <c r="B178" s="1" t="s">
        <v>30</v>
      </c>
      <c r="C178" s="1">
        <v>2</v>
      </c>
      <c r="D178" s="1">
        <v>0</v>
      </c>
      <c r="E178" s="1" t="str">
        <f t="shared" si="5"/>
        <v>(F2.0)</v>
      </c>
      <c r="F178" s="1" t="str">
        <f t="shared" si="4"/>
        <v>alter type vQ1m08 (F2.0).</v>
      </c>
    </row>
    <row r="179" spans="1:6" x14ac:dyDescent="0.25">
      <c r="A179" s="1" t="s">
        <v>1278</v>
      </c>
      <c r="B179" s="1" t="s">
        <v>30</v>
      </c>
      <c r="C179" s="1">
        <v>2</v>
      </c>
      <c r="D179" s="1">
        <v>0</v>
      </c>
      <c r="E179" s="1" t="str">
        <f t="shared" si="5"/>
        <v>(F2.0)</v>
      </c>
      <c r="F179" s="1" t="str">
        <f t="shared" si="4"/>
        <v>alter type vQ1m09 (F2.0).</v>
      </c>
    </row>
    <row r="180" spans="1:6" x14ac:dyDescent="0.25">
      <c r="A180" s="1" t="s">
        <v>1280</v>
      </c>
      <c r="B180" s="1" t="s">
        <v>30</v>
      </c>
      <c r="C180" s="1">
        <v>2</v>
      </c>
      <c r="D180" s="1">
        <v>0</v>
      </c>
      <c r="E180" s="1" t="str">
        <f t="shared" si="5"/>
        <v>(F2.0)</v>
      </c>
      <c r="F180" s="1" t="str">
        <f t="shared" si="4"/>
        <v>alter type vQ1m10 (F2.0).</v>
      </c>
    </row>
    <row r="181" spans="1:6" x14ac:dyDescent="0.25">
      <c r="A181" s="1" t="s">
        <v>1282</v>
      </c>
      <c r="B181" s="1" t="s">
        <v>30</v>
      </c>
      <c r="C181" s="1">
        <v>2</v>
      </c>
      <c r="D181" s="1">
        <v>0</v>
      </c>
      <c r="E181" s="1" t="str">
        <f t="shared" si="5"/>
        <v>(F2.0)</v>
      </c>
      <c r="F181" s="1" t="str">
        <f t="shared" si="4"/>
        <v>alter type vQ1m88 (F2.0).</v>
      </c>
    </row>
    <row r="182" spans="1:6" x14ac:dyDescent="0.25">
      <c r="A182" s="1" t="s">
        <v>1284</v>
      </c>
      <c r="B182" s="1" t="s">
        <v>27</v>
      </c>
      <c r="C182" s="1">
        <v>150</v>
      </c>
      <c r="D182" s="1">
        <v>0</v>
      </c>
      <c r="E182" s="1" t="str">
        <f t="shared" si="5"/>
        <v>(A150)</v>
      </c>
      <c r="F182" s="1" t="str">
        <f t="shared" si="4"/>
        <v>alter type vQ1o88 (A150).</v>
      </c>
    </row>
    <row r="183" spans="1:6" x14ac:dyDescent="0.25">
      <c r="A183" s="1" t="s">
        <v>1285</v>
      </c>
      <c r="B183" s="1" t="s">
        <v>30</v>
      </c>
      <c r="C183" s="1">
        <v>2</v>
      </c>
      <c r="D183" s="1">
        <v>0</v>
      </c>
      <c r="E183" s="1" t="str">
        <f t="shared" si="5"/>
        <v>(F2.0)</v>
      </c>
      <c r="F183" s="1" t="str">
        <f t="shared" si="4"/>
        <v>alter type vE15s01 (F2.0).</v>
      </c>
    </row>
    <row r="184" spans="1:6" x14ac:dyDescent="0.25">
      <c r="A184" s="1" t="s">
        <v>1287</v>
      </c>
      <c r="B184" s="1" t="s">
        <v>30</v>
      </c>
      <c r="C184" s="1">
        <v>2</v>
      </c>
      <c r="D184" s="1">
        <v>0</v>
      </c>
      <c r="E184" s="1" t="str">
        <f t="shared" si="5"/>
        <v>(F2.0)</v>
      </c>
      <c r="F184" s="1" t="str">
        <f t="shared" si="4"/>
        <v>alter type vE15s02 (F2.0).</v>
      </c>
    </row>
    <row r="185" spans="1:6" x14ac:dyDescent="0.25">
      <c r="A185" s="1" t="s">
        <v>1289</v>
      </c>
      <c r="B185" s="1" t="s">
        <v>30</v>
      </c>
      <c r="C185" s="1">
        <v>2</v>
      </c>
      <c r="D185" s="1">
        <v>0</v>
      </c>
      <c r="E185" s="1" t="str">
        <f t="shared" si="5"/>
        <v>(F2.0)</v>
      </c>
      <c r="F185" s="1" t="str">
        <f t="shared" si="4"/>
        <v>alter type vE15s03 (F2.0).</v>
      </c>
    </row>
    <row r="186" spans="1:6" x14ac:dyDescent="0.25">
      <c r="A186" s="1" t="s">
        <v>1291</v>
      </c>
      <c r="B186" s="1" t="s">
        <v>30</v>
      </c>
      <c r="C186" s="1">
        <v>2</v>
      </c>
      <c r="D186" s="1">
        <v>0</v>
      </c>
      <c r="E186" s="1" t="str">
        <f t="shared" si="5"/>
        <v>(F2.0)</v>
      </c>
      <c r="F186" s="1" t="str">
        <f t="shared" si="4"/>
        <v>alter type vQ2m01 (F2.0).</v>
      </c>
    </row>
    <row r="187" spans="1:6" x14ac:dyDescent="0.25">
      <c r="A187" s="1" t="s">
        <v>1293</v>
      </c>
      <c r="B187" s="1" t="s">
        <v>30</v>
      </c>
      <c r="C187" s="1">
        <v>2</v>
      </c>
      <c r="D187" s="1">
        <v>0</v>
      </c>
      <c r="E187" s="1" t="str">
        <f t="shared" si="5"/>
        <v>(F2.0)</v>
      </c>
      <c r="F187" s="1" t="str">
        <f t="shared" si="4"/>
        <v>alter type vQ2m02 (F2.0).</v>
      </c>
    </row>
    <row r="188" spans="1:6" x14ac:dyDescent="0.25">
      <c r="A188" s="1" t="s">
        <v>1295</v>
      </c>
      <c r="B188" s="1" t="s">
        <v>30</v>
      </c>
      <c r="C188" s="1">
        <v>2</v>
      </c>
      <c r="D188" s="1">
        <v>0</v>
      </c>
      <c r="E188" s="1" t="str">
        <f t="shared" si="5"/>
        <v>(F2.0)</v>
      </c>
      <c r="F188" s="1" t="str">
        <f t="shared" si="4"/>
        <v>alter type vQ2m03 (F2.0).</v>
      </c>
    </row>
    <row r="189" spans="1:6" x14ac:dyDescent="0.25">
      <c r="A189" s="1" t="s">
        <v>1297</v>
      </c>
      <c r="B189" s="1" t="s">
        <v>30</v>
      </c>
      <c r="C189" s="1">
        <v>2</v>
      </c>
      <c r="D189" s="1">
        <v>0</v>
      </c>
      <c r="E189" s="1" t="str">
        <f t="shared" si="5"/>
        <v>(F2.0)</v>
      </c>
      <c r="F189" s="1" t="str">
        <f t="shared" si="4"/>
        <v>alter type vQ2m04 (F2.0).</v>
      </c>
    </row>
    <row r="190" spans="1:6" x14ac:dyDescent="0.25">
      <c r="A190" s="1" t="s">
        <v>1299</v>
      </c>
      <c r="B190" s="1" t="s">
        <v>30</v>
      </c>
      <c r="C190" s="1">
        <v>2</v>
      </c>
      <c r="D190" s="1">
        <v>0</v>
      </c>
      <c r="E190" s="1" t="str">
        <f t="shared" si="5"/>
        <v>(F2.0)</v>
      </c>
      <c r="F190" s="1" t="str">
        <f t="shared" si="4"/>
        <v>alter type vQ2m88 (F2.0).</v>
      </c>
    </row>
    <row r="191" spans="1:6" x14ac:dyDescent="0.25">
      <c r="A191" s="1" t="s">
        <v>1301</v>
      </c>
      <c r="B191" s="1" t="s">
        <v>30</v>
      </c>
      <c r="C191" s="1">
        <v>2</v>
      </c>
      <c r="D191" s="1">
        <v>0</v>
      </c>
      <c r="E191" s="1" t="str">
        <f t="shared" si="5"/>
        <v>(F2.0)</v>
      </c>
      <c r="F191" s="1" t="str">
        <f t="shared" si="4"/>
        <v>alter type vQ2m90 (F2.0).</v>
      </c>
    </row>
    <row r="192" spans="1:6" x14ac:dyDescent="0.25">
      <c r="A192" s="1" t="s">
        <v>1303</v>
      </c>
      <c r="B192" s="1" t="s">
        <v>27</v>
      </c>
      <c r="C192" s="1">
        <v>150</v>
      </c>
      <c r="D192" s="1">
        <v>0</v>
      </c>
      <c r="E192" s="1" t="str">
        <f t="shared" si="5"/>
        <v>(A150)</v>
      </c>
      <c r="F192" s="1" t="str">
        <f t="shared" si="4"/>
        <v>alter type vQ2o88 (A150).</v>
      </c>
    </row>
    <row r="193" spans="1:6" x14ac:dyDescent="0.25">
      <c r="A193" s="1" t="s">
        <v>1304</v>
      </c>
      <c r="B193" s="1" t="s">
        <v>30</v>
      </c>
      <c r="C193" s="1">
        <v>2</v>
      </c>
      <c r="D193" s="1">
        <v>0</v>
      </c>
      <c r="E193" s="1" t="str">
        <f t="shared" si="5"/>
        <v>(F2.0)</v>
      </c>
      <c r="F193" s="1" t="str">
        <f t="shared" si="4"/>
        <v>alter type vQ3m01 (F2.0).</v>
      </c>
    </row>
    <row r="194" spans="1:6" x14ac:dyDescent="0.25">
      <c r="A194" s="1" t="s">
        <v>1306</v>
      </c>
      <c r="B194" s="1" t="s">
        <v>30</v>
      </c>
      <c r="C194" s="1">
        <v>2</v>
      </c>
      <c r="D194" s="1">
        <v>0</v>
      </c>
      <c r="E194" s="1" t="str">
        <f t="shared" si="5"/>
        <v>(F2.0)</v>
      </c>
      <c r="F194" s="1" t="str">
        <f t="shared" ref="F194:F257" si="6">"alter type "&amp;A194&amp;" "&amp;E194&amp;"."</f>
        <v>alter type vQ3m02 (F2.0).</v>
      </c>
    </row>
    <row r="195" spans="1:6" x14ac:dyDescent="0.25">
      <c r="A195" s="1" t="s">
        <v>1308</v>
      </c>
      <c r="B195" s="1" t="s">
        <v>30</v>
      </c>
      <c r="C195" s="1">
        <v>2</v>
      </c>
      <c r="D195" s="1">
        <v>0</v>
      </c>
      <c r="E195" s="1" t="str">
        <f t="shared" ref="E195:E258" si="7">IF(B195="數值","(F"&amp;C195&amp;"."&amp;D195&amp;")","(A"&amp;C195&amp;")")</f>
        <v>(F2.0)</v>
      </c>
      <c r="F195" s="1" t="str">
        <f t="shared" si="6"/>
        <v>alter type vQ3m03 (F2.0).</v>
      </c>
    </row>
    <row r="196" spans="1:6" x14ac:dyDescent="0.25">
      <c r="A196" s="1" t="s">
        <v>1310</v>
      </c>
      <c r="B196" s="1" t="s">
        <v>30</v>
      </c>
      <c r="C196" s="1">
        <v>2</v>
      </c>
      <c r="D196" s="1">
        <v>0</v>
      </c>
      <c r="E196" s="1" t="str">
        <f t="shared" si="7"/>
        <v>(F2.0)</v>
      </c>
      <c r="F196" s="1" t="str">
        <f t="shared" si="6"/>
        <v>alter type vQ3m88 (F2.0).</v>
      </c>
    </row>
    <row r="197" spans="1:6" x14ac:dyDescent="0.25">
      <c r="A197" s="1" t="s">
        <v>1312</v>
      </c>
      <c r="B197" s="1" t="s">
        <v>30</v>
      </c>
      <c r="C197" s="1">
        <v>2</v>
      </c>
      <c r="D197" s="1">
        <v>0</v>
      </c>
      <c r="E197" s="1" t="str">
        <f t="shared" si="7"/>
        <v>(F2.0)</v>
      </c>
      <c r="F197" s="1" t="str">
        <f t="shared" si="6"/>
        <v>alter type vQ3m90 (F2.0).</v>
      </c>
    </row>
    <row r="198" spans="1:6" x14ac:dyDescent="0.25">
      <c r="A198" s="1" t="s">
        <v>1314</v>
      </c>
      <c r="B198" s="1" t="s">
        <v>27</v>
      </c>
      <c r="C198" s="1">
        <v>150</v>
      </c>
      <c r="D198" s="1">
        <v>0</v>
      </c>
      <c r="E198" s="1" t="str">
        <f t="shared" si="7"/>
        <v>(A150)</v>
      </c>
      <c r="F198" s="1" t="str">
        <f t="shared" si="6"/>
        <v>alter type vQ3o88 (A150).</v>
      </c>
    </row>
    <row r="199" spans="1:6" x14ac:dyDescent="0.25">
      <c r="A199" s="1" t="s">
        <v>1315</v>
      </c>
      <c r="B199" s="1" t="s">
        <v>30</v>
      </c>
      <c r="C199" s="1">
        <v>2</v>
      </c>
      <c r="D199" s="1">
        <v>0</v>
      </c>
      <c r="E199" s="1" t="str">
        <f t="shared" si="7"/>
        <v>(F2.0)</v>
      </c>
      <c r="F199" s="1" t="str">
        <f t="shared" si="6"/>
        <v>alter type vE16m01 (F2.0).</v>
      </c>
    </row>
    <row r="200" spans="1:6" x14ac:dyDescent="0.25">
      <c r="A200" s="1" t="s">
        <v>1317</v>
      </c>
      <c r="B200" s="1" t="s">
        <v>30</v>
      </c>
      <c r="C200" s="1">
        <v>2</v>
      </c>
      <c r="D200" s="1">
        <v>0</v>
      </c>
      <c r="E200" s="1" t="str">
        <f t="shared" si="7"/>
        <v>(F2.0)</v>
      </c>
      <c r="F200" s="1" t="str">
        <f t="shared" si="6"/>
        <v>alter type vE16m02 (F2.0).</v>
      </c>
    </row>
    <row r="201" spans="1:6" x14ac:dyDescent="0.25">
      <c r="A201" s="1" t="s">
        <v>1318</v>
      </c>
      <c r="B201" s="1" t="s">
        <v>30</v>
      </c>
      <c r="C201" s="1">
        <v>2</v>
      </c>
      <c r="D201" s="1">
        <v>0</v>
      </c>
      <c r="E201" s="1" t="str">
        <f t="shared" si="7"/>
        <v>(F2.0)</v>
      </c>
      <c r="F201" s="1" t="str">
        <f t="shared" si="6"/>
        <v>alter type vE16m03 (F2.0).</v>
      </c>
    </row>
    <row r="202" spans="1:6" x14ac:dyDescent="0.25">
      <c r="A202" s="1" t="s">
        <v>1319</v>
      </c>
      <c r="B202" s="1" t="s">
        <v>30</v>
      </c>
      <c r="C202" s="1">
        <v>2</v>
      </c>
      <c r="D202" s="1">
        <v>0</v>
      </c>
      <c r="E202" s="1" t="str">
        <f t="shared" si="7"/>
        <v>(F2.0)</v>
      </c>
      <c r="F202" s="1" t="str">
        <f t="shared" si="6"/>
        <v>alter type vE16m04 (F2.0).</v>
      </c>
    </row>
    <row r="203" spans="1:6" x14ac:dyDescent="0.25">
      <c r="A203" s="1" t="s">
        <v>1320</v>
      </c>
      <c r="B203" s="1" t="s">
        <v>30</v>
      </c>
      <c r="C203" s="1">
        <v>2</v>
      </c>
      <c r="D203" s="1">
        <v>0</v>
      </c>
      <c r="E203" s="1" t="str">
        <f t="shared" si="7"/>
        <v>(F2.0)</v>
      </c>
      <c r="F203" s="1" t="str">
        <f t="shared" si="6"/>
        <v>alter type vE16m05 (F2.0).</v>
      </c>
    </row>
    <row r="204" spans="1:6" x14ac:dyDescent="0.25">
      <c r="A204" s="1" t="s">
        <v>1321</v>
      </c>
      <c r="B204" s="1" t="s">
        <v>30</v>
      </c>
      <c r="C204" s="1">
        <v>2</v>
      </c>
      <c r="D204" s="1">
        <v>0</v>
      </c>
      <c r="E204" s="1" t="str">
        <f t="shared" si="7"/>
        <v>(F2.0)</v>
      </c>
      <c r="F204" s="1" t="str">
        <f t="shared" si="6"/>
        <v>alter type vE16m88 (F2.0).</v>
      </c>
    </row>
    <row r="205" spans="1:6" x14ac:dyDescent="0.25">
      <c r="A205" s="1" t="s">
        <v>1322</v>
      </c>
      <c r="B205" s="1" t="s">
        <v>30</v>
      </c>
      <c r="C205" s="1">
        <v>2</v>
      </c>
      <c r="D205" s="1">
        <v>0</v>
      </c>
      <c r="E205" s="1" t="str">
        <f t="shared" si="7"/>
        <v>(F2.0)</v>
      </c>
      <c r="F205" s="1" t="str">
        <f t="shared" si="6"/>
        <v>alter type vE16m90 (F2.0).</v>
      </c>
    </row>
    <row r="206" spans="1:6" x14ac:dyDescent="0.25">
      <c r="A206" s="1" t="s">
        <v>1323</v>
      </c>
      <c r="B206" s="1" t="s">
        <v>27</v>
      </c>
      <c r="C206" s="1">
        <v>150</v>
      </c>
      <c r="D206" s="1">
        <v>0</v>
      </c>
      <c r="E206" s="1" t="str">
        <f t="shared" si="7"/>
        <v>(A150)</v>
      </c>
      <c r="F206" s="1" t="str">
        <f t="shared" si="6"/>
        <v>alter type vE16o88 (A150).</v>
      </c>
    </row>
    <row r="207" spans="1:6" x14ac:dyDescent="0.25">
      <c r="A207" s="1" t="s">
        <v>500</v>
      </c>
      <c r="B207" s="1" t="s">
        <v>30</v>
      </c>
      <c r="C207" s="1">
        <v>5</v>
      </c>
      <c r="D207" s="1">
        <v>0</v>
      </c>
      <c r="E207" s="1" t="str">
        <f t="shared" si="7"/>
        <v>(F5.0)</v>
      </c>
      <c r="F207" s="1" t="str">
        <f t="shared" si="6"/>
        <v>alter type vF1 (F5.0).</v>
      </c>
    </row>
    <row r="208" spans="1:6" x14ac:dyDescent="0.25">
      <c r="A208" s="1" t="s">
        <v>501</v>
      </c>
      <c r="B208" s="1" t="s">
        <v>30</v>
      </c>
      <c r="C208" s="1">
        <v>5</v>
      </c>
      <c r="D208" s="1">
        <v>0</v>
      </c>
      <c r="E208" s="1" t="str">
        <f t="shared" si="7"/>
        <v>(F5.0)</v>
      </c>
      <c r="F208" s="1" t="str">
        <f t="shared" si="6"/>
        <v>alter type vF2 (F5.0).</v>
      </c>
    </row>
    <row r="209" spans="1:6" x14ac:dyDescent="0.25">
      <c r="A209" s="1" t="s">
        <v>502</v>
      </c>
      <c r="B209" s="1" t="s">
        <v>30</v>
      </c>
      <c r="C209" s="1">
        <v>5</v>
      </c>
      <c r="D209" s="1">
        <v>0</v>
      </c>
      <c r="E209" s="1" t="str">
        <f t="shared" si="7"/>
        <v>(F5.0)</v>
      </c>
      <c r="F209" s="1" t="str">
        <f t="shared" si="6"/>
        <v>alter type vF3 (F5.0).</v>
      </c>
    </row>
    <row r="210" spans="1:6" x14ac:dyDescent="0.25">
      <c r="A210" s="1" t="s">
        <v>503</v>
      </c>
      <c r="B210" s="1" t="s">
        <v>30</v>
      </c>
      <c r="C210" s="1">
        <v>5</v>
      </c>
      <c r="D210" s="1">
        <v>0</v>
      </c>
      <c r="E210" s="1" t="str">
        <f t="shared" si="7"/>
        <v>(F5.0)</v>
      </c>
      <c r="F210" s="1" t="str">
        <f t="shared" si="6"/>
        <v>alter type vF4 (F5.0).</v>
      </c>
    </row>
    <row r="211" spans="1:6" x14ac:dyDescent="0.25">
      <c r="A211" s="1" t="s">
        <v>504</v>
      </c>
      <c r="B211" s="1" t="s">
        <v>30</v>
      </c>
      <c r="C211" s="1">
        <v>2</v>
      </c>
      <c r="D211" s="1">
        <v>0</v>
      </c>
      <c r="E211" s="1" t="str">
        <f t="shared" si="7"/>
        <v>(F2.0)</v>
      </c>
      <c r="F211" s="1" t="str">
        <f t="shared" si="6"/>
        <v>alter type vF5m01 (F2.0).</v>
      </c>
    </row>
    <row r="212" spans="1:6" x14ac:dyDescent="0.25">
      <c r="A212" s="1" t="s">
        <v>505</v>
      </c>
      <c r="B212" s="1" t="s">
        <v>30</v>
      </c>
      <c r="C212" s="1">
        <v>2</v>
      </c>
      <c r="D212" s="1">
        <v>0</v>
      </c>
      <c r="E212" s="1" t="str">
        <f t="shared" si="7"/>
        <v>(F2.0)</v>
      </c>
      <c r="F212" s="1" t="str">
        <f t="shared" si="6"/>
        <v>alter type vF5m02 (F2.0).</v>
      </c>
    </row>
    <row r="213" spans="1:6" x14ac:dyDescent="0.25">
      <c r="A213" s="1" t="s">
        <v>506</v>
      </c>
      <c r="B213" s="1" t="s">
        <v>30</v>
      </c>
      <c r="C213" s="1">
        <v>2</v>
      </c>
      <c r="D213" s="1">
        <v>0</v>
      </c>
      <c r="E213" s="1" t="str">
        <f t="shared" si="7"/>
        <v>(F2.0)</v>
      </c>
      <c r="F213" s="1" t="str">
        <f t="shared" si="6"/>
        <v>alter type vF5m03 (F2.0).</v>
      </c>
    </row>
    <row r="214" spans="1:6" x14ac:dyDescent="0.25">
      <c r="A214" s="1" t="s">
        <v>507</v>
      </c>
      <c r="B214" s="1" t="s">
        <v>30</v>
      </c>
      <c r="C214" s="1">
        <v>2</v>
      </c>
      <c r="D214" s="1">
        <v>0</v>
      </c>
      <c r="E214" s="1" t="str">
        <f t="shared" si="7"/>
        <v>(F2.0)</v>
      </c>
      <c r="F214" s="1" t="str">
        <f t="shared" si="6"/>
        <v>alter type vF5m04 (F2.0).</v>
      </c>
    </row>
    <row r="215" spans="1:6" x14ac:dyDescent="0.25">
      <c r="A215" s="1" t="s">
        <v>508</v>
      </c>
      <c r="B215" s="1" t="s">
        <v>30</v>
      </c>
      <c r="C215" s="1">
        <v>2</v>
      </c>
      <c r="D215" s="1">
        <v>0</v>
      </c>
      <c r="E215" s="1" t="str">
        <f t="shared" si="7"/>
        <v>(F2.0)</v>
      </c>
      <c r="F215" s="1" t="str">
        <f t="shared" si="6"/>
        <v>alter type vF5m05 (F2.0).</v>
      </c>
    </row>
    <row r="216" spans="1:6" x14ac:dyDescent="0.25">
      <c r="A216" s="1" t="s">
        <v>509</v>
      </c>
      <c r="B216" s="1" t="s">
        <v>30</v>
      </c>
      <c r="C216" s="1">
        <v>2</v>
      </c>
      <c r="D216" s="1">
        <v>0</v>
      </c>
      <c r="E216" s="1" t="str">
        <f t="shared" si="7"/>
        <v>(F2.0)</v>
      </c>
      <c r="F216" s="1" t="str">
        <f t="shared" si="6"/>
        <v>alter type vF5m06 (F2.0).</v>
      </c>
    </row>
    <row r="217" spans="1:6" x14ac:dyDescent="0.25">
      <c r="A217" s="1" t="s">
        <v>510</v>
      </c>
      <c r="B217" s="1" t="s">
        <v>30</v>
      </c>
      <c r="C217" s="1">
        <v>2</v>
      </c>
      <c r="D217" s="1">
        <v>0</v>
      </c>
      <c r="E217" s="1" t="str">
        <f t="shared" si="7"/>
        <v>(F2.0)</v>
      </c>
      <c r="F217" s="1" t="str">
        <f t="shared" si="6"/>
        <v>alter type vF5m07 (F2.0).</v>
      </c>
    </row>
    <row r="218" spans="1:6" x14ac:dyDescent="0.25">
      <c r="A218" s="1" t="s">
        <v>511</v>
      </c>
      <c r="B218" s="1" t="s">
        <v>30</v>
      </c>
      <c r="C218" s="1">
        <v>2</v>
      </c>
      <c r="D218" s="1">
        <v>0</v>
      </c>
      <c r="E218" s="1" t="str">
        <f t="shared" si="7"/>
        <v>(F2.0)</v>
      </c>
      <c r="F218" s="1" t="str">
        <f t="shared" si="6"/>
        <v>alter type vF5m08 (F2.0).</v>
      </c>
    </row>
    <row r="219" spans="1:6" x14ac:dyDescent="0.25">
      <c r="A219" s="1" t="s">
        <v>512</v>
      </c>
      <c r="B219" s="1" t="s">
        <v>30</v>
      </c>
      <c r="C219" s="1">
        <v>2</v>
      </c>
      <c r="D219" s="1">
        <v>0</v>
      </c>
      <c r="E219" s="1" t="str">
        <f t="shared" si="7"/>
        <v>(F2.0)</v>
      </c>
      <c r="F219" s="1" t="str">
        <f t="shared" si="6"/>
        <v>alter type vF5m88 (F2.0).</v>
      </c>
    </row>
    <row r="220" spans="1:6" x14ac:dyDescent="0.25">
      <c r="A220" s="1" t="s">
        <v>513</v>
      </c>
      <c r="B220" s="1" t="s">
        <v>27</v>
      </c>
      <c r="C220" s="1">
        <v>150</v>
      </c>
      <c r="D220" s="1">
        <v>0</v>
      </c>
      <c r="E220" s="1" t="str">
        <f t="shared" si="7"/>
        <v>(A150)</v>
      </c>
      <c r="F220" s="1" t="str">
        <f t="shared" si="6"/>
        <v>alter type vF5o88 (A150).</v>
      </c>
    </row>
    <row r="221" spans="1:6" x14ac:dyDescent="0.25">
      <c r="A221" s="1" t="s">
        <v>463</v>
      </c>
      <c r="B221" s="1" t="s">
        <v>30</v>
      </c>
      <c r="C221" s="1">
        <v>4</v>
      </c>
      <c r="D221" s="1">
        <v>1</v>
      </c>
      <c r="E221" s="1" t="str">
        <f t="shared" si="7"/>
        <v>(F4.1)</v>
      </c>
      <c r="F221" s="1" t="str">
        <f t="shared" si="6"/>
        <v>alter type vG1 (F4.1).</v>
      </c>
    </row>
    <row r="222" spans="1:6" x14ac:dyDescent="0.25">
      <c r="A222" s="1" t="s">
        <v>464</v>
      </c>
      <c r="B222" s="1" t="s">
        <v>30</v>
      </c>
      <c r="C222" s="1">
        <v>5</v>
      </c>
      <c r="D222" s="1">
        <v>0</v>
      </c>
      <c r="E222" s="1" t="str">
        <f t="shared" si="7"/>
        <v>(F5.0)</v>
      </c>
      <c r="F222" s="1" t="str">
        <f t="shared" si="6"/>
        <v>alter type vG2 (F5.0).</v>
      </c>
    </row>
    <row r="223" spans="1:6" x14ac:dyDescent="0.25">
      <c r="A223" s="1" t="s">
        <v>465</v>
      </c>
      <c r="B223" s="1" t="s">
        <v>30</v>
      </c>
      <c r="C223" s="1">
        <v>2</v>
      </c>
      <c r="D223" s="1">
        <v>0</v>
      </c>
      <c r="E223" s="1" t="str">
        <f t="shared" si="7"/>
        <v>(F2.0)</v>
      </c>
      <c r="F223" s="1" t="str">
        <f t="shared" si="6"/>
        <v>alter type vG3m01 (F2.0).</v>
      </c>
    </row>
    <row r="224" spans="1:6" x14ac:dyDescent="0.25">
      <c r="A224" s="1" t="s">
        <v>466</v>
      </c>
      <c r="B224" s="1" t="s">
        <v>30</v>
      </c>
      <c r="C224" s="1">
        <v>2</v>
      </c>
      <c r="D224" s="1">
        <v>0</v>
      </c>
      <c r="E224" s="1" t="str">
        <f t="shared" si="7"/>
        <v>(F2.0)</v>
      </c>
      <c r="F224" s="1" t="str">
        <f t="shared" si="6"/>
        <v>alter type vG3m02 (F2.0).</v>
      </c>
    </row>
    <row r="225" spans="1:6" x14ac:dyDescent="0.25">
      <c r="A225" s="1" t="s">
        <v>467</v>
      </c>
      <c r="B225" s="1" t="s">
        <v>30</v>
      </c>
      <c r="C225" s="1">
        <v>2</v>
      </c>
      <c r="D225" s="1">
        <v>0</v>
      </c>
      <c r="E225" s="1" t="str">
        <f t="shared" si="7"/>
        <v>(F2.0)</v>
      </c>
      <c r="F225" s="1" t="str">
        <f t="shared" si="6"/>
        <v>alter type vG3m03 (F2.0).</v>
      </c>
    </row>
    <row r="226" spans="1:6" x14ac:dyDescent="0.25">
      <c r="A226" s="1" t="s">
        <v>468</v>
      </c>
      <c r="B226" s="1" t="s">
        <v>30</v>
      </c>
      <c r="C226" s="1">
        <v>2</v>
      </c>
      <c r="D226" s="1">
        <v>0</v>
      </c>
      <c r="E226" s="1" t="str">
        <f t="shared" si="7"/>
        <v>(F2.0)</v>
      </c>
      <c r="F226" s="1" t="str">
        <f t="shared" si="6"/>
        <v>alter type vG3m04 (F2.0).</v>
      </c>
    </row>
    <row r="227" spans="1:6" x14ac:dyDescent="0.25">
      <c r="A227" s="1" t="s">
        <v>469</v>
      </c>
      <c r="B227" s="1" t="s">
        <v>30</v>
      </c>
      <c r="C227" s="1">
        <v>2</v>
      </c>
      <c r="D227" s="1">
        <v>0</v>
      </c>
      <c r="E227" s="1" t="str">
        <f t="shared" si="7"/>
        <v>(F2.0)</v>
      </c>
      <c r="F227" s="1" t="str">
        <f t="shared" si="6"/>
        <v>alter type vG3m05 (F2.0).</v>
      </c>
    </row>
    <row r="228" spans="1:6" x14ac:dyDescent="0.25">
      <c r="A228" s="1" t="s">
        <v>470</v>
      </c>
      <c r="B228" s="1" t="s">
        <v>30</v>
      </c>
      <c r="C228" s="1">
        <v>2</v>
      </c>
      <c r="D228" s="1">
        <v>0</v>
      </c>
      <c r="E228" s="1" t="str">
        <f t="shared" si="7"/>
        <v>(F2.0)</v>
      </c>
      <c r="F228" s="1" t="str">
        <f t="shared" si="6"/>
        <v>alter type vG3m06 (F2.0).</v>
      </c>
    </row>
    <row r="229" spans="1:6" x14ac:dyDescent="0.25">
      <c r="A229" s="1" t="s">
        <v>471</v>
      </c>
      <c r="B229" s="1" t="s">
        <v>30</v>
      </c>
      <c r="C229" s="1">
        <v>2</v>
      </c>
      <c r="D229" s="1">
        <v>0</v>
      </c>
      <c r="E229" s="1" t="str">
        <f t="shared" si="7"/>
        <v>(F2.0)</v>
      </c>
      <c r="F229" s="1" t="str">
        <f t="shared" si="6"/>
        <v>alter type vG3m07 (F2.0).</v>
      </c>
    </row>
    <row r="230" spans="1:6" x14ac:dyDescent="0.25">
      <c r="A230" s="1" t="s">
        <v>472</v>
      </c>
      <c r="B230" s="1" t="s">
        <v>30</v>
      </c>
      <c r="C230" s="1">
        <v>2</v>
      </c>
      <c r="D230" s="1">
        <v>0</v>
      </c>
      <c r="E230" s="1" t="str">
        <f t="shared" si="7"/>
        <v>(F2.0)</v>
      </c>
      <c r="F230" s="1" t="str">
        <f t="shared" si="6"/>
        <v>alter type vG3m08 (F2.0).</v>
      </c>
    </row>
    <row r="231" spans="1:6" x14ac:dyDescent="0.25">
      <c r="A231" s="1" t="s">
        <v>473</v>
      </c>
      <c r="B231" s="1" t="s">
        <v>30</v>
      </c>
      <c r="C231" s="1">
        <v>2</v>
      </c>
      <c r="D231" s="1">
        <v>0</v>
      </c>
      <c r="E231" s="1" t="str">
        <f t="shared" si="7"/>
        <v>(F2.0)</v>
      </c>
      <c r="F231" s="1" t="str">
        <f t="shared" si="6"/>
        <v>alter type vG3m09 (F2.0).</v>
      </c>
    </row>
    <row r="232" spans="1:6" x14ac:dyDescent="0.25">
      <c r="A232" s="1" t="s">
        <v>474</v>
      </c>
      <c r="B232" s="1" t="s">
        <v>30</v>
      </c>
      <c r="C232" s="1">
        <v>2</v>
      </c>
      <c r="D232" s="1">
        <v>0</v>
      </c>
      <c r="E232" s="1" t="str">
        <f t="shared" si="7"/>
        <v>(F2.0)</v>
      </c>
      <c r="F232" s="1" t="str">
        <f t="shared" si="6"/>
        <v>alter type vG3m10 (F2.0).</v>
      </c>
    </row>
    <row r="233" spans="1:6" x14ac:dyDescent="0.25">
      <c r="A233" s="1" t="s">
        <v>475</v>
      </c>
      <c r="B233" s="1" t="s">
        <v>30</v>
      </c>
      <c r="C233" s="1">
        <v>2</v>
      </c>
      <c r="D233" s="1">
        <v>0</v>
      </c>
      <c r="E233" s="1" t="str">
        <f t="shared" si="7"/>
        <v>(F2.0)</v>
      </c>
      <c r="F233" s="1" t="str">
        <f t="shared" si="6"/>
        <v>alter type vG3m11 (F2.0).</v>
      </c>
    </row>
    <row r="234" spans="1:6" x14ac:dyDescent="0.25">
      <c r="A234" s="1" t="s">
        <v>476</v>
      </c>
      <c r="B234" s="1" t="s">
        <v>30</v>
      </c>
      <c r="C234" s="1">
        <v>2</v>
      </c>
      <c r="D234" s="1">
        <v>0</v>
      </c>
      <c r="E234" s="1" t="str">
        <f t="shared" si="7"/>
        <v>(F2.0)</v>
      </c>
      <c r="F234" s="1" t="str">
        <f t="shared" si="6"/>
        <v>alter type vG3m12 (F2.0).</v>
      </c>
    </row>
    <row r="235" spans="1:6" x14ac:dyDescent="0.25">
      <c r="A235" s="1" t="s">
        <v>477</v>
      </c>
      <c r="B235" s="1" t="s">
        <v>30</v>
      </c>
      <c r="C235" s="1">
        <v>2</v>
      </c>
      <c r="D235" s="1">
        <v>0</v>
      </c>
      <c r="E235" s="1" t="str">
        <f t="shared" si="7"/>
        <v>(F2.0)</v>
      </c>
      <c r="F235" s="1" t="str">
        <f t="shared" si="6"/>
        <v>alter type vG3m13 (F2.0).</v>
      </c>
    </row>
    <row r="236" spans="1:6" x14ac:dyDescent="0.25">
      <c r="A236" s="1" t="s">
        <v>478</v>
      </c>
      <c r="B236" s="1" t="s">
        <v>30</v>
      </c>
      <c r="C236" s="1">
        <v>2</v>
      </c>
      <c r="D236" s="1">
        <v>0</v>
      </c>
      <c r="E236" s="1" t="str">
        <f t="shared" si="7"/>
        <v>(F2.0)</v>
      </c>
      <c r="F236" s="1" t="str">
        <f t="shared" si="6"/>
        <v>alter type vG3m14 (F2.0).</v>
      </c>
    </row>
    <row r="237" spans="1:6" x14ac:dyDescent="0.25">
      <c r="A237" s="1" t="s">
        <v>479</v>
      </c>
      <c r="B237" s="1" t="s">
        <v>30</v>
      </c>
      <c r="C237" s="1">
        <v>2</v>
      </c>
      <c r="D237" s="1">
        <v>0</v>
      </c>
      <c r="E237" s="1" t="str">
        <f t="shared" si="7"/>
        <v>(F2.0)</v>
      </c>
      <c r="F237" s="1" t="str">
        <f t="shared" si="6"/>
        <v>alter type vG3m15 (F2.0).</v>
      </c>
    </row>
    <row r="238" spans="1:6" x14ac:dyDescent="0.25">
      <c r="A238" s="1" t="s">
        <v>480</v>
      </c>
      <c r="B238" s="1" t="s">
        <v>30</v>
      </c>
      <c r="C238" s="1">
        <v>2</v>
      </c>
      <c r="D238" s="1">
        <v>0</v>
      </c>
      <c r="E238" s="1" t="str">
        <f t="shared" si="7"/>
        <v>(F2.0)</v>
      </c>
      <c r="F238" s="1" t="str">
        <f t="shared" si="6"/>
        <v>alter type vG3m16 (F2.0).</v>
      </c>
    </row>
    <row r="239" spans="1:6" x14ac:dyDescent="0.25">
      <c r="A239" s="1" t="s">
        <v>481</v>
      </c>
      <c r="B239" s="1" t="s">
        <v>30</v>
      </c>
      <c r="C239" s="1">
        <v>2</v>
      </c>
      <c r="D239" s="1">
        <v>0</v>
      </c>
      <c r="E239" s="1" t="str">
        <f t="shared" si="7"/>
        <v>(F2.0)</v>
      </c>
      <c r="F239" s="1" t="str">
        <f t="shared" si="6"/>
        <v>alter type vG3m18 (F2.0).</v>
      </c>
    </row>
    <row r="240" spans="1:6" x14ac:dyDescent="0.25">
      <c r="A240" s="1" t="s">
        <v>482</v>
      </c>
      <c r="B240" s="1" t="s">
        <v>30</v>
      </c>
      <c r="C240" s="1">
        <v>2</v>
      </c>
      <c r="D240" s="1">
        <v>0</v>
      </c>
      <c r="E240" s="1" t="str">
        <f t="shared" si="7"/>
        <v>(F2.0)</v>
      </c>
      <c r="F240" s="1" t="str">
        <f t="shared" si="6"/>
        <v>alter type vG3m19 (F2.0).</v>
      </c>
    </row>
    <row r="241" spans="1:6" x14ac:dyDescent="0.25">
      <c r="A241" s="1" t="s">
        <v>483</v>
      </c>
      <c r="B241" s="1" t="s">
        <v>30</v>
      </c>
      <c r="C241" s="1">
        <v>2</v>
      </c>
      <c r="D241" s="1">
        <v>0</v>
      </c>
      <c r="E241" s="1" t="str">
        <f t="shared" si="7"/>
        <v>(F2.0)</v>
      </c>
      <c r="F241" s="1" t="str">
        <f t="shared" si="6"/>
        <v>alter type vG3m20 (F2.0).</v>
      </c>
    </row>
    <row r="242" spans="1:6" x14ac:dyDescent="0.25">
      <c r="A242" s="1" t="s">
        <v>484</v>
      </c>
      <c r="B242" s="1" t="s">
        <v>30</v>
      </c>
      <c r="C242" s="1">
        <v>2</v>
      </c>
      <c r="D242" s="1">
        <v>0</v>
      </c>
      <c r="E242" s="1" t="str">
        <f t="shared" si="7"/>
        <v>(F2.0)</v>
      </c>
      <c r="F242" s="1" t="str">
        <f t="shared" si="6"/>
        <v>alter type vG3m21 (F2.0).</v>
      </c>
    </row>
    <row r="243" spans="1:6" x14ac:dyDescent="0.25">
      <c r="A243" s="1" t="s">
        <v>485</v>
      </c>
      <c r="B243" s="1" t="s">
        <v>30</v>
      </c>
      <c r="C243" s="1">
        <v>2</v>
      </c>
      <c r="D243" s="1">
        <v>0</v>
      </c>
      <c r="E243" s="1" t="str">
        <f t="shared" si="7"/>
        <v>(F2.0)</v>
      </c>
      <c r="F243" s="1" t="str">
        <f t="shared" si="6"/>
        <v>alter type vG3m22 (F2.0).</v>
      </c>
    </row>
    <row r="244" spans="1:6" x14ac:dyDescent="0.25">
      <c r="A244" s="1" t="s">
        <v>486</v>
      </c>
      <c r="B244" s="1" t="s">
        <v>30</v>
      </c>
      <c r="C244" s="1">
        <v>2</v>
      </c>
      <c r="D244" s="1">
        <v>0</v>
      </c>
      <c r="E244" s="1" t="str">
        <f t="shared" si="7"/>
        <v>(F2.0)</v>
      </c>
      <c r="F244" s="1" t="str">
        <f t="shared" si="6"/>
        <v>alter type vG3m23 (F2.0).</v>
      </c>
    </row>
    <row r="245" spans="1:6" x14ac:dyDescent="0.25">
      <c r="A245" s="1" t="s">
        <v>487</v>
      </c>
      <c r="B245" s="1" t="s">
        <v>30</v>
      </c>
      <c r="C245" s="1">
        <v>2</v>
      </c>
      <c r="D245" s="1">
        <v>0</v>
      </c>
      <c r="E245" s="1" t="str">
        <f t="shared" si="7"/>
        <v>(F2.0)</v>
      </c>
      <c r="F245" s="1" t="str">
        <f t="shared" si="6"/>
        <v>alter type vG3m24 (F2.0).</v>
      </c>
    </row>
    <row r="246" spans="1:6" x14ac:dyDescent="0.25">
      <c r="A246" s="1" t="s">
        <v>488</v>
      </c>
      <c r="B246" s="1" t="s">
        <v>30</v>
      </c>
      <c r="C246" s="1">
        <v>2</v>
      </c>
      <c r="D246" s="1">
        <v>0</v>
      </c>
      <c r="E246" s="1" t="str">
        <f t="shared" si="7"/>
        <v>(F2.0)</v>
      </c>
      <c r="F246" s="1" t="str">
        <f t="shared" si="6"/>
        <v>alter type vG3m25 (F2.0).</v>
      </c>
    </row>
    <row r="247" spans="1:6" x14ac:dyDescent="0.25">
      <c r="A247" s="1" t="s">
        <v>489</v>
      </c>
      <c r="B247" s="1" t="s">
        <v>30</v>
      </c>
      <c r="C247" s="1">
        <v>2</v>
      </c>
      <c r="D247" s="1">
        <v>0</v>
      </c>
      <c r="E247" s="1" t="str">
        <f t="shared" si="7"/>
        <v>(F2.0)</v>
      </c>
      <c r="F247" s="1" t="str">
        <f t="shared" si="6"/>
        <v>alter type vG3m26 (F2.0).</v>
      </c>
    </row>
    <row r="248" spans="1:6" x14ac:dyDescent="0.25">
      <c r="A248" s="1" t="s">
        <v>490</v>
      </c>
      <c r="B248" s="1" t="s">
        <v>30</v>
      </c>
      <c r="C248" s="1">
        <v>2</v>
      </c>
      <c r="D248" s="1">
        <v>0</v>
      </c>
      <c r="E248" s="1" t="str">
        <f t="shared" si="7"/>
        <v>(F2.0)</v>
      </c>
      <c r="F248" s="1" t="str">
        <f t="shared" si="6"/>
        <v>alter type vG3m27 (F2.0).</v>
      </c>
    </row>
    <row r="249" spans="1:6" x14ac:dyDescent="0.25">
      <c r="A249" s="1" t="s">
        <v>491</v>
      </c>
      <c r="B249" s="1" t="s">
        <v>30</v>
      </c>
      <c r="C249" s="1">
        <v>2</v>
      </c>
      <c r="D249" s="1">
        <v>0</v>
      </c>
      <c r="E249" s="1" t="str">
        <f t="shared" si="7"/>
        <v>(F2.0)</v>
      </c>
      <c r="F249" s="1" t="str">
        <f t="shared" si="6"/>
        <v>alter type vG3m28 (F2.0).</v>
      </c>
    </row>
    <row r="250" spans="1:6" x14ac:dyDescent="0.25">
      <c r="A250" s="1" t="s">
        <v>492</v>
      </c>
      <c r="B250" s="1" t="s">
        <v>30</v>
      </c>
      <c r="C250" s="1">
        <v>2</v>
      </c>
      <c r="D250" s="1">
        <v>0</v>
      </c>
      <c r="E250" s="1" t="str">
        <f t="shared" si="7"/>
        <v>(F2.0)</v>
      </c>
      <c r="F250" s="1" t="str">
        <f t="shared" si="6"/>
        <v>alter type vG3m29 (F2.0).</v>
      </c>
    </row>
    <row r="251" spans="1:6" x14ac:dyDescent="0.25">
      <c r="A251" s="1" t="s">
        <v>493</v>
      </c>
      <c r="B251" s="1" t="s">
        <v>30</v>
      </c>
      <c r="C251" s="1">
        <v>2</v>
      </c>
      <c r="D251" s="1">
        <v>0</v>
      </c>
      <c r="E251" s="1" t="str">
        <f t="shared" si="7"/>
        <v>(F2.0)</v>
      </c>
      <c r="F251" s="1" t="str">
        <f t="shared" si="6"/>
        <v>alter type vG3m30 (F2.0).</v>
      </c>
    </row>
    <row r="252" spans="1:6" x14ac:dyDescent="0.25">
      <c r="A252" s="1" t="s">
        <v>494</v>
      </c>
      <c r="B252" s="1" t="s">
        <v>30</v>
      </c>
      <c r="C252" s="1">
        <v>2</v>
      </c>
      <c r="D252" s="1">
        <v>0</v>
      </c>
      <c r="E252" s="1" t="str">
        <f t="shared" si="7"/>
        <v>(F2.0)</v>
      </c>
      <c r="F252" s="1" t="str">
        <f t="shared" si="6"/>
        <v>alter type vG3m31 (F2.0).</v>
      </c>
    </row>
    <row r="253" spans="1:6" x14ac:dyDescent="0.25">
      <c r="A253" s="1" t="s">
        <v>495</v>
      </c>
      <c r="B253" s="1" t="s">
        <v>30</v>
      </c>
      <c r="C253" s="1">
        <v>2</v>
      </c>
      <c r="D253" s="1">
        <v>0</v>
      </c>
      <c r="E253" s="1" t="str">
        <f t="shared" si="7"/>
        <v>(F2.0)</v>
      </c>
      <c r="F253" s="1" t="str">
        <f t="shared" si="6"/>
        <v>alter type vG3m32 (F2.0).</v>
      </c>
    </row>
    <row r="254" spans="1:6" x14ac:dyDescent="0.25">
      <c r="A254" s="1" t="s">
        <v>496</v>
      </c>
      <c r="B254" s="1" t="s">
        <v>30</v>
      </c>
      <c r="C254" s="1">
        <v>2</v>
      </c>
      <c r="D254" s="1">
        <v>0</v>
      </c>
      <c r="E254" s="1" t="str">
        <f t="shared" si="7"/>
        <v>(F2.0)</v>
      </c>
      <c r="F254" s="1" t="str">
        <f t="shared" si="6"/>
        <v>alter type vG3m33 (F2.0).</v>
      </c>
    </row>
    <row r="255" spans="1:6" x14ac:dyDescent="0.25">
      <c r="A255" s="1" t="s">
        <v>497</v>
      </c>
      <c r="B255" s="1" t="s">
        <v>30</v>
      </c>
      <c r="C255" s="1">
        <v>2</v>
      </c>
      <c r="D255" s="1">
        <v>0</v>
      </c>
      <c r="E255" s="1" t="str">
        <f t="shared" si="7"/>
        <v>(F2.0)</v>
      </c>
      <c r="F255" s="1" t="str">
        <f t="shared" si="6"/>
        <v>alter type vG3m88 (F2.0).</v>
      </c>
    </row>
    <row r="256" spans="1:6" x14ac:dyDescent="0.25">
      <c r="A256" s="1" t="s">
        <v>498</v>
      </c>
      <c r="B256" s="1" t="s">
        <v>27</v>
      </c>
      <c r="C256" s="1">
        <v>150</v>
      </c>
      <c r="D256" s="1">
        <v>0</v>
      </c>
      <c r="E256" s="1" t="str">
        <f t="shared" si="7"/>
        <v>(A150)</v>
      </c>
      <c r="F256" s="1" t="str">
        <f t="shared" si="6"/>
        <v>alter type vG3o88 (A150).</v>
      </c>
    </row>
    <row r="257" spans="1:6" x14ac:dyDescent="0.25">
      <c r="A257" s="1" t="s">
        <v>379</v>
      </c>
      <c r="B257" s="1" t="s">
        <v>30</v>
      </c>
      <c r="C257" s="1">
        <v>4</v>
      </c>
      <c r="D257" s="1">
        <v>1</v>
      </c>
      <c r="E257" s="1" t="str">
        <f t="shared" si="7"/>
        <v>(F4.1)</v>
      </c>
      <c r="F257" s="1" t="str">
        <f t="shared" si="6"/>
        <v>alter type vG4 (F4.1).</v>
      </c>
    </row>
    <row r="258" spans="1:6" x14ac:dyDescent="0.25">
      <c r="A258" s="1" t="s">
        <v>380</v>
      </c>
      <c r="B258" s="1" t="s">
        <v>30</v>
      </c>
      <c r="C258" s="1">
        <v>5</v>
      </c>
      <c r="D258" s="1">
        <v>0</v>
      </c>
      <c r="E258" s="1" t="str">
        <f t="shared" si="7"/>
        <v>(F5.0)</v>
      </c>
      <c r="F258" s="1" t="str">
        <f t="shared" ref="F258:F321" si="8">"alter type "&amp;A258&amp;" "&amp;E258&amp;"."</f>
        <v>alter type vG5 (F5.0).</v>
      </c>
    </row>
    <row r="259" spans="1:6" x14ac:dyDescent="0.25">
      <c r="A259" s="1" t="s">
        <v>1366</v>
      </c>
      <c r="B259" s="1" t="s">
        <v>30</v>
      </c>
      <c r="C259" s="1">
        <v>2</v>
      </c>
      <c r="D259" s="1">
        <v>0</v>
      </c>
      <c r="E259" s="1" t="str">
        <f t="shared" ref="E259:E322" si="9">IF(B259="數值","(F"&amp;C259&amp;"."&amp;D259&amp;")","(A"&amp;C259&amp;")")</f>
        <v>(F2.0)</v>
      </c>
      <c r="F259" s="1" t="str">
        <f t="shared" si="8"/>
        <v>alter type vG6m01 (F2.0).</v>
      </c>
    </row>
    <row r="260" spans="1:6" x14ac:dyDescent="0.25">
      <c r="A260" s="1" t="s">
        <v>1368</v>
      </c>
      <c r="B260" s="1" t="s">
        <v>30</v>
      </c>
      <c r="C260" s="1">
        <v>2</v>
      </c>
      <c r="D260" s="1">
        <v>0</v>
      </c>
      <c r="E260" s="1" t="str">
        <f t="shared" si="9"/>
        <v>(F2.0)</v>
      </c>
      <c r="F260" s="1" t="str">
        <f t="shared" si="8"/>
        <v>alter type vG6m02 (F2.0).</v>
      </c>
    </row>
    <row r="261" spans="1:6" x14ac:dyDescent="0.25">
      <c r="A261" s="1" t="s">
        <v>1369</v>
      </c>
      <c r="B261" s="1" t="s">
        <v>30</v>
      </c>
      <c r="C261" s="1">
        <v>2</v>
      </c>
      <c r="D261" s="1">
        <v>0</v>
      </c>
      <c r="E261" s="1" t="str">
        <f t="shared" si="9"/>
        <v>(F2.0)</v>
      </c>
      <c r="F261" s="1" t="str">
        <f t="shared" si="8"/>
        <v>alter type vG6m03 (F2.0).</v>
      </c>
    </row>
    <row r="262" spans="1:6" x14ac:dyDescent="0.25">
      <c r="A262" s="1" t="s">
        <v>1370</v>
      </c>
      <c r="B262" s="1" t="s">
        <v>30</v>
      </c>
      <c r="C262" s="1">
        <v>2</v>
      </c>
      <c r="D262" s="1">
        <v>0</v>
      </c>
      <c r="E262" s="1" t="str">
        <f t="shared" si="9"/>
        <v>(F2.0)</v>
      </c>
      <c r="F262" s="1" t="str">
        <f t="shared" si="8"/>
        <v>alter type vG6m04 (F2.0).</v>
      </c>
    </row>
    <row r="263" spans="1:6" x14ac:dyDescent="0.25">
      <c r="A263" s="1" t="s">
        <v>1371</v>
      </c>
      <c r="B263" s="1" t="s">
        <v>30</v>
      </c>
      <c r="C263" s="1">
        <v>2</v>
      </c>
      <c r="D263" s="1">
        <v>0</v>
      </c>
      <c r="E263" s="1" t="str">
        <f t="shared" si="9"/>
        <v>(F2.0)</v>
      </c>
      <c r="F263" s="1" t="str">
        <f t="shared" si="8"/>
        <v>alter type vG6m05 (F2.0).</v>
      </c>
    </row>
    <row r="264" spans="1:6" x14ac:dyDescent="0.25">
      <c r="A264" s="1" t="s">
        <v>1372</v>
      </c>
      <c r="B264" s="1" t="s">
        <v>30</v>
      </c>
      <c r="C264" s="1">
        <v>2</v>
      </c>
      <c r="D264" s="1">
        <v>0</v>
      </c>
      <c r="E264" s="1" t="str">
        <f t="shared" si="9"/>
        <v>(F2.0)</v>
      </c>
      <c r="F264" s="1" t="str">
        <f t="shared" si="8"/>
        <v>alter type vG6m88 (F2.0).</v>
      </c>
    </row>
    <row r="265" spans="1:6" x14ac:dyDescent="0.25">
      <c r="A265" s="1" t="s">
        <v>1373</v>
      </c>
      <c r="B265" s="1" t="s">
        <v>27</v>
      </c>
      <c r="C265" s="1">
        <v>150</v>
      </c>
      <c r="D265" s="1">
        <v>0</v>
      </c>
      <c r="E265" s="1" t="str">
        <f t="shared" si="9"/>
        <v>(A150)</v>
      </c>
      <c r="F265" s="1" t="str">
        <f t="shared" si="8"/>
        <v>alter type vG6o88 (A150).</v>
      </c>
    </row>
    <row r="266" spans="1:6" x14ac:dyDescent="0.25">
      <c r="A266" s="1" t="s">
        <v>299</v>
      </c>
      <c r="B266" s="1" t="s">
        <v>30</v>
      </c>
      <c r="C266" s="1">
        <v>2</v>
      </c>
      <c r="D266" s="1">
        <v>0</v>
      </c>
      <c r="E266" s="1" t="str">
        <f t="shared" si="9"/>
        <v>(F2.0)</v>
      </c>
      <c r="F266" s="1" t="str">
        <f t="shared" si="8"/>
        <v>alter type vG7m01 (F2.0).</v>
      </c>
    </row>
    <row r="267" spans="1:6" x14ac:dyDescent="0.25">
      <c r="A267" s="1" t="s">
        <v>300</v>
      </c>
      <c r="B267" s="1" t="s">
        <v>30</v>
      </c>
      <c r="C267" s="1">
        <v>2</v>
      </c>
      <c r="D267" s="1">
        <v>0</v>
      </c>
      <c r="E267" s="1" t="str">
        <f t="shared" si="9"/>
        <v>(F2.0)</v>
      </c>
      <c r="F267" s="1" t="str">
        <f t="shared" si="8"/>
        <v>alter type vG7m02 (F2.0).</v>
      </c>
    </row>
    <row r="268" spans="1:6" x14ac:dyDescent="0.25">
      <c r="A268" s="1" t="s">
        <v>301</v>
      </c>
      <c r="B268" s="1" t="s">
        <v>30</v>
      </c>
      <c r="C268" s="1">
        <v>2</v>
      </c>
      <c r="D268" s="1">
        <v>0</v>
      </c>
      <c r="E268" s="1" t="str">
        <f t="shared" si="9"/>
        <v>(F2.0)</v>
      </c>
      <c r="F268" s="1" t="str">
        <f t="shared" si="8"/>
        <v>alter type vG7m03 (F2.0).</v>
      </c>
    </row>
    <row r="269" spans="1:6" x14ac:dyDescent="0.25">
      <c r="A269" s="1" t="s">
        <v>303</v>
      </c>
      <c r="B269" s="1" t="s">
        <v>30</v>
      </c>
      <c r="C269" s="1">
        <v>2</v>
      </c>
      <c r="D269" s="1">
        <v>0</v>
      </c>
      <c r="E269" s="1" t="str">
        <f t="shared" si="9"/>
        <v>(F2.0)</v>
      </c>
      <c r="F269" s="1" t="str">
        <f t="shared" si="8"/>
        <v>alter type vG7m05 (F2.0).</v>
      </c>
    </row>
    <row r="270" spans="1:6" x14ac:dyDescent="0.25">
      <c r="A270" s="1" t="s">
        <v>304</v>
      </c>
      <c r="B270" s="1" t="s">
        <v>30</v>
      </c>
      <c r="C270" s="1">
        <v>2</v>
      </c>
      <c r="D270" s="1">
        <v>0</v>
      </c>
      <c r="E270" s="1" t="str">
        <f t="shared" si="9"/>
        <v>(F2.0)</v>
      </c>
      <c r="F270" s="1" t="str">
        <f t="shared" si="8"/>
        <v>alter type vG7m06 (F2.0).</v>
      </c>
    </row>
    <row r="271" spans="1:6" x14ac:dyDescent="0.25">
      <c r="A271" s="1" t="s">
        <v>305</v>
      </c>
      <c r="B271" s="1" t="s">
        <v>30</v>
      </c>
      <c r="C271" s="1">
        <v>2</v>
      </c>
      <c r="D271" s="1">
        <v>0</v>
      </c>
      <c r="E271" s="1" t="str">
        <f t="shared" si="9"/>
        <v>(F2.0)</v>
      </c>
      <c r="F271" s="1" t="str">
        <f t="shared" si="8"/>
        <v>alter type vG7m07 (F2.0).</v>
      </c>
    </row>
    <row r="272" spans="1:6" x14ac:dyDescent="0.25">
      <c r="A272" s="1" t="s">
        <v>306</v>
      </c>
      <c r="B272" s="1" t="s">
        <v>30</v>
      </c>
      <c r="C272" s="1">
        <v>2</v>
      </c>
      <c r="D272" s="1">
        <v>0</v>
      </c>
      <c r="E272" s="1" t="str">
        <f t="shared" si="9"/>
        <v>(F2.0)</v>
      </c>
      <c r="F272" s="1" t="str">
        <f t="shared" si="8"/>
        <v>alter type vG7m08 (F2.0).</v>
      </c>
    </row>
    <row r="273" spans="1:6" x14ac:dyDescent="0.25">
      <c r="A273" s="1" t="s">
        <v>307</v>
      </c>
      <c r="B273" s="1" t="s">
        <v>30</v>
      </c>
      <c r="C273" s="1">
        <v>2</v>
      </c>
      <c r="D273" s="1">
        <v>0</v>
      </c>
      <c r="E273" s="1" t="str">
        <f t="shared" si="9"/>
        <v>(F2.0)</v>
      </c>
      <c r="F273" s="1" t="str">
        <f t="shared" si="8"/>
        <v>alter type vG7m09 (F2.0).</v>
      </c>
    </row>
    <row r="274" spans="1:6" x14ac:dyDescent="0.25">
      <c r="A274" s="1" t="s">
        <v>308</v>
      </c>
      <c r="B274" s="1" t="s">
        <v>30</v>
      </c>
      <c r="C274" s="1">
        <v>2</v>
      </c>
      <c r="D274" s="1">
        <v>0</v>
      </c>
      <c r="E274" s="1" t="str">
        <f t="shared" si="9"/>
        <v>(F2.0)</v>
      </c>
      <c r="F274" s="1" t="str">
        <f t="shared" si="8"/>
        <v>alter type vG7m10 (F2.0).</v>
      </c>
    </row>
    <row r="275" spans="1:6" x14ac:dyDescent="0.25">
      <c r="A275" s="1" t="s">
        <v>309</v>
      </c>
      <c r="B275" s="1" t="s">
        <v>30</v>
      </c>
      <c r="C275" s="1">
        <v>2</v>
      </c>
      <c r="D275" s="1">
        <v>0</v>
      </c>
      <c r="E275" s="1" t="str">
        <f t="shared" si="9"/>
        <v>(F2.0)</v>
      </c>
      <c r="F275" s="1" t="str">
        <f t="shared" si="8"/>
        <v>alter type vG7m11 (F2.0).</v>
      </c>
    </row>
    <row r="276" spans="1:6" x14ac:dyDescent="0.25">
      <c r="A276" s="1" t="s">
        <v>310</v>
      </c>
      <c r="B276" s="1" t="s">
        <v>30</v>
      </c>
      <c r="C276" s="1">
        <v>2</v>
      </c>
      <c r="D276" s="1">
        <v>0</v>
      </c>
      <c r="E276" s="1" t="str">
        <f t="shared" si="9"/>
        <v>(F2.0)</v>
      </c>
      <c r="F276" s="1" t="str">
        <f t="shared" si="8"/>
        <v>alter type vG7m12 (F2.0).</v>
      </c>
    </row>
    <row r="277" spans="1:6" x14ac:dyDescent="0.25">
      <c r="A277" s="1" t="s">
        <v>311</v>
      </c>
      <c r="B277" s="1" t="s">
        <v>30</v>
      </c>
      <c r="C277" s="1">
        <v>2</v>
      </c>
      <c r="D277" s="1">
        <v>0</v>
      </c>
      <c r="E277" s="1" t="str">
        <f t="shared" si="9"/>
        <v>(F2.0)</v>
      </c>
      <c r="F277" s="1" t="str">
        <f t="shared" si="8"/>
        <v>alter type vG7m88 (F2.0).</v>
      </c>
    </row>
    <row r="278" spans="1:6" x14ac:dyDescent="0.25">
      <c r="A278" s="1" t="s">
        <v>313</v>
      </c>
      <c r="B278" s="1" t="s">
        <v>27</v>
      </c>
      <c r="C278" s="1">
        <v>150</v>
      </c>
      <c r="D278" s="1">
        <v>0</v>
      </c>
      <c r="E278" s="1" t="str">
        <f t="shared" si="9"/>
        <v>(A150)</v>
      </c>
      <c r="F278" s="1" t="str">
        <f t="shared" si="8"/>
        <v>alter type vG7o88 (A150).</v>
      </c>
    </row>
    <row r="279" spans="1:6" x14ac:dyDescent="0.25">
      <c r="A279" s="1" t="s">
        <v>314</v>
      </c>
      <c r="B279" s="1" t="s">
        <v>30</v>
      </c>
      <c r="C279" s="1">
        <v>2</v>
      </c>
      <c r="D279" s="1">
        <v>0</v>
      </c>
      <c r="E279" s="1" t="str">
        <f t="shared" si="9"/>
        <v>(F2.0)</v>
      </c>
      <c r="F279" s="1" t="str">
        <f t="shared" si="8"/>
        <v>alter type vG8m01 (F2.0).</v>
      </c>
    </row>
    <row r="280" spans="1:6" x14ac:dyDescent="0.25">
      <c r="A280" s="1" t="s">
        <v>315</v>
      </c>
      <c r="B280" s="1" t="s">
        <v>30</v>
      </c>
      <c r="C280" s="1">
        <v>2</v>
      </c>
      <c r="D280" s="1">
        <v>0</v>
      </c>
      <c r="E280" s="1" t="str">
        <f t="shared" si="9"/>
        <v>(F2.0)</v>
      </c>
      <c r="F280" s="1" t="str">
        <f t="shared" si="8"/>
        <v>alter type vG8m02 (F2.0).</v>
      </c>
    </row>
    <row r="281" spans="1:6" x14ac:dyDescent="0.25">
      <c r="A281" s="1" t="s">
        <v>316</v>
      </c>
      <c r="B281" s="1" t="s">
        <v>30</v>
      </c>
      <c r="C281" s="1">
        <v>2</v>
      </c>
      <c r="D281" s="1">
        <v>0</v>
      </c>
      <c r="E281" s="1" t="str">
        <f t="shared" si="9"/>
        <v>(F2.0)</v>
      </c>
      <c r="F281" s="1" t="str">
        <f t="shared" si="8"/>
        <v>alter type vG8m03 (F2.0).</v>
      </c>
    </row>
    <row r="282" spans="1:6" x14ac:dyDescent="0.25">
      <c r="A282" s="1" t="s">
        <v>317</v>
      </c>
      <c r="B282" s="1" t="s">
        <v>30</v>
      </c>
      <c r="C282" s="1">
        <v>2</v>
      </c>
      <c r="D282" s="1">
        <v>0</v>
      </c>
      <c r="E282" s="1" t="str">
        <f t="shared" si="9"/>
        <v>(F2.0)</v>
      </c>
      <c r="F282" s="1" t="str">
        <f t="shared" si="8"/>
        <v>alter type vG8m04 (F2.0).</v>
      </c>
    </row>
    <row r="283" spans="1:6" x14ac:dyDescent="0.25">
      <c r="A283" s="1" t="s">
        <v>318</v>
      </c>
      <c r="B283" s="1" t="s">
        <v>30</v>
      </c>
      <c r="C283" s="1">
        <v>2</v>
      </c>
      <c r="D283" s="1">
        <v>0</v>
      </c>
      <c r="E283" s="1" t="str">
        <f t="shared" si="9"/>
        <v>(F2.0)</v>
      </c>
      <c r="F283" s="1" t="str">
        <f t="shared" si="8"/>
        <v>alter type vG8m05 (F2.0).</v>
      </c>
    </row>
    <row r="284" spans="1:6" x14ac:dyDescent="0.25">
      <c r="A284" s="1" t="s">
        <v>319</v>
      </c>
      <c r="B284" s="1" t="s">
        <v>30</v>
      </c>
      <c r="C284" s="1">
        <v>2</v>
      </c>
      <c r="D284" s="1">
        <v>0</v>
      </c>
      <c r="E284" s="1" t="str">
        <f t="shared" si="9"/>
        <v>(F2.0)</v>
      </c>
      <c r="F284" s="1" t="str">
        <f t="shared" si="8"/>
        <v>alter type vG8m06 (F2.0).</v>
      </c>
    </row>
    <row r="285" spans="1:6" x14ac:dyDescent="0.25">
      <c r="A285" s="1" t="s">
        <v>320</v>
      </c>
      <c r="B285" s="1" t="s">
        <v>30</v>
      </c>
      <c r="C285" s="1">
        <v>2</v>
      </c>
      <c r="D285" s="1">
        <v>0</v>
      </c>
      <c r="E285" s="1" t="str">
        <f t="shared" si="9"/>
        <v>(F2.0)</v>
      </c>
      <c r="F285" s="1" t="str">
        <f t="shared" si="8"/>
        <v>alter type vG8m07 (F2.0).</v>
      </c>
    </row>
    <row r="286" spans="1:6" x14ac:dyDescent="0.25">
      <c r="A286" s="1" t="s">
        <v>321</v>
      </c>
      <c r="B286" s="1" t="s">
        <v>30</v>
      </c>
      <c r="C286" s="1">
        <v>2</v>
      </c>
      <c r="D286" s="1">
        <v>0</v>
      </c>
      <c r="E286" s="1" t="str">
        <f t="shared" si="9"/>
        <v>(F2.0)</v>
      </c>
      <c r="F286" s="1" t="str">
        <f t="shared" si="8"/>
        <v>alter type vG8m08 (F2.0).</v>
      </c>
    </row>
    <row r="287" spans="1:6" x14ac:dyDescent="0.25">
      <c r="A287" s="1" t="s">
        <v>322</v>
      </c>
      <c r="B287" s="1" t="s">
        <v>30</v>
      </c>
      <c r="C287" s="1">
        <v>2</v>
      </c>
      <c r="D287" s="1">
        <v>0</v>
      </c>
      <c r="E287" s="1" t="str">
        <f t="shared" si="9"/>
        <v>(F2.0)</v>
      </c>
      <c r="F287" s="1" t="str">
        <f t="shared" si="8"/>
        <v>alter type vG8m09 (F2.0).</v>
      </c>
    </row>
    <row r="288" spans="1:6" x14ac:dyDescent="0.25">
      <c r="A288" s="1" t="s">
        <v>323</v>
      </c>
      <c r="B288" s="1" t="s">
        <v>30</v>
      </c>
      <c r="C288" s="1">
        <v>2</v>
      </c>
      <c r="D288" s="1">
        <v>0</v>
      </c>
      <c r="E288" s="1" t="str">
        <f t="shared" si="9"/>
        <v>(F2.0)</v>
      </c>
      <c r="F288" s="1" t="str">
        <f t="shared" si="8"/>
        <v>alter type vG8m10 (F2.0).</v>
      </c>
    </row>
    <row r="289" spans="1:6" x14ac:dyDescent="0.25">
      <c r="A289" s="1" t="s">
        <v>324</v>
      </c>
      <c r="B289" s="1" t="s">
        <v>30</v>
      </c>
      <c r="C289" s="1">
        <v>2</v>
      </c>
      <c r="D289" s="1">
        <v>0</v>
      </c>
      <c r="E289" s="1" t="str">
        <f t="shared" si="9"/>
        <v>(F2.0)</v>
      </c>
      <c r="F289" s="1" t="str">
        <f t="shared" si="8"/>
        <v>alter type vG8m11 (F2.0).</v>
      </c>
    </row>
    <row r="290" spans="1:6" x14ac:dyDescent="0.25">
      <c r="A290" s="1" t="s">
        <v>325</v>
      </c>
      <c r="B290" s="1" t="s">
        <v>30</v>
      </c>
      <c r="C290" s="1">
        <v>2</v>
      </c>
      <c r="D290" s="1">
        <v>0</v>
      </c>
      <c r="E290" s="1" t="str">
        <f t="shared" si="9"/>
        <v>(F2.0)</v>
      </c>
      <c r="F290" s="1" t="str">
        <f t="shared" si="8"/>
        <v>alter type vG8m12 (F2.0).</v>
      </c>
    </row>
    <row r="291" spans="1:6" x14ac:dyDescent="0.25">
      <c r="A291" s="1" t="s">
        <v>326</v>
      </c>
      <c r="B291" s="1" t="s">
        <v>30</v>
      </c>
      <c r="C291" s="1">
        <v>2</v>
      </c>
      <c r="D291" s="1">
        <v>0</v>
      </c>
      <c r="E291" s="1" t="str">
        <f t="shared" si="9"/>
        <v>(F2.0)</v>
      </c>
      <c r="F291" s="1" t="str">
        <f t="shared" si="8"/>
        <v>alter type vG8m13 (F2.0).</v>
      </c>
    </row>
    <row r="292" spans="1:6" x14ac:dyDescent="0.25">
      <c r="A292" s="1" t="s">
        <v>327</v>
      </c>
      <c r="B292" s="1" t="s">
        <v>30</v>
      </c>
      <c r="C292" s="1">
        <v>2</v>
      </c>
      <c r="D292" s="1">
        <v>0</v>
      </c>
      <c r="E292" s="1" t="str">
        <f t="shared" si="9"/>
        <v>(F2.0)</v>
      </c>
      <c r="F292" s="1" t="str">
        <f t="shared" si="8"/>
        <v>alter type vG8m14 (F2.0).</v>
      </c>
    </row>
    <row r="293" spans="1:6" x14ac:dyDescent="0.25">
      <c r="A293" s="1" t="s">
        <v>328</v>
      </c>
      <c r="B293" s="1" t="s">
        <v>30</v>
      </c>
      <c r="C293" s="1">
        <v>2</v>
      </c>
      <c r="D293" s="1">
        <v>0</v>
      </c>
      <c r="E293" s="1" t="str">
        <f t="shared" si="9"/>
        <v>(F2.0)</v>
      </c>
      <c r="F293" s="1" t="str">
        <f t="shared" si="8"/>
        <v>alter type vG8m15 (F2.0).</v>
      </c>
    </row>
    <row r="294" spans="1:6" x14ac:dyDescent="0.25">
      <c r="A294" s="1" t="s">
        <v>329</v>
      </c>
      <c r="B294" s="1" t="s">
        <v>30</v>
      </c>
      <c r="C294" s="1">
        <v>2</v>
      </c>
      <c r="D294" s="1">
        <v>0</v>
      </c>
      <c r="E294" s="1" t="str">
        <f t="shared" si="9"/>
        <v>(F2.0)</v>
      </c>
      <c r="F294" s="1" t="str">
        <f t="shared" si="8"/>
        <v>alter type vG8m16 (F2.0).</v>
      </c>
    </row>
    <row r="295" spans="1:6" x14ac:dyDescent="0.25">
      <c r="A295" s="1" t="s">
        <v>330</v>
      </c>
      <c r="B295" s="1" t="s">
        <v>30</v>
      </c>
      <c r="C295" s="1">
        <v>2</v>
      </c>
      <c r="D295" s="1">
        <v>0</v>
      </c>
      <c r="E295" s="1" t="str">
        <f t="shared" si="9"/>
        <v>(F2.0)</v>
      </c>
      <c r="F295" s="1" t="str">
        <f t="shared" si="8"/>
        <v>alter type vG8m88 (F2.0).</v>
      </c>
    </row>
    <row r="296" spans="1:6" x14ac:dyDescent="0.25">
      <c r="A296" s="1" t="s">
        <v>332</v>
      </c>
      <c r="B296" s="1" t="s">
        <v>27</v>
      </c>
      <c r="C296" s="1">
        <v>150</v>
      </c>
      <c r="D296" s="1">
        <v>0</v>
      </c>
      <c r="E296" s="1" t="str">
        <f t="shared" si="9"/>
        <v>(A150)</v>
      </c>
      <c r="F296" s="1" t="str">
        <f t="shared" si="8"/>
        <v>alter type vG8o88 (A150).</v>
      </c>
    </row>
    <row r="297" spans="1:6" x14ac:dyDescent="0.25">
      <c r="A297" s="1" t="s">
        <v>333</v>
      </c>
      <c r="B297" s="1" t="s">
        <v>30</v>
      </c>
      <c r="C297" s="1">
        <v>2</v>
      </c>
      <c r="D297" s="1">
        <v>0</v>
      </c>
      <c r="E297" s="1" t="str">
        <f t="shared" si="9"/>
        <v>(F2.0)</v>
      </c>
      <c r="F297" s="1" t="str">
        <f t="shared" si="8"/>
        <v>alter type vG9m01 (F2.0).</v>
      </c>
    </row>
    <row r="298" spans="1:6" x14ac:dyDescent="0.25">
      <c r="A298" s="1" t="s">
        <v>334</v>
      </c>
      <c r="B298" s="1" t="s">
        <v>30</v>
      </c>
      <c r="C298" s="1">
        <v>2</v>
      </c>
      <c r="D298" s="1">
        <v>0</v>
      </c>
      <c r="E298" s="1" t="str">
        <f t="shared" si="9"/>
        <v>(F2.0)</v>
      </c>
      <c r="F298" s="1" t="str">
        <f t="shared" si="8"/>
        <v>alter type vG9m02 (F2.0).</v>
      </c>
    </row>
    <row r="299" spans="1:6" x14ac:dyDescent="0.25">
      <c r="A299" s="1" t="s">
        <v>335</v>
      </c>
      <c r="B299" s="1" t="s">
        <v>30</v>
      </c>
      <c r="C299" s="1">
        <v>2</v>
      </c>
      <c r="D299" s="1">
        <v>0</v>
      </c>
      <c r="E299" s="1" t="str">
        <f t="shared" si="9"/>
        <v>(F2.0)</v>
      </c>
      <c r="F299" s="1" t="str">
        <f t="shared" si="8"/>
        <v>alter type vG9m03 (F2.0).</v>
      </c>
    </row>
    <row r="300" spans="1:6" x14ac:dyDescent="0.25">
      <c r="A300" s="1" t="s">
        <v>336</v>
      </c>
      <c r="B300" s="1" t="s">
        <v>30</v>
      </c>
      <c r="C300" s="1">
        <v>2</v>
      </c>
      <c r="D300" s="1">
        <v>0</v>
      </c>
      <c r="E300" s="1" t="str">
        <f t="shared" si="9"/>
        <v>(F2.0)</v>
      </c>
      <c r="F300" s="1" t="str">
        <f t="shared" si="8"/>
        <v>alter type vG9m04 (F2.0).</v>
      </c>
    </row>
    <row r="301" spans="1:6" x14ac:dyDescent="0.25">
      <c r="A301" s="1" t="s">
        <v>337</v>
      </c>
      <c r="B301" s="1" t="s">
        <v>30</v>
      </c>
      <c r="C301" s="1">
        <v>2</v>
      </c>
      <c r="D301" s="1">
        <v>0</v>
      </c>
      <c r="E301" s="1" t="str">
        <f t="shared" si="9"/>
        <v>(F2.0)</v>
      </c>
      <c r="F301" s="1" t="str">
        <f t="shared" si="8"/>
        <v>alter type vG9m05 (F2.0).</v>
      </c>
    </row>
    <row r="302" spans="1:6" x14ac:dyDescent="0.25">
      <c r="A302" s="1" t="s">
        <v>338</v>
      </c>
      <c r="B302" s="1" t="s">
        <v>30</v>
      </c>
      <c r="C302" s="1">
        <v>2</v>
      </c>
      <c r="D302" s="1">
        <v>0</v>
      </c>
      <c r="E302" s="1" t="str">
        <f t="shared" si="9"/>
        <v>(F2.0)</v>
      </c>
      <c r="F302" s="1" t="str">
        <f t="shared" si="8"/>
        <v>alter type vG9m06 (F2.0).</v>
      </c>
    </row>
    <row r="303" spans="1:6" x14ac:dyDescent="0.25">
      <c r="A303" s="1" t="s">
        <v>339</v>
      </c>
      <c r="B303" s="1" t="s">
        <v>30</v>
      </c>
      <c r="C303" s="1">
        <v>2</v>
      </c>
      <c r="D303" s="1">
        <v>0</v>
      </c>
      <c r="E303" s="1" t="str">
        <f t="shared" si="9"/>
        <v>(F2.0)</v>
      </c>
      <c r="F303" s="1" t="str">
        <f t="shared" si="8"/>
        <v>alter type vG9m07 (F2.0).</v>
      </c>
    </row>
    <row r="304" spans="1:6" x14ac:dyDescent="0.25">
      <c r="A304" s="1" t="s">
        <v>340</v>
      </c>
      <c r="B304" s="1" t="s">
        <v>30</v>
      </c>
      <c r="C304" s="1">
        <v>2</v>
      </c>
      <c r="D304" s="1">
        <v>0</v>
      </c>
      <c r="E304" s="1" t="str">
        <f t="shared" si="9"/>
        <v>(F2.0)</v>
      </c>
      <c r="F304" s="1" t="str">
        <f t="shared" si="8"/>
        <v>alter type vG9m08 (F2.0).</v>
      </c>
    </row>
    <row r="305" spans="1:6" x14ac:dyDescent="0.25">
      <c r="A305" s="1" t="s">
        <v>341</v>
      </c>
      <c r="B305" s="1" t="s">
        <v>30</v>
      </c>
      <c r="C305" s="1">
        <v>2</v>
      </c>
      <c r="D305" s="1">
        <v>0</v>
      </c>
      <c r="E305" s="1" t="str">
        <f t="shared" si="9"/>
        <v>(F2.0)</v>
      </c>
      <c r="F305" s="1" t="str">
        <f t="shared" si="8"/>
        <v>alter type vG9m09 (F2.0).</v>
      </c>
    </row>
    <row r="306" spans="1:6" x14ac:dyDescent="0.25">
      <c r="A306" s="1" t="s">
        <v>342</v>
      </c>
      <c r="B306" s="1" t="s">
        <v>30</v>
      </c>
      <c r="C306" s="1">
        <v>2</v>
      </c>
      <c r="D306" s="1">
        <v>0</v>
      </c>
      <c r="E306" s="1" t="str">
        <f t="shared" si="9"/>
        <v>(F2.0)</v>
      </c>
      <c r="F306" s="1" t="str">
        <f t="shared" si="8"/>
        <v>alter type vG9m10 (F2.0).</v>
      </c>
    </row>
    <row r="307" spans="1:6" x14ac:dyDescent="0.25">
      <c r="A307" s="1" t="s">
        <v>343</v>
      </c>
      <c r="B307" s="1" t="s">
        <v>30</v>
      </c>
      <c r="C307" s="1">
        <v>2</v>
      </c>
      <c r="D307" s="1">
        <v>0</v>
      </c>
      <c r="E307" s="1" t="str">
        <f t="shared" si="9"/>
        <v>(F2.0)</v>
      </c>
      <c r="F307" s="1" t="str">
        <f t="shared" si="8"/>
        <v>alter type vG9m11 (F2.0).</v>
      </c>
    </row>
    <row r="308" spans="1:6" x14ac:dyDescent="0.25">
      <c r="A308" s="1" t="s">
        <v>344</v>
      </c>
      <c r="B308" s="1" t="s">
        <v>30</v>
      </c>
      <c r="C308" s="1">
        <v>2</v>
      </c>
      <c r="D308" s="1">
        <v>0</v>
      </c>
      <c r="E308" s="1" t="str">
        <f t="shared" si="9"/>
        <v>(F2.0)</v>
      </c>
      <c r="F308" s="1" t="str">
        <f t="shared" si="8"/>
        <v>alter type vG9m12 (F2.0).</v>
      </c>
    </row>
    <row r="309" spans="1:6" x14ac:dyDescent="0.25">
      <c r="A309" s="1" t="s">
        <v>345</v>
      </c>
      <c r="B309" s="1" t="s">
        <v>30</v>
      </c>
      <c r="C309" s="1">
        <v>2</v>
      </c>
      <c r="D309" s="1">
        <v>0</v>
      </c>
      <c r="E309" s="1" t="str">
        <f t="shared" si="9"/>
        <v>(F2.0)</v>
      </c>
      <c r="F309" s="1" t="str">
        <f t="shared" si="8"/>
        <v>alter type vG9m13 (F2.0).</v>
      </c>
    </row>
    <row r="310" spans="1:6" x14ac:dyDescent="0.25">
      <c r="A310" s="1" t="s">
        <v>346</v>
      </c>
      <c r="B310" s="1" t="s">
        <v>30</v>
      </c>
      <c r="C310" s="1">
        <v>2</v>
      </c>
      <c r="D310" s="1">
        <v>0</v>
      </c>
      <c r="E310" s="1" t="str">
        <f t="shared" si="9"/>
        <v>(F2.0)</v>
      </c>
      <c r="F310" s="1" t="str">
        <f t="shared" si="8"/>
        <v>alter type vG9m88 (F2.0).</v>
      </c>
    </row>
    <row r="311" spans="1:6" x14ac:dyDescent="0.25">
      <c r="A311" s="1" t="s">
        <v>348</v>
      </c>
      <c r="B311" s="1" t="s">
        <v>27</v>
      </c>
      <c r="C311" s="1">
        <v>150</v>
      </c>
      <c r="D311" s="1">
        <v>0</v>
      </c>
      <c r="E311" s="1" t="str">
        <f t="shared" si="9"/>
        <v>(A150)</v>
      </c>
      <c r="F311" s="1" t="str">
        <f t="shared" si="8"/>
        <v>alter type vG9o88 (A150).</v>
      </c>
    </row>
    <row r="312" spans="1:6" x14ac:dyDescent="0.25">
      <c r="A312" s="1" t="s">
        <v>349</v>
      </c>
      <c r="B312" s="1" t="s">
        <v>30</v>
      </c>
      <c r="C312" s="1">
        <v>2</v>
      </c>
      <c r="D312" s="1">
        <v>0</v>
      </c>
      <c r="E312" s="1" t="str">
        <f t="shared" si="9"/>
        <v>(F2.0)</v>
      </c>
      <c r="F312" s="1" t="str">
        <f t="shared" si="8"/>
        <v>alter type vG10m01 (F2.0).</v>
      </c>
    </row>
    <row r="313" spans="1:6" x14ac:dyDescent="0.25">
      <c r="A313" s="1" t="s">
        <v>350</v>
      </c>
      <c r="B313" s="1" t="s">
        <v>30</v>
      </c>
      <c r="C313" s="1">
        <v>2</v>
      </c>
      <c r="D313" s="1">
        <v>0</v>
      </c>
      <c r="E313" s="1" t="str">
        <f t="shared" si="9"/>
        <v>(F2.0)</v>
      </c>
      <c r="F313" s="1" t="str">
        <f t="shared" si="8"/>
        <v>alter type vG10m02 (F2.0).</v>
      </c>
    </row>
    <row r="314" spans="1:6" x14ac:dyDescent="0.25">
      <c r="A314" s="1" t="s">
        <v>351</v>
      </c>
      <c r="B314" s="1" t="s">
        <v>30</v>
      </c>
      <c r="C314" s="1">
        <v>2</v>
      </c>
      <c r="D314" s="1">
        <v>0</v>
      </c>
      <c r="E314" s="1" t="str">
        <f t="shared" si="9"/>
        <v>(F2.0)</v>
      </c>
      <c r="F314" s="1" t="str">
        <f t="shared" si="8"/>
        <v>alter type vG10m03 (F2.0).</v>
      </c>
    </row>
    <row r="315" spans="1:6" x14ac:dyDescent="0.25">
      <c r="A315" s="1" t="s">
        <v>352</v>
      </c>
      <c r="B315" s="1" t="s">
        <v>30</v>
      </c>
      <c r="C315" s="1">
        <v>2</v>
      </c>
      <c r="D315" s="1">
        <v>0</v>
      </c>
      <c r="E315" s="1" t="str">
        <f t="shared" si="9"/>
        <v>(F2.0)</v>
      </c>
      <c r="F315" s="1" t="str">
        <f t="shared" si="8"/>
        <v>alter type vG10m04 (F2.0).</v>
      </c>
    </row>
    <row r="316" spans="1:6" x14ac:dyDescent="0.25">
      <c r="A316" s="1" t="s">
        <v>353</v>
      </c>
      <c r="B316" s="1" t="s">
        <v>30</v>
      </c>
      <c r="C316" s="1">
        <v>2</v>
      </c>
      <c r="D316" s="1">
        <v>0</v>
      </c>
      <c r="E316" s="1" t="str">
        <f t="shared" si="9"/>
        <v>(F2.0)</v>
      </c>
      <c r="F316" s="1" t="str">
        <f t="shared" si="8"/>
        <v>alter type vG10m05 (F2.0).</v>
      </c>
    </row>
    <row r="317" spans="1:6" x14ac:dyDescent="0.25">
      <c r="A317" s="1" t="s">
        <v>354</v>
      </c>
      <c r="B317" s="1" t="s">
        <v>30</v>
      </c>
      <c r="C317" s="1">
        <v>2</v>
      </c>
      <c r="D317" s="1">
        <v>0</v>
      </c>
      <c r="E317" s="1" t="str">
        <f t="shared" si="9"/>
        <v>(F2.0)</v>
      </c>
      <c r="F317" s="1" t="str">
        <f t="shared" si="8"/>
        <v>alter type vG10m06 (F2.0).</v>
      </c>
    </row>
    <row r="318" spans="1:6" x14ac:dyDescent="0.25">
      <c r="A318" s="1" t="s">
        <v>355</v>
      </c>
      <c r="B318" s="1" t="s">
        <v>30</v>
      </c>
      <c r="C318" s="1">
        <v>2</v>
      </c>
      <c r="D318" s="1">
        <v>0</v>
      </c>
      <c r="E318" s="1" t="str">
        <f t="shared" si="9"/>
        <v>(F2.0)</v>
      </c>
      <c r="F318" s="1" t="str">
        <f t="shared" si="8"/>
        <v>alter type vG10m07 (F2.0).</v>
      </c>
    </row>
    <row r="319" spans="1:6" x14ac:dyDescent="0.25">
      <c r="A319" s="1" t="s">
        <v>356</v>
      </c>
      <c r="B319" s="1" t="s">
        <v>30</v>
      </c>
      <c r="C319" s="1">
        <v>2</v>
      </c>
      <c r="D319" s="1">
        <v>0</v>
      </c>
      <c r="E319" s="1" t="str">
        <f t="shared" si="9"/>
        <v>(F2.0)</v>
      </c>
      <c r="F319" s="1" t="str">
        <f t="shared" si="8"/>
        <v>alter type vG10m08 (F2.0).</v>
      </c>
    </row>
    <row r="320" spans="1:6" x14ac:dyDescent="0.25">
      <c r="A320" s="1" t="s">
        <v>357</v>
      </c>
      <c r="B320" s="1" t="s">
        <v>30</v>
      </c>
      <c r="C320" s="1">
        <v>2</v>
      </c>
      <c r="D320" s="1">
        <v>0</v>
      </c>
      <c r="E320" s="1" t="str">
        <f t="shared" si="9"/>
        <v>(F2.0)</v>
      </c>
      <c r="F320" s="1" t="str">
        <f t="shared" si="8"/>
        <v>alter type vG10m09 (F2.0).</v>
      </c>
    </row>
    <row r="321" spans="1:6" x14ac:dyDescent="0.25">
      <c r="A321" s="1" t="s">
        <v>358</v>
      </c>
      <c r="B321" s="1" t="s">
        <v>30</v>
      </c>
      <c r="C321" s="1">
        <v>2</v>
      </c>
      <c r="D321" s="1">
        <v>0</v>
      </c>
      <c r="E321" s="1" t="str">
        <f t="shared" si="9"/>
        <v>(F2.0)</v>
      </c>
      <c r="F321" s="1" t="str">
        <f t="shared" si="8"/>
        <v>alter type vG10m10 (F2.0).</v>
      </c>
    </row>
    <row r="322" spans="1:6" x14ac:dyDescent="0.25">
      <c r="A322" s="1" t="s">
        <v>359</v>
      </c>
      <c r="B322" s="1" t="s">
        <v>30</v>
      </c>
      <c r="C322" s="1">
        <v>2</v>
      </c>
      <c r="D322" s="1">
        <v>0</v>
      </c>
      <c r="E322" s="1" t="str">
        <f t="shared" si="9"/>
        <v>(F2.0)</v>
      </c>
      <c r="F322" s="1" t="str">
        <f t="shared" ref="F322:F385" si="10">"alter type "&amp;A322&amp;" "&amp;E322&amp;"."</f>
        <v>alter type vG10m11 (F2.0).</v>
      </c>
    </row>
    <row r="323" spans="1:6" x14ac:dyDescent="0.25">
      <c r="A323" s="1" t="s">
        <v>360</v>
      </c>
      <c r="B323" s="1" t="s">
        <v>30</v>
      </c>
      <c r="C323" s="1">
        <v>2</v>
      </c>
      <c r="D323" s="1">
        <v>0</v>
      </c>
      <c r="E323" s="1" t="str">
        <f t="shared" ref="E323:E386" si="11">IF(B323="數值","(F"&amp;C323&amp;"."&amp;D323&amp;")","(A"&amp;C323&amp;")")</f>
        <v>(F2.0)</v>
      </c>
      <c r="F323" s="1" t="str">
        <f t="shared" si="10"/>
        <v>alter type vG10m12 (F2.0).</v>
      </c>
    </row>
    <row r="324" spans="1:6" x14ac:dyDescent="0.25">
      <c r="A324" s="1" t="s">
        <v>361</v>
      </c>
      <c r="B324" s="1" t="s">
        <v>30</v>
      </c>
      <c r="C324" s="1">
        <v>2</v>
      </c>
      <c r="D324" s="1">
        <v>0</v>
      </c>
      <c r="E324" s="1" t="str">
        <f t="shared" si="11"/>
        <v>(F2.0)</v>
      </c>
      <c r="F324" s="1" t="str">
        <f t="shared" si="10"/>
        <v>alter type vG10m13 (F2.0).</v>
      </c>
    </row>
    <row r="325" spans="1:6" x14ac:dyDescent="0.25">
      <c r="A325" s="1" t="s">
        <v>362</v>
      </c>
      <c r="B325" s="1" t="s">
        <v>30</v>
      </c>
      <c r="C325" s="1">
        <v>2</v>
      </c>
      <c r="D325" s="1">
        <v>0</v>
      </c>
      <c r="E325" s="1" t="str">
        <f t="shared" si="11"/>
        <v>(F2.0)</v>
      </c>
      <c r="F325" s="1" t="str">
        <f t="shared" si="10"/>
        <v>alter type vG10m14 (F2.0).</v>
      </c>
    </row>
    <row r="326" spans="1:6" x14ac:dyDescent="0.25">
      <c r="A326" s="1" t="s">
        <v>363</v>
      </c>
      <c r="B326" s="1" t="s">
        <v>30</v>
      </c>
      <c r="C326" s="1">
        <v>2</v>
      </c>
      <c r="D326" s="1">
        <v>0</v>
      </c>
      <c r="E326" s="1" t="str">
        <f t="shared" si="11"/>
        <v>(F2.0)</v>
      </c>
      <c r="F326" s="1" t="str">
        <f t="shared" si="10"/>
        <v>alter type vG10m15 (F2.0).</v>
      </c>
    </row>
    <row r="327" spans="1:6" x14ac:dyDescent="0.25">
      <c r="A327" s="1" t="s">
        <v>364</v>
      </c>
      <c r="B327" s="1" t="s">
        <v>30</v>
      </c>
      <c r="C327" s="1">
        <v>2</v>
      </c>
      <c r="D327" s="1">
        <v>0</v>
      </c>
      <c r="E327" s="1" t="str">
        <f t="shared" si="11"/>
        <v>(F2.0)</v>
      </c>
      <c r="F327" s="1" t="str">
        <f t="shared" si="10"/>
        <v>alter type vG10m16 (F2.0).</v>
      </c>
    </row>
    <row r="328" spans="1:6" x14ac:dyDescent="0.25">
      <c r="A328" s="1" t="s">
        <v>365</v>
      </c>
      <c r="B328" s="1" t="s">
        <v>30</v>
      </c>
      <c r="C328" s="1">
        <v>2</v>
      </c>
      <c r="D328" s="1">
        <v>0</v>
      </c>
      <c r="E328" s="1" t="str">
        <f t="shared" si="11"/>
        <v>(F2.0)</v>
      </c>
      <c r="F328" s="1" t="str">
        <f t="shared" si="10"/>
        <v>alter type vG10m17 (F2.0).</v>
      </c>
    </row>
    <row r="329" spans="1:6" x14ac:dyDescent="0.25">
      <c r="A329" s="1" t="s">
        <v>366</v>
      </c>
      <c r="B329" s="1" t="s">
        <v>30</v>
      </c>
      <c r="C329" s="1">
        <v>2</v>
      </c>
      <c r="D329" s="1">
        <v>0</v>
      </c>
      <c r="E329" s="1" t="str">
        <f t="shared" si="11"/>
        <v>(F2.0)</v>
      </c>
      <c r="F329" s="1" t="str">
        <f t="shared" si="10"/>
        <v>alter type vG10m18 (F2.0).</v>
      </c>
    </row>
    <row r="330" spans="1:6" x14ac:dyDescent="0.25">
      <c r="A330" s="1" t="s">
        <v>367</v>
      </c>
      <c r="B330" s="1" t="s">
        <v>30</v>
      </c>
      <c r="C330" s="1">
        <v>2</v>
      </c>
      <c r="D330" s="1">
        <v>0</v>
      </c>
      <c r="E330" s="1" t="str">
        <f t="shared" si="11"/>
        <v>(F2.0)</v>
      </c>
      <c r="F330" s="1" t="str">
        <f t="shared" si="10"/>
        <v>alter type vG10m19 (F2.0).</v>
      </c>
    </row>
    <row r="331" spans="1:6" x14ac:dyDescent="0.25">
      <c r="A331" s="1" t="s">
        <v>368</v>
      </c>
      <c r="B331" s="1" t="s">
        <v>30</v>
      </c>
      <c r="C331" s="1">
        <v>2</v>
      </c>
      <c r="D331" s="1">
        <v>0</v>
      </c>
      <c r="E331" s="1" t="str">
        <f t="shared" si="11"/>
        <v>(F2.0)</v>
      </c>
      <c r="F331" s="1" t="str">
        <f t="shared" si="10"/>
        <v>alter type vG10m88 (F2.0).</v>
      </c>
    </row>
    <row r="332" spans="1:6" x14ac:dyDescent="0.25">
      <c r="A332" s="1" t="s">
        <v>370</v>
      </c>
      <c r="B332" s="1" t="s">
        <v>27</v>
      </c>
      <c r="C332" s="1">
        <v>150</v>
      </c>
      <c r="D332" s="1">
        <v>0</v>
      </c>
      <c r="E332" s="1" t="str">
        <f t="shared" si="11"/>
        <v>(A150)</v>
      </c>
      <c r="F332" s="1" t="str">
        <f t="shared" si="10"/>
        <v>alter type vG10o88 (A150).</v>
      </c>
    </row>
    <row r="333" spans="1:6" x14ac:dyDescent="0.25">
      <c r="A333" s="1" t="s">
        <v>371</v>
      </c>
      <c r="B333" s="1" t="s">
        <v>30</v>
      </c>
      <c r="C333" s="1">
        <v>2</v>
      </c>
      <c r="D333" s="1">
        <v>0</v>
      </c>
      <c r="E333" s="1" t="str">
        <f t="shared" si="11"/>
        <v>(F2.0)</v>
      </c>
      <c r="F333" s="1" t="str">
        <f t="shared" si="10"/>
        <v>alter type vG11m01 (F2.0).</v>
      </c>
    </row>
    <row r="334" spans="1:6" x14ac:dyDescent="0.25">
      <c r="A334" s="1" t="s">
        <v>372</v>
      </c>
      <c r="B334" s="1" t="s">
        <v>30</v>
      </c>
      <c r="C334" s="1">
        <v>2</v>
      </c>
      <c r="D334" s="1">
        <v>0</v>
      </c>
      <c r="E334" s="1" t="str">
        <f t="shared" si="11"/>
        <v>(F2.0)</v>
      </c>
      <c r="F334" s="1" t="str">
        <f t="shared" si="10"/>
        <v>alter type vG11m02 (F2.0).</v>
      </c>
    </row>
    <row r="335" spans="1:6" x14ac:dyDescent="0.25">
      <c r="A335" s="1" t="s">
        <v>373</v>
      </c>
      <c r="B335" s="1" t="s">
        <v>30</v>
      </c>
      <c r="C335" s="1">
        <v>2</v>
      </c>
      <c r="D335" s="1">
        <v>0</v>
      </c>
      <c r="E335" s="1" t="str">
        <f t="shared" si="11"/>
        <v>(F2.0)</v>
      </c>
      <c r="F335" s="1" t="str">
        <f t="shared" si="10"/>
        <v>alter type vG11m03 (F2.0).</v>
      </c>
    </row>
    <row r="336" spans="1:6" x14ac:dyDescent="0.25">
      <c r="A336" s="1" t="s">
        <v>374</v>
      </c>
      <c r="B336" s="1" t="s">
        <v>30</v>
      </c>
      <c r="C336" s="1">
        <v>2</v>
      </c>
      <c r="D336" s="1">
        <v>0</v>
      </c>
      <c r="E336" s="1" t="str">
        <f t="shared" si="11"/>
        <v>(F2.0)</v>
      </c>
      <c r="F336" s="1" t="str">
        <f t="shared" si="10"/>
        <v>alter type vG11m04 (F2.0).</v>
      </c>
    </row>
    <row r="337" spans="1:6" x14ac:dyDescent="0.25">
      <c r="A337" s="1" t="s">
        <v>375</v>
      </c>
      <c r="B337" s="1" t="s">
        <v>30</v>
      </c>
      <c r="C337" s="1">
        <v>2</v>
      </c>
      <c r="D337" s="1">
        <v>0</v>
      </c>
      <c r="E337" s="1" t="str">
        <f t="shared" si="11"/>
        <v>(F2.0)</v>
      </c>
      <c r="F337" s="1" t="str">
        <f t="shared" si="10"/>
        <v>alter type vG11m05 (F2.0).</v>
      </c>
    </row>
    <row r="338" spans="1:6" x14ac:dyDescent="0.25">
      <c r="A338" s="1" t="s">
        <v>376</v>
      </c>
      <c r="B338" s="1" t="s">
        <v>30</v>
      </c>
      <c r="C338" s="1">
        <v>2</v>
      </c>
      <c r="D338" s="1">
        <v>0</v>
      </c>
      <c r="E338" s="1" t="str">
        <f t="shared" si="11"/>
        <v>(F2.0)</v>
      </c>
      <c r="F338" s="1" t="str">
        <f t="shared" si="10"/>
        <v>alter type vG11m88 (F2.0).</v>
      </c>
    </row>
    <row r="339" spans="1:6" x14ac:dyDescent="0.25">
      <c r="A339" s="1" t="s">
        <v>378</v>
      </c>
      <c r="B339" s="1" t="s">
        <v>27</v>
      </c>
      <c r="C339" s="1">
        <v>150</v>
      </c>
      <c r="D339" s="1">
        <v>0</v>
      </c>
      <c r="E339" s="1" t="str">
        <f t="shared" si="11"/>
        <v>(A150)</v>
      </c>
      <c r="F339" s="1" t="str">
        <f t="shared" si="10"/>
        <v>alter type vG11o88 (A150).</v>
      </c>
    </row>
    <row r="340" spans="1:6" x14ac:dyDescent="0.25">
      <c r="A340" s="1" t="s">
        <v>1379</v>
      </c>
      <c r="B340" s="1" t="s">
        <v>30</v>
      </c>
      <c r="C340" s="1">
        <v>2</v>
      </c>
      <c r="D340" s="1">
        <v>0</v>
      </c>
      <c r="E340" s="1" t="str">
        <f t="shared" si="11"/>
        <v>(F2.0)</v>
      </c>
      <c r="F340" s="1" t="str">
        <f t="shared" si="10"/>
        <v>alter type vG12m01 (F2.0).</v>
      </c>
    </row>
    <row r="341" spans="1:6" x14ac:dyDescent="0.25">
      <c r="A341" s="1" t="s">
        <v>1381</v>
      </c>
      <c r="B341" s="1" t="s">
        <v>30</v>
      </c>
      <c r="C341" s="1">
        <v>2</v>
      </c>
      <c r="D341" s="1">
        <v>0</v>
      </c>
      <c r="E341" s="1" t="str">
        <f t="shared" si="11"/>
        <v>(F2.0)</v>
      </c>
      <c r="F341" s="1" t="str">
        <f t="shared" si="10"/>
        <v>alter type vG12m02 (F2.0).</v>
      </c>
    </row>
    <row r="342" spans="1:6" x14ac:dyDescent="0.25">
      <c r="A342" s="1" t="s">
        <v>1382</v>
      </c>
      <c r="B342" s="1" t="s">
        <v>30</v>
      </c>
      <c r="C342" s="1">
        <v>2</v>
      </c>
      <c r="D342" s="1">
        <v>0</v>
      </c>
      <c r="E342" s="1" t="str">
        <f t="shared" si="11"/>
        <v>(F2.0)</v>
      </c>
      <c r="F342" s="1" t="str">
        <f t="shared" si="10"/>
        <v>alter type vG12m03 (F2.0).</v>
      </c>
    </row>
    <row r="343" spans="1:6" x14ac:dyDescent="0.25">
      <c r="A343" s="1" t="s">
        <v>1383</v>
      </c>
      <c r="B343" s="1" t="s">
        <v>30</v>
      </c>
      <c r="C343" s="1">
        <v>2</v>
      </c>
      <c r="D343" s="1">
        <v>0</v>
      </c>
      <c r="E343" s="1" t="str">
        <f t="shared" si="11"/>
        <v>(F2.0)</v>
      </c>
      <c r="F343" s="1" t="str">
        <f t="shared" si="10"/>
        <v>alter type vG12m04 (F2.0).</v>
      </c>
    </row>
    <row r="344" spans="1:6" x14ac:dyDescent="0.25">
      <c r="A344" s="1" t="s">
        <v>1384</v>
      </c>
      <c r="B344" s="1" t="s">
        <v>30</v>
      </c>
      <c r="C344" s="1">
        <v>2</v>
      </c>
      <c r="D344" s="1">
        <v>0</v>
      </c>
      <c r="E344" s="1" t="str">
        <f t="shared" si="11"/>
        <v>(F2.0)</v>
      </c>
      <c r="F344" s="1" t="str">
        <f t="shared" si="10"/>
        <v>alter type vG12m05 (F2.0).</v>
      </c>
    </row>
    <row r="345" spans="1:6" x14ac:dyDescent="0.25">
      <c r="A345" s="1" t="s">
        <v>1385</v>
      </c>
      <c r="B345" s="1" t="s">
        <v>30</v>
      </c>
      <c r="C345" s="1">
        <v>2</v>
      </c>
      <c r="D345" s="1">
        <v>0</v>
      </c>
      <c r="E345" s="1" t="str">
        <f t="shared" si="11"/>
        <v>(F2.0)</v>
      </c>
      <c r="F345" s="1" t="str">
        <f t="shared" si="10"/>
        <v>alter type vG12m06 (F2.0).</v>
      </c>
    </row>
    <row r="346" spans="1:6" x14ac:dyDescent="0.25">
      <c r="A346" s="1" t="s">
        <v>1386</v>
      </c>
      <c r="B346" s="1" t="s">
        <v>30</v>
      </c>
      <c r="C346" s="1">
        <v>2</v>
      </c>
      <c r="D346" s="1">
        <v>0</v>
      </c>
      <c r="E346" s="1" t="str">
        <f t="shared" si="11"/>
        <v>(F2.0)</v>
      </c>
      <c r="F346" s="1" t="str">
        <f t="shared" si="10"/>
        <v>alter type vG12m07 (F2.0).</v>
      </c>
    </row>
    <row r="347" spans="1:6" x14ac:dyDescent="0.25">
      <c r="A347" s="1" t="s">
        <v>1387</v>
      </c>
      <c r="B347" s="1" t="s">
        <v>30</v>
      </c>
      <c r="C347" s="1">
        <v>2</v>
      </c>
      <c r="D347" s="1">
        <v>0</v>
      </c>
      <c r="E347" s="1" t="str">
        <f t="shared" si="11"/>
        <v>(F2.0)</v>
      </c>
      <c r="F347" s="1" t="str">
        <f t="shared" si="10"/>
        <v>alter type vG12m08 (F2.0).</v>
      </c>
    </row>
    <row r="348" spans="1:6" x14ac:dyDescent="0.25">
      <c r="A348" s="1" t="s">
        <v>1388</v>
      </c>
      <c r="B348" s="1" t="s">
        <v>30</v>
      </c>
      <c r="C348" s="1">
        <v>2</v>
      </c>
      <c r="D348" s="1">
        <v>0</v>
      </c>
      <c r="E348" s="1" t="str">
        <f t="shared" si="11"/>
        <v>(F2.0)</v>
      </c>
      <c r="F348" s="1" t="str">
        <f t="shared" si="10"/>
        <v>alter type vG12m88 (F2.0).</v>
      </c>
    </row>
    <row r="349" spans="1:6" x14ac:dyDescent="0.25">
      <c r="A349" s="1" t="s">
        <v>1389</v>
      </c>
      <c r="B349" s="1" t="s">
        <v>27</v>
      </c>
      <c r="C349" s="1">
        <v>150</v>
      </c>
      <c r="D349" s="1">
        <v>0</v>
      </c>
      <c r="E349" s="1" t="str">
        <f t="shared" si="11"/>
        <v>(A150)</v>
      </c>
      <c r="F349" s="1" t="str">
        <f t="shared" si="10"/>
        <v>alter type vG12o88 (A150).</v>
      </c>
    </row>
    <row r="350" spans="1:6" x14ac:dyDescent="0.25">
      <c r="A350" s="1" t="s">
        <v>1390</v>
      </c>
      <c r="B350" s="1" t="s">
        <v>30</v>
      </c>
      <c r="C350" s="1">
        <v>2</v>
      </c>
      <c r="D350" s="1">
        <v>0</v>
      </c>
      <c r="E350" s="1" t="str">
        <f t="shared" si="11"/>
        <v>(F2.0)</v>
      </c>
      <c r="F350" s="1" t="str">
        <f t="shared" si="10"/>
        <v>alter type vCKG12 (F2.0).</v>
      </c>
    </row>
    <row r="351" spans="1:6" x14ac:dyDescent="0.25">
      <c r="A351" s="1" t="s">
        <v>558</v>
      </c>
      <c r="B351" s="1" t="s">
        <v>30</v>
      </c>
      <c r="C351" s="1">
        <v>4</v>
      </c>
      <c r="D351" s="1">
        <v>0</v>
      </c>
      <c r="E351" s="1" t="str">
        <f t="shared" si="11"/>
        <v>(F4.0)</v>
      </c>
      <c r="F351" s="1" t="str">
        <f t="shared" si="10"/>
        <v>alter type vH1 (F4.0).</v>
      </c>
    </row>
    <row r="352" spans="1:6" x14ac:dyDescent="0.25">
      <c r="A352" s="1" t="s">
        <v>559</v>
      </c>
      <c r="B352" s="1" t="s">
        <v>30</v>
      </c>
      <c r="C352" s="1">
        <v>2</v>
      </c>
      <c r="D352" s="1">
        <v>0</v>
      </c>
      <c r="E352" s="1" t="str">
        <f t="shared" si="11"/>
        <v>(F2.0)</v>
      </c>
      <c r="F352" s="1" t="str">
        <f t="shared" si="10"/>
        <v>alter type vH2 (F2.0).</v>
      </c>
    </row>
    <row r="353" spans="1:6" x14ac:dyDescent="0.25">
      <c r="A353" s="1" t="s">
        <v>560</v>
      </c>
      <c r="B353" s="1" t="s">
        <v>30</v>
      </c>
      <c r="C353" s="1">
        <v>2</v>
      </c>
      <c r="D353" s="1">
        <v>0</v>
      </c>
      <c r="E353" s="1" t="str">
        <f t="shared" si="11"/>
        <v>(F2.0)</v>
      </c>
      <c r="F353" s="1" t="str">
        <f t="shared" si="10"/>
        <v>alter type vH3 (F2.0).</v>
      </c>
    </row>
    <row r="354" spans="1:6" x14ac:dyDescent="0.25">
      <c r="A354" s="1" t="s">
        <v>561</v>
      </c>
      <c r="B354" s="1" t="s">
        <v>30</v>
      </c>
      <c r="C354" s="1">
        <v>4</v>
      </c>
      <c r="D354" s="1">
        <v>0</v>
      </c>
      <c r="E354" s="1" t="str">
        <f t="shared" si="11"/>
        <v>(F4.0)</v>
      </c>
      <c r="F354" s="1" t="str">
        <f t="shared" si="10"/>
        <v>alter type vH4 (F4.0).</v>
      </c>
    </row>
    <row r="355" spans="1:6" x14ac:dyDescent="0.25">
      <c r="A355" s="1" t="s">
        <v>562</v>
      </c>
      <c r="B355" s="1" t="s">
        <v>30</v>
      </c>
      <c r="C355" s="1">
        <v>2</v>
      </c>
      <c r="D355" s="1">
        <v>0</v>
      </c>
      <c r="E355" s="1" t="str">
        <f t="shared" si="11"/>
        <v>(F2.0)</v>
      </c>
      <c r="F355" s="1" t="str">
        <f t="shared" si="10"/>
        <v>alter type vH5 (F2.0).</v>
      </c>
    </row>
    <row r="356" spans="1:6" x14ac:dyDescent="0.25">
      <c r="A356" s="1" t="s">
        <v>563</v>
      </c>
      <c r="B356" s="1" t="s">
        <v>30</v>
      </c>
      <c r="C356" s="1">
        <v>2</v>
      </c>
      <c r="D356" s="1">
        <v>0</v>
      </c>
      <c r="E356" s="1" t="str">
        <f t="shared" si="11"/>
        <v>(F2.0)</v>
      </c>
      <c r="F356" s="1" t="str">
        <f t="shared" si="10"/>
        <v>alter type vH6 (F2.0).</v>
      </c>
    </row>
    <row r="357" spans="1:6" x14ac:dyDescent="0.25">
      <c r="A357" s="1" t="s">
        <v>564</v>
      </c>
      <c r="B357" s="1" t="s">
        <v>30</v>
      </c>
      <c r="C357" s="1">
        <v>4</v>
      </c>
      <c r="D357" s="1">
        <v>0</v>
      </c>
      <c r="E357" s="1" t="str">
        <f t="shared" si="11"/>
        <v>(F4.0)</v>
      </c>
      <c r="F357" s="1" t="str">
        <f t="shared" si="10"/>
        <v>alter type vH7 (F4.0).</v>
      </c>
    </row>
    <row r="358" spans="1:6" x14ac:dyDescent="0.25">
      <c r="A358" s="1" t="s">
        <v>565</v>
      </c>
      <c r="B358" s="1" t="s">
        <v>30</v>
      </c>
      <c r="C358" s="1">
        <v>4</v>
      </c>
      <c r="D358" s="1">
        <v>0</v>
      </c>
      <c r="E358" s="1" t="str">
        <f t="shared" si="11"/>
        <v>(F4.0)</v>
      </c>
      <c r="F358" s="1" t="str">
        <f t="shared" si="10"/>
        <v>alter type vH7_1 (F4.0).</v>
      </c>
    </row>
    <row r="359" spans="1:6" x14ac:dyDescent="0.25">
      <c r="A359" s="1" t="s">
        <v>566</v>
      </c>
      <c r="B359" s="1" t="s">
        <v>30</v>
      </c>
      <c r="C359" s="1">
        <v>4</v>
      </c>
      <c r="D359" s="1">
        <v>0</v>
      </c>
      <c r="E359" s="1" t="str">
        <f t="shared" si="11"/>
        <v>(F4.0)</v>
      </c>
      <c r="F359" s="1" t="str">
        <f t="shared" si="10"/>
        <v>alter type vH7_2 (F4.0).</v>
      </c>
    </row>
    <row r="360" spans="1:6" x14ac:dyDescent="0.25">
      <c r="A360" s="1" t="s">
        <v>567</v>
      </c>
      <c r="B360" s="1" t="s">
        <v>30</v>
      </c>
      <c r="C360" s="1">
        <v>4</v>
      </c>
      <c r="D360" s="1">
        <v>0</v>
      </c>
      <c r="E360" s="1" t="str">
        <f t="shared" si="11"/>
        <v>(F4.0)</v>
      </c>
      <c r="F360" s="1" t="str">
        <f t="shared" si="10"/>
        <v>alter type vH7_3 (F4.0).</v>
      </c>
    </row>
    <row r="361" spans="1:6" x14ac:dyDescent="0.25">
      <c r="A361" s="1" t="s">
        <v>568</v>
      </c>
      <c r="B361" s="1" t="s">
        <v>30</v>
      </c>
      <c r="C361" s="1">
        <v>14</v>
      </c>
      <c r="D361" s="1">
        <v>0</v>
      </c>
      <c r="E361" s="1" t="str">
        <f t="shared" si="11"/>
        <v>(F14.0)</v>
      </c>
      <c r="F361" s="1" t="str">
        <f t="shared" si="10"/>
        <v>alter type vCKH7 (F14.0).</v>
      </c>
    </row>
    <row r="362" spans="1:6" x14ac:dyDescent="0.25">
      <c r="A362" s="1" t="s">
        <v>569</v>
      </c>
      <c r="B362" s="1" t="s">
        <v>30</v>
      </c>
      <c r="C362" s="1">
        <v>14</v>
      </c>
      <c r="D362" s="1">
        <v>0</v>
      </c>
      <c r="E362" s="1" t="str">
        <f t="shared" si="11"/>
        <v>(F14.0)</v>
      </c>
      <c r="F362" s="1" t="str">
        <f t="shared" si="10"/>
        <v>alter type vCKH7_1 (F14.0).</v>
      </c>
    </row>
    <row r="363" spans="1:6" x14ac:dyDescent="0.25">
      <c r="A363" s="1" t="s">
        <v>570</v>
      </c>
      <c r="B363" s="1" t="s">
        <v>30</v>
      </c>
      <c r="C363" s="1">
        <v>14</v>
      </c>
      <c r="D363" s="1">
        <v>0</v>
      </c>
      <c r="E363" s="1" t="str">
        <f t="shared" si="11"/>
        <v>(F14.0)</v>
      </c>
      <c r="F363" s="1" t="str">
        <f t="shared" si="10"/>
        <v>alter type vCKH7_2 (F14.0).</v>
      </c>
    </row>
    <row r="364" spans="1:6" x14ac:dyDescent="0.25">
      <c r="A364" s="1" t="s">
        <v>571</v>
      </c>
      <c r="B364" s="1" t="s">
        <v>30</v>
      </c>
      <c r="C364" s="1">
        <v>14</v>
      </c>
      <c r="D364" s="1">
        <v>0</v>
      </c>
      <c r="E364" s="1" t="str">
        <f t="shared" si="11"/>
        <v>(F14.0)</v>
      </c>
      <c r="F364" s="1" t="str">
        <f t="shared" si="10"/>
        <v>alter type vCKH7_3 (F14.0).</v>
      </c>
    </row>
    <row r="365" spans="1:6" x14ac:dyDescent="0.25">
      <c r="A365" s="1" t="s">
        <v>572</v>
      </c>
      <c r="B365" s="1" t="s">
        <v>30</v>
      </c>
      <c r="C365" s="1">
        <v>4</v>
      </c>
      <c r="D365" s="1">
        <v>0</v>
      </c>
      <c r="E365" s="1" t="str">
        <f t="shared" si="11"/>
        <v>(F4.0)</v>
      </c>
      <c r="F365" s="1" t="str">
        <f t="shared" si="10"/>
        <v>alter type vH8 (F4.0).</v>
      </c>
    </row>
    <row r="366" spans="1:6" x14ac:dyDescent="0.25">
      <c r="A366" s="1" t="s">
        <v>458</v>
      </c>
      <c r="B366" s="1" t="s">
        <v>30</v>
      </c>
      <c r="C366" s="1">
        <v>4</v>
      </c>
      <c r="D366" s="1">
        <v>1</v>
      </c>
      <c r="E366" s="1" t="str">
        <f t="shared" si="11"/>
        <v>(F4.1)</v>
      </c>
      <c r="F366" s="1" t="str">
        <f t="shared" si="10"/>
        <v>alter type vI1 (F4.1).</v>
      </c>
    </row>
    <row r="367" spans="1:6" x14ac:dyDescent="0.25">
      <c r="A367" s="1" t="s">
        <v>459</v>
      </c>
      <c r="B367" s="1" t="s">
        <v>30</v>
      </c>
      <c r="C367" s="1">
        <v>5</v>
      </c>
      <c r="D367" s="1">
        <v>0</v>
      </c>
      <c r="E367" s="1" t="str">
        <f t="shared" si="11"/>
        <v>(F5.0)</v>
      </c>
      <c r="F367" s="1" t="str">
        <f t="shared" si="10"/>
        <v>alter type vI2 (F5.0).</v>
      </c>
    </row>
    <row r="368" spans="1:6" x14ac:dyDescent="0.25">
      <c r="A368" s="1" t="s">
        <v>460</v>
      </c>
      <c r="B368" s="1" t="s">
        <v>30</v>
      </c>
      <c r="C368" s="1">
        <v>4</v>
      </c>
      <c r="D368" s="1">
        <v>1</v>
      </c>
      <c r="E368" s="1" t="str">
        <f t="shared" si="11"/>
        <v>(F4.1)</v>
      </c>
      <c r="F368" s="1" t="str">
        <f t="shared" si="10"/>
        <v>alter type vI3 (F4.1).</v>
      </c>
    </row>
    <row r="369" spans="1:6" x14ac:dyDescent="0.25">
      <c r="A369" s="1" t="s">
        <v>461</v>
      </c>
      <c r="B369" s="1" t="s">
        <v>30</v>
      </c>
      <c r="C369" s="1">
        <v>5</v>
      </c>
      <c r="D369" s="1">
        <v>0</v>
      </c>
      <c r="E369" s="1" t="str">
        <f t="shared" si="11"/>
        <v>(F5.0)</v>
      </c>
      <c r="F369" s="1" t="str">
        <f t="shared" si="10"/>
        <v>alter type vI4 (F5.0).</v>
      </c>
    </row>
    <row r="370" spans="1:6" x14ac:dyDescent="0.25">
      <c r="A370" s="1" t="s">
        <v>1411</v>
      </c>
      <c r="B370" s="1" t="s">
        <v>30</v>
      </c>
      <c r="C370" s="1">
        <v>2</v>
      </c>
      <c r="D370" s="1">
        <v>0</v>
      </c>
      <c r="E370" s="1" t="str">
        <f t="shared" si="11"/>
        <v>(F2.0)</v>
      </c>
      <c r="F370" s="1" t="str">
        <f t="shared" si="10"/>
        <v>alter type vI5m01 (F2.0).</v>
      </c>
    </row>
    <row r="371" spans="1:6" x14ac:dyDescent="0.25">
      <c r="A371" s="1" t="s">
        <v>1413</v>
      </c>
      <c r="B371" s="1" t="s">
        <v>30</v>
      </c>
      <c r="C371" s="1">
        <v>2</v>
      </c>
      <c r="D371" s="1">
        <v>0</v>
      </c>
      <c r="E371" s="1" t="str">
        <f t="shared" si="11"/>
        <v>(F2.0)</v>
      </c>
      <c r="F371" s="1" t="str">
        <f t="shared" si="10"/>
        <v>alter type vI5m02 (F2.0).</v>
      </c>
    </row>
    <row r="372" spans="1:6" x14ac:dyDescent="0.25">
      <c r="A372" s="1" t="s">
        <v>1414</v>
      </c>
      <c r="B372" s="1" t="s">
        <v>30</v>
      </c>
      <c r="C372" s="1">
        <v>2</v>
      </c>
      <c r="D372" s="1">
        <v>0</v>
      </c>
      <c r="E372" s="1" t="str">
        <f t="shared" si="11"/>
        <v>(F2.0)</v>
      </c>
      <c r="F372" s="1" t="str">
        <f t="shared" si="10"/>
        <v>alter type vI5m03 (F2.0).</v>
      </c>
    </row>
    <row r="373" spans="1:6" x14ac:dyDescent="0.25">
      <c r="A373" s="1" t="s">
        <v>1415</v>
      </c>
      <c r="B373" s="1" t="s">
        <v>30</v>
      </c>
      <c r="C373" s="1">
        <v>2</v>
      </c>
      <c r="D373" s="1">
        <v>0</v>
      </c>
      <c r="E373" s="1" t="str">
        <f t="shared" si="11"/>
        <v>(F2.0)</v>
      </c>
      <c r="F373" s="1" t="str">
        <f t="shared" si="10"/>
        <v>alter type vI5m04 (F2.0).</v>
      </c>
    </row>
    <row r="374" spans="1:6" x14ac:dyDescent="0.25">
      <c r="A374" s="1" t="s">
        <v>1416</v>
      </c>
      <c r="B374" s="1" t="s">
        <v>30</v>
      </c>
      <c r="C374" s="1">
        <v>2</v>
      </c>
      <c r="D374" s="1">
        <v>0</v>
      </c>
      <c r="E374" s="1" t="str">
        <f t="shared" si="11"/>
        <v>(F2.0)</v>
      </c>
      <c r="F374" s="1" t="str">
        <f t="shared" si="10"/>
        <v>alter type vI5m05 (F2.0).</v>
      </c>
    </row>
    <row r="375" spans="1:6" x14ac:dyDescent="0.25">
      <c r="A375" s="1" t="s">
        <v>1417</v>
      </c>
      <c r="B375" s="1" t="s">
        <v>30</v>
      </c>
      <c r="C375" s="1">
        <v>2</v>
      </c>
      <c r="D375" s="1">
        <v>0</v>
      </c>
      <c r="E375" s="1" t="str">
        <f t="shared" si="11"/>
        <v>(F2.0)</v>
      </c>
      <c r="F375" s="1" t="str">
        <f t="shared" si="10"/>
        <v>alter type vI5m06 (F2.0).</v>
      </c>
    </row>
    <row r="376" spans="1:6" x14ac:dyDescent="0.25">
      <c r="A376" s="1" t="s">
        <v>1418</v>
      </c>
      <c r="B376" s="1" t="s">
        <v>30</v>
      </c>
      <c r="C376" s="1">
        <v>2</v>
      </c>
      <c r="D376" s="1">
        <v>0</v>
      </c>
      <c r="E376" s="1" t="str">
        <f t="shared" si="11"/>
        <v>(F2.0)</v>
      </c>
      <c r="F376" s="1" t="str">
        <f t="shared" si="10"/>
        <v>alter type vI5m07 (F2.0).</v>
      </c>
    </row>
    <row r="377" spans="1:6" x14ac:dyDescent="0.25">
      <c r="A377" s="1" t="s">
        <v>1419</v>
      </c>
      <c r="B377" s="1" t="s">
        <v>30</v>
      </c>
      <c r="C377" s="1">
        <v>2</v>
      </c>
      <c r="D377" s="1">
        <v>0</v>
      </c>
      <c r="E377" s="1" t="str">
        <f t="shared" si="11"/>
        <v>(F2.0)</v>
      </c>
      <c r="F377" s="1" t="str">
        <f t="shared" si="10"/>
        <v>alter type vI5m08 (F2.0).</v>
      </c>
    </row>
    <row r="378" spans="1:6" x14ac:dyDescent="0.25">
      <c r="A378" s="1" t="s">
        <v>1420</v>
      </c>
      <c r="B378" s="1" t="s">
        <v>30</v>
      </c>
      <c r="C378" s="1">
        <v>2</v>
      </c>
      <c r="D378" s="1">
        <v>0</v>
      </c>
      <c r="E378" s="1" t="str">
        <f t="shared" si="11"/>
        <v>(F2.0)</v>
      </c>
      <c r="F378" s="1" t="str">
        <f t="shared" si="10"/>
        <v>alter type vI5m09 (F2.0).</v>
      </c>
    </row>
    <row r="379" spans="1:6" x14ac:dyDescent="0.25">
      <c r="A379" s="1" t="s">
        <v>1421</v>
      </c>
      <c r="B379" s="1" t="s">
        <v>30</v>
      </c>
      <c r="C379" s="1">
        <v>2</v>
      </c>
      <c r="D379" s="1">
        <v>0</v>
      </c>
      <c r="E379" s="1" t="str">
        <f t="shared" si="11"/>
        <v>(F2.0)</v>
      </c>
      <c r="F379" s="1" t="str">
        <f t="shared" si="10"/>
        <v>alter type vI5m10 (F2.0).</v>
      </c>
    </row>
    <row r="380" spans="1:6" x14ac:dyDescent="0.25">
      <c r="A380" s="1" t="s">
        <v>1422</v>
      </c>
      <c r="B380" s="1" t="s">
        <v>30</v>
      </c>
      <c r="C380" s="1">
        <v>2</v>
      </c>
      <c r="D380" s="1">
        <v>0</v>
      </c>
      <c r="E380" s="1" t="str">
        <f t="shared" si="11"/>
        <v>(F2.0)</v>
      </c>
      <c r="F380" s="1" t="str">
        <f t="shared" si="10"/>
        <v>alter type vI5m11 (F2.0).</v>
      </c>
    </row>
    <row r="381" spans="1:6" x14ac:dyDescent="0.25">
      <c r="A381" s="1" t="s">
        <v>1423</v>
      </c>
      <c r="B381" s="1" t="s">
        <v>30</v>
      </c>
      <c r="C381" s="1">
        <v>2</v>
      </c>
      <c r="D381" s="1">
        <v>0</v>
      </c>
      <c r="E381" s="1" t="str">
        <f t="shared" si="11"/>
        <v>(F2.0)</v>
      </c>
      <c r="F381" s="1" t="str">
        <f t="shared" si="10"/>
        <v>alter type vI5m12 (F2.0).</v>
      </c>
    </row>
    <row r="382" spans="1:6" x14ac:dyDescent="0.25">
      <c r="A382" s="1" t="s">
        <v>1424</v>
      </c>
      <c r="B382" s="1" t="s">
        <v>30</v>
      </c>
      <c r="C382" s="1">
        <v>2</v>
      </c>
      <c r="D382" s="1">
        <v>0</v>
      </c>
      <c r="E382" s="1" t="str">
        <f t="shared" si="11"/>
        <v>(F2.0)</v>
      </c>
      <c r="F382" s="1" t="str">
        <f t="shared" si="10"/>
        <v>alter type vI5m13 (F2.0).</v>
      </c>
    </row>
    <row r="383" spans="1:6" x14ac:dyDescent="0.25">
      <c r="A383" s="1" t="s">
        <v>1425</v>
      </c>
      <c r="B383" s="1" t="s">
        <v>30</v>
      </c>
      <c r="C383" s="1">
        <v>2</v>
      </c>
      <c r="D383" s="1">
        <v>0</v>
      </c>
      <c r="E383" s="1" t="str">
        <f t="shared" si="11"/>
        <v>(F2.0)</v>
      </c>
      <c r="F383" s="1" t="str">
        <f t="shared" si="10"/>
        <v>alter type vI5m88 (F2.0).</v>
      </c>
    </row>
    <row r="384" spans="1:6" x14ac:dyDescent="0.25">
      <c r="A384" s="1" t="s">
        <v>1426</v>
      </c>
      <c r="B384" s="1" t="s">
        <v>27</v>
      </c>
      <c r="C384" s="1">
        <v>150</v>
      </c>
      <c r="D384" s="1">
        <v>0</v>
      </c>
      <c r="E384" s="1" t="str">
        <f t="shared" si="11"/>
        <v>(A150)</v>
      </c>
      <c r="F384" s="1" t="str">
        <f t="shared" si="10"/>
        <v>alter type vI5o88 (A150).</v>
      </c>
    </row>
    <row r="385" spans="1:6" x14ac:dyDescent="0.25">
      <c r="A385" s="1" t="s">
        <v>1427</v>
      </c>
      <c r="B385" s="1" t="s">
        <v>30</v>
      </c>
      <c r="C385" s="1">
        <v>2</v>
      </c>
      <c r="D385" s="1">
        <v>0</v>
      </c>
      <c r="E385" s="1" t="str">
        <f t="shared" si="11"/>
        <v>(F2.0)</v>
      </c>
      <c r="F385" s="1" t="str">
        <f t="shared" si="10"/>
        <v>alter type vI6 (F2.0).</v>
      </c>
    </row>
    <row r="386" spans="1:6" x14ac:dyDescent="0.25">
      <c r="A386" s="1" t="s">
        <v>1429</v>
      </c>
      <c r="B386" s="1" t="s">
        <v>27</v>
      </c>
      <c r="C386" s="1">
        <v>150</v>
      </c>
      <c r="D386" s="1">
        <v>0</v>
      </c>
      <c r="E386" s="1" t="str">
        <f t="shared" si="11"/>
        <v>(A150)</v>
      </c>
      <c r="F386" s="1" t="str">
        <f t="shared" ref="F386:F449" si="12">"alter type "&amp;A386&amp;" "&amp;E386&amp;"."</f>
        <v>alter type vI6o01 (A150).</v>
      </c>
    </row>
    <row r="387" spans="1:6" x14ac:dyDescent="0.25">
      <c r="A387" s="1" t="s">
        <v>1431</v>
      </c>
      <c r="B387" s="1" t="s">
        <v>30</v>
      </c>
      <c r="C387" s="1">
        <v>2</v>
      </c>
      <c r="D387" s="1">
        <v>0</v>
      </c>
      <c r="E387" s="1" t="str">
        <f t="shared" ref="E387:E450" si="13">IF(B387="數值","(F"&amp;C387&amp;"."&amp;D387&amp;")","(A"&amp;C387&amp;")")</f>
        <v>(F2.0)</v>
      </c>
      <c r="F387" s="1" t="str">
        <f t="shared" si="12"/>
        <v>alter type vI7 (F2.0).</v>
      </c>
    </row>
    <row r="388" spans="1:6" x14ac:dyDescent="0.25">
      <c r="A388" s="1" t="s">
        <v>1433</v>
      </c>
      <c r="B388" s="1" t="s">
        <v>27</v>
      </c>
      <c r="C388" s="1">
        <v>150</v>
      </c>
      <c r="D388" s="1">
        <v>0</v>
      </c>
      <c r="E388" s="1" t="str">
        <f t="shared" si="13"/>
        <v>(A150)</v>
      </c>
      <c r="F388" s="1" t="str">
        <f t="shared" si="12"/>
        <v>alter type vI7o02 (A150).</v>
      </c>
    </row>
    <row r="389" spans="1:6" x14ac:dyDescent="0.25">
      <c r="A389" s="1" t="s">
        <v>1435</v>
      </c>
      <c r="B389" s="1" t="s">
        <v>30</v>
      </c>
      <c r="C389" s="1">
        <v>2</v>
      </c>
      <c r="D389" s="1">
        <v>0</v>
      </c>
      <c r="E389" s="1" t="str">
        <f t="shared" si="13"/>
        <v>(F2.0)</v>
      </c>
      <c r="F389" s="1" t="str">
        <f t="shared" si="12"/>
        <v>alter type vI8 (F2.0).</v>
      </c>
    </row>
    <row r="390" spans="1:6" x14ac:dyDescent="0.25">
      <c r="A390" s="1" t="s">
        <v>1437</v>
      </c>
      <c r="B390" s="1" t="s">
        <v>27</v>
      </c>
      <c r="C390" s="1">
        <v>150</v>
      </c>
      <c r="D390" s="1">
        <v>0</v>
      </c>
      <c r="E390" s="1" t="str">
        <f t="shared" si="13"/>
        <v>(A150)</v>
      </c>
      <c r="F390" s="1" t="str">
        <f t="shared" si="12"/>
        <v>alter type vI8o03 (A150).</v>
      </c>
    </row>
    <row r="391" spans="1:6" x14ac:dyDescent="0.25">
      <c r="A391" s="1" t="s">
        <v>1439</v>
      </c>
      <c r="B391" s="1" t="s">
        <v>30</v>
      </c>
      <c r="C391" s="1">
        <v>2</v>
      </c>
      <c r="D391" s="1">
        <v>0</v>
      </c>
      <c r="E391" s="1" t="str">
        <f t="shared" si="13"/>
        <v>(F2.0)</v>
      </c>
      <c r="F391" s="1" t="str">
        <f t="shared" si="12"/>
        <v>alter type vI9 (F2.0).</v>
      </c>
    </row>
    <row r="392" spans="1:6" x14ac:dyDescent="0.25">
      <c r="A392" s="1" t="s">
        <v>1441</v>
      </c>
      <c r="B392" s="1" t="s">
        <v>27</v>
      </c>
      <c r="C392" s="1">
        <v>150</v>
      </c>
      <c r="D392" s="1">
        <v>0</v>
      </c>
      <c r="E392" s="1" t="str">
        <f t="shared" si="13"/>
        <v>(A150)</v>
      </c>
      <c r="F392" s="1" t="str">
        <f t="shared" si="12"/>
        <v>alter type vI9o88 (A150).</v>
      </c>
    </row>
    <row r="393" spans="1:6" x14ac:dyDescent="0.25">
      <c r="A393" s="1" t="s">
        <v>1442</v>
      </c>
      <c r="B393" s="1" t="s">
        <v>30</v>
      </c>
      <c r="C393" s="1">
        <v>2</v>
      </c>
      <c r="D393" s="1">
        <v>0</v>
      </c>
      <c r="E393" s="1" t="str">
        <f t="shared" si="13"/>
        <v>(F2.0)</v>
      </c>
      <c r="F393" s="1" t="str">
        <f t="shared" si="12"/>
        <v>alter type vI10_1 (F2.0).</v>
      </c>
    </row>
    <row r="394" spans="1:6" x14ac:dyDescent="0.25">
      <c r="A394" s="1" t="s">
        <v>1444</v>
      </c>
      <c r="B394" s="1" t="s">
        <v>27</v>
      </c>
      <c r="C394" s="1">
        <v>150</v>
      </c>
      <c r="D394" s="1">
        <v>0</v>
      </c>
      <c r="E394" s="1" t="str">
        <f t="shared" si="13"/>
        <v>(A150)</v>
      </c>
      <c r="F394" s="1" t="str">
        <f t="shared" si="12"/>
        <v>alter type vI10_1o88 (A150).</v>
      </c>
    </row>
    <row r="395" spans="1:6" x14ac:dyDescent="0.25">
      <c r="A395" s="1" t="s">
        <v>1446</v>
      </c>
      <c r="B395" s="1" t="s">
        <v>30</v>
      </c>
      <c r="C395" s="1">
        <v>2</v>
      </c>
      <c r="D395" s="1">
        <v>0</v>
      </c>
      <c r="E395" s="1" t="str">
        <f t="shared" si="13"/>
        <v>(F2.0)</v>
      </c>
      <c r="F395" s="1" t="str">
        <f t="shared" si="12"/>
        <v>alter type vI10_2 (F2.0).</v>
      </c>
    </row>
    <row r="396" spans="1:6" x14ac:dyDescent="0.25">
      <c r="A396" s="1" t="s">
        <v>1448</v>
      </c>
      <c r="B396" s="1" t="s">
        <v>27</v>
      </c>
      <c r="C396" s="1">
        <v>150</v>
      </c>
      <c r="D396" s="1">
        <v>0</v>
      </c>
      <c r="E396" s="1" t="str">
        <f t="shared" si="13"/>
        <v>(A150)</v>
      </c>
      <c r="F396" s="1" t="str">
        <f t="shared" si="12"/>
        <v>alter type vI10_2o88 (A150).</v>
      </c>
    </row>
    <row r="397" spans="1:6" x14ac:dyDescent="0.25">
      <c r="A397" s="1" t="s">
        <v>1450</v>
      </c>
      <c r="B397" s="1" t="s">
        <v>30</v>
      </c>
      <c r="C397" s="1">
        <v>2</v>
      </c>
      <c r="D397" s="1">
        <v>0</v>
      </c>
      <c r="E397" s="1" t="str">
        <f t="shared" si="13"/>
        <v>(F2.0)</v>
      </c>
      <c r="F397" s="1" t="str">
        <f t="shared" si="12"/>
        <v>alter type vI11m01 (F2.0).</v>
      </c>
    </row>
    <row r="398" spans="1:6" x14ac:dyDescent="0.25">
      <c r="A398" s="1" t="s">
        <v>1452</v>
      </c>
      <c r="B398" s="1" t="s">
        <v>30</v>
      </c>
      <c r="C398" s="1">
        <v>2</v>
      </c>
      <c r="D398" s="1">
        <v>0</v>
      </c>
      <c r="E398" s="1" t="str">
        <f t="shared" si="13"/>
        <v>(F2.0)</v>
      </c>
      <c r="F398" s="1" t="str">
        <f t="shared" si="12"/>
        <v>alter type vI11m02 (F2.0).</v>
      </c>
    </row>
    <row r="399" spans="1:6" x14ac:dyDescent="0.25">
      <c r="A399" s="1" t="s">
        <v>1454</v>
      </c>
      <c r="B399" s="1" t="s">
        <v>30</v>
      </c>
      <c r="C399" s="1">
        <v>2</v>
      </c>
      <c r="D399" s="1">
        <v>0</v>
      </c>
      <c r="E399" s="1" t="str">
        <f t="shared" si="13"/>
        <v>(F2.0)</v>
      </c>
      <c r="F399" s="1" t="str">
        <f t="shared" si="12"/>
        <v>alter type vI11m03 (F2.0).</v>
      </c>
    </row>
    <row r="400" spans="1:6" x14ac:dyDescent="0.25">
      <c r="A400" s="1" t="s">
        <v>1456</v>
      </c>
      <c r="B400" s="1" t="s">
        <v>30</v>
      </c>
      <c r="C400" s="1">
        <v>2</v>
      </c>
      <c r="D400" s="1">
        <v>0</v>
      </c>
      <c r="E400" s="1" t="str">
        <f t="shared" si="13"/>
        <v>(F2.0)</v>
      </c>
      <c r="F400" s="1" t="str">
        <f t="shared" si="12"/>
        <v>alter type vI11m04 (F2.0).</v>
      </c>
    </row>
    <row r="401" spans="1:6" x14ac:dyDescent="0.25">
      <c r="A401" s="1" t="s">
        <v>1458</v>
      </c>
      <c r="B401" s="1" t="s">
        <v>30</v>
      </c>
      <c r="C401" s="1">
        <v>2</v>
      </c>
      <c r="D401" s="1">
        <v>0</v>
      </c>
      <c r="E401" s="1" t="str">
        <f t="shared" si="13"/>
        <v>(F2.0)</v>
      </c>
      <c r="F401" s="1" t="str">
        <f t="shared" si="12"/>
        <v>alter type vI11m05 (F2.0).</v>
      </c>
    </row>
    <row r="402" spans="1:6" x14ac:dyDescent="0.25">
      <c r="A402" s="1" t="s">
        <v>1460</v>
      </c>
      <c r="B402" s="1" t="s">
        <v>30</v>
      </c>
      <c r="C402" s="1">
        <v>2</v>
      </c>
      <c r="D402" s="1">
        <v>0</v>
      </c>
      <c r="E402" s="1" t="str">
        <f t="shared" si="13"/>
        <v>(F2.0)</v>
      </c>
      <c r="F402" s="1" t="str">
        <f t="shared" si="12"/>
        <v>alter type vI11m06 (F2.0).</v>
      </c>
    </row>
    <row r="403" spans="1:6" x14ac:dyDescent="0.25">
      <c r="A403" s="1" t="s">
        <v>1462</v>
      </c>
      <c r="B403" s="1" t="s">
        <v>30</v>
      </c>
      <c r="C403" s="1">
        <v>2</v>
      </c>
      <c r="D403" s="1">
        <v>0</v>
      </c>
      <c r="E403" s="1" t="str">
        <f t="shared" si="13"/>
        <v>(F2.0)</v>
      </c>
      <c r="F403" s="1" t="str">
        <f t="shared" si="12"/>
        <v>alter type vI11m07 (F2.0).</v>
      </c>
    </row>
    <row r="404" spans="1:6" x14ac:dyDescent="0.25">
      <c r="A404" s="1" t="s">
        <v>1464</v>
      </c>
      <c r="B404" s="1" t="s">
        <v>30</v>
      </c>
      <c r="C404" s="1">
        <v>2</v>
      </c>
      <c r="D404" s="1">
        <v>0</v>
      </c>
      <c r="E404" s="1" t="str">
        <f t="shared" si="13"/>
        <v>(F2.0)</v>
      </c>
      <c r="F404" s="1" t="str">
        <f t="shared" si="12"/>
        <v>alter type vI11m08 (F2.0).</v>
      </c>
    </row>
    <row r="405" spans="1:6" x14ac:dyDescent="0.25">
      <c r="A405" s="1" t="s">
        <v>1466</v>
      </c>
      <c r="B405" s="1" t="s">
        <v>30</v>
      </c>
      <c r="C405" s="1">
        <v>2</v>
      </c>
      <c r="D405" s="1">
        <v>0</v>
      </c>
      <c r="E405" s="1" t="str">
        <f t="shared" si="13"/>
        <v>(F2.0)</v>
      </c>
      <c r="F405" s="1" t="str">
        <f t="shared" si="12"/>
        <v>alter type vI11m09 (F2.0).</v>
      </c>
    </row>
    <row r="406" spans="1:6" x14ac:dyDescent="0.25">
      <c r="A406" s="1" t="s">
        <v>1468</v>
      </c>
      <c r="B406" s="1" t="s">
        <v>30</v>
      </c>
      <c r="C406" s="1">
        <v>2</v>
      </c>
      <c r="D406" s="1">
        <v>0</v>
      </c>
      <c r="E406" s="1" t="str">
        <f t="shared" si="13"/>
        <v>(F2.0)</v>
      </c>
      <c r="F406" s="1" t="str">
        <f t="shared" si="12"/>
        <v>alter type vI11m10 (F2.0).</v>
      </c>
    </row>
    <row r="407" spans="1:6" x14ac:dyDescent="0.25">
      <c r="A407" s="1" t="s">
        <v>1470</v>
      </c>
      <c r="B407" s="1" t="s">
        <v>30</v>
      </c>
      <c r="C407" s="1">
        <v>2</v>
      </c>
      <c r="D407" s="1">
        <v>0</v>
      </c>
      <c r="E407" s="1" t="str">
        <f t="shared" si="13"/>
        <v>(F2.0)</v>
      </c>
      <c r="F407" s="1" t="str">
        <f t="shared" si="12"/>
        <v>alter type vI11m11 (F2.0).</v>
      </c>
    </row>
    <row r="408" spans="1:6" x14ac:dyDescent="0.25">
      <c r="A408" s="1" t="s">
        <v>1472</v>
      </c>
      <c r="B408" s="1" t="s">
        <v>30</v>
      </c>
      <c r="C408" s="1">
        <v>2</v>
      </c>
      <c r="D408" s="1">
        <v>0</v>
      </c>
      <c r="E408" s="1" t="str">
        <f t="shared" si="13"/>
        <v>(F2.0)</v>
      </c>
      <c r="F408" s="1" t="str">
        <f t="shared" si="12"/>
        <v>alter type vI11m12 (F2.0).</v>
      </c>
    </row>
    <row r="409" spans="1:6" x14ac:dyDescent="0.25">
      <c r="A409" s="1" t="s">
        <v>1474</v>
      </c>
      <c r="B409" s="1" t="s">
        <v>30</v>
      </c>
      <c r="C409" s="1">
        <v>2</v>
      </c>
      <c r="D409" s="1">
        <v>0</v>
      </c>
      <c r="E409" s="1" t="str">
        <f t="shared" si="13"/>
        <v>(F2.0)</v>
      </c>
      <c r="F409" s="1" t="str">
        <f t="shared" si="12"/>
        <v>alter type vI11m13 (F2.0).</v>
      </c>
    </row>
    <row r="410" spans="1:6" x14ac:dyDescent="0.25">
      <c r="A410" s="1" t="s">
        <v>1476</v>
      </c>
      <c r="B410" s="1" t="s">
        <v>30</v>
      </c>
      <c r="C410" s="1">
        <v>2</v>
      </c>
      <c r="D410" s="1">
        <v>0</v>
      </c>
      <c r="E410" s="1" t="str">
        <f t="shared" si="13"/>
        <v>(F2.0)</v>
      </c>
      <c r="F410" s="1" t="str">
        <f t="shared" si="12"/>
        <v>alter type vI11m14 (F2.0).</v>
      </c>
    </row>
    <row r="411" spans="1:6" x14ac:dyDescent="0.25">
      <c r="A411" s="1" t="s">
        <v>1478</v>
      </c>
      <c r="B411" s="1" t="s">
        <v>30</v>
      </c>
      <c r="C411" s="1">
        <v>2</v>
      </c>
      <c r="D411" s="1">
        <v>0</v>
      </c>
      <c r="E411" s="1" t="str">
        <f t="shared" si="13"/>
        <v>(F2.0)</v>
      </c>
      <c r="F411" s="1" t="str">
        <f t="shared" si="12"/>
        <v>alter type vI11m15 (F2.0).</v>
      </c>
    </row>
    <row r="412" spans="1:6" x14ac:dyDescent="0.25">
      <c r="A412" s="1" t="s">
        <v>1480</v>
      </c>
      <c r="B412" s="1" t="s">
        <v>30</v>
      </c>
      <c r="C412" s="1">
        <v>2</v>
      </c>
      <c r="D412" s="1">
        <v>0</v>
      </c>
      <c r="E412" s="1" t="str">
        <f t="shared" si="13"/>
        <v>(F2.0)</v>
      </c>
      <c r="F412" s="1" t="str">
        <f t="shared" si="12"/>
        <v>alter type vI11m16 (F2.0).</v>
      </c>
    </row>
    <row r="413" spans="1:6" x14ac:dyDescent="0.25">
      <c r="A413" s="1" t="s">
        <v>1482</v>
      </c>
      <c r="B413" s="1" t="s">
        <v>30</v>
      </c>
      <c r="C413" s="1">
        <v>2</v>
      </c>
      <c r="D413" s="1">
        <v>0</v>
      </c>
      <c r="E413" s="1" t="str">
        <f t="shared" si="13"/>
        <v>(F2.0)</v>
      </c>
      <c r="F413" s="1" t="str">
        <f t="shared" si="12"/>
        <v>alter type vI11m88 (F2.0).</v>
      </c>
    </row>
    <row r="414" spans="1:6" x14ac:dyDescent="0.25">
      <c r="A414" s="1" t="s">
        <v>1484</v>
      </c>
      <c r="B414" s="1" t="s">
        <v>27</v>
      </c>
      <c r="C414" s="1">
        <v>150</v>
      </c>
      <c r="D414" s="1">
        <v>0</v>
      </c>
      <c r="E414" s="1" t="str">
        <f t="shared" si="13"/>
        <v>(A150)</v>
      </c>
      <c r="F414" s="1" t="str">
        <f t="shared" si="12"/>
        <v>alter type vI11o88 (A150).</v>
      </c>
    </row>
    <row r="415" spans="1:6" x14ac:dyDescent="0.25">
      <c r="A415" s="1" t="s">
        <v>1485</v>
      </c>
      <c r="B415" s="1" t="s">
        <v>30</v>
      </c>
      <c r="C415" s="1">
        <v>2</v>
      </c>
      <c r="D415" s="1">
        <v>0</v>
      </c>
      <c r="E415" s="1" t="str">
        <f t="shared" si="13"/>
        <v>(F2.0)</v>
      </c>
      <c r="F415" s="1" t="str">
        <f t="shared" si="12"/>
        <v>alter type vI12s01 (F2.0).</v>
      </c>
    </row>
    <row r="416" spans="1:6" x14ac:dyDescent="0.25">
      <c r="A416" s="1" t="s">
        <v>1487</v>
      </c>
      <c r="B416" s="1" t="s">
        <v>30</v>
      </c>
      <c r="C416" s="1">
        <v>2</v>
      </c>
      <c r="D416" s="1">
        <v>0</v>
      </c>
      <c r="E416" s="1" t="str">
        <f t="shared" si="13"/>
        <v>(F2.0)</v>
      </c>
      <c r="F416" s="1" t="str">
        <f t="shared" si="12"/>
        <v>alter type vI12s02 (F2.0).</v>
      </c>
    </row>
    <row r="417" spans="1:6" x14ac:dyDescent="0.25">
      <c r="A417" s="1" t="s">
        <v>1489</v>
      </c>
      <c r="B417" s="1" t="s">
        <v>30</v>
      </c>
      <c r="C417" s="1">
        <v>2</v>
      </c>
      <c r="D417" s="1">
        <v>0</v>
      </c>
      <c r="E417" s="1" t="str">
        <f t="shared" si="13"/>
        <v>(F2.0)</v>
      </c>
      <c r="F417" s="1" t="str">
        <f t="shared" si="12"/>
        <v>alter type vI12s03 (F2.0).</v>
      </c>
    </row>
    <row r="418" spans="1:6" x14ac:dyDescent="0.25">
      <c r="A418" s="1" t="s">
        <v>1491</v>
      </c>
      <c r="B418" s="1" t="s">
        <v>30</v>
      </c>
      <c r="C418" s="1">
        <v>2</v>
      </c>
      <c r="D418" s="1">
        <v>0</v>
      </c>
      <c r="E418" s="1" t="str">
        <f t="shared" si="13"/>
        <v>(F2.0)</v>
      </c>
      <c r="F418" s="1" t="str">
        <f t="shared" si="12"/>
        <v>alter type vI12s04 (F2.0).</v>
      </c>
    </row>
    <row r="419" spans="1:6" x14ac:dyDescent="0.25">
      <c r="A419" s="1" t="s">
        <v>87</v>
      </c>
      <c r="B419" s="1" t="s">
        <v>30</v>
      </c>
      <c r="C419" s="1">
        <v>2</v>
      </c>
      <c r="D419" s="1">
        <v>0</v>
      </c>
      <c r="E419" s="1" t="str">
        <f t="shared" si="13"/>
        <v>(F2.0)</v>
      </c>
      <c r="F419" s="1" t="str">
        <f t="shared" si="12"/>
        <v>alter type vK1m01 (F2.0).</v>
      </c>
    </row>
    <row r="420" spans="1:6" x14ac:dyDescent="0.25">
      <c r="A420" s="1" t="s">
        <v>88</v>
      </c>
      <c r="B420" s="1" t="s">
        <v>30</v>
      </c>
      <c r="C420" s="1">
        <v>2</v>
      </c>
      <c r="D420" s="1">
        <v>0</v>
      </c>
      <c r="E420" s="1" t="str">
        <f t="shared" si="13"/>
        <v>(F2.0)</v>
      </c>
      <c r="F420" s="1" t="str">
        <f t="shared" si="12"/>
        <v>alter type vK1m02 (F2.0).</v>
      </c>
    </row>
    <row r="421" spans="1:6" x14ac:dyDescent="0.25">
      <c r="A421" s="1" t="s">
        <v>89</v>
      </c>
      <c r="B421" s="1" t="s">
        <v>30</v>
      </c>
      <c r="C421" s="1">
        <v>2</v>
      </c>
      <c r="D421" s="1">
        <v>0</v>
      </c>
      <c r="E421" s="1" t="str">
        <f t="shared" si="13"/>
        <v>(F2.0)</v>
      </c>
      <c r="F421" s="1" t="str">
        <f t="shared" si="12"/>
        <v>alter type vK1m03 (F2.0).</v>
      </c>
    </row>
    <row r="422" spans="1:6" x14ac:dyDescent="0.25">
      <c r="A422" s="1" t="s">
        <v>90</v>
      </c>
      <c r="B422" s="1" t="s">
        <v>30</v>
      </c>
      <c r="C422" s="1">
        <v>2</v>
      </c>
      <c r="D422" s="1">
        <v>0</v>
      </c>
      <c r="E422" s="1" t="str">
        <f t="shared" si="13"/>
        <v>(F2.0)</v>
      </c>
      <c r="F422" s="1" t="str">
        <f t="shared" si="12"/>
        <v>alter type vK1m04 (F2.0).</v>
      </c>
    </row>
    <row r="423" spans="1:6" x14ac:dyDescent="0.25">
      <c r="A423" s="1" t="s">
        <v>91</v>
      </c>
      <c r="B423" s="1" t="s">
        <v>30</v>
      </c>
      <c r="C423" s="1">
        <v>2</v>
      </c>
      <c r="D423" s="1">
        <v>0</v>
      </c>
      <c r="E423" s="1" t="str">
        <f t="shared" si="13"/>
        <v>(F2.0)</v>
      </c>
      <c r="F423" s="1" t="str">
        <f t="shared" si="12"/>
        <v>alter type vK1m05 (F2.0).</v>
      </c>
    </row>
    <row r="424" spans="1:6" x14ac:dyDescent="0.25">
      <c r="A424" s="1" t="s">
        <v>92</v>
      </c>
      <c r="B424" s="1" t="s">
        <v>30</v>
      </c>
      <c r="C424" s="1">
        <v>2</v>
      </c>
      <c r="D424" s="1">
        <v>0</v>
      </c>
      <c r="E424" s="1" t="str">
        <f t="shared" si="13"/>
        <v>(F2.0)</v>
      </c>
      <c r="F424" s="1" t="str">
        <f t="shared" si="12"/>
        <v>alter type vK1m06 (F2.0).</v>
      </c>
    </row>
    <row r="425" spans="1:6" x14ac:dyDescent="0.25">
      <c r="A425" s="1" t="s">
        <v>93</v>
      </c>
      <c r="B425" s="1" t="s">
        <v>30</v>
      </c>
      <c r="C425" s="1">
        <v>2</v>
      </c>
      <c r="D425" s="1">
        <v>0</v>
      </c>
      <c r="E425" s="1" t="str">
        <f t="shared" si="13"/>
        <v>(F2.0)</v>
      </c>
      <c r="F425" s="1" t="str">
        <f t="shared" si="12"/>
        <v>alter type vK1m07 (F2.0).</v>
      </c>
    </row>
    <row r="426" spans="1:6" x14ac:dyDescent="0.25">
      <c r="A426" s="1" t="s">
        <v>94</v>
      </c>
      <c r="B426" s="1" t="s">
        <v>30</v>
      </c>
      <c r="C426" s="1">
        <v>2</v>
      </c>
      <c r="D426" s="1">
        <v>0</v>
      </c>
      <c r="E426" s="1" t="str">
        <f t="shared" si="13"/>
        <v>(F2.0)</v>
      </c>
      <c r="F426" s="1" t="str">
        <f t="shared" si="12"/>
        <v>alter type vK1m08 (F2.0).</v>
      </c>
    </row>
    <row r="427" spans="1:6" x14ac:dyDescent="0.25">
      <c r="A427" s="1" t="s">
        <v>95</v>
      </c>
      <c r="B427" s="1" t="s">
        <v>30</v>
      </c>
      <c r="C427" s="1">
        <v>2</v>
      </c>
      <c r="D427" s="1">
        <v>0</v>
      </c>
      <c r="E427" s="1" t="str">
        <f t="shared" si="13"/>
        <v>(F2.0)</v>
      </c>
      <c r="F427" s="1" t="str">
        <f t="shared" si="12"/>
        <v>alter type vK1m09 (F2.0).</v>
      </c>
    </row>
    <row r="428" spans="1:6" x14ac:dyDescent="0.25">
      <c r="A428" s="1" t="s">
        <v>96</v>
      </c>
      <c r="B428" s="1" t="s">
        <v>30</v>
      </c>
      <c r="C428" s="1">
        <v>2</v>
      </c>
      <c r="D428" s="1">
        <v>0</v>
      </c>
      <c r="E428" s="1" t="str">
        <f t="shared" si="13"/>
        <v>(F2.0)</v>
      </c>
      <c r="F428" s="1" t="str">
        <f t="shared" si="12"/>
        <v>alter type vK1m10 (F2.0).</v>
      </c>
    </row>
    <row r="429" spans="1:6" x14ac:dyDescent="0.25">
      <c r="A429" s="1" t="s">
        <v>100</v>
      </c>
      <c r="B429" s="1" t="s">
        <v>30</v>
      </c>
      <c r="C429" s="1">
        <v>2</v>
      </c>
      <c r="D429" s="1">
        <v>0</v>
      </c>
      <c r="E429" s="1" t="str">
        <f t="shared" si="13"/>
        <v>(F2.0)</v>
      </c>
      <c r="F429" s="1" t="str">
        <f t="shared" si="12"/>
        <v>alter type vK1m88 (F2.0).</v>
      </c>
    </row>
    <row r="430" spans="1:6" x14ac:dyDescent="0.25">
      <c r="A430" s="1" t="s">
        <v>101</v>
      </c>
      <c r="B430" s="1" t="s">
        <v>30</v>
      </c>
      <c r="C430" s="1">
        <v>2</v>
      </c>
      <c r="D430" s="1">
        <v>0</v>
      </c>
      <c r="E430" s="1" t="str">
        <f t="shared" si="13"/>
        <v>(F2.0)</v>
      </c>
      <c r="F430" s="1" t="str">
        <f t="shared" si="12"/>
        <v>alter type vK1m90 (F2.0).</v>
      </c>
    </row>
    <row r="431" spans="1:6" x14ac:dyDescent="0.25">
      <c r="A431" s="1" t="s">
        <v>102</v>
      </c>
      <c r="B431" s="1" t="s">
        <v>27</v>
      </c>
      <c r="C431" s="1">
        <v>150</v>
      </c>
      <c r="D431" s="1">
        <v>0</v>
      </c>
      <c r="E431" s="1" t="str">
        <f t="shared" si="13"/>
        <v>(A150)</v>
      </c>
      <c r="F431" s="1" t="str">
        <f t="shared" si="12"/>
        <v>alter type vK1o88 (A150).</v>
      </c>
    </row>
    <row r="432" spans="1:6" x14ac:dyDescent="0.25">
      <c r="A432" s="1" t="s">
        <v>1494</v>
      </c>
      <c r="B432" s="1" t="s">
        <v>30</v>
      </c>
      <c r="C432" s="1">
        <v>2</v>
      </c>
      <c r="D432" s="1">
        <v>0</v>
      </c>
      <c r="E432" s="1" t="str">
        <f t="shared" si="13"/>
        <v>(F2.0)</v>
      </c>
      <c r="F432" s="1" t="str">
        <f t="shared" si="12"/>
        <v>alter type vCKK1 (F2.0).</v>
      </c>
    </row>
    <row r="433" spans="1:6" x14ac:dyDescent="0.25">
      <c r="A433" s="1" t="s">
        <v>103</v>
      </c>
      <c r="B433" s="1" t="s">
        <v>30</v>
      </c>
      <c r="C433" s="1">
        <v>2</v>
      </c>
      <c r="D433" s="1">
        <v>0</v>
      </c>
      <c r="E433" s="1" t="str">
        <f t="shared" si="13"/>
        <v>(F2.0)</v>
      </c>
      <c r="F433" s="1" t="str">
        <f t="shared" si="12"/>
        <v>alter type vK2m01 (F2.0).</v>
      </c>
    </row>
    <row r="434" spans="1:6" x14ac:dyDescent="0.25">
      <c r="A434" s="1" t="s">
        <v>104</v>
      </c>
      <c r="B434" s="1" t="s">
        <v>30</v>
      </c>
      <c r="C434" s="1">
        <v>2</v>
      </c>
      <c r="D434" s="1">
        <v>0</v>
      </c>
      <c r="E434" s="1" t="str">
        <f t="shared" si="13"/>
        <v>(F2.0)</v>
      </c>
      <c r="F434" s="1" t="str">
        <f t="shared" si="12"/>
        <v>alter type vK2m02 (F2.0).</v>
      </c>
    </row>
    <row r="435" spans="1:6" x14ac:dyDescent="0.25">
      <c r="A435" s="1" t="s">
        <v>105</v>
      </c>
      <c r="B435" s="1" t="s">
        <v>30</v>
      </c>
      <c r="C435" s="1">
        <v>2</v>
      </c>
      <c r="D435" s="1">
        <v>0</v>
      </c>
      <c r="E435" s="1" t="str">
        <f t="shared" si="13"/>
        <v>(F2.0)</v>
      </c>
      <c r="F435" s="1" t="str">
        <f t="shared" si="12"/>
        <v>alter type vK2m03 (F2.0).</v>
      </c>
    </row>
    <row r="436" spans="1:6" x14ac:dyDescent="0.25">
      <c r="A436" s="1" t="s">
        <v>106</v>
      </c>
      <c r="B436" s="1" t="s">
        <v>30</v>
      </c>
      <c r="C436" s="1">
        <v>2</v>
      </c>
      <c r="D436" s="1">
        <v>0</v>
      </c>
      <c r="E436" s="1" t="str">
        <f t="shared" si="13"/>
        <v>(F2.0)</v>
      </c>
      <c r="F436" s="1" t="str">
        <f t="shared" si="12"/>
        <v>alter type vK2m04 (F2.0).</v>
      </c>
    </row>
    <row r="437" spans="1:6" x14ac:dyDescent="0.25">
      <c r="A437" s="1" t="s">
        <v>107</v>
      </c>
      <c r="B437" s="1" t="s">
        <v>30</v>
      </c>
      <c r="C437" s="1">
        <v>2</v>
      </c>
      <c r="D437" s="1">
        <v>0</v>
      </c>
      <c r="E437" s="1" t="str">
        <f t="shared" si="13"/>
        <v>(F2.0)</v>
      </c>
      <c r="F437" s="1" t="str">
        <f t="shared" si="12"/>
        <v>alter type vK2m05 (F2.0).</v>
      </c>
    </row>
    <row r="438" spans="1:6" x14ac:dyDescent="0.25">
      <c r="A438" s="1" t="s">
        <v>108</v>
      </c>
      <c r="B438" s="1" t="s">
        <v>30</v>
      </c>
      <c r="C438" s="1">
        <v>2</v>
      </c>
      <c r="D438" s="1">
        <v>0</v>
      </c>
      <c r="E438" s="1" t="str">
        <f t="shared" si="13"/>
        <v>(F2.0)</v>
      </c>
      <c r="F438" s="1" t="str">
        <f t="shared" si="12"/>
        <v>alter type vK2m06 (F2.0).</v>
      </c>
    </row>
    <row r="439" spans="1:6" x14ac:dyDescent="0.25">
      <c r="A439" s="1" t="s">
        <v>109</v>
      </c>
      <c r="B439" s="1" t="s">
        <v>30</v>
      </c>
      <c r="C439" s="1">
        <v>2</v>
      </c>
      <c r="D439" s="1">
        <v>0</v>
      </c>
      <c r="E439" s="1" t="str">
        <f t="shared" si="13"/>
        <v>(F2.0)</v>
      </c>
      <c r="F439" s="1" t="str">
        <f t="shared" si="12"/>
        <v>alter type vK2m07 (F2.0).</v>
      </c>
    </row>
    <row r="440" spans="1:6" x14ac:dyDescent="0.25">
      <c r="A440" s="1" t="s">
        <v>110</v>
      </c>
      <c r="B440" s="1" t="s">
        <v>30</v>
      </c>
      <c r="C440" s="1">
        <v>2</v>
      </c>
      <c r="D440" s="1">
        <v>0</v>
      </c>
      <c r="E440" s="1" t="str">
        <f t="shared" si="13"/>
        <v>(F2.0)</v>
      </c>
      <c r="F440" s="1" t="str">
        <f t="shared" si="12"/>
        <v>alter type vK2m08 (F2.0).</v>
      </c>
    </row>
    <row r="441" spans="1:6" x14ac:dyDescent="0.25">
      <c r="A441" s="1" t="s">
        <v>111</v>
      </c>
      <c r="B441" s="1" t="s">
        <v>30</v>
      </c>
      <c r="C441" s="1">
        <v>2</v>
      </c>
      <c r="D441" s="1">
        <v>0</v>
      </c>
      <c r="E441" s="1" t="str">
        <f t="shared" si="13"/>
        <v>(F2.0)</v>
      </c>
      <c r="F441" s="1" t="str">
        <f t="shared" si="12"/>
        <v>alter type vK2m09 (F2.0).</v>
      </c>
    </row>
    <row r="442" spans="1:6" x14ac:dyDescent="0.25">
      <c r="A442" s="1" t="s">
        <v>1497</v>
      </c>
      <c r="B442" s="1" t="s">
        <v>30</v>
      </c>
      <c r="C442" s="1">
        <v>2</v>
      </c>
      <c r="D442" s="1">
        <v>0</v>
      </c>
      <c r="E442" s="1" t="str">
        <f t="shared" si="13"/>
        <v>(F2.0)</v>
      </c>
      <c r="F442" s="1" t="str">
        <f t="shared" si="12"/>
        <v>alter type vK2m10 (F2.0).</v>
      </c>
    </row>
    <row r="443" spans="1:6" x14ac:dyDescent="0.25">
      <c r="A443" s="1" t="s">
        <v>112</v>
      </c>
      <c r="B443" s="1" t="s">
        <v>30</v>
      </c>
      <c r="C443" s="1">
        <v>2</v>
      </c>
      <c r="D443" s="1">
        <v>0</v>
      </c>
      <c r="E443" s="1" t="str">
        <f t="shared" si="13"/>
        <v>(F2.0)</v>
      </c>
      <c r="F443" s="1" t="str">
        <f t="shared" si="12"/>
        <v>alter type vK2m11 (F2.0).</v>
      </c>
    </row>
    <row r="444" spans="1:6" x14ac:dyDescent="0.25">
      <c r="A444" s="1" t="s">
        <v>113</v>
      </c>
      <c r="B444" s="1" t="s">
        <v>30</v>
      </c>
      <c r="C444" s="1">
        <v>2</v>
      </c>
      <c r="D444" s="1">
        <v>0</v>
      </c>
      <c r="E444" s="1" t="str">
        <f t="shared" si="13"/>
        <v>(F2.0)</v>
      </c>
      <c r="F444" s="1" t="str">
        <f t="shared" si="12"/>
        <v>alter type vK2m12 (F2.0).</v>
      </c>
    </row>
    <row r="445" spans="1:6" x14ac:dyDescent="0.25">
      <c r="A445" s="1" t="s">
        <v>115</v>
      </c>
      <c r="B445" s="1" t="s">
        <v>30</v>
      </c>
      <c r="C445" s="1">
        <v>2</v>
      </c>
      <c r="D445" s="1">
        <v>0</v>
      </c>
      <c r="E445" s="1" t="str">
        <f t="shared" si="13"/>
        <v>(F2.0)</v>
      </c>
      <c r="F445" s="1" t="str">
        <f t="shared" si="12"/>
        <v>alter type vK2m88 (F2.0).</v>
      </c>
    </row>
    <row r="446" spans="1:6" x14ac:dyDescent="0.25">
      <c r="A446" s="1" t="s">
        <v>116</v>
      </c>
      <c r="B446" s="1" t="s">
        <v>30</v>
      </c>
      <c r="C446" s="1">
        <v>2</v>
      </c>
      <c r="D446" s="1">
        <v>0</v>
      </c>
      <c r="E446" s="1" t="str">
        <f t="shared" si="13"/>
        <v>(F2.0)</v>
      </c>
      <c r="F446" s="1" t="str">
        <f t="shared" si="12"/>
        <v>alter type vK2m90 (F2.0).</v>
      </c>
    </row>
    <row r="447" spans="1:6" x14ac:dyDescent="0.25">
      <c r="A447" s="1" t="s">
        <v>117</v>
      </c>
      <c r="B447" s="1" t="s">
        <v>27</v>
      </c>
      <c r="C447" s="1">
        <v>150</v>
      </c>
      <c r="D447" s="1">
        <v>0</v>
      </c>
      <c r="E447" s="1" t="str">
        <f t="shared" si="13"/>
        <v>(A150)</v>
      </c>
      <c r="F447" s="1" t="str">
        <f t="shared" si="12"/>
        <v>alter type vK2o88 (A150).</v>
      </c>
    </row>
    <row r="448" spans="1:6" x14ac:dyDescent="0.25">
      <c r="A448" s="1" t="s">
        <v>1498</v>
      </c>
      <c r="B448" s="1" t="s">
        <v>30</v>
      </c>
      <c r="C448" s="1">
        <v>14</v>
      </c>
      <c r="D448" s="1">
        <v>0</v>
      </c>
      <c r="E448" s="1" t="str">
        <f t="shared" si="13"/>
        <v>(F14.0)</v>
      </c>
      <c r="F448" s="1" t="str">
        <f t="shared" si="12"/>
        <v>alter type vCKFB1 (F14.0).</v>
      </c>
    </row>
    <row r="449" spans="1:6" x14ac:dyDescent="0.25">
      <c r="A449" s="1" t="s">
        <v>1500</v>
      </c>
      <c r="B449" s="1" t="s">
        <v>30</v>
      </c>
      <c r="C449" s="1">
        <v>14</v>
      </c>
      <c r="D449" s="1">
        <v>0</v>
      </c>
      <c r="E449" s="1" t="str">
        <f t="shared" si="13"/>
        <v>(F14.0)</v>
      </c>
      <c r="F449" s="1" t="str">
        <f t="shared" si="12"/>
        <v>alter type vCKFB2 (F14.0).</v>
      </c>
    </row>
    <row r="450" spans="1:6" x14ac:dyDescent="0.25">
      <c r="A450" s="1" t="s">
        <v>1502</v>
      </c>
      <c r="B450" s="1" t="s">
        <v>30</v>
      </c>
      <c r="C450" s="1">
        <v>14</v>
      </c>
      <c r="D450" s="1">
        <v>0</v>
      </c>
      <c r="E450" s="1" t="str">
        <f t="shared" si="13"/>
        <v>(F14.0)</v>
      </c>
      <c r="F450" s="1" t="str">
        <f t="shared" ref="F450:F513" si="14">"alter type "&amp;A450&amp;" "&amp;E450&amp;"."</f>
        <v>alter type vCKFB3 (F14.0).</v>
      </c>
    </row>
    <row r="451" spans="1:6" x14ac:dyDescent="0.25">
      <c r="A451" s="1" t="s">
        <v>1504</v>
      </c>
      <c r="B451" s="1" t="s">
        <v>30</v>
      </c>
      <c r="C451" s="1">
        <v>14</v>
      </c>
      <c r="D451" s="1">
        <v>0</v>
      </c>
      <c r="E451" s="1" t="str">
        <f t="shared" ref="E451:E514" si="15">IF(B451="數值","(F"&amp;C451&amp;"."&amp;D451&amp;")","(A"&amp;C451&amp;")")</f>
        <v>(F14.0)</v>
      </c>
      <c r="F451" s="1" t="str">
        <f t="shared" si="14"/>
        <v>alter type vCKIG1 (F14.0).</v>
      </c>
    </row>
    <row r="452" spans="1:6" x14ac:dyDescent="0.25">
      <c r="A452" s="1" t="s">
        <v>1506</v>
      </c>
      <c r="B452" s="1" t="s">
        <v>30</v>
      </c>
      <c r="C452" s="1">
        <v>14</v>
      </c>
      <c r="D452" s="1">
        <v>0</v>
      </c>
      <c r="E452" s="1" t="str">
        <f t="shared" si="15"/>
        <v>(F14.0)</v>
      </c>
      <c r="F452" s="1" t="str">
        <f t="shared" si="14"/>
        <v>alter type vCKIG2 (F14.0).</v>
      </c>
    </row>
    <row r="453" spans="1:6" x14ac:dyDescent="0.25">
      <c r="A453" s="1" t="s">
        <v>252</v>
      </c>
      <c r="B453" s="1" t="s">
        <v>30</v>
      </c>
      <c r="C453" s="1">
        <v>2</v>
      </c>
      <c r="D453" s="1">
        <v>0</v>
      </c>
      <c r="E453" s="1" t="str">
        <f t="shared" si="15"/>
        <v>(F2.0)</v>
      </c>
      <c r="F453" s="1" t="str">
        <f t="shared" si="14"/>
        <v>alter type vK3m01 (F2.0).</v>
      </c>
    </row>
    <row r="454" spans="1:6" x14ac:dyDescent="0.25">
      <c r="A454" s="1" t="s">
        <v>253</v>
      </c>
      <c r="B454" s="1" t="s">
        <v>30</v>
      </c>
      <c r="C454" s="1">
        <v>2</v>
      </c>
      <c r="D454" s="1">
        <v>0</v>
      </c>
      <c r="E454" s="1" t="str">
        <f t="shared" si="15"/>
        <v>(F2.0)</v>
      </c>
      <c r="F454" s="1" t="str">
        <f t="shared" si="14"/>
        <v>alter type vK3m02 (F2.0).</v>
      </c>
    </row>
    <row r="455" spans="1:6" x14ac:dyDescent="0.25">
      <c r="A455" s="1" t="s">
        <v>254</v>
      </c>
      <c r="B455" s="1" t="s">
        <v>30</v>
      </c>
      <c r="C455" s="1">
        <v>2</v>
      </c>
      <c r="D455" s="1">
        <v>0</v>
      </c>
      <c r="E455" s="1" t="str">
        <f t="shared" si="15"/>
        <v>(F2.0)</v>
      </c>
      <c r="F455" s="1" t="str">
        <f t="shared" si="14"/>
        <v>alter type vK3m03 (F2.0).</v>
      </c>
    </row>
    <row r="456" spans="1:6" x14ac:dyDescent="0.25">
      <c r="A456" s="1" t="s">
        <v>255</v>
      </c>
      <c r="B456" s="1" t="s">
        <v>30</v>
      </c>
      <c r="C456" s="1">
        <v>2</v>
      </c>
      <c r="D456" s="1">
        <v>0</v>
      </c>
      <c r="E456" s="1" t="str">
        <f t="shared" si="15"/>
        <v>(F2.0)</v>
      </c>
      <c r="F456" s="1" t="str">
        <f t="shared" si="14"/>
        <v>alter type vK3m04 (F2.0).</v>
      </c>
    </row>
    <row r="457" spans="1:6" x14ac:dyDescent="0.25">
      <c r="A457" s="1" t="s">
        <v>256</v>
      </c>
      <c r="B457" s="1" t="s">
        <v>30</v>
      </c>
      <c r="C457" s="1">
        <v>2</v>
      </c>
      <c r="D457" s="1">
        <v>0</v>
      </c>
      <c r="E457" s="1" t="str">
        <f t="shared" si="15"/>
        <v>(F2.0)</v>
      </c>
      <c r="F457" s="1" t="str">
        <f t="shared" si="14"/>
        <v>alter type vK3m05 (F2.0).</v>
      </c>
    </row>
    <row r="458" spans="1:6" x14ac:dyDescent="0.25">
      <c r="A458" s="1" t="s">
        <v>257</v>
      </c>
      <c r="B458" s="1" t="s">
        <v>30</v>
      </c>
      <c r="C458" s="1">
        <v>2</v>
      </c>
      <c r="D458" s="1">
        <v>0</v>
      </c>
      <c r="E458" s="1" t="str">
        <f t="shared" si="15"/>
        <v>(F2.0)</v>
      </c>
      <c r="F458" s="1" t="str">
        <f t="shared" si="14"/>
        <v>alter type vK3m06 (F2.0).</v>
      </c>
    </row>
    <row r="459" spans="1:6" x14ac:dyDescent="0.25">
      <c r="A459" s="1" t="s">
        <v>258</v>
      </c>
      <c r="B459" s="1" t="s">
        <v>30</v>
      </c>
      <c r="C459" s="1">
        <v>2</v>
      </c>
      <c r="D459" s="1">
        <v>0</v>
      </c>
      <c r="E459" s="1" t="str">
        <f t="shared" si="15"/>
        <v>(F2.0)</v>
      </c>
      <c r="F459" s="1" t="str">
        <f t="shared" si="14"/>
        <v>alter type vK3m07 (F2.0).</v>
      </c>
    </row>
    <row r="460" spans="1:6" x14ac:dyDescent="0.25">
      <c r="A460" s="1" t="s">
        <v>259</v>
      </c>
      <c r="B460" s="1" t="s">
        <v>30</v>
      </c>
      <c r="C460" s="1">
        <v>2</v>
      </c>
      <c r="D460" s="1">
        <v>0</v>
      </c>
      <c r="E460" s="1" t="str">
        <f t="shared" si="15"/>
        <v>(F2.0)</v>
      </c>
      <c r="F460" s="1" t="str">
        <f t="shared" si="14"/>
        <v>alter type vK3m08 (F2.0).</v>
      </c>
    </row>
    <row r="461" spans="1:6" x14ac:dyDescent="0.25">
      <c r="A461" s="1" t="s">
        <v>260</v>
      </c>
      <c r="B461" s="1" t="s">
        <v>30</v>
      </c>
      <c r="C461" s="1">
        <v>2</v>
      </c>
      <c r="D461" s="1">
        <v>0</v>
      </c>
      <c r="E461" s="1" t="str">
        <f t="shared" si="15"/>
        <v>(F2.0)</v>
      </c>
      <c r="F461" s="1" t="str">
        <f t="shared" si="14"/>
        <v>alter type vK3m09 (F2.0).</v>
      </c>
    </row>
    <row r="462" spans="1:6" x14ac:dyDescent="0.25">
      <c r="A462" s="1" t="s">
        <v>261</v>
      </c>
      <c r="B462" s="1" t="s">
        <v>30</v>
      </c>
      <c r="C462" s="1">
        <v>2</v>
      </c>
      <c r="D462" s="1">
        <v>0</v>
      </c>
      <c r="E462" s="1" t="str">
        <f t="shared" si="15"/>
        <v>(F2.0)</v>
      </c>
      <c r="F462" s="1" t="str">
        <f t="shared" si="14"/>
        <v>alter type vK3m88 (F2.0).</v>
      </c>
    </row>
    <row r="463" spans="1:6" x14ac:dyDescent="0.25">
      <c r="A463" s="1" t="s">
        <v>262</v>
      </c>
      <c r="B463" s="1" t="s">
        <v>30</v>
      </c>
      <c r="C463" s="1">
        <v>2</v>
      </c>
      <c r="D463" s="1">
        <v>0</v>
      </c>
      <c r="E463" s="1" t="str">
        <f t="shared" si="15"/>
        <v>(F2.0)</v>
      </c>
      <c r="F463" s="1" t="str">
        <f t="shared" si="14"/>
        <v>alter type vK3m90 (F2.0).</v>
      </c>
    </row>
    <row r="464" spans="1:6" x14ac:dyDescent="0.25">
      <c r="A464" s="1" t="s">
        <v>263</v>
      </c>
      <c r="B464" s="1" t="s">
        <v>27</v>
      </c>
      <c r="C464" s="1">
        <v>150</v>
      </c>
      <c r="D464" s="1">
        <v>0</v>
      </c>
      <c r="E464" s="1" t="str">
        <f t="shared" si="15"/>
        <v>(A150)</v>
      </c>
      <c r="F464" s="1" t="str">
        <f t="shared" si="14"/>
        <v>alter type vK3o88 (A150).</v>
      </c>
    </row>
    <row r="465" spans="1:6" x14ac:dyDescent="0.25">
      <c r="A465" s="1" t="s">
        <v>1509</v>
      </c>
      <c r="B465" s="1" t="s">
        <v>30</v>
      </c>
      <c r="C465" s="1">
        <v>2</v>
      </c>
      <c r="D465" s="1">
        <v>0</v>
      </c>
      <c r="E465" s="1" t="str">
        <f t="shared" si="15"/>
        <v>(F2.0)</v>
      </c>
      <c r="F465" s="1" t="str">
        <f t="shared" si="14"/>
        <v>alter type vCKK3 (F2.0).</v>
      </c>
    </row>
    <row r="466" spans="1:6" x14ac:dyDescent="0.25">
      <c r="A466" s="1" t="s">
        <v>1511</v>
      </c>
      <c r="B466" s="1" t="s">
        <v>30</v>
      </c>
      <c r="C466" s="1">
        <v>2</v>
      </c>
      <c r="D466" s="1">
        <v>0</v>
      </c>
      <c r="E466" s="1" t="str">
        <f t="shared" si="15"/>
        <v>(F2.0)</v>
      </c>
      <c r="F466" s="1" t="str">
        <f t="shared" si="14"/>
        <v>alter type vCKYT (F2.0).</v>
      </c>
    </row>
    <row r="467" spans="1:6" x14ac:dyDescent="0.25">
      <c r="A467" s="1" t="s">
        <v>1513</v>
      </c>
      <c r="B467" s="1" t="s">
        <v>30</v>
      </c>
      <c r="C467" s="1">
        <v>2</v>
      </c>
      <c r="D467" s="1">
        <v>0</v>
      </c>
      <c r="E467" s="1" t="str">
        <f t="shared" si="15"/>
        <v>(F2.0)</v>
      </c>
      <c r="F467" s="1" t="str">
        <f t="shared" si="14"/>
        <v>alter type vCKQY (F2.0).</v>
      </c>
    </row>
    <row r="468" spans="1:6" x14ac:dyDescent="0.25">
      <c r="A468" s="1" t="s">
        <v>1515</v>
      </c>
      <c r="B468" s="1" t="s">
        <v>30</v>
      </c>
      <c r="C468" s="1">
        <v>2</v>
      </c>
      <c r="D468" s="1">
        <v>0</v>
      </c>
      <c r="E468" s="1" t="str">
        <f t="shared" si="15"/>
        <v>(F2.0)</v>
      </c>
      <c r="F468" s="1" t="str">
        <f t="shared" si="14"/>
        <v>alter type vCKNFX (F2.0).</v>
      </c>
    </row>
    <row r="469" spans="1:6" x14ac:dyDescent="0.25">
      <c r="A469" s="1" t="s">
        <v>1517</v>
      </c>
      <c r="B469" s="1" t="s">
        <v>30</v>
      </c>
      <c r="C469" s="1">
        <v>2</v>
      </c>
      <c r="D469" s="1">
        <v>0</v>
      </c>
      <c r="E469" s="1" t="str">
        <f t="shared" si="15"/>
        <v>(F2.0)</v>
      </c>
      <c r="F469" s="1" t="str">
        <f t="shared" si="14"/>
        <v>alter type vCKLTV (F2.0).</v>
      </c>
    </row>
    <row r="470" spans="1:6" x14ac:dyDescent="0.25">
      <c r="A470" s="1" t="s">
        <v>1519</v>
      </c>
      <c r="B470" s="1" t="s">
        <v>30</v>
      </c>
      <c r="C470" s="1">
        <v>2</v>
      </c>
      <c r="D470" s="1">
        <v>0</v>
      </c>
      <c r="E470" s="1" t="str">
        <f t="shared" si="15"/>
        <v>(F2.0)</v>
      </c>
      <c r="F470" s="1" t="str">
        <f t="shared" si="14"/>
        <v>alter type vCKDS (F2.0).</v>
      </c>
    </row>
    <row r="471" spans="1:6" x14ac:dyDescent="0.25">
      <c r="A471" s="1" t="s">
        <v>122</v>
      </c>
      <c r="B471" s="1" t="s">
        <v>30</v>
      </c>
      <c r="C471" s="1">
        <v>4</v>
      </c>
      <c r="D471" s="1">
        <v>1</v>
      </c>
      <c r="E471" s="1" t="str">
        <f t="shared" si="15"/>
        <v>(F4.1)</v>
      </c>
      <c r="F471" s="1" t="str">
        <f t="shared" si="14"/>
        <v>alter type vKFB1 (F4.1).</v>
      </c>
    </row>
    <row r="472" spans="1:6" x14ac:dyDescent="0.25">
      <c r="A472" s="1" t="s">
        <v>123</v>
      </c>
      <c r="B472" s="1" t="s">
        <v>30</v>
      </c>
      <c r="C472" s="1">
        <v>5</v>
      </c>
      <c r="D472" s="1">
        <v>0</v>
      </c>
      <c r="E472" s="1" t="str">
        <f t="shared" si="15"/>
        <v>(F5.0)</v>
      </c>
      <c r="F472" s="1" t="str">
        <f t="shared" si="14"/>
        <v>alter type vKFB2 (F5.0).</v>
      </c>
    </row>
    <row r="473" spans="1:6" x14ac:dyDescent="0.25">
      <c r="A473" s="1" t="s">
        <v>163</v>
      </c>
      <c r="B473" s="1" t="s">
        <v>30</v>
      </c>
      <c r="C473" s="1">
        <v>4</v>
      </c>
      <c r="D473" s="1">
        <v>1</v>
      </c>
      <c r="E473" s="1" t="str">
        <f t="shared" si="15"/>
        <v>(F4.1)</v>
      </c>
      <c r="F473" s="1" t="str">
        <f t="shared" si="14"/>
        <v>alter type vKIG1 (F4.1).</v>
      </c>
    </row>
    <row r="474" spans="1:6" x14ac:dyDescent="0.25">
      <c r="A474" s="1" t="s">
        <v>164</v>
      </c>
      <c r="B474" s="1" t="s">
        <v>30</v>
      </c>
      <c r="C474" s="1">
        <v>5</v>
      </c>
      <c r="D474" s="1">
        <v>0</v>
      </c>
      <c r="E474" s="1" t="str">
        <f t="shared" si="15"/>
        <v>(F5.0)</v>
      </c>
      <c r="F474" s="1" t="str">
        <f t="shared" si="14"/>
        <v>alter type vKIG2 (F5.0).</v>
      </c>
    </row>
    <row r="475" spans="1:6" x14ac:dyDescent="0.25">
      <c r="A475" s="1" t="s">
        <v>200</v>
      </c>
      <c r="B475" s="1" t="s">
        <v>30</v>
      </c>
      <c r="C475" s="1">
        <v>4</v>
      </c>
      <c r="D475" s="1">
        <v>1</v>
      </c>
      <c r="E475" s="1" t="str">
        <f t="shared" si="15"/>
        <v>(F4.1)</v>
      </c>
      <c r="F475" s="1" t="str">
        <f t="shared" si="14"/>
        <v>alter type vKTT1 (F4.1).</v>
      </c>
    </row>
    <row r="476" spans="1:6" x14ac:dyDescent="0.25">
      <c r="A476" s="1" t="s">
        <v>201</v>
      </c>
      <c r="B476" s="1" t="s">
        <v>30</v>
      </c>
      <c r="C476" s="1">
        <v>5</v>
      </c>
      <c r="D476" s="1">
        <v>0</v>
      </c>
      <c r="E476" s="1" t="str">
        <f t="shared" si="15"/>
        <v>(F5.0)</v>
      </c>
      <c r="F476" s="1" t="str">
        <f t="shared" si="14"/>
        <v>alter type vKTT2 (F5.0).</v>
      </c>
    </row>
    <row r="477" spans="1:6" x14ac:dyDescent="0.25">
      <c r="A477" s="1" t="s">
        <v>1527</v>
      </c>
      <c r="B477" s="1" t="s">
        <v>30</v>
      </c>
      <c r="C477" s="1">
        <v>2</v>
      </c>
      <c r="D477" s="1">
        <v>0</v>
      </c>
      <c r="E477" s="1" t="str">
        <f t="shared" si="15"/>
        <v>(F2.0)</v>
      </c>
      <c r="F477" s="1" t="str">
        <f t="shared" si="14"/>
        <v>alter type vP3sP3_1 (F2.0).</v>
      </c>
    </row>
    <row r="478" spans="1:6" x14ac:dyDescent="0.25">
      <c r="A478" s="1" t="s">
        <v>1529</v>
      </c>
      <c r="B478" s="1" t="s">
        <v>30</v>
      </c>
      <c r="C478" s="1">
        <v>2</v>
      </c>
      <c r="D478" s="1">
        <v>0</v>
      </c>
      <c r="E478" s="1" t="str">
        <f t="shared" si="15"/>
        <v>(F2.0)</v>
      </c>
      <c r="F478" s="1" t="str">
        <f t="shared" si="14"/>
        <v>alter type vP3sP3_2 (F2.0).</v>
      </c>
    </row>
    <row r="479" spans="1:6" x14ac:dyDescent="0.25">
      <c r="A479" s="1" t="s">
        <v>1531</v>
      </c>
      <c r="B479" s="1" t="s">
        <v>30</v>
      </c>
      <c r="C479" s="1">
        <v>2</v>
      </c>
      <c r="D479" s="1">
        <v>0</v>
      </c>
      <c r="E479" s="1" t="str">
        <f t="shared" si="15"/>
        <v>(F2.0)</v>
      </c>
      <c r="F479" s="1" t="str">
        <f t="shared" si="14"/>
        <v>alter type vP3sP3_3 (F2.0).</v>
      </c>
    </row>
    <row r="480" spans="1:6" x14ac:dyDescent="0.25">
      <c r="A480" s="1" t="s">
        <v>1533</v>
      </c>
      <c r="B480" s="1" t="s">
        <v>30</v>
      </c>
      <c r="C480" s="1">
        <v>2</v>
      </c>
      <c r="D480" s="1">
        <v>0</v>
      </c>
      <c r="E480" s="1" t="str">
        <f t="shared" si="15"/>
        <v>(F2.0)</v>
      </c>
      <c r="F480" s="1" t="str">
        <f t="shared" si="14"/>
        <v>alter type vP3_4sP3_4 (F2.0).</v>
      </c>
    </row>
    <row r="481" spans="1:6" x14ac:dyDescent="0.25">
      <c r="A481" s="1" t="s">
        <v>1535</v>
      </c>
      <c r="B481" s="1" t="s">
        <v>30</v>
      </c>
      <c r="C481" s="1">
        <v>2</v>
      </c>
      <c r="D481" s="1">
        <v>0</v>
      </c>
      <c r="E481" s="1" t="str">
        <f t="shared" si="15"/>
        <v>(F2.0)</v>
      </c>
      <c r="F481" s="1" t="str">
        <f t="shared" si="14"/>
        <v>alter type vP3_4sP3_5 (F2.0).</v>
      </c>
    </row>
    <row r="482" spans="1:6" x14ac:dyDescent="0.25">
      <c r="A482" s="1" t="s">
        <v>1537</v>
      </c>
      <c r="B482" s="1" t="s">
        <v>30</v>
      </c>
      <c r="C482" s="1">
        <v>2</v>
      </c>
      <c r="D482" s="1">
        <v>0</v>
      </c>
      <c r="E482" s="1" t="str">
        <f t="shared" si="15"/>
        <v>(F2.0)</v>
      </c>
      <c r="F482" s="1" t="str">
        <f t="shared" si="14"/>
        <v>alter type vP3_4sP3_6 (F2.0).</v>
      </c>
    </row>
    <row r="483" spans="1:6" x14ac:dyDescent="0.25">
      <c r="A483" s="1" t="s">
        <v>1539</v>
      </c>
      <c r="B483" s="1" t="s">
        <v>30</v>
      </c>
      <c r="C483" s="1">
        <v>2</v>
      </c>
      <c r="D483" s="1">
        <v>0</v>
      </c>
      <c r="E483" s="1" t="str">
        <f t="shared" si="15"/>
        <v>(F2.0)</v>
      </c>
      <c r="F483" s="1" t="str">
        <f t="shared" si="14"/>
        <v>alter type vP3_7sP3_7 (F2.0).</v>
      </c>
    </row>
    <row r="484" spans="1:6" x14ac:dyDescent="0.25">
      <c r="A484" s="1" t="s">
        <v>1541</v>
      </c>
      <c r="B484" s="1" t="s">
        <v>30</v>
      </c>
      <c r="C484" s="1">
        <v>2</v>
      </c>
      <c r="D484" s="1">
        <v>0</v>
      </c>
      <c r="E484" s="1" t="str">
        <f t="shared" si="15"/>
        <v>(F2.0)</v>
      </c>
      <c r="F484" s="1" t="str">
        <f t="shared" si="14"/>
        <v>alter type vP3_7sP3_8 (F2.0).</v>
      </c>
    </row>
    <row r="485" spans="1:6" x14ac:dyDescent="0.25">
      <c r="A485" s="1" t="s">
        <v>1543</v>
      </c>
      <c r="B485" s="1" t="s">
        <v>30</v>
      </c>
      <c r="C485" s="1">
        <v>2</v>
      </c>
      <c r="D485" s="1">
        <v>0</v>
      </c>
      <c r="E485" s="1" t="str">
        <f t="shared" si="15"/>
        <v>(F2.0)</v>
      </c>
      <c r="F485" s="1" t="str">
        <f t="shared" si="14"/>
        <v>alter type vP3_7sP3_9 (F2.0).</v>
      </c>
    </row>
    <row r="486" spans="1:6" x14ac:dyDescent="0.25">
      <c r="A486" s="1" t="s">
        <v>1545</v>
      </c>
      <c r="B486" s="1" t="s">
        <v>30</v>
      </c>
      <c r="C486" s="1">
        <v>2</v>
      </c>
      <c r="D486" s="1">
        <v>0</v>
      </c>
      <c r="E486" s="1" t="str">
        <f t="shared" si="15"/>
        <v>(F2.0)</v>
      </c>
      <c r="F486" s="1" t="str">
        <f t="shared" si="14"/>
        <v>alter type vP6_1 (F2.0).</v>
      </c>
    </row>
    <row r="487" spans="1:6" x14ac:dyDescent="0.25">
      <c r="A487" s="1" t="s">
        <v>1547</v>
      </c>
      <c r="B487" s="1" t="s">
        <v>30</v>
      </c>
      <c r="C487" s="1">
        <v>2</v>
      </c>
      <c r="D487" s="1">
        <v>0</v>
      </c>
      <c r="E487" s="1" t="str">
        <f t="shared" si="15"/>
        <v>(F2.0)</v>
      </c>
      <c r="F487" s="1" t="str">
        <f t="shared" si="14"/>
        <v>alter type vP6_2 (F2.0).</v>
      </c>
    </row>
    <row r="488" spans="1:6" x14ac:dyDescent="0.25">
      <c r="A488" s="1" t="s">
        <v>1549</v>
      </c>
      <c r="B488" s="1" t="s">
        <v>30</v>
      </c>
      <c r="C488" s="1">
        <v>2</v>
      </c>
      <c r="D488" s="1">
        <v>0</v>
      </c>
      <c r="E488" s="1" t="str">
        <f t="shared" si="15"/>
        <v>(F2.0)</v>
      </c>
      <c r="F488" s="1" t="str">
        <f t="shared" si="14"/>
        <v>alter type vP6_3 (F2.0).</v>
      </c>
    </row>
    <row r="489" spans="1:6" x14ac:dyDescent="0.25">
      <c r="A489" s="1" t="s">
        <v>1551</v>
      </c>
      <c r="B489" s="1" t="s">
        <v>30</v>
      </c>
      <c r="C489" s="1">
        <v>2</v>
      </c>
      <c r="D489" s="1">
        <v>0</v>
      </c>
      <c r="E489" s="1" t="str">
        <f t="shared" si="15"/>
        <v>(F2.0)</v>
      </c>
      <c r="F489" s="1" t="str">
        <f t="shared" si="14"/>
        <v>alter type vP6_4 (F2.0).</v>
      </c>
    </row>
    <row r="490" spans="1:6" x14ac:dyDescent="0.25">
      <c r="A490" s="1" t="s">
        <v>1553</v>
      </c>
      <c r="B490" s="1" t="s">
        <v>30</v>
      </c>
      <c r="C490" s="1">
        <v>2</v>
      </c>
      <c r="D490" s="1">
        <v>0</v>
      </c>
      <c r="E490" s="1" t="str">
        <f t="shared" si="15"/>
        <v>(F2.0)</v>
      </c>
      <c r="F490" s="1" t="str">
        <f t="shared" si="14"/>
        <v>alter type vP6sP6_5 (F2.0).</v>
      </c>
    </row>
    <row r="491" spans="1:6" x14ac:dyDescent="0.25">
      <c r="A491" s="1" t="s">
        <v>1555</v>
      </c>
      <c r="B491" s="1" t="s">
        <v>30</v>
      </c>
      <c r="C491" s="1">
        <v>2</v>
      </c>
      <c r="D491" s="1">
        <v>0</v>
      </c>
      <c r="E491" s="1" t="str">
        <f t="shared" si="15"/>
        <v>(F2.0)</v>
      </c>
      <c r="F491" s="1" t="str">
        <f t="shared" si="14"/>
        <v>alter type vP6sP6_6 (F2.0).</v>
      </c>
    </row>
    <row r="492" spans="1:6" x14ac:dyDescent="0.25">
      <c r="A492" s="1" t="s">
        <v>1557</v>
      </c>
      <c r="B492" s="1" t="s">
        <v>30</v>
      </c>
      <c r="C492" s="1">
        <v>14</v>
      </c>
      <c r="D492" s="1">
        <v>0</v>
      </c>
      <c r="E492" s="1" t="str">
        <f t="shared" si="15"/>
        <v>(F14.0)</v>
      </c>
      <c r="F492" s="1" t="str">
        <f t="shared" si="14"/>
        <v>alter type vP4 (F14.0).</v>
      </c>
    </row>
    <row r="493" spans="1:6" x14ac:dyDescent="0.25">
      <c r="A493" s="1" t="s">
        <v>1559</v>
      </c>
      <c r="B493" s="1" t="s">
        <v>30</v>
      </c>
      <c r="C493" s="1">
        <v>2</v>
      </c>
      <c r="D493" s="1">
        <v>0</v>
      </c>
      <c r="E493" s="1" t="str">
        <f t="shared" si="15"/>
        <v>(F2.0)</v>
      </c>
      <c r="F493" s="1" t="str">
        <f t="shared" si="14"/>
        <v>alter type vP4_1 (F2.0).</v>
      </c>
    </row>
    <row r="494" spans="1:6" x14ac:dyDescent="0.25">
      <c r="A494" s="1" t="s">
        <v>1561</v>
      </c>
      <c r="B494" s="1" t="s">
        <v>30</v>
      </c>
      <c r="C494" s="1">
        <v>2</v>
      </c>
      <c r="D494" s="1">
        <v>0</v>
      </c>
      <c r="E494" s="1" t="str">
        <f t="shared" si="15"/>
        <v>(F2.0)</v>
      </c>
      <c r="F494" s="1" t="str">
        <f t="shared" si="14"/>
        <v>alter type vP4_2 (F2.0).</v>
      </c>
    </row>
    <row r="495" spans="1:6" x14ac:dyDescent="0.25">
      <c r="A495" s="1" t="s">
        <v>1563</v>
      </c>
      <c r="B495" s="1" t="s">
        <v>30</v>
      </c>
      <c r="C495" s="1">
        <v>2</v>
      </c>
      <c r="D495" s="1">
        <v>0</v>
      </c>
      <c r="E495" s="1" t="str">
        <f t="shared" si="15"/>
        <v>(F2.0)</v>
      </c>
      <c r="F495" s="1" t="str">
        <f t="shared" si="14"/>
        <v>alter type vP4_3A (F2.0).</v>
      </c>
    </row>
    <row r="496" spans="1:6" x14ac:dyDescent="0.25">
      <c r="A496" s="1" t="s">
        <v>1565</v>
      </c>
      <c r="B496" s="1" t="s">
        <v>30</v>
      </c>
      <c r="C496" s="1">
        <v>2</v>
      </c>
      <c r="D496" s="1">
        <v>0</v>
      </c>
      <c r="E496" s="1" t="str">
        <f t="shared" si="15"/>
        <v>(F2.0)</v>
      </c>
      <c r="F496" s="1" t="str">
        <f t="shared" si="14"/>
        <v>alter type vP4_3 (F2.0).</v>
      </c>
    </row>
    <row r="497" spans="1:6" x14ac:dyDescent="0.25">
      <c r="A497" s="1" t="s">
        <v>1567</v>
      </c>
      <c r="B497" s="1" t="s">
        <v>30</v>
      </c>
      <c r="C497" s="1">
        <v>2</v>
      </c>
      <c r="D497" s="1">
        <v>0</v>
      </c>
      <c r="E497" s="1" t="str">
        <f t="shared" si="15"/>
        <v>(F2.0)</v>
      </c>
      <c r="F497" s="1" t="str">
        <f t="shared" si="14"/>
        <v>alter type vP4_4 (F2.0).</v>
      </c>
    </row>
    <row r="498" spans="1:6" x14ac:dyDescent="0.25">
      <c r="A498" s="1" t="s">
        <v>1569</v>
      </c>
      <c r="B498" s="1" t="s">
        <v>30</v>
      </c>
      <c r="C498" s="1">
        <v>2</v>
      </c>
      <c r="D498" s="1">
        <v>0</v>
      </c>
      <c r="E498" s="1" t="str">
        <f t="shared" si="15"/>
        <v>(F2.0)</v>
      </c>
      <c r="F498" s="1" t="str">
        <f t="shared" si="14"/>
        <v>alter type vP4_5 (F2.0).</v>
      </c>
    </row>
    <row r="499" spans="1:6" x14ac:dyDescent="0.25">
      <c r="A499" s="1" t="s">
        <v>1571</v>
      </c>
      <c r="B499" s="1" t="s">
        <v>30</v>
      </c>
      <c r="C499" s="1">
        <v>2</v>
      </c>
      <c r="D499" s="1">
        <v>0</v>
      </c>
      <c r="E499" s="1" t="str">
        <f t="shared" si="15"/>
        <v>(F2.0)</v>
      </c>
      <c r="F499" s="1" t="str">
        <f t="shared" si="14"/>
        <v>alter type vP4_6 (F2.0).</v>
      </c>
    </row>
    <row r="500" spans="1:6" x14ac:dyDescent="0.25">
      <c r="A500" s="1" t="s">
        <v>1573</v>
      </c>
      <c r="B500" s="1" t="s">
        <v>30</v>
      </c>
      <c r="C500" s="1">
        <v>2</v>
      </c>
      <c r="D500" s="1">
        <v>0</v>
      </c>
      <c r="E500" s="1" t="str">
        <f t="shared" si="15"/>
        <v>(F2.0)</v>
      </c>
      <c r="F500" s="1" t="str">
        <f t="shared" si="14"/>
        <v>alter type vP2_1m01 (F2.0).</v>
      </c>
    </row>
    <row r="501" spans="1:6" x14ac:dyDescent="0.25">
      <c r="A501" s="1" t="s">
        <v>1575</v>
      </c>
      <c r="B501" s="1" t="s">
        <v>30</v>
      </c>
      <c r="C501" s="1">
        <v>2</v>
      </c>
      <c r="D501" s="1">
        <v>0</v>
      </c>
      <c r="E501" s="1" t="str">
        <f t="shared" si="15"/>
        <v>(F2.0)</v>
      </c>
      <c r="F501" s="1" t="str">
        <f t="shared" si="14"/>
        <v>alter type vP2_1m02 (F2.0).</v>
      </c>
    </row>
    <row r="502" spans="1:6" x14ac:dyDescent="0.25">
      <c r="A502" s="1" t="s">
        <v>1576</v>
      </c>
      <c r="B502" s="1" t="s">
        <v>30</v>
      </c>
      <c r="C502" s="1">
        <v>2</v>
      </c>
      <c r="D502" s="1">
        <v>0</v>
      </c>
      <c r="E502" s="1" t="str">
        <f t="shared" si="15"/>
        <v>(F2.0)</v>
      </c>
      <c r="F502" s="1" t="str">
        <f t="shared" si="14"/>
        <v>alter type vP2_1m03 (F2.0).</v>
      </c>
    </row>
    <row r="503" spans="1:6" x14ac:dyDescent="0.25">
      <c r="A503" s="1" t="s">
        <v>1577</v>
      </c>
      <c r="B503" s="1" t="s">
        <v>30</v>
      </c>
      <c r="C503" s="1">
        <v>2</v>
      </c>
      <c r="D503" s="1">
        <v>0</v>
      </c>
      <c r="E503" s="1" t="str">
        <f t="shared" si="15"/>
        <v>(F2.0)</v>
      </c>
      <c r="F503" s="1" t="str">
        <f t="shared" si="14"/>
        <v>alter type vP2_1m04 (F2.0).</v>
      </c>
    </row>
    <row r="504" spans="1:6" x14ac:dyDescent="0.25">
      <c r="A504" s="1" t="s">
        <v>1578</v>
      </c>
      <c r="B504" s="1" t="s">
        <v>30</v>
      </c>
      <c r="C504" s="1">
        <v>2</v>
      </c>
      <c r="D504" s="1">
        <v>0</v>
      </c>
      <c r="E504" s="1" t="str">
        <f t="shared" si="15"/>
        <v>(F2.0)</v>
      </c>
      <c r="F504" s="1" t="str">
        <f t="shared" si="14"/>
        <v>alter type vP2_1m05 (F2.0).</v>
      </c>
    </row>
    <row r="505" spans="1:6" x14ac:dyDescent="0.25">
      <c r="A505" s="1" t="s">
        <v>1579</v>
      </c>
      <c r="B505" s="1" t="s">
        <v>30</v>
      </c>
      <c r="C505" s="1">
        <v>2</v>
      </c>
      <c r="D505" s="1">
        <v>0</v>
      </c>
      <c r="E505" s="1" t="str">
        <f t="shared" si="15"/>
        <v>(F2.0)</v>
      </c>
      <c r="F505" s="1" t="str">
        <f t="shared" si="14"/>
        <v>alter type vP2_1m06 (F2.0).</v>
      </c>
    </row>
    <row r="506" spans="1:6" x14ac:dyDescent="0.25">
      <c r="A506" s="1" t="s">
        <v>1580</v>
      </c>
      <c r="B506" s="1" t="s">
        <v>30</v>
      </c>
      <c r="C506" s="1">
        <v>2</v>
      </c>
      <c r="D506" s="1">
        <v>0</v>
      </c>
      <c r="E506" s="1" t="str">
        <f t="shared" si="15"/>
        <v>(F2.0)</v>
      </c>
      <c r="F506" s="1" t="str">
        <f t="shared" si="14"/>
        <v>alter type vP2_1m07 (F2.0).</v>
      </c>
    </row>
    <row r="507" spans="1:6" x14ac:dyDescent="0.25">
      <c r="A507" s="1" t="s">
        <v>1581</v>
      </c>
      <c r="B507" s="1" t="s">
        <v>30</v>
      </c>
      <c r="C507" s="1">
        <v>2</v>
      </c>
      <c r="D507" s="1">
        <v>0</v>
      </c>
      <c r="E507" s="1" t="str">
        <f t="shared" si="15"/>
        <v>(F2.0)</v>
      </c>
      <c r="F507" s="1" t="str">
        <f t="shared" si="14"/>
        <v>alter type vP2_1m08 (F2.0).</v>
      </c>
    </row>
    <row r="508" spans="1:6" x14ac:dyDescent="0.25">
      <c r="A508" s="1" t="s">
        <v>1582</v>
      </c>
      <c r="B508" s="1" t="s">
        <v>30</v>
      </c>
      <c r="C508" s="1">
        <v>2</v>
      </c>
      <c r="D508" s="1">
        <v>0</v>
      </c>
      <c r="E508" s="1" t="str">
        <f t="shared" si="15"/>
        <v>(F2.0)</v>
      </c>
      <c r="F508" s="1" t="str">
        <f t="shared" si="14"/>
        <v>alter type vP2_1m09 (F2.0).</v>
      </c>
    </row>
    <row r="509" spans="1:6" x14ac:dyDescent="0.25">
      <c r="A509" s="1" t="s">
        <v>1583</v>
      </c>
      <c r="B509" s="1" t="s">
        <v>30</v>
      </c>
      <c r="C509" s="1">
        <v>2</v>
      </c>
      <c r="D509" s="1">
        <v>0</v>
      </c>
      <c r="E509" s="1" t="str">
        <f t="shared" si="15"/>
        <v>(F2.0)</v>
      </c>
      <c r="F509" s="1" t="str">
        <f t="shared" si="14"/>
        <v>alter type vP2_1m10 (F2.0).</v>
      </c>
    </row>
    <row r="510" spans="1:6" x14ac:dyDescent="0.25">
      <c r="A510" s="1" t="s">
        <v>1584</v>
      </c>
      <c r="B510" s="1" t="s">
        <v>30</v>
      </c>
      <c r="C510" s="1">
        <v>2</v>
      </c>
      <c r="D510" s="1">
        <v>0</v>
      </c>
      <c r="E510" s="1" t="str">
        <f t="shared" si="15"/>
        <v>(F2.0)</v>
      </c>
      <c r="F510" s="1" t="str">
        <f t="shared" si="14"/>
        <v>alter type vP2_1m11 (F2.0).</v>
      </c>
    </row>
    <row r="511" spans="1:6" x14ac:dyDescent="0.25">
      <c r="A511" s="1" t="s">
        <v>1585</v>
      </c>
      <c r="B511" s="1" t="s">
        <v>30</v>
      </c>
      <c r="C511" s="1">
        <v>2</v>
      </c>
      <c r="D511" s="1">
        <v>0</v>
      </c>
      <c r="E511" s="1" t="str">
        <f t="shared" si="15"/>
        <v>(F2.0)</v>
      </c>
      <c r="F511" s="1" t="str">
        <f t="shared" si="14"/>
        <v>alter type vP2_1m12 (F2.0).</v>
      </c>
    </row>
    <row r="512" spans="1:6" x14ac:dyDescent="0.25">
      <c r="A512" s="1" t="s">
        <v>1586</v>
      </c>
      <c r="B512" s="1" t="s">
        <v>30</v>
      </c>
      <c r="C512" s="1">
        <v>2</v>
      </c>
      <c r="D512" s="1">
        <v>0</v>
      </c>
      <c r="E512" s="1" t="str">
        <f t="shared" si="15"/>
        <v>(F2.0)</v>
      </c>
      <c r="F512" s="1" t="str">
        <f t="shared" si="14"/>
        <v>alter type vP2_1m13 (F2.0).</v>
      </c>
    </row>
    <row r="513" spans="1:6" x14ac:dyDescent="0.25">
      <c r="A513" s="1" t="s">
        <v>1587</v>
      </c>
      <c r="B513" s="1" t="s">
        <v>30</v>
      </c>
      <c r="C513" s="1">
        <v>2</v>
      </c>
      <c r="D513" s="1">
        <v>0</v>
      </c>
      <c r="E513" s="1" t="str">
        <f t="shared" si="15"/>
        <v>(F2.0)</v>
      </c>
      <c r="F513" s="1" t="str">
        <f t="shared" si="14"/>
        <v>alter type vP2_1m14 (F2.0).</v>
      </c>
    </row>
    <row r="514" spans="1:6" x14ac:dyDescent="0.25">
      <c r="A514" s="1" t="s">
        <v>1588</v>
      </c>
      <c r="B514" s="1" t="s">
        <v>30</v>
      </c>
      <c r="C514" s="1">
        <v>2</v>
      </c>
      <c r="D514" s="1">
        <v>0</v>
      </c>
      <c r="E514" s="1" t="str">
        <f t="shared" si="15"/>
        <v>(F2.0)</v>
      </c>
      <c r="F514" s="1" t="str">
        <f t="shared" ref="F514:F577" si="16">"alter type "&amp;A514&amp;" "&amp;E514&amp;"."</f>
        <v>alter type vP2_1m88 (F2.0).</v>
      </c>
    </row>
    <row r="515" spans="1:6" x14ac:dyDescent="0.25">
      <c r="A515" s="1" t="s">
        <v>1589</v>
      </c>
      <c r="B515" s="1" t="s">
        <v>27</v>
      </c>
      <c r="C515" s="1">
        <v>150</v>
      </c>
      <c r="D515" s="1">
        <v>0</v>
      </c>
      <c r="E515" s="1" t="str">
        <f t="shared" ref="E515:E578" si="17">IF(B515="數值","(F"&amp;C515&amp;"."&amp;D515&amp;")","(A"&amp;C515&amp;")")</f>
        <v>(A150)</v>
      </c>
      <c r="F515" s="1" t="str">
        <f t="shared" si="16"/>
        <v>alter type vP2_1o88 (A150).</v>
      </c>
    </row>
    <row r="516" spans="1:6" x14ac:dyDescent="0.25">
      <c r="A516" s="1" t="s">
        <v>872</v>
      </c>
      <c r="B516" s="1" t="s">
        <v>30</v>
      </c>
      <c r="C516" s="1">
        <v>6</v>
      </c>
      <c r="D516" s="1">
        <v>0</v>
      </c>
      <c r="E516" s="1" t="str">
        <f t="shared" si="17"/>
        <v>(F6.0)</v>
      </c>
      <c r="F516" s="1" t="str">
        <f t="shared" si="16"/>
        <v>alter type vP2_2 (F6.0).</v>
      </c>
    </row>
    <row r="517" spans="1:6" x14ac:dyDescent="0.25">
      <c r="A517" s="1" t="s">
        <v>1591</v>
      </c>
      <c r="B517" s="1" t="s">
        <v>30</v>
      </c>
      <c r="C517" s="1">
        <v>2</v>
      </c>
      <c r="D517" s="1">
        <v>0</v>
      </c>
      <c r="E517" s="1" t="str">
        <f t="shared" si="17"/>
        <v>(F2.0)</v>
      </c>
      <c r="F517" s="1" t="str">
        <f t="shared" si="16"/>
        <v>alter type vP2_3m01 (F2.0).</v>
      </c>
    </row>
    <row r="518" spans="1:6" x14ac:dyDescent="0.25">
      <c r="A518" s="1" t="s">
        <v>1593</v>
      </c>
      <c r="B518" s="1" t="s">
        <v>30</v>
      </c>
      <c r="C518" s="1">
        <v>2</v>
      </c>
      <c r="D518" s="1">
        <v>0</v>
      </c>
      <c r="E518" s="1" t="str">
        <f t="shared" si="17"/>
        <v>(F2.0)</v>
      </c>
      <c r="F518" s="1" t="str">
        <f t="shared" si="16"/>
        <v>alter type vP2_3m02 (F2.0).</v>
      </c>
    </row>
    <row r="519" spans="1:6" x14ac:dyDescent="0.25">
      <c r="A519" s="1" t="s">
        <v>1595</v>
      </c>
      <c r="B519" s="1" t="s">
        <v>30</v>
      </c>
      <c r="C519" s="1">
        <v>2</v>
      </c>
      <c r="D519" s="1">
        <v>0</v>
      </c>
      <c r="E519" s="1" t="str">
        <f t="shared" si="17"/>
        <v>(F2.0)</v>
      </c>
      <c r="F519" s="1" t="str">
        <f t="shared" si="16"/>
        <v>alter type vP2_3m03 (F2.0).</v>
      </c>
    </row>
    <row r="520" spans="1:6" x14ac:dyDescent="0.25">
      <c r="A520" s="1" t="s">
        <v>1597</v>
      </c>
      <c r="B520" s="1" t="s">
        <v>30</v>
      </c>
      <c r="C520" s="1">
        <v>2</v>
      </c>
      <c r="D520" s="1">
        <v>0</v>
      </c>
      <c r="E520" s="1" t="str">
        <f t="shared" si="17"/>
        <v>(F2.0)</v>
      </c>
      <c r="F520" s="1" t="str">
        <f t="shared" si="16"/>
        <v>alter type vP2_3m04 (F2.0).</v>
      </c>
    </row>
    <row r="521" spans="1:6" x14ac:dyDescent="0.25">
      <c r="A521" s="1" t="s">
        <v>1599</v>
      </c>
      <c r="B521" s="1" t="s">
        <v>30</v>
      </c>
      <c r="C521" s="1">
        <v>2</v>
      </c>
      <c r="D521" s="1">
        <v>0</v>
      </c>
      <c r="E521" s="1" t="str">
        <f t="shared" si="17"/>
        <v>(F2.0)</v>
      </c>
      <c r="F521" s="1" t="str">
        <f t="shared" si="16"/>
        <v>alter type vP2_3m05 (F2.0).</v>
      </c>
    </row>
    <row r="522" spans="1:6" x14ac:dyDescent="0.25">
      <c r="A522" s="1" t="s">
        <v>1601</v>
      </c>
      <c r="B522" s="1" t="s">
        <v>30</v>
      </c>
      <c r="C522" s="1">
        <v>2</v>
      </c>
      <c r="D522" s="1">
        <v>0</v>
      </c>
      <c r="E522" s="1" t="str">
        <f t="shared" si="17"/>
        <v>(F2.0)</v>
      </c>
      <c r="F522" s="1" t="str">
        <f t="shared" si="16"/>
        <v>alter type vP2_3m06 (F2.0).</v>
      </c>
    </row>
    <row r="523" spans="1:6" x14ac:dyDescent="0.25">
      <c r="A523" s="1" t="s">
        <v>1603</v>
      </c>
      <c r="B523" s="1" t="s">
        <v>30</v>
      </c>
      <c r="C523" s="1">
        <v>2</v>
      </c>
      <c r="D523" s="1">
        <v>0</v>
      </c>
      <c r="E523" s="1" t="str">
        <f t="shared" si="17"/>
        <v>(F2.0)</v>
      </c>
      <c r="F523" s="1" t="str">
        <f t="shared" si="16"/>
        <v>alter type vP2_3m07 (F2.0).</v>
      </c>
    </row>
    <row r="524" spans="1:6" x14ac:dyDescent="0.25">
      <c r="A524" s="1" t="s">
        <v>1605</v>
      </c>
      <c r="B524" s="1" t="s">
        <v>30</v>
      </c>
      <c r="C524" s="1">
        <v>2</v>
      </c>
      <c r="D524" s="1">
        <v>0</v>
      </c>
      <c r="E524" s="1" t="str">
        <f t="shared" si="17"/>
        <v>(F2.0)</v>
      </c>
      <c r="F524" s="1" t="str">
        <f t="shared" si="16"/>
        <v>alter type vP2_3m08 (F2.0).</v>
      </c>
    </row>
    <row r="525" spans="1:6" x14ac:dyDescent="0.25">
      <c r="A525" s="1" t="s">
        <v>1607</v>
      </c>
      <c r="B525" s="1" t="s">
        <v>30</v>
      </c>
      <c r="C525" s="1">
        <v>2</v>
      </c>
      <c r="D525" s="1">
        <v>0</v>
      </c>
      <c r="E525" s="1" t="str">
        <f t="shared" si="17"/>
        <v>(F2.0)</v>
      </c>
      <c r="F525" s="1" t="str">
        <f t="shared" si="16"/>
        <v>alter type vP2_3m09 (F2.0).</v>
      </c>
    </row>
    <row r="526" spans="1:6" x14ac:dyDescent="0.25">
      <c r="A526" s="1" t="s">
        <v>1609</v>
      </c>
      <c r="B526" s="1" t="s">
        <v>30</v>
      </c>
      <c r="C526" s="1">
        <v>2</v>
      </c>
      <c r="D526" s="1">
        <v>0</v>
      </c>
      <c r="E526" s="1" t="str">
        <f t="shared" si="17"/>
        <v>(F2.0)</v>
      </c>
      <c r="F526" s="1" t="str">
        <f t="shared" si="16"/>
        <v>alter type vP2_3m10 (F2.0).</v>
      </c>
    </row>
    <row r="527" spans="1:6" x14ac:dyDescent="0.25">
      <c r="A527" s="1" t="s">
        <v>1611</v>
      </c>
      <c r="B527" s="1" t="s">
        <v>30</v>
      </c>
      <c r="C527" s="1">
        <v>2</v>
      </c>
      <c r="D527" s="1">
        <v>0</v>
      </c>
      <c r="E527" s="1" t="str">
        <f t="shared" si="17"/>
        <v>(F2.0)</v>
      </c>
      <c r="F527" s="1" t="str">
        <f t="shared" si="16"/>
        <v>alter type vP2_3m11 (F2.0).</v>
      </c>
    </row>
    <row r="528" spans="1:6" x14ac:dyDescent="0.25">
      <c r="A528" s="1" t="s">
        <v>1613</v>
      </c>
      <c r="B528" s="1" t="s">
        <v>30</v>
      </c>
      <c r="C528" s="1">
        <v>2</v>
      </c>
      <c r="D528" s="1">
        <v>0</v>
      </c>
      <c r="E528" s="1" t="str">
        <f t="shared" si="17"/>
        <v>(F2.0)</v>
      </c>
      <c r="F528" s="1" t="str">
        <f t="shared" si="16"/>
        <v>alter type vP2_3m88 (F2.0).</v>
      </c>
    </row>
    <row r="529" spans="1:6" x14ac:dyDescent="0.25">
      <c r="A529" s="1" t="s">
        <v>1615</v>
      </c>
      <c r="B529" s="1" t="s">
        <v>27</v>
      </c>
      <c r="C529" s="1">
        <v>150</v>
      </c>
      <c r="D529" s="1">
        <v>0</v>
      </c>
      <c r="E529" s="1" t="str">
        <f t="shared" si="17"/>
        <v>(A150)</v>
      </c>
      <c r="F529" s="1" t="str">
        <f t="shared" si="16"/>
        <v>alter type vP2_3o88 (A150).</v>
      </c>
    </row>
    <row r="530" spans="1:6" x14ac:dyDescent="0.25">
      <c r="A530" s="1" t="s">
        <v>1616</v>
      </c>
      <c r="B530" s="1" t="s">
        <v>30</v>
      </c>
      <c r="C530" s="1">
        <v>2</v>
      </c>
      <c r="D530" s="1">
        <v>0</v>
      </c>
      <c r="E530" s="1" t="str">
        <f t="shared" si="17"/>
        <v>(F2.0)</v>
      </c>
      <c r="F530" s="1" t="str">
        <f t="shared" si="16"/>
        <v>alter type vP2_4m01 (F2.0).</v>
      </c>
    </row>
    <row r="531" spans="1:6" x14ac:dyDescent="0.25">
      <c r="A531" s="1" t="s">
        <v>1618</v>
      </c>
      <c r="B531" s="1" t="s">
        <v>30</v>
      </c>
      <c r="C531" s="1">
        <v>2</v>
      </c>
      <c r="D531" s="1">
        <v>0</v>
      </c>
      <c r="E531" s="1" t="str">
        <f t="shared" si="17"/>
        <v>(F2.0)</v>
      </c>
      <c r="F531" s="1" t="str">
        <f t="shared" si="16"/>
        <v>alter type vP2_4m02 (F2.0).</v>
      </c>
    </row>
    <row r="532" spans="1:6" x14ac:dyDescent="0.25">
      <c r="A532" s="1" t="s">
        <v>1620</v>
      </c>
      <c r="B532" s="1" t="s">
        <v>30</v>
      </c>
      <c r="C532" s="1">
        <v>2</v>
      </c>
      <c r="D532" s="1">
        <v>0</v>
      </c>
      <c r="E532" s="1" t="str">
        <f t="shared" si="17"/>
        <v>(F2.0)</v>
      </c>
      <c r="F532" s="1" t="str">
        <f t="shared" si="16"/>
        <v>alter type vP2_4m03 (F2.0).</v>
      </c>
    </row>
    <row r="533" spans="1:6" x14ac:dyDescent="0.25">
      <c r="A533" s="1" t="s">
        <v>1622</v>
      </c>
      <c r="B533" s="1" t="s">
        <v>30</v>
      </c>
      <c r="C533" s="1">
        <v>2</v>
      </c>
      <c r="D533" s="1">
        <v>0</v>
      </c>
      <c r="E533" s="1" t="str">
        <f t="shared" si="17"/>
        <v>(F2.0)</v>
      </c>
      <c r="F533" s="1" t="str">
        <f t="shared" si="16"/>
        <v>alter type vP2_4m04 (F2.0).</v>
      </c>
    </row>
    <row r="534" spans="1:6" x14ac:dyDescent="0.25">
      <c r="A534" s="1" t="s">
        <v>1624</v>
      </c>
      <c r="B534" s="1" t="s">
        <v>30</v>
      </c>
      <c r="C534" s="1">
        <v>2</v>
      </c>
      <c r="D534" s="1">
        <v>0</v>
      </c>
      <c r="E534" s="1" t="str">
        <f t="shared" si="17"/>
        <v>(F2.0)</v>
      </c>
      <c r="F534" s="1" t="str">
        <f t="shared" si="16"/>
        <v>alter type vP2_4m05 (F2.0).</v>
      </c>
    </row>
    <row r="535" spans="1:6" x14ac:dyDescent="0.25">
      <c r="A535" s="1" t="s">
        <v>1626</v>
      </c>
      <c r="B535" s="1" t="s">
        <v>30</v>
      </c>
      <c r="C535" s="1">
        <v>2</v>
      </c>
      <c r="D535" s="1">
        <v>0</v>
      </c>
      <c r="E535" s="1" t="str">
        <f t="shared" si="17"/>
        <v>(F2.0)</v>
      </c>
      <c r="F535" s="1" t="str">
        <f t="shared" si="16"/>
        <v>alter type vP2_4m06 (F2.0).</v>
      </c>
    </row>
    <row r="536" spans="1:6" x14ac:dyDescent="0.25">
      <c r="A536" s="1" t="s">
        <v>1628</v>
      </c>
      <c r="B536" s="1" t="s">
        <v>30</v>
      </c>
      <c r="C536" s="1">
        <v>2</v>
      </c>
      <c r="D536" s="1">
        <v>0</v>
      </c>
      <c r="E536" s="1" t="str">
        <f t="shared" si="17"/>
        <v>(F2.0)</v>
      </c>
      <c r="F536" s="1" t="str">
        <f t="shared" si="16"/>
        <v>alter type vP2_4m07 (F2.0).</v>
      </c>
    </row>
    <row r="537" spans="1:6" x14ac:dyDescent="0.25">
      <c r="A537" s="1" t="s">
        <v>1630</v>
      </c>
      <c r="B537" s="1" t="s">
        <v>30</v>
      </c>
      <c r="C537" s="1">
        <v>2</v>
      </c>
      <c r="D537" s="1">
        <v>0</v>
      </c>
      <c r="E537" s="1" t="str">
        <f t="shared" si="17"/>
        <v>(F2.0)</v>
      </c>
      <c r="F537" s="1" t="str">
        <f t="shared" si="16"/>
        <v>alter type vP2_4m08 (F2.0).</v>
      </c>
    </row>
    <row r="538" spans="1:6" x14ac:dyDescent="0.25">
      <c r="A538" s="1" t="s">
        <v>1632</v>
      </c>
      <c r="B538" s="1" t="s">
        <v>30</v>
      </c>
      <c r="C538" s="1">
        <v>2</v>
      </c>
      <c r="D538" s="1">
        <v>0</v>
      </c>
      <c r="E538" s="1" t="str">
        <f t="shared" si="17"/>
        <v>(F2.0)</v>
      </c>
      <c r="F538" s="1" t="str">
        <f t="shared" si="16"/>
        <v>alter type vP2_4m09 (F2.0).</v>
      </c>
    </row>
    <row r="539" spans="1:6" x14ac:dyDescent="0.25">
      <c r="A539" s="1" t="s">
        <v>1634</v>
      </c>
      <c r="B539" s="1" t="s">
        <v>30</v>
      </c>
      <c r="C539" s="1">
        <v>2</v>
      </c>
      <c r="D539" s="1">
        <v>0</v>
      </c>
      <c r="E539" s="1" t="str">
        <f t="shared" si="17"/>
        <v>(F2.0)</v>
      </c>
      <c r="F539" s="1" t="str">
        <f t="shared" si="16"/>
        <v>alter type vP2_4m88 (F2.0).</v>
      </c>
    </row>
    <row r="540" spans="1:6" x14ac:dyDescent="0.25">
      <c r="A540" s="1" t="s">
        <v>1636</v>
      </c>
      <c r="B540" s="1" t="s">
        <v>30</v>
      </c>
      <c r="C540" s="1">
        <v>2</v>
      </c>
      <c r="D540" s="1">
        <v>0</v>
      </c>
      <c r="E540" s="1" t="str">
        <f t="shared" si="17"/>
        <v>(F2.0)</v>
      </c>
      <c r="F540" s="1" t="str">
        <f t="shared" si="16"/>
        <v>alter type vP2_4m91 (F2.0).</v>
      </c>
    </row>
    <row r="541" spans="1:6" x14ac:dyDescent="0.25">
      <c r="A541" s="1" t="s">
        <v>1638</v>
      </c>
      <c r="B541" s="1" t="s">
        <v>30</v>
      </c>
      <c r="C541" s="1">
        <v>2</v>
      </c>
      <c r="D541" s="1">
        <v>0</v>
      </c>
      <c r="E541" s="1" t="str">
        <f t="shared" si="17"/>
        <v>(F2.0)</v>
      </c>
      <c r="F541" s="1" t="str">
        <f t="shared" si="16"/>
        <v>alter type vP2_4m92 (F2.0).</v>
      </c>
    </row>
    <row r="542" spans="1:6" x14ac:dyDescent="0.25">
      <c r="A542" s="1" t="s">
        <v>1640</v>
      </c>
      <c r="B542" s="1" t="s">
        <v>27</v>
      </c>
      <c r="C542" s="1">
        <v>150</v>
      </c>
      <c r="D542" s="1">
        <v>0</v>
      </c>
      <c r="E542" s="1" t="str">
        <f t="shared" si="17"/>
        <v>(A150)</v>
      </c>
      <c r="F542" s="1" t="str">
        <f t="shared" si="16"/>
        <v>alter type vP2_4o88 (A150).</v>
      </c>
    </row>
    <row r="543" spans="1:6" x14ac:dyDescent="0.25">
      <c r="A543" s="1" t="s">
        <v>1641</v>
      </c>
      <c r="B543" s="1" t="s">
        <v>30</v>
      </c>
      <c r="C543" s="1">
        <v>2</v>
      </c>
      <c r="D543" s="1">
        <v>0</v>
      </c>
      <c r="E543" s="1" t="str">
        <f t="shared" si="17"/>
        <v>(F2.0)</v>
      </c>
      <c r="F543" s="1" t="str">
        <f t="shared" si="16"/>
        <v>alter type vP2_5m01 (F2.0).</v>
      </c>
    </row>
    <row r="544" spans="1:6" x14ac:dyDescent="0.25">
      <c r="A544" s="1" t="s">
        <v>1643</v>
      </c>
      <c r="B544" s="1" t="s">
        <v>30</v>
      </c>
      <c r="C544" s="1">
        <v>2</v>
      </c>
      <c r="D544" s="1">
        <v>0</v>
      </c>
      <c r="E544" s="1" t="str">
        <f t="shared" si="17"/>
        <v>(F2.0)</v>
      </c>
      <c r="F544" s="1" t="str">
        <f t="shared" si="16"/>
        <v>alter type vP2_5m02 (F2.0).</v>
      </c>
    </row>
    <row r="545" spans="1:6" x14ac:dyDescent="0.25">
      <c r="A545" s="1" t="s">
        <v>1645</v>
      </c>
      <c r="B545" s="1" t="s">
        <v>30</v>
      </c>
      <c r="C545" s="1">
        <v>2</v>
      </c>
      <c r="D545" s="1">
        <v>0</v>
      </c>
      <c r="E545" s="1" t="str">
        <f t="shared" si="17"/>
        <v>(F2.0)</v>
      </c>
      <c r="F545" s="1" t="str">
        <f t="shared" si="16"/>
        <v>alter type vP2_5m03 (F2.0).</v>
      </c>
    </row>
    <row r="546" spans="1:6" x14ac:dyDescent="0.25">
      <c r="A546" s="1" t="s">
        <v>1647</v>
      </c>
      <c r="B546" s="1" t="s">
        <v>30</v>
      </c>
      <c r="C546" s="1">
        <v>2</v>
      </c>
      <c r="D546" s="1">
        <v>0</v>
      </c>
      <c r="E546" s="1" t="str">
        <f t="shared" si="17"/>
        <v>(F2.0)</v>
      </c>
      <c r="F546" s="1" t="str">
        <f t="shared" si="16"/>
        <v>alter type vP2_5m04 (F2.0).</v>
      </c>
    </row>
    <row r="547" spans="1:6" x14ac:dyDescent="0.25">
      <c r="A547" s="1" t="s">
        <v>1649</v>
      </c>
      <c r="B547" s="1" t="s">
        <v>30</v>
      </c>
      <c r="C547" s="1">
        <v>2</v>
      </c>
      <c r="D547" s="1">
        <v>0</v>
      </c>
      <c r="E547" s="1" t="str">
        <f t="shared" si="17"/>
        <v>(F2.0)</v>
      </c>
      <c r="F547" s="1" t="str">
        <f t="shared" si="16"/>
        <v>alter type vP2_5m05 (F2.0).</v>
      </c>
    </row>
    <row r="548" spans="1:6" x14ac:dyDescent="0.25">
      <c r="A548" s="1" t="s">
        <v>1651</v>
      </c>
      <c r="B548" s="1" t="s">
        <v>30</v>
      </c>
      <c r="C548" s="1">
        <v>2</v>
      </c>
      <c r="D548" s="1">
        <v>0</v>
      </c>
      <c r="E548" s="1" t="str">
        <f t="shared" si="17"/>
        <v>(F2.0)</v>
      </c>
      <c r="F548" s="1" t="str">
        <f t="shared" si="16"/>
        <v>alter type vP2_5m06 (F2.0).</v>
      </c>
    </row>
    <row r="549" spans="1:6" x14ac:dyDescent="0.25">
      <c r="A549" s="1" t="s">
        <v>1653</v>
      </c>
      <c r="B549" s="1" t="s">
        <v>30</v>
      </c>
      <c r="C549" s="1">
        <v>2</v>
      </c>
      <c r="D549" s="1">
        <v>0</v>
      </c>
      <c r="E549" s="1" t="str">
        <f t="shared" si="17"/>
        <v>(F2.0)</v>
      </c>
      <c r="F549" s="1" t="str">
        <f t="shared" si="16"/>
        <v>alter type vP2_5m07 (F2.0).</v>
      </c>
    </row>
    <row r="550" spans="1:6" x14ac:dyDescent="0.25">
      <c r="A550" s="1" t="s">
        <v>1655</v>
      </c>
      <c r="B550" s="1" t="s">
        <v>30</v>
      </c>
      <c r="C550" s="1">
        <v>2</v>
      </c>
      <c r="D550" s="1">
        <v>0</v>
      </c>
      <c r="E550" s="1" t="str">
        <f t="shared" si="17"/>
        <v>(F2.0)</v>
      </c>
      <c r="F550" s="1" t="str">
        <f t="shared" si="16"/>
        <v>alter type vP2_5m08 (F2.0).</v>
      </c>
    </row>
    <row r="551" spans="1:6" x14ac:dyDescent="0.25">
      <c r="A551" s="1" t="s">
        <v>1657</v>
      </c>
      <c r="B551" s="1" t="s">
        <v>30</v>
      </c>
      <c r="C551" s="1">
        <v>2</v>
      </c>
      <c r="D551" s="1">
        <v>0</v>
      </c>
      <c r="E551" s="1" t="str">
        <f t="shared" si="17"/>
        <v>(F2.0)</v>
      </c>
      <c r="F551" s="1" t="str">
        <f t="shared" si="16"/>
        <v>alter type vP2_5m88 (F2.0).</v>
      </c>
    </row>
    <row r="552" spans="1:6" x14ac:dyDescent="0.25">
      <c r="A552" s="1" t="s">
        <v>1659</v>
      </c>
      <c r="B552" s="1" t="s">
        <v>30</v>
      </c>
      <c r="C552" s="1">
        <v>2</v>
      </c>
      <c r="D552" s="1">
        <v>0</v>
      </c>
      <c r="E552" s="1" t="str">
        <f t="shared" si="17"/>
        <v>(F2.0)</v>
      </c>
      <c r="F552" s="1" t="str">
        <f t="shared" si="16"/>
        <v>alter type vP2_5m90 (F2.0).</v>
      </c>
    </row>
    <row r="553" spans="1:6" x14ac:dyDescent="0.25">
      <c r="A553" s="1" t="s">
        <v>1661</v>
      </c>
      <c r="B553" s="1" t="s">
        <v>30</v>
      </c>
      <c r="C553" s="1">
        <v>2</v>
      </c>
      <c r="D553" s="1">
        <v>0</v>
      </c>
      <c r="E553" s="1" t="str">
        <f t="shared" si="17"/>
        <v>(F2.0)</v>
      </c>
      <c r="F553" s="1" t="str">
        <f t="shared" si="16"/>
        <v>alter type vP2_5m91 (F2.0).</v>
      </c>
    </row>
    <row r="554" spans="1:6" x14ac:dyDescent="0.25">
      <c r="A554" s="1" t="s">
        <v>1663</v>
      </c>
      <c r="B554" s="1" t="s">
        <v>30</v>
      </c>
      <c r="C554" s="1">
        <v>2</v>
      </c>
      <c r="D554" s="1">
        <v>0</v>
      </c>
      <c r="E554" s="1" t="str">
        <f t="shared" si="17"/>
        <v>(F2.0)</v>
      </c>
      <c r="F554" s="1" t="str">
        <f t="shared" si="16"/>
        <v>alter type vP2_5m92 (F2.0).</v>
      </c>
    </row>
    <row r="555" spans="1:6" x14ac:dyDescent="0.25">
      <c r="A555" s="1" t="s">
        <v>1665</v>
      </c>
      <c r="B555" s="1" t="s">
        <v>27</v>
      </c>
      <c r="C555" s="1">
        <v>150</v>
      </c>
      <c r="D555" s="1">
        <v>0</v>
      </c>
      <c r="E555" s="1" t="str">
        <f t="shared" si="17"/>
        <v>(A150)</v>
      </c>
      <c r="F555" s="1" t="str">
        <f t="shared" si="16"/>
        <v>alter type vP2_5o88 (A150).</v>
      </c>
    </row>
    <row r="556" spans="1:6" x14ac:dyDescent="0.25">
      <c r="A556" s="1" t="s">
        <v>1666</v>
      </c>
      <c r="B556" s="1" t="s">
        <v>30</v>
      </c>
      <c r="C556" s="1">
        <v>2</v>
      </c>
      <c r="D556" s="1">
        <v>0</v>
      </c>
      <c r="E556" s="1" t="str">
        <f t="shared" si="17"/>
        <v>(F2.0)</v>
      </c>
      <c r="F556" s="1" t="str">
        <f t="shared" si="16"/>
        <v>alter type vP2_6m01 (F2.0).</v>
      </c>
    </row>
    <row r="557" spans="1:6" x14ac:dyDescent="0.25">
      <c r="A557" s="1" t="s">
        <v>1668</v>
      </c>
      <c r="B557" s="1" t="s">
        <v>30</v>
      </c>
      <c r="C557" s="1">
        <v>2</v>
      </c>
      <c r="D557" s="1">
        <v>0</v>
      </c>
      <c r="E557" s="1" t="str">
        <f t="shared" si="17"/>
        <v>(F2.0)</v>
      </c>
      <c r="F557" s="1" t="str">
        <f t="shared" si="16"/>
        <v>alter type vP2_6m02 (F2.0).</v>
      </c>
    </row>
    <row r="558" spans="1:6" x14ac:dyDescent="0.25">
      <c r="A558" s="1" t="s">
        <v>1670</v>
      </c>
      <c r="B558" s="1" t="s">
        <v>30</v>
      </c>
      <c r="C558" s="1">
        <v>2</v>
      </c>
      <c r="D558" s="1">
        <v>0</v>
      </c>
      <c r="E558" s="1" t="str">
        <f t="shared" si="17"/>
        <v>(F2.0)</v>
      </c>
      <c r="F558" s="1" t="str">
        <f t="shared" si="16"/>
        <v>alter type vP2_6m03 (F2.0).</v>
      </c>
    </row>
    <row r="559" spans="1:6" x14ac:dyDescent="0.25">
      <c r="A559" s="1" t="s">
        <v>1672</v>
      </c>
      <c r="B559" s="1" t="s">
        <v>30</v>
      </c>
      <c r="C559" s="1">
        <v>2</v>
      </c>
      <c r="D559" s="1">
        <v>0</v>
      </c>
      <c r="E559" s="1" t="str">
        <f t="shared" si="17"/>
        <v>(F2.0)</v>
      </c>
      <c r="F559" s="1" t="str">
        <f t="shared" si="16"/>
        <v>alter type vP2_6m04 (F2.0).</v>
      </c>
    </row>
    <row r="560" spans="1:6" x14ac:dyDescent="0.25">
      <c r="A560" s="1" t="s">
        <v>1674</v>
      </c>
      <c r="B560" s="1" t="s">
        <v>30</v>
      </c>
      <c r="C560" s="1">
        <v>2</v>
      </c>
      <c r="D560" s="1">
        <v>0</v>
      </c>
      <c r="E560" s="1" t="str">
        <f t="shared" si="17"/>
        <v>(F2.0)</v>
      </c>
      <c r="F560" s="1" t="str">
        <f t="shared" si="16"/>
        <v>alter type vP2_6m05 (F2.0).</v>
      </c>
    </row>
    <row r="561" spans="1:6" x14ac:dyDescent="0.25">
      <c r="A561" s="1" t="s">
        <v>1676</v>
      </c>
      <c r="B561" s="1" t="s">
        <v>30</v>
      </c>
      <c r="C561" s="1">
        <v>2</v>
      </c>
      <c r="D561" s="1">
        <v>0</v>
      </c>
      <c r="E561" s="1" t="str">
        <f t="shared" si="17"/>
        <v>(F2.0)</v>
      </c>
      <c r="F561" s="1" t="str">
        <f t="shared" si="16"/>
        <v>alter type vP2_6m06 (F2.0).</v>
      </c>
    </row>
    <row r="562" spans="1:6" x14ac:dyDescent="0.25">
      <c r="A562" s="1" t="s">
        <v>1678</v>
      </c>
      <c r="B562" s="1" t="s">
        <v>30</v>
      </c>
      <c r="C562" s="1">
        <v>2</v>
      </c>
      <c r="D562" s="1">
        <v>0</v>
      </c>
      <c r="E562" s="1" t="str">
        <f t="shared" si="17"/>
        <v>(F2.0)</v>
      </c>
      <c r="F562" s="1" t="str">
        <f t="shared" si="16"/>
        <v>alter type vP2_6m07 (F2.0).</v>
      </c>
    </row>
    <row r="563" spans="1:6" x14ac:dyDescent="0.25">
      <c r="A563" s="1" t="s">
        <v>1680</v>
      </c>
      <c r="B563" s="1" t="s">
        <v>30</v>
      </c>
      <c r="C563" s="1">
        <v>2</v>
      </c>
      <c r="D563" s="1">
        <v>0</v>
      </c>
      <c r="E563" s="1" t="str">
        <f t="shared" si="17"/>
        <v>(F2.0)</v>
      </c>
      <c r="F563" s="1" t="str">
        <f t="shared" si="16"/>
        <v>alter type vP2_6m08 (F2.0).</v>
      </c>
    </row>
    <row r="564" spans="1:6" x14ac:dyDescent="0.25">
      <c r="A564" s="1" t="s">
        <v>1682</v>
      </c>
      <c r="B564" s="1" t="s">
        <v>30</v>
      </c>
      <c r="C564" s="1">
        <v>2</v>
      </c>
      <c r="D564" s="1">
        <v>0</v>
      </c>
      <c r="E564" s="1" t="str">
        <f t="shared" si="17"/>
        <v>(F2.0)</v>
      </c>
      <c r="F564" s="1" t="str">
        <f t="shared" si="16"/>
        <v>alter type vP2_6m88 (F2.0).</v>
      </c>
    </row>
    <row r="565" spans="1:6" x14ac:dyDescent="0.25">
      <c r="A565" s="1" t="s">
        <v>1684</v>
      </c>
      <c r="B565" s="1" t="s">
        <v>30</v>
      </c>
      <c r="C565" s="1">
        <v>2</v>
      </c>
      <c r="D565" s="1">
        <v>0</v>
      </c>
      <c r="E565" s="1" t="str">
        <f t="shared" si="17"/>
        <v>(F2.0)</v>
      </c>
      <c r="F565" s="1" t="str">
        <f t="shared" si="16"/>
        <v>alter type vP2_6m90 (F2.0).</v>
      </c>
    </row>
    <row r="566" spans="1:6" x14ac:dyDescent="0.25">
      <c r="A566" s="1" t="s">
        <v>1686</v>
      </c>
      <c r="B566" s="1" t="s">
        <v>27</v>
      </c>
      <c r="C566" s="1">
        <v>150</v>
      </c>
      <c r="D566" s="1">
        <v>0</v>
      </c>
      <c r="E566" s="1" t="str">
        <f t="shared" si="17"/>
        <v>(A150)</v>
      </c>
      <c r="F566" s="1" t="str">
        <f t="shared" si="16"/>
        <v>alter type vP2_6o88 (A150).</v>
      </c>
    </row>
    <row r="567" spans="1:6" x14ac:dyDescent="0.25">
      <c r="A567" s="1" t="s">
        <v>120</v>
      </c>
      <c r="B567" s="1" t="s">
        <v>30</v>
      </c>
      <c r="C567" s="1">
        <v>4</v>
      </c>
      <c r="D567" s="1">
        <v>1</v>
      </c>
      <c r="E567" s="1" t="str">
        <f t="shared" si="17"/>
        <v>(F4.1)</v>
      </c>
      <c r="F567" s="1" t="str">
        <f t="shared" si="16"/>
        <v>alter type vKLI1 (F4.1).</v>
      </c>
    </row>
    <row r="568" spans="1:6" x14ac:dyDescent="0.25">
      <c r="A568" s="1" t="s">
        <v>121</v>
      </c>
      <c r="B568" s="1" t="s">
        <v>30</v>
      </c>
      <c r="C568" s="1">
        <v>5</v>
      </c>
      <c r="D568" s="1">
        <v>0</v>
      </c>
      <c r="E568" s="1" t="str">
        <f t="shared" si="17"/>
        <v>(F5.0)</v>
      </c>
      <c r="F568" s="1" t="str">
        <f t="shared" si="16"/>
        <v>alter type vKLI2 (F5.0).</v>
      </c>
    </row>
    <row r="569" spans="1:6" x14ac:dyDescent="0.25">
      <c r="A569" s="1" t="s">
        <v>1689</v>
      </c>
      <c r="B569" s="1" t="s">
        <v>30</v>
      </c>
      <c r="C569" s="1">
        <v>2</v>
      </c>
      <c r="D569" s="1">
        <v>0</v>
      </c>
      <c r="E569" s="1" t="str">
        <f t="shared" si="17"/>
        <v>(F2.0)</v>
      </c>
      <c r="F569" s="1" t="str">
        <f t="shared" si="16"/>
        <v>alter type vKLI3m01 (F2.0).</v>
      </c>
    </row>
    <row r="570" spans="1:6" x14ac:dyDescent="0.25">
      <c r="A570" s="1" t="s">
        <v>1691</v>
      </c>
      <c r="B570" s="1" t="s">
        <v>30</v>
      </c>
      <c r="C570" s="1">
        <v>2</v>
      </c>
      <c r="D570" s="1">
        <v>0</v>
      </c>
      <c r="E570" s="1" t="str">
        <f t="shared" si="17"/>
        <v>(F2.0)</v>
      </c>
      <c r="F570" s="1" t="str">
        <f t="shared" si="16"/>
        <v>alter type vKLI3m02 (F2.0).</v>
      </c>
    </row>
    <row r="571" spans="1:6" x14ac:dyDescent="0.25">
      <c r="A571" s="1" t="s">
        <v>1693</v>
      </c>
      <c r="B571" s="1" t="s">
        <v>30</v>
      </c>
      <c r="C571" s="1">
        <v>2</v>
      </c>
      <c r="D571" s="1">
        <v>0</v>
      </c>
      <c r="E571" s="1" t="str">
        <f t="shared" si="17"/>
        <v>(F2.0)</v>
      </c>
      <c r="F571" s="1" t="str">
        <f t="shared" si="16"/>
        <v>alter type vKLI3m03 (F2.0).</v>
      </c>
    </row>
    <row r="572" spans="1:6" x14ac:dyDescent="0.25">
      <c r="A572" s="1" t="s">
        <v>1695</v>
      </c>
      <c r="B572" s="1" t="s">
        <v>30</v>
      </c>
      <c r="C572" s="1">
        <v>2</v>
      </c>
      <c r="D572" s="1">
        <v>0</v>
      </c>
      <c r="E572" s="1" t="str">
        <f t="shared" si="17"/>
        <v>(F2.0)</v>
      </c>
      <c r="F572" s="1" t="str">
        <f t="shared" si="16"/>
        <v>alter type vKLI3m04 (F2.0).</v>
      </c>
    </row>
    <row r="573" spans="1:6" x14ac:dyDescent="0.25">
      <c r="A573" s="1" t="s">
        <v>1697</v>
      </c>
      <c r="B573" s="1" t="s">
        <v>30</v>
      </c>
      <c r="C573" s="1">
        <v>2</v>
      </c>
      <c r="D573" s="1">
        <v>0</v>
      </c>
      <c r="E573" s="1" t="str">
        <f t="shared" si="17"/>
        <v>(F2.0)</v>
      </c>
      <c r="F573" s="1" t="str">
        <f t="shared" si="16"/>
        <v>alter type vKLI3m05 (F2.0).</v>
      </c>
    </row>
    <row r="574" spans="1:6" x14ac:dyDescent="0.25">
      <c r="A574" s="1" t="s">
        <v>1699</v>
      </c>
      <c r="B574" s="1" t="s">
        <v>30</v>
      </c>
      <c r="C574" s="1">
        <v>2</v>
      </c>
      <c r="D574" s="1">
        <v>0</v>
      </c>
      <c r="E574" s="1" t="str">
        <f t="shared" si="17"/>
        <v>(F2.0)</v>
      </c>
      <c r="F574" s="1" t="str">
        <f t="shared" si="16"/>
        <v>alter type vKLI3m06 (F2.0).</v>
      </c>
    </row>
    <row r="575" spans="1:6" x14ac:dyDescent="0.25">
      <c r="A575" s="1" t="s">
        <v>1701</v>
      </c>
      <c r="B575" s="1" t="s">
        <v>30</v>
      </c>
      <c r="C575" s="1">
        <v>2</v>
      </c>
      <c r="D575" s="1">
        <v>0</v>
      </c>
      <c r="E575" s="1" t="str">
        <f t="shared" si="17"/>
        <v>(F2.0)</v>
      </c>
      <c r="F575" s="1" t="str">
        <f t="shared" si="16"/>
        <v>alter type vKLI3m07 (F2.0).</v>
      </c>
    </row>
    <row r="576" spans="1:6" x14ac:dyDescent="0.25">
      <c r="A576" s="1" t="s">
        <v>1703</v>
      </c>
      <c r="B576" s="1" t="s">
        <v>30</v>
      </c>
      <c r="C576" s="1">
        <v>2</v>
      </c>
      <c r="D576" s="1">
        <v>0</v>
      </c>
      <c r="E576" s="1" t="str">
        <f t="shared" si="17"/>
        <v>(F2.0)</v>
      </c>
      <c r="F576" s="1" t="str">
        <f t="shared" si="16"/>
        <v>alter type vKLI3m08 (F2.0).</v>
      </c>
    </row>
    <row r="577" spans="1:6" x14ac:dyDescent="0.25">
      <c r="A577" s="1" t="s">
        <v>1705</v>
      </c>
      <c r="B577" s="1" t="s">
        <v>30</v>
      </c>
      <c r="C577" s="1">
        <v>2</v>
      </c>
      <c r="D577" s="1">
        <v>0</v>
      </c>
      <c r="E577" s="1" t="str">
        <f t="shared" si="17"/>
        <v>(F2.0)</v>
      </c>
      <c r="F577" s="1" t="str">
        <f t="shared" si="16"/>
        <v>alter type vKLI3m09 (F2.0).</v>
      </c>
    </row>
    <row r="578" spans="1:6" x14ac:dyDescent="0.25">
      <c r="A578" s="1" t="s">
        <v>1707</v>
      </c>
      <c r="B578" s="1" t="s">
        <v>30</v>
      </c>
      <c r="C578" s="1">
        <v>2</v>
      </c>
      <c r="D578" s="1">
        <v>0</v>
      </c>
      <c r="E578" s="1" t="str">
        <f t="shared" si="17"/>
        <v>(F2.0)</v>
      </c>
      <c r="F578" s="1" t="str">
        <f t="shared" ref="F578:F641" si="18">"alter type "&amp;A578&amp;" "&amp;E578&amp;"."</f>
        <v>alter type vKLI3m10 (F2.0).</v>
      </c>
    </row>
    <row r="579" spans="1:6" x14ac:dyDescent="0.25">
      <c r="A579" s="1" t="s">
        <v>1709</v>
      </c>
      <c r="B579" s="1" t="s">
        <v>30</v>
      </c>
      <c r="C579" s="1">
        <v>2</v>
      </c>
      <c r="D579" s="1">
        <v>0</v>
      </c>
      <c r="E579" s="1" t="str">
        <f t="shared" ref="E579:E642" si="19">IF(B579="數值","(F"&amp;C579&amp;"."&amp;D579&amp;")","(A"&amp;C579&amp;")")</f>
        <v>(F2.0)</v>
      </c>
      <c r="F579" s="1" t="str">
        <f t="shared" si="18"/>
        <v>alter type vKLI3m11 (F2.0).</v>
      </c>
    </row>
    <row r="580" spans="1:6" x14ac:dyDescent="0.25">
      <c r="A580" s="1" t="s">
        <v>1711</v>
      </c>
      <c r="B580" s="1" t="s">
        <v>30</v>
      </c>
      <c r="C580" s="1">
        <v>2</v>
      </c>
      <c r="D580" s="1">
        <v>0</v>
      </c>
      <c r="E580" s="1" t="str">
        <f t="shared" si="19"/>
        <v>(F2.0)</v>
      </c>
      <c r="F580" s="1" t="str">
        <f t="shared" si="18"/>
        <v>alter type vKLI3m12 (F2.0).</v>
      </c>
    </row>
    <row r="581" spans="1:6" x14ac:dyDescent="0.25">
      <c r="A581" s="1" t="s">
        <v>1713</v>
      </c>
      <c r="B581" s="1" t="s">
        <v>30</v>
      </c>
      <c r="C581" s="1">
        <v>2</v>
      </c>
      <c r="D581" s="1">
        <v>0</v>
      </c>
      <c r="E581" s="1" t="str">
        <f t="shared" si="19"/>
        <v>(F2.0)</v>
      </c>
      <c r="F581" s="1" t="str">
        <f t="shared" si="18"/>
        <v>alter type vKLI3m13 (F2.0).</v>
      </c>
    </row>
    <row r="582" spans="1:6" x14ac:dyDescent="0.25">
      <c r="A582" s="1" t="s">
        <v>1715</v>
      </c>
      <c r="B582" s="1" t="s">
        <v>30</v>
      </c>
      <c r="C582" s="1">
        <v>2</v>
      </c>
      <c r="D582" s="1">
        <v>0</v>
      </c>
      <c r="E582" s="1" t="str">
        <f t="shared" si="19"/>
        <v>(F2.0)</v>
      </c>
      <c r="F582" s="1" t="str">
        <f t="shared" si="18"/>
        <v>alter type vKLI3m14 (F2.0).</v>
      </c>
    </row>
    <row r="583" spans="1:6" x14ac:dyDescent="0.25">
      <c r="A583" s="1" t="s">
        <v>1717</v>
      </c>
      <c r="B583" s="1" t="s">
        <v>30</v>
      </c>
      <c r="C583" s="1">
        <v>2</v>
      </c>
      <c r="D583" s="1">
        <v>0</v>
      </c>
      <c r="E583" s="1" t="str">
        <f t="shared" si="19"/>
        <v>(F2.0)</v>
      </c>
      <c r="F583" s="1" t="str">
        <f t="shared" si="18"/>
        <v>alter type vKLI3m15 (F2.0).</v>
      </c>
    </row>
    <row r="584" spans="1:6" x14ac:dyDescent="0.25">
      <c r="A584" s="1" t="s">
        <v>1719</v>
      </c>
      <c r="B584" s="1" t="s">
        <v>30</v>
      </c>
      <c r="C584" s="1">
        <v>2</v>
      </c>
      <c r="D584" s="1">
        <v>0</v>
      </c>
      <c r="E584" s="1" t="str">
        <f t="shared" si="19"/>
        <v>(F2.0)</v>
      </c>
      <c r="F584" s="1" t="str">
        <f t="shared" si="18"/>
        <v>alter type vKLI3m16 (F2.0).</v>
      </c>
    </row>
    <row r="585" spans="1:6" x14ac:dyDescent="0.25">
      <c r="A585" s="1" t="s">
        <v>1721</v>
      </c>
      <c r="B585" s="1" t="s">
        <v>30</v>
      </c>
      <c r="C585" s="1">
        <v>2</v>
      </c>
      <c r="D585" s="1">
        <v>0</v>
      </c>
      <c r="E585" s="1" t="str">
        <f t="shared" si="19"/>
        <v>(F2.0)</v>
      </c>
      <c r="F585" s="1" t="str">
        <f t="shared" si="18"/>
        <v>alter type vKLI3m17 (F2.0).</v>
      </c>
    </row>
    <row r="586" spans="1:6" x14ac:dyDescent="0.25">
      <c r="A586" s="1" t="s">
        <v>1723</v>
      </c>
      <c r="B586" s="1" t="s">
        <v>30</v>
      </c>
      <c r="C586" s="1">
        <v>2</v>
      </c>
      <c r="D586" s="1">
        <v>0</v>
      </c>
      <c r="E586" s="1" t="str">
        <f t="shared" si="19"/>
        <v>(F2.0)</v>
      </c>
      <c r="F586" s="1" t="str">
        <f t="shared" si="18"/>
        <v>alter type vKLI3m88 (F2.0).</v>
      </c>
    </row>
    <row r="587" spans="1:6" x14ac:dyDescent="0.25">
      <c r="A587" s="1" t="s">
        <v>1725</v>
      </c>
      <c r="B587" s="1" t="s">
        <v>27</v>
      </c>
      <c r="C587" s="1">
        <v>150</v>
      </c>
      <c r="D587" s="1">
        <v>0</v>
      </c>
      <c r="E587" s="1" t="str">
        <f t="shared" si="19"/>
        <v>(A150)</v>
      </c>
      <c r="F587" s="1" t="str">
        <f t="shared" si="18"/>
        <v>alter type vKLI3o88 (A150).</v>
      </c>
    </row>
    <row r="588" spans="1:6" x14ac:dyDescent="0.25">
      <c r="A588" s="1" t="s">
        <v>1726</v>
      </c>
      <c r="B588" s="1" t="s">
        <v>30</v>
      </c>
      <c r="C588" s="1">
        <v>2</v>
      </c>
      <c r="D588" s="1">
        <v>0</v>
      </c>
      <c r="E588" s="1" t="str">
        <f t="shared" si="19"/>
        <v>(F2.0)</v>
      </c>
      <c r="F588" s="1" t="str">
        <f t="shared" si="18"/>
        <v>alter type vKLI4m01 (F2.0).</v>
      </c>
    </row>
    <row r="589" spans="1:6" x14ac:dyDescent="0.25">
      <c r="A589" s="1" t="s">
        <v>1728</v>
      </c>
      <c r="B589" s="1" t="s">
        <v>30</v>
      </c>
      <c r="C589" s="1">
        <v>2</v>
      </c>
      <c r="D589" s="1">
        <v>0</v>
      </c>
      <c r="E589" s="1" t="str">
        <f t="shared" si="19"/>
        <v>(F2.0)</v>
      </c>
      <c r="F589" s="1" t="str">
        <f t="shared" si="18"/>
        <v>alter type vKLI4m02 (F2.0).</v>
      </c>
    </row>
    <row r="590" spans="1:6" x14ac:dyDescent="0.25">
      <c r="A590" s="1" t="s">
        <v>1730</v>
      </c>
      <c r="B590" s="1" t="s">
        <v>30</v>
      </c>
      <c r="C590" s="1">
        <v>2</v>
      </c>
      <c r="D590" s="1">
        <v>0</v>
      </c>
      <c r="E590" s="1" t="str">
        <f t="shared" si="19"/>
        <v>(F2.0)</v>
      </c>
      <c r="F590" s="1" t="str">
        <f t="shared" si="18"/>
        <v>alter type vKLI4m03 (F2.0).</v>
      </c>
    </row>
    <row r="591" spans="1:6" x14ac:dyDescent="0.25">
      <c r="A591" s="1" t="s">
        <v>1732</v>
      </c>
      <c r="B591" s="1" t="s">
        <v>30</v>
      </c>
      <c r="C591" s="1">
        <v>2</v>
      </c>
      <c r="D591" s="1">
        <v>0</v>
      </c>
      <c r="E591" s="1" t="str">
        <f t="shared" si="19"/>
        <v>(F2.0)</v>
      </c>
      <c r="F591" s="1" t="str">
        <f t="shared" si="18"/>
        <v>alter type vKLI4m04 (F2.0).</v>
      </c>
    </row>
    <row r="592" spans="1:6" x14ac:dyDescent="0.25">
      <c r="A592" s="1" t="s">
        <v>1734</v>
      </c>
      <c r="B592" s="1" t="s">
        <v>30</v>
      </c>
      <c r="C592" s="1">
        <v>2</v>
      </c>
      <c r="D592" s="1">
        <v>0</v>
      </c>
      <c r="E592" s="1" t="str">
        <f t="shared" si="19"/>
        <v>(F2.0)</v>
      </c>
      <c r="F592" s="1" t="str">
        <f t="shared" si="18"/>
        <v>alter type vKLI4m05 (F2.0).</v>
      </c>
    </row>
    <row r="593" spans="1:6" x14ac:dyDescent="0.25">
      <c r="A593" s="1" t="s">
        <v>1736</v>
      </c>
      <c r="B593" s="1" t="s">
        <v>30</v>
      </c>
      <c r="C593" s="1">
        <v>2</v>
      </c>
      <c r="D593" s="1">
        <v>0</v>
      </c>
      <c r="E593" s="1" t="str">
        <f t="shared" si="19"/>
        <v>(F2.0)</v>
      </c>
      <c r="F593" s="1" t="str">
        <f t="shared" si="18"/>
        <v>alter type vKLI4m06 (F2.0).</v>
      </c>
    </row>
    <row r="594" spans="1:6" x14ac:dyDescent="0.25">
      <c r="A594" s="1" t="s">
        <v>1738</v>
      </c>
      <c r="B594" s="1" t="s">
        <v>30</v>
      </c>
      <c r="C594" s="1">
        <v>2</v>
      </c>
      <c r="D594" s="1">
        <v>0</v>
      </c>
      <c r="E594" s="1" t="str">
        <f t="shared" si="19"/>
        <v>(F2.0)</v>
      </c>
      <c r="F594" s="1" t="str">
        <f t="shared" si="18"/>
        <v>alter type vKLI4m07 (F2.0).</v>
      </c>
    </row>
    <row r="595" spans="1:6" x14ac:dyDescent="0.25">
      <c r="A595" s="1" t="s">
        <v>1740</v>
      </c>
      <c r="B595" s="1" t="s">
        <v>30</v>
      </c>
      <c r="C595" s="1">
        <v>2</v>
      </c>
      <c r="D595" s="1">
        <v>0</v>
      </c>
      <c r="E595" s="1" t="str">
        <f t="shared" si="19"/>
        <v>(F2.0)</v>
      </c>
      <c r="F595" s="1" t="str">
        <f t="shared" si="18"/>
        <v>alter type vKLI4m08 (F2.0).</v>
      </c>
    </row>
    <row r="596" spans="1:6" x14ac:dyDescent="0.25">
      <c r="A596" s="1" t="s">
        <v>1742</v>
      </c>
      <c r="B596" s="1" t="s">
        <v>30</v>
      </c>
      <c r="C596" s="1">
        <v>2</v>
      </c>
      <c r="D596" s="1">
        <v>0</v>
      </c>
      <c r="E596" s="1" t="str">
        <f t="shared" si="19"/>
        <v>(F2.0)</v>
      </c>
      <c r="F596" s="1" t="str">
        <f t="shared" si="18"/>
        <v>alter type vKLI4m09 (F2.0).</v>
      </c>
    </row>
    <row r="597" spans="1:6" x14ac:dyDescent="0.25">
      <c r="A597" s="1" t="s">
        <v>1744</v>
      </c>
      <c r="B597" s="1" t="s">
        <v>30</v>
      </c>
      <c r="C597" s="1">
        <v>2</v>
      </c>
      <c r="D597" s="1">
        <v>0</v>
      </c>
      <c r="E597" s="1" t="str">
        <f t="shared" si="19"/>
        <v>(F2.0)</v>
      </c>
      <c r="F597" s="1" t="str">
        <f t="shared" si="18"/>
        <v>alter type vKLI4m10 (F2.0).</v>
      </c>
    </row>
    <row r="598" spans="1:6" x14ac:dyDescent="0.25">
      <c r="A598" s="1" t="s">
        <v>1746</v>
      </c>
      <c r="B598" s="1" t="s">
        <v>30</v>
      </c>
      <c r="C598" s="1">
        <v>2</v>
      </c>
      <c r="D598" s="1">
        <v>0</v>
      </c>
      <c r="E598" s="1" t="str">
        <f t="shared" si="19"/>
        <v>(F2.0)</v>
      </c>
      <c r="F598" s="1" t="str">
        <f t="shared" si="18"/>
        <v>alter type vKLI4m11 (F2.0).</v>
      </c>
    </row>
    <row r="599" spans="1:6" x14ac:dyDescent="0.25">
      <c r="A599" s="1" t="s">
        <v>1748</v>
      </c>
      <c r="B599" s="1" t="s">
        <v>30</v>
      </c>
      <c r="C599" s="1">
        <v>2</v>
      </c>
      <c r="D599" s="1">
        <v>0</v>
      </c>
      <c r="E599" s="1" t="str">
        <f t="shared" si="19"/>
        <v>(F2.0)</v>
      </c>
      <c r="F599" s="1" t="str">
        <f t="shared" si="18"/>
        <v>alter type vKLI4m12 (F2.0).</v>
      </c>
    </row>
    <row r="600" spans="1:6" x14ac:dyDescent="0.25">
      <c r="A600" s="1" t="s">
        <v>1750</v>
      </c>
      <c r="B600" s="1" t="s">
        <v>30</v>
      </c>
      <c r="C600" s="1">
        <v>2</v>
      </c>
      <c r="D600" s="1">
        <v>0</v>
      </c>
      <c r="E600" s="1" t="str">
        <f t="shared" si="19"/>
        <v>(F2.0)</v>
      </c>
      <c r="F600" s="1" t="str">
        <f t="shared" si="18"/>
        <v>alter type vKLI4m13 (F2.0).</v>
      </c>
    </row>
    <row r="601" spans="1:6" x14ac:dyDescent="0.25">
      <c r="A601" s="1" t="s">
        <v>1752</v>
      </c>
      <c r="B601" s="1" t="s">
        <v>30</v>
      </c>
      <c r="C601" s="1">
        <v>2</v>
      </c>
      <c r="D601" s="1">
        <v>0</v>
      </c>
      <c r="E601" s="1" t="str">
        <f t="shared" si="19"/>
        <v>(F2.0)</v>
      </c>
      <c r="F601" s="1" t="str">
        <f t="shared" si="18"/>
        <v>alter type vKLI4m88 (F2.0).</v>
      </c>
    </row>
    <row r="602" spans="1:6" x14ac:dyDescent="0.25">
      <c r="A602" s="1" t="s">
        <v>1754</v>
      </c>
      <c r="B602" s="1" t="s">
        <v>27</v>
      </c>
      <c r="C602" s="1">
        <v>150</v>
      </c>
      <c r="D602" s="1">
        <v>0</v>
      </c>
      <c r="E602" s="1" t="str">
        <f t="shared" si="19"/>
        <v>(A150)</v>
      </c>
      <c r="F602" s="1" t="str">
        <f t="shared" si="18"/>
        <v>alter type vKLI4o88 (A150).</v>
      </c>
    </row>
    <row r="603" spans="1:6" x14ac:dyDescent="0.25">
      <c r="A603" s="1" t="s">
        <v>1755</v>
      </c>
      <c r="B603" s="1" t="s">
        <v>30</v>
      </c>
      <c r="C603" s="1">
        <v>2</v>
      </c>
      <c r="D603" s="1">
        <v>0</v>
      </c>
      <c r="E603" s="1" t="str">
        <f t="shared" si="19"/>
        <v>(F2.0)</v>
      </c>
      <c r="F603" s="1" t="str">
        <f t="shared" si="18"/>
        <v>alter type vKLI5m01 (F2.0).</v>
      </c>
    </row>
    <row r="604" spans="1:6" x14ac:dyDescent="0.25">
      <c r="A604" s="1" t="s">
        <v>1757</v>
      </c>
      <c r="B604" s="1" t="s">
        <v>30</v>
      </c>
      <c r="C604" s="1">
        <v>2</v>
      </c>
      <c r="D604" s="1">
        <v>0</v>
      </c>
      <c r="E604" s="1" t="str">
        <f t="shared" si="19"/>
        <v>(F2.0)</v>
      </c>
      <c r="F604" s="1" t="str">
        <f t="shared" si="18"/>
        <v>alter type vKLI5m02 (F2.0).</v>
      </c>
    </row>
    <row r="605" spans="1:6" x14ac:dyDescent="0.25">
      <c r="A605" s="1" t="s">
        <v>1759</v>
      </c>
      <c r="B605" s="1" t="s">
        <v>30</v>
      </c>
      <c r="C605" s="1">
        <v>2</v>
      </c>
      <c r="D605" s="1">
        <v>0</v>
      </c>
      <c r="E605" s="1" t="str">
        <f t="shared" si="19"/>
        <v>(F2.0)</v>
      </c>
      <c r="F605" s="1" t="str">
        <f t="shared" si="18"/>
        <v>alter type vKLI5m03 (F2.0).</v>
      </c>
    </row>
    <row r="606" spans="1:6" x14ac:dyDescent="0.25">
      <c r="A606" s="1" t="s">
        <v>1761</v>
      </c>
      <c r="B606" s="1" t="s">
        <v>30</v>
      </c>
      <c r="C606" s="1">
        <v>2</v>
      </c>
      <c r="D606" s="1">
        <v>0</v>
      </c>
      <c r="E606" s="1" t="str">
        <f t="shared" si="19"/>
        <v>(F2.0)</v>
      </c>
      <c r="F606" s="1" t="str">
        <f t="shared" si="18"/>
        <v>alter type vKLI5m04 (F2.0).</v>
      </c>
    </row>
    <row r="607" spans="1:6" x14ac:dyDescent="0.25">
      <c r="A607" s="1" t="s">
        <v>1763</v>
      </c>
      <c r="B607" s="1" t="s">
        <v>30</v>
      </c>
      <c r="C607" s="1">
        <v>2</v>
      </c>
      <c r="D607" s="1">
        <v>0</v>
      </c>
      <c r="E607" s="1" t="str">
        <f t="shared" si="19"/>
        <v>(F2.0)</v>
      </c>
      <c r="F607" s="1" t="str">
        <f t="shared" si="18"/>
        <v>alter type vKLI5m05 (F2.0).</v>
      </c>
    </row>
    <row r="608" spans="1:6" x14ac:dyDescent="0.25">
      <c r="A608" s="1" t="s">
        <v>1765</v>
      </c>
      <c r="B608" s="1" t="s">
        <v>30</v>
      </c>
      <c r="C608" s="1">
        <v>2</v>
      </c>
      <c r="D608" s="1">
        <v>0</v>
      </c>
      <c r="E608" s="1" t="str">
        <f t="shared" si="19"/>
        <v>(F2.0)</v>
      </c>
      <c r="F608" s="1" t="str">
        <f t="shared" si="18"/>
        <v>alter type vKLI5m06 (F2.0).</v>
      </c>
    </row>
    <row r="609" spans="1:6" x14ac:dyDescent="0.25">
      <c r="A609" s="1" t="s">
        <v>1767</v>
      </c>
      <c r="B609" s="1" t="s">
        <v>30</v>
      </c>
      <c r="C609" s="1">
        <v>2</v>
      </c>
      <c r="D609" s="1">
        <v>0</v>
      </c>
      <c r="E609" s="1" t="str">
        <f t="shared" si="19"/>
        <v>(F2.0)</v>
      </c>
      <c r="F609" s="1" t="str">
        <f t="shared" si="18"/>
        <v>alter type vKLI5m07 (F2.0).</v>
      </c>
    </row>
    <row r="610" spans="1:6" x14ac:dyDescent="0.25">
      <c r="A610" s="1" t="s">
        <v>1769</v>
      </c>
      <c r="B610" s="1" t="s">
        <v>30</v>
      </c>
      <c r="C610" s="1">
        <v>2</v>
      </c>
      <c r="D610" s="1">
        <v>0</v>
      </c>
      <c r="E610" s="1" t="str">
        <f t="shared" si="19"/>
        <v>(F2.0)</v>
      </c>
      <c r="F610" s="1" t="str">
        <f t="shared" si="18"/>
        <v>alter type vKLI5m08 (F2.0).</v>
      </c>
    </row>
    <row r="611" spans="1:6" x14ac:dyDescent="0.25">
      <c r="A611" s="1" t="s">
        <v>1771</v>
      </c>
      <c r="B611" s="1" t="s">
        <v>30</v>
      </c>
      <c r="C611" s="1">
        <v>2</v>
      </c>
      <c r="D611" s="1">
        <v>0</v>
      </c>
      <c r="E611" s="1" t="str">
        <f t="shared" si="19"/>
        <v>(F2.0)</v>
      </c>
      <c r="F611" s="1" t="str">
        <f t="shared" si="18"/>
        <v>alter type vKLI5m09 (F2.0).</v>
      </c>
    </row>
    <row r="612" spans="1:6" x14ac:dyDescent="0.25">
      <c r="A612" s="1" t="s">
        <v>1773</v>
      </c>
      <c r="B612" s="1" t="s">
        <v>30</v>
      </c>
      <c r="C612" s="1">
        <v>2</v>
      </c>
      <c r="D612" s="1">
        <v>0</v>
      </c>
      <c r="E612" s="1" t="str">
        <f t="shared" si="19"/>
        <v>(F2.0)</v>
      </c>
      <c r="F612" s="1" t="str">
        <f t="shared" si="18"/>
        <v>alter type vKLI5m10 (F2.0).</v>
      </c>
    </row>
    <row r="613" spans="1:6" x14ac:dyDescent="0.25">
      <c r="A613" s="1" t="s">
        <v>1775</v>
      </c>
      <c r="B613" s="1" t="s">
        <v>30</v>
      </c>
      <c r="C613" s="1">
        <v>2</v>
      </c>
      <c r="D613" s="1">
        <v>0</v>
      </c>
      <c r="E613" s="1" t="str">
        <f t="shared" si="19"/>
        <v>(F2.0)</v>
      </c>
      <c r="F613" s="1" t="str">
        <f t="shared" si="18"/>
        <v>alter type vKLI5m88 (F2.0).</v>
      </c>
    </row>
    <row r="614" spans="1:6" x14ac:dyDescent="0.25">
      <c r="A614" s="1" t="s">
        <v>1777</v>
      </c>
      <c r="B614" s="1" t="s">
        <v>27</v>
      </c>
      <c r="C614" s="1">
        <v>150</v>
      </c>
      <c r="D614" s="1">
        <v>0</v>
      </c>
      <c r="E614" s="1" t="str">
        <f t="shared" si="19"/>
        <v>(A150)</v>
      </c>
      <c r="F614" s="1" t="str">
        <f t="shared" si="18"/>
        <v>alter type vKLI5o88 (A150).</v>
      </c>
    </row>
    <row r="615" spans="1:6" x14ac:dyDescent="0.25">
      <c r="A615" s="1" t="s">
        <v>1778</v>
      </c>
      <c r="B615" s="1" t="s">
        <v>30</v>
      </c>
      <c r="C615" s="1">
        <v>14</v>
      </c>
      <c r="D615" s="1">
        <v>0</v>
      </c>
      <c r="E615" s="1" t="str">
        <f t="shared" si="19"/>
        <v>(F14.0)</v>
      </c>
      <c r="F615" s="1" t="str">
        <f t="shared" si="18"/>
        <v>alter type vP1 (F14.0).</v>
      </c>
    </row>
    <row r="616" spans="1:6" x14ac:dyDescent="0.25">
      <c r="A616" s="1" t="s">
        <v>1780</v>
      </c>
      <c r="B616" s="1" t="s">
        <v>30</v>
      </c>
      <c r="C616" s="1">
        <v>2</v>
      </c>
      <c r="D616" s="1">
        <v>0</v>
      </c>
      <c r="E616" s="1" t="str">
        <f t="shared" si="19"/>
        <v>(F2.0)</v>
      </c>
      <c r="F616" s="1" t="str">
        <f t="shared" si="18"/>
        <v>alter type vP1_1 (F2.0).</v>
      </c>
    </row>
    <row r="617" spans="1:6" x14ac:dyDescent="0.25">
      <c r="A617" s="1" t="s">
        <v>1782</v>
      </c>
      <c r="B617" s="1" t="s">
        <v>30</v>
      </c>
      <c r="C617" s="1">
        <v>2</v>
      </c>
      <c r="D617" s="1">
        <v>0</v>
      </c>
      <c r="E617" s="1" t="str">
        <f t="shared" si="19"/>
        <v>(F2.0)</v>
      </c>
      <c r="F617" s="1" t="str">
        <f t="shared" si="18"/>
        <v>alter type vP1_2 (F2.0).</v>
      </c>
    </row>
    <row r="618" spans="1:6" x14ac:dyDescent="0.25">
      <c r="A618" s="1" t="s">
        <v>1784</v>
      </c>
      <c r="B618" s="1" t="s">
        <v>30</v>
      </c>
      <c r="C618" s="1">
        <v>2</v>
      </c>
      <c r="D618" s="1">
        <v>0</v>
      </c>
      <c r="E618" s="1" t="str">
        <f t="shared" si="19"/>
        <v>(F2.0)</v>
      </c>
      <c r="F618" s="1" t="str">
        <f t="shared" si="18"/>
        <v>alter type vP1_3 (F2.0).</v>
      </c>
    </row>
    <row r="619" spans="1:6" x14ac:dyDescent="0.25">
      <c r="A619" s="1" t="s">
        <v>1786</v>
      </c>
      <c r="B619" s="1" t="s">
        <v>30</v>
      </c>
      <c r="C619" s="1">
        <v>2</v>
      </c>
      <c r="D619" s="1">
        <v>0</v>
      </c>
      <c r="E619" s="1" t="str">
        <f t="shared" si="19"/>
        <v>(F2.0)</v>
      </c>
      <c r="F619" s="1" t="str">
        <f t="shared" si="18"/>
        <v>alter type vP1_4 (F2.0).</v>
      </c>
    </row>
    <row r="620" spans="1:6" x14ac:dyDescent="0.25">
      <c r="A620" s="1" t="s">
        <v>1788</v>
      </c>
      <c r="B620" s="1" t="s">
        <v>30</v>
      </c>
      <c r="C620" s="1">
        <v>2</v>
      </c>
      <c r="D620" s="1">
        <v>0</v>
      </c>
      <c r="E620" s="1" t="str">
        <f t="shared" si="19"/>
        <v>(F2.0)</v>
      </c>
      <c r="F620" s="1" t="str">
        <f t="shared" si="18"/>
        <v>alter type vP1_5 (F2.0).</v>
      </c>
    </row>
    <row r="621" spans="1:6" x14ac:dyDescent="0.25">
      <c r="A621" s="1" t="s">
        <v>1790</v>
      </c>
      <c r="B621" s="1" t="s">
        <v>30</v>
      </c>
      <c r="C621" s="1">
        <v>2</v>
      </c>
      <c r="D621" s="1">
        <v>0</v>
      </c>
      <c r="E621" s="1" t="str">
        <f t="shared" si="19"/>
        <v>(F2.0)</v>
      </c>
      <c r="F621" s="1" t="str">
        <f t="shared" si="18"/>
        <v>alter type vP1_6 (F2.0).</v>
      </c>
    </row>
    <row r="622" spans="1:6" x14ac:dyDescent="0.25">
      <c r="A622" s="1" t="s">
        <v>266</v>
      </c>
      <c r="B622" s="1" t="s">
        <v>30</v>
      </c>
      <c r="C622" s="1">
        <v>4</v>
      </c>
      <c r="D622" s="1">
        <v>1</v>
      </c>
      <c r="E622" s="1" t="str">
        <f t="shared" si="19"/>
        <v>(F4.1)</v>
      </c>
      <c r="F622" s="1" t="str">
        <f t="shared" si="18"/>
        <v>alter type vKYT1 (F4.1).</v>
      </c>
    </row>
    <row r="623" spans="1:6" x14ac:dyDescent="0.25">
      <c r="A623" s="1" t="s">
        <v>267</v>
      </c>
      <c r="B623" s="1" t="s">
        <v>30</v>
      </c>
      <c r="C623" s="1">
        <v>5</v>
      </c>
      <c r="D623" s="1">
        <v>0</v>
      </c>
      <c r="E623" s="1" t="str">
        <f t="shared" si="19"/>
        <v>(F5.0)</v>
      </c>
      <c r="F623" s="1" t="str">
        <f t="shared" si="18"/>
        <v>alter type vKYT2 (F5.0).</v>
      </c>
    </row>
    <row r="624" spans="1:6" x14ac:dyDescent="0.25">
      <c r="A624" s="1" t="s">
        <v>1794</v>
      </c>
      <c r="B624" s="1" t="s">
        <v>30</v>
      </c>
      <c r="C624" s="1">
        <v>2</v>
      </c>
      <c r="D624" s="1">
        <v>0</v>
      </c>
      <c r="E624" s="1" t="str">
        <f t="shared" si="19"/>
        <v>(F2.0)</v>
      </c>
      <c r="F624" s="1" t="str">
        <f t="shared" si="18"/>
        <v>alter type vKYT3m01 (F2.0).</v>
      </c>
    </row>
    <row r="625" spans="1:6" x14ac:dyDescent="0.25">
      <c r="A625" s="1" t="s">
        <v>1796</v>
      </c>
      <c r="B625" s="1" t="s">
        <v>30</v>
      </c>
      <c r="C625" s="1">
        <v>2</v>
      </c>
      <c r="D625" s="1">
        <v>0</v>
      </c>
      <c r="E625" s="1" t="str">
        <f t="shared" si="19"/>
        <v>(F2.0)</v>
      </c>
      <c r="F625" s="1" t="str">
        <f t="shared" si="18"/>
        <v>alter type vKYT3m02 (F2.0).</v>
      </c>
    </row>
    <row r="626" spans="1:6" x14ac:dyDescent="0.25">
      <c r="A626" s="1" t="s">
        <v>1798</v>
      </c>
      <c r="B626" s="1" t="s">
        <v>30</v>
      </c>
      <c r="C626" s="1">
        <v>2</v>
      </c>
      <c r="D626" s="1">
        <v>0</v>
      </c>
      <c r="E626" s="1" t="str">
        <f t="shared" si="19"/>
        <v>(F2.0)</v>
      </c>
      <c r="F626" s="1" t="str">
        <f t="shared" si="18"/>
        <v>alter type vKYT3m03 (F2.0).</v>
      </c>
    </row>
    <row r="627" spans="1:6" x14ac:dyDescent="0.25">
      <c r="A627" s="1" t="s">
        <v>1800</v>
      </c>
      <c r="B627" s="1" t="s">
        <v>30</v>
      </c>
      <c r="C627" s="1">
        <v>2</v>
      </c>
      <c r="D627" s="1">
        <v>0</v>
      </c>
      <c r="E627" s="1" t="str">
        <f t="shared" si="19"/>
        <v>(F2.0)</v>
      </c>
      <c r="F627" s="1" t="str">
        <f t="shared" si="18"/>
        <v>alter type vKYT3m04 (F2.0).</v>
      </c>
    </row>
    <row r="628" spans="1:6" x14ac:dyDescent="0.25">
      <c r="A628" s="1" t="s">
        <v>1802</v>
      </c>
      <c r="B628" s="1" t="s">
        <v>30</v>
      </c>
      <c r="C628" s="1">
        <v>2</v>
      </c>
      <c r="D628" s="1">
        <v>0</v>
      </c>
      <c r="E628" s="1" t="str">
        <f t="shared" si="19"/>
        <v>(F2.0)</v>
      </c>
      <c r="F628" s="1" t="str">
        <f t="shared" si="18"/>
        <v>alter type vKYT3m05 (F2.0).</v>
      </c>
    </row>
    <row r="629" spans="1:6" x14ac:dyDescent="0.25">
      <c r="A629" s="1" t="s">
        <v>1804</v>
      </c>
      <c r="B629" s="1" t="s">
        <v>30</v>
      </c>
      <c r="C629" s="1">
        <v>2</v>
      </c>
      <c r="D629" s="1">
        <v>0</v>
      </c>
      <c r="E629" s="1" t="str">
        <f t="shared" si="19"/>
        <v>(F2.0)</v>
      </c>
      <c r="F629" s="1" t="str">
        <f t="shared" si="18"/>
        <v>alter type vKYT3m06 (F2.0).</v>
      </c>
    </row>
    <row r="630" spans="1:6" x14ac:dyDescent="0.25">
      <c r="A630" s="1" t="s">
        <v>1806</v>
      </c>
      <c r="B630" s="1" t="s">
        <v>30</v>
      </c>
      <c r="C630" s="1">
        <v>2</v>
      </c>
      <c r="D630" s="1">
        <v>0</v>
      </c>
      <c r="E630" s="1" t="str">
        <f t="shared" si="19"/>
        <v>(F2.0)</v>
      </c>
      <c r="F630" s="1" t="str">
        <f t="shared" si="18"/>
        <v>alter type vKYT3m07 (F2.0).</v>
      </c>
    </row>
    <row r="631" spans="1:6" x14ac:dyDescent="0.25">
      <c r="A631" s="1" t="s">
        <v>1808</v>
      </c>
      <c r="B631" s="1" t="s">
        <v>30</v>
      </c>
      <c r="C631" s="1">
        <v>2</v>
      </c>
      <c r="D631" s="1">
        <v>0</v>
      </c>
      <c r="E631" s="1" t="str">
        <f t="shared" si="19"/>
        <v>(F2.0)</v>
      </c>
      <c r="F631" s="1" t="str">
        <f t="shared" si="18"/>
        <v>alter type vKYT3m08 (F2.0).</v>
      </c>
    </row>
    <row r="632" spans="1:6" x14ac:dyDescent="0.25">
      <c r="A632" s="1" t="s">
        <v>1810</v>
      </c>
      <c r="B632" s="1" t="s">
        <v>30</v>
      </c>
      <c r="C632" s="1">
        <v>2</v>
      </c>
      <c r="D632" s="1">
        <v>0</v>
      </c>
      <c r="E632" s="1" t="str">
        <f t="shared" si="19"/>
        <v>(F2.0)</v>
      </c>
      <c r="F632" s="1" t="str">
        <f t="shared" si="18"/>
        <v>alter type vKYT3m09 (F2.0).</v>
      </c>
    </row>
    <row r="633" spans="1:6" x14ac:dyDescent="0.25">
      <c r="A633" s="1" t="s">
        <v>1812</v>
      </c>
      <c r="B633" s="1" t="s">
        <v>30</v>
      </c>
      <c r="C633" s="1">
        <v>2</v>
      </c>
      <c r="D633" s="1">
        <v>0</v>
      </c>
      <c r="E633" s="1" t="str">
        <f t="shared" si="19"/>
        <v>(F2.0)</v>
      </c>
      <c r="F633" s="1" t="str">
        <f t="shared" si="18"/>
        <v>alter type vKYT3m10 (F2.0).</v>
      </c>
    </row>
    <row r="634" spans="1:6" x14ac:dyDescent="0.25">
      <c r="A634" s="1" t="s">
        <v>1814</v>
      </c>
      <c r="B634" s="1" t="s">
        <v>30</v>
      </c>
      <c r="C634" s="1">
        <v>2</v>
      </c>
      <c r="D634" s="1">
        <v>0</v>
      </c>
      <c r="E634" s="1" t="str">
        <f t="shared" si="19"/>
        <v>(F2.0)</v>
      </c>
      <c r="F634" s="1" t="str">
        <f t="shared" si="18"/>
        <v>alter type vKYT3m11 (F2.0).</v>
      </c>
    </row>
    <row r="635" spans="1:6" x14ac:dyDescent="0.25">
      <c r="A635" s="1" t="s">
        <v>1816</v>
      </c>
      <c r="B635" s="1" t="s">
        <v>30</v>
      </c>
      <c r="C635" s="1">
        <v>2</v>
      </c>
      <c r="D635" s="1">
        <v>0</v>
      </c>
      <c r="E635" s="1" t="str">
        <f t="shared" si="19"/>
        <v>(F2.0)</v>
      </c>
      <c r="F635" s="1" t="str">
        <f t="shared" si="18"/>
        <v>alter type vKYT3m12 (F2.0).</v>
      </c>
    </row>
    <row r="636" spans="1:6" x14ac:dyDescent="0.25">
      <c r="A636" s="1" t="s">
        <v>1818</v>
      </c>
      <c r="B636" s="1" t="s">
        <v>30</v>
      </c>
      <c r="C636" s="1">
        <v>2</v>
      </c>
      <c r="D636" s="1">
        <v>0</v>
      </c>
      <c r="E636" s="1" t="str">
        <f t="shared" si="19"/>
        <v>(F2.0)</v>
      </c>
      <c r="F636" s="1" t="str">
        <f t="shared" si="18"/>
        <v>alter type vKYT3m13 (F2.0).</v>
      </c>
    </row>
    <row r="637" spans="1:6" x14ac:dyDescent="0.25">
      <c r="A637" s="1" t="s">
        <v>1820</v>
      </c>
      <c r="B637" s="1" t="s">
        <v>30</v>
      </c>
      <c r="C637" s="1">
        <v>2</v>
      </c>
      <c r="D637" s="1">
        <v>0</v>
      </c>
      <c r="E637" s="1" t="str">
        <f t="shared" si="19"/>
        <v>(F2.0)</v>
      </c>
      <c r="F637" s="1" t="str">
        <f t="shared" si="18"/>
        <v>alter type vKYT3m14 (F2.0).</v>
      </c>
    </row>
    <row r="638" spans="1:6" x14ac:dyDescent="0.25">
      <c r="A638" s="1" t="s">
        <v>1822</v>
      </c>
      <c r="B638" s="1" t="s">
        <v>30</v>
      </c>
      <c r="C638" s="1">
        <v>2</v>
      </c>
      <c r="D638" s="1">
        <v>0</v>
      </c>
      <c r="E638" s="1" t="str">
        <f t="shared" si="19"/>
        <v>(F2.0)</v>
      </c>
      <c r="F638" s="1" t="str">
        <f t="shared" si="18"/>
        <v>alter type vKYT3m15 (F2.0).</v>
      </c>
    </row>
    <row r="639" spans="1:6" x14ac:dyDescent="0.25">
      <c r="A639" s="1" t="s">
        <v>1824</v>
      </c>
      <c r="B639" s="1" t="s">
        <v>30</v>
      </c>
      <c r="C639" s="1">
        <v>2</v>
      </c>
      <c r="D639" s="1">
        <v>0</v>
      </c>
      <c r="E639" s="1" t="str">
        <f t="shared" si="19"/>
        <v>(F2.0)</v>
      </c>
      <c r="F639" s="1" t="str">
        <f t="shared" si="18"/>
        <v>alter type vKYT3m16 (F2.0).</v>
      </c>
    </row>
    <row r="640" spans="1:6" x14ac:dyDescent="0.25">
      <c r="A640" s="1" t="s">
        <v>1826</v>
      </c>
      <c r="B640" s="1" t="s">
        <v>30</v>
      </c>
      <c r="C640" s="1">
        <v>2</v>
      </c>
      <c r="D640" s="1">
        <v>0</v>
      </c>
      <c r="E640" s="1" t="str">
        <f t="shared" si="19"/>
        <v>(F2.0)</v>
      </c>
      <c r="F640" s="1" t="str">
        <f t="shared" si="18"/>
        <v>alter type vKYT3m17 (F2.0).</v>
      </c>
    </row>
    <row r="641" spans="1:6" x14ac:dyDescent="0.25">
      <c r="A641" s="1" t="s">
        <v>1828</v>
      </c>
      <c r="B641" s="1" t="s">
        <v>30</v>
      </c>
      <c r="C641" s="1">
        <v>2</v>
      </c>
      <c r="D641" s="1">
        <v>0</v>
      </c>
      <c r="E641" s="1" t="str">
        <f t="shared" si="19"/>
        <v>(F2.0)</v>
      </c>
      <c r="F641" s="1" t="str">
        <f t="shared" si="18"/>
        <v>alter type vKYT3m88 (F2.0).</v>
      </c>
    </row>
    <row r="642" spans="1:6" x14ac:dyDescent="0.25">
      <c r="A642" s="1" t="s">
        <v>1830</v>
      </c>
      <c r="B642" s="1" t="s">
        <v>27</v>
      </c>
      <c r="C642" s="1">
        <v>150</v>
      </c>
      <c r="D642" s="1">
        <v>0</v>
      </c>
      <c r="E642" s="1" t="str">
        <f t="shared" si="19"/>
        <v>(A150)</v>
      </c>
      <c r="F642" s="1" t="str">
        <f t="shared" ref="F642:F705" si="20">"alter type "&amp;A642&amp;" "&amp;E642&amp;"."</f>
        <v>alter type vKYT3o88 (A150).</v>
      </c>
    </row>
    <row r="643" spans="1:6" x14ac:dyDescent="0.25">
      <c r="A643" s="1" t="s">
        <v>1831</v>
      </c>
      <c r="B643" s="1" t="s">
        <v>30</v>
      </c>
      <c r="C643" s="1">
        <v>2</v>
      </c>
      <c r="D643" s="1">
        <v>0</v>
      </c>
      <c r="E643" s="1" t="str">
        <f t="shared" ref="E643:E706" si="21">IF(B643="數值","(F"&amp;C643&amp;"."&amp;D643&amp;")","(A"&amp;C643&amp;")")</f>
        <v>(F2.0)</v>
      </c>
      <c r="F643" s="1" t="str">
        <f t="shared" si="20"/>
        <v>alter type vKYT4m01 (F2.0).</v>
      </c>
    </row>
    <row r="644" spans="1:6" x14ac:dyDescent="0.25">
      <c r="A644" s="1" t="s">
        <v>1833</v>
      </c>
      <c r="B644" s="1" t="s">
        <v>30</v>
      </c>
      <c r="C644" s="1">
        <v>2</v>
      </c>
      <c r="D644" s="1">
        <v>0</v>
      </c>
      <c r="E644" s="1" t="str">
        <f t="shared" si="21"/>
        <v>(F2.0)</v>
      </c>
      <c r="F644" s="1" t="str">
        <f t="shared" si="20"/>
        <v>alter type vKYT4m02 (F2.0).</v>
      </c>
    </row>
    <row r="645" spans="1:6" x14ac:dyDescent="0.25">
      <c r="A645" s="1" t="s">
        <v>1835</v>
      </c>
      <c r="B645" s="1" t="s">
        <v>30</v>
      </c>
      <c r="C645" s="1">
        <v>2</v>
      </c>
      <c r="D645" s="1">
        <v>0</v>
      </c>
      <c r="E645" s="1" t="str">
        <f t="shared" si="21"/>
        <v>(F2.0)</v>
      </c>
      <c r="F645" s="1" t="str">
        <f t="shared" si="20"/>
        <v>alter type vKYT4m03 (F2.0).</v>
      </c>
    </row>
    <row r="646" spans="1:6" x14ac:dyDescent="0.25">
      <c r="A646" s="1" t="s">
        <v>1837</v>
      </c>
      <c r="B646" s="1" t="s">
        <v>30</v>
      </c>
      <c r="C646" s="1">
        <v>2</v>
      </c>
      <c r="D646" s="1">
        <v>0</v>
      </c>
      <c r="E646" s="1" t="str">
        <f t="shared" si="21"/>
        <v>(F2.0)</v>
      </c>
      <c r="F646" s="1" t="str">
        <f t="shared" si="20"/>
        <v>alter type vKYT4m04 (F2.0).</v>
      </c>
    </row>
    <row r="647" spans="1:6" x14ac:dyDescent="0.25">
      <c r="A647" s="1" t="s">
        <v>1839</v>
      </c>
      <c r="B647" s="1" t="s">
        <v>30</v>
      </c>
      <c r="C647" s="1">
        <v>2</v>
      </c>
      <c r="D647" s="1">
        <v>0</v>
      </c>
      <c r="E647" s="1" t="str">
        <f t="shared" si="21"/>
        <v>(F2.0)</v>
      </c>
      <c r="F647" s="1" t="str">
        <f t="shared" si="20"/>
        <v>alter type vKYT4m05 (F2.0).</v>
      </c>
    </row>
    <row r="648" spans="1:6" x14ac:dyDescent="0.25">
      <c r="A648" s="1" t="s">
        <v>1841</v>
      </c>
      <c r="B648" s="1" t="s">
        <v>30</v>
      </c>
      <c r="C648" s="1">
        <v>2</v>
      </c>
      <c r="D648" s="1">
        <v>0</v>
      </c>
      <c r="E648" s="1" t="str">
        <f t="shared" si="21"/>
        <v>(F2.0)</v>
      </c>
      <c r="F648" s="1" t="str">
        <f t="shared" si="20"/>
        <v>alter type vKYT4m06 (F2.0).</v>
      </c>
    </row>
    <row r="649" spans="1:6" x14ac:dyDescent="0.25">
      <c r="A649" s="1" t="s">
        <v>1843</v>
      </c>
      <c r="B649" s="1" t="s">
        <v>30</v>
      </c>
      <c r="C649" s="1">
        <v>2</v>
      </c>
      <c r="D649" s="1">
        <v>0</v>
      </c>
      <c r="E649" s="1" t="str">
        <f t="shared" si="21"/>
        <v>(F2.0)</v>
      </c>
      <c r="F649" s="1" t="str">
        <f t="shared" si="20"/>
        <v>alter type vKYT4m07 (F2.0).</v>
      </c>
    </row>
    <row r="650" spans="1:6" x14ac:dyDescent="0.25">
      <c r="A650" s="1" t="s">
        <v>1845</v>
      </c>
      <c r="B650" s="1" t="s">
        <v>30</v>
      </c>
      <c r="C650" s="1">
        <v>2</v>
      </c>
      <c r="D650" s="1">
        <v>0</v>
      </c>
      <c r="E650" s="1" t="str">
        <f t="shared" si="21"/>
        <v>(F2.0)</v>
      </c>
      <c r="F650" s="1" t="str">
        <f t="shared" si="20"/>
        <v>alter type vKYT4m08 (F2.0).</v>
      </c>
    </row>
    <row r="651" spans="1:6" x14ac:dyDescent="0.25">
      <c r="A651" s="1" t="s">
        <v>1847</v>
      </c>
      <c r="B651" s="1" t="s">
        <v>30</v>
      </c>
      <c r="C651" s="1">
        <v>2</v>
      </c>
      <c r="D651" s="1">
        <v>0</v>
      </c>
      <c r="E651" s="1" t="str">
        <f t="shared" si="21"/>
        <v>(F2.0)</v>
      </c>
      <c r="F651" s="1" t="str">
        <f t="shared" si="20"/>
        <v>alter type vKYT4m09 (F2.0).</v>
      </c>
    </row>
    <row r="652" spans="1:6" x14ac:dyDescent="0.25">
      <c r="A652" s="1" t="s">
        <v>1849</v>
      </c>
      <c r="B652" s="1" t="s">
        <v>30</v>
      </c>
      <c r="C652" s="1">
        <v>2</v>
      </c>
      <c r="D652" s="1">
        <v>0</v>
      </c>
      <c r="E652" s="1" t="str">
        <f t="shared" si="21"/>
        <v>(F2.0)</v>
      </c>
      <c r="F652" s="1" t="str">
        <f t="shared" si="20"/>
        <v>alter type vKYT4m10 (F2.0).</v>
      </c>
    </row>
    <row r="653" spans="1:6" x14ac:dyDescent="0.25">
      <c r="A653" s="1" t="s">
        <v>1851</v>
      </c>
      <c r="B653" s="1" t="s">
        <v>30</v>
      </c>
      <c r="C653" s="1">
        <v>2</v>
      </c>
      <c r="D653" s="1">
        <v>0</v>
      </c>
      <c r="E653" s="1" t="str">
        <f t="shared" si="21"/>
        <v>(F2.0)</v>
      </c>
      <c r="F653" s="1" t="str">
        <f t="shared" si="20"/>
        <v>alter type vKYT4m11 (F2.0).</v>
      </c>
    </row>
    <row r="654" spans="1:6" x14ac:dyDescent="0.25">
      <c r="A654" s="1" t="s">
        <v>1853</v>
      </c>
      <c r="B654" s="1" t="s">
        <v>30</v>
      </c>
      <c r="C654" s="1">
        <v>2</v>
      </c>
      <c r="D654" s="1">
        <v>0</v>
      </c>
      <c r="E654" s="1" t="str">
        <f t="shared" si="21"/>
        <v>(F2.0)</v>
      </c>
      <c r="F654" s="1" t="str">
        <f t="shared" si="20"/>
        <v>alter type vKYT4m88 (F2.0).</v>
      </c>
    </row>
    <row r="655" spans="1:6" x14ac:dyDescent="0.25">
      <c r="A655" s="1" t="s">
        <v>1855</v>
      </c>
      <c r="B655" s="1" t="s">
        <v>27</v>
      </c>
      <c r="C655" s="1">
        <v>150</v>
      </c>
      <c r="D655" s="1">
        <v>0</v>
      </c>
      <c r="E655" s="1" t="str">
        <f t="shared" si="21"/>
        <v>(A150)</v>
      </c>
      <c r="F655" s="1" t="str">
        <f t="shared" si="20"/>
        <v>alter type vKYT4o88 (A150).</v>
      </c>
    </row>
    <row r="656" spans="1:6" x14ac:dyDescent="0.25">
      <c r="A656" s="1" t="s">
        <v>1856</v>
      </c>
      <c r="B656" s="1" t="s">
        <v>30</v>
      </c>
      <c r="C656" s="1">
        <v>2</v>
      </c>
      <c r="D656" s="1">
        <v>0</v>
      </c>
      <c r="E656" s="1" t="str">
        <f t="shared" si="21"/>
        <v>(F2.0)</v>
      </c>
      <c r="F656" s="1" t="str">
        <f t="shared" si="20"/>
        <v>alter type vKYT5m01 (F2.0).</v>
      </c>
    </row>
    <row r="657" spans="1:6" x14ac:dyDescent="0.25">
      <c r="A657" s="1" t="s">
        <v>1858</v>
      </c>
      <c r="B657" s="1" t="s">
        <v>30</v>
      </c>
      <c r="C657" s="1">
        <v>2</v>
      </c>
      <c r="D657" s="1">
        <v>0</v>
      </c>
      <c r="E657" s="1" t="str">
        <f t="shared" si="21"/>
        <v>(F2.0)</v>
      </c>
      <c r="F657" s="1" t="str">
        <f t="shared" si="20"/>
        <v>alter type vKYT5m02 (F2.0).</v>
      </c>
    </row>
    <row r="658" spans="1:6" x14ac:dyDescent="0.25">
      <c r="A658" s="1" t="s">
        <v>1859</v>
      </c>
      <c r="B658" s="1" t="s">
        <v>30</v>
      </c>
      <c r="C658" s="1">
        <v>2</v>
      </c>
      <c r="D658" s="1">
        <v>0</v>
      </c>
      <c r="E658" s="1" t="str">
        <f t="shared" si="21"/>
        <v>(F2.0)</v>
      </c>
      <c r="F658" s="1" t="str">
        <f t="shared" si="20"/>
        <v>alter type vKYT5m03 (F2.0).</v>
      </c>
    </row>
    <row r="659" spans="1:6" x14ac:dyDescent="0.25">
      <c r="A659" s="1" t="s">
        <v>1860</v>
      </c>
      <c r="B659" s="1" t="s">
        <v>30</v>
      </c>
      <c r="C659" s="1">
        <v>2</v>
      </c>
      <c r="D659" s="1">
        <v>0</v>
      </c>
      <c r="E659" s="1" t="str">
        <f t="shared" si="21"/>
        <v>(F2.0)</v>
      </c>
      <c r="F659" s="1" t="str">
        <f t="shared" si="20"/>
        <v>alter type vKYT5m04 (F2.0).</v>
      </c>
    </row>
    <row r="660" spans="1:6" x14ac:dyDescent="0.25">
      <c r="A660" s="1" t="s">
        <v>1861</v>
      </c>
      <c r="B660" s="1" t="s">
        <v>30</v>
      </c>
      <c r="C660" s="1">
        <v>2</v>
      </c>
      <c r="D660" s="1">
        <v>0</v>
      </c>
      <c r="E660" s="1" t="str">
        <f t="shared" si="21"/>
        <v>(F2.0)</v>
      </c>
      <c r="F660" s="1" t="str">
        <f t="shared" si="20"/>
        <v>alter type vKYT5m05 (F2.0).</v>
      </c>
    </row>
    <row r="661" spans="1:6" x14ac:dyDescent="0.25">
      <c r="A661" s="1" t="s">
        <v>1862</v>
      </c>
      <c r="B661" s="1" t="s">
        <v>30</v>
      </c>
      <c r="C661" s="1">
        <v>2</v>
      </c>
      <c r="D661" s="1">
        <v>0</v>
      </c>
      <c r="E661" s="1" t="str">
        <f t="shared" si="21"/>
        <v>(F2.0)</v>
      </c>
      <c r="F661" s="1" t="str">
        <f t="shared" si="20"/>
        <v>alter type vKYT5m06 (F2.0).</v>
      </c>
    </row>
    <row r="662" spans="1:6" x14ac:dyDescent="0.25">
      <c r="A662" s="1" t="s">
        <v>1863</v>
      </c>
      <c r="B662" s="1" t="s">
        <v>30</v>
      </c>
      <c r="C662" s="1">
        <v>2</v>
      </c>
      <c r="D662" s="1">
        <v>0</v>
      </c>
      <c r="E662" s="1" t="str">
        <f t="shared" si="21"/>
        <v>(F2.0)</v>
      </c>
      <c r="F662" s="1" t="str">
        <f t="shared" si="20"/>
        <v>alter type vKYT5m07 (F2.0).</v>
      </c>
    </row>
    <row r="663" spans="1:6" x14ac:dyDescent="0.25">
      <c r="A663" s="1" t="s">
        <v>1864</v>
      </c>
      <c r="B663" s="1" t="s">
        <v>30</v>
      </c>
      <c r="C663" s="1">
        <v>2</v>
      </c>
      <c r="D663" s="1">
        <v>0</v>
      </c>
      <c r="E663" s="1" t="str">
        <f t="shared" si="21"/>
        <v>(F2.0)</v>
      </c>
      <c r="F663" s="1" t="str">
        <f t="shared" si="20"/>
        <v>alter type vKYT5m08 (F2.0).</v>
      </c>
    </row>
    <row r="664" spans="1:6" x14ac:dyDescent="0.25">
      <c r="A664" s="1" t="s">
        <v>1865</v>
      </c>
      <c r="B664" s="1" t="s">
        <v>30</v>
      </c>
      <c r="C664" s="1">
        <v>2</v>
      </c>
      <c r="D664" s="1">
        <v>0</v>
      </c>
      <c r="E664" s="1" t="str">
        <f t="shared" si="21"/>
        <v>(F2.0)</v>
      </c>
      <c r="F664" s="1" t="str">
        <f t="shared" si="20"/>
        <v>alter type vKYT5m09 (F2.0).</v>
      </c>
    </row>
    <row r="665" spans="1:6" x14ac:dyDescent="0.25">
      <c r="A665" s="1" t="s">
        <v>1866</v>
      </c>
      <c r="B665" s="1" t="s">
        <v>30</v>
      </c>
      <c r="C665" s="1">
        <v>2</v>
      </c>
      <c r="D665" s="1">
        <v>0</v>
      </c>
      <c r="E665" s="1" t="str">
        <f t="shared" si="21"/>
        <v>(F2.0)</v>
      </c>
      <c r="F665" s="1" t="str">
        <f t="shared" si="20"/>
        <v>alter type vKYT5m10 (F2.0).</v>
      </c>
    </row>
    <row r="666" spans="1:6" x14ac:dyDescent="0.25">
      <c r="A666" s="1" t="s">
        <v>1867</v>
      </c>
      <c r="B666" s="1" t="s">
        <v>30</v>
      </c>
      <c r="C666" s="1">
        <v>2</v>
      </c>
      <c r="D666" s="1">
        <v>0</v>
      </c>
      <c r="E666" s="1" t="str">
        <f t="shared" si="21"/>
        <v>(F2.0)</v>
      </c>
      <c r="F666" s="1" t="str">
        <f t="shared" si="20"/>
        <v>alter type vKYT5m11 (F2.0).</v>
      </c>
    </row>
    <row r="667" spans="1:6" x14ac:dyDescent="0.25">
      <c r="A667" s="1" t="s">
        <v>1868</v>
      </c>
      <c r="B667" s="1" t="s">
        <v>30</v>
      </c>
      <c r="C667" s="1">
        <v>2</v>
      </c>
      <c r="D667" s="1">
        <v>0</v>
      </c>
      <c r="E667" s="1" t="str">
        <f t="shared" si="21"/>
        <v>(F2.0)</v>
      </c>
      <c r="F667" s="1" t="str">
        <f t="shared" si="20"/>
        <v>alter type vKYT5m12 (F2.0).</v>
      </c>
    </row>
    <row r="668" spans="1:6" x14ac:dyDescent="0.25">
      <c r="A668" s="1" t="s">
        <v>1869</v>
      </c>
      <c r="B668" s="1" t="s">
        <v>30</v>
      </c>
      <c r="C668" s="1">
        <v>2</v>
      </c>
      <c r="D668" s="1">
        <v>0</v>
      </c>
      <c r="E668" s="1" t="str">
        <f t="shared" si="21"/>
        <v>(F2.0)</v>
      </c>
      <c r="F668" s="1" t="str">
        <f t="shared" si="20"/>
        <v>alter type vKYT5m13 (F2.0).</v>
      </c>
    </row>
    <row r="669" spans="1:6" x14ac:dyDescent="0.25">
      <c r="A669" s="1" t="s">
        <v>1870</v>
      </c>
      <c r="B669" s="1" t="s">
        <v>30</v>
      </c>
      <c r="C669" s="1">
        <v>2</v>
      </c>
      <c r="D669" s="1">
        <v>0</v>
      </c>
      <c r="E669" s="1" t="str">
        <f t="shared" si="21"/>
        <v>(F2.0)</v>
      </c>
      <c r="F669" s="1" t="str">
        <f t="shared" si="20"/>
        <v>alter type vKYT5m14 (F2.0).</v>
      </c>
    </row>
    <row r="670" spans="1:6" x14ac:dyDescent="0.25">
      <c r="A670" s="1" t="s">
        <v>1871</v>
      </c>
      <c r="B670" s="1" t="s">
        <v>30</v>
      </c>
      <c r="C670" s="1">
        <v>2</v>
      </c>
      <c r="D670" s="1">
        <v>0</v>
      </c>
      <c r="E670" s="1" t="str">
        <f t="shared" si="21"/>
        <v>(F2.0)</v>
      </c>
      <c r="F670" s="1" t="str">
        <f t="shared" si="20"/>
        <v>alter type vKYT5m15 (F2.0).</v>
      </c>
    </row>
    <row r="671" spans="1:6" x14ac:dyDescent="0.25">
      <c r="A671" s="1" t="s">
        <v>1872</v>
      </c>
      <c r="B671" s="1" t="s">
        <v>30</v>
      </c>
      <c r="C671" s="1">
        <v>2</v>
      </c>
      <c r="D671" s="1">
        <v>0</v>
      </c>
      <c r="E671" s="1" t="str">
        <f t="shared" si="21"/>
        <v>(F2.0)</v>
      </c>
      <c r="F671" s="1" t="str">
        <f t="shared" si="20"/>
        <v>alter type vKYT5m16 (F2.0).</v>
      </c>
    </row>
    <row r="672" spans="1:6" x14ac:dyDescent="0.25">
      <c r="A672" s="1" t="s">
        <v>1873</v>
      </c>
      <c r="B672" s="1" t="s">
        <v>30</v>
      </c>
      <c r="C672" s="1">
        <v>2</v>
      </c>
      <c r="D672" s="1">
        <v>0</v>
      </c>
      <c r="E672" s="1" t="str">
        <f t="shared" si="21"/>
        <v>(F2.0)</v>
      </c>
      <c r="F672" s="1" t="str">
        <f t="shared" si="20"/>
        <v>alter type vKYT5m17 (F2.0).</v>
      </c>
    </row>
    <row r="673" spans="1:6" x14ac:dyDescent="0.25">
      <c r="A673" s="1" t="s">
        <v>1874</v>
      </c>
      <c r="B673" s="1" t="s">
        <v>30</v>
      </c>
      <c r="C673" s="1">
        <v>2</v>
      </c>
      <c r="D673" s="1">
        <v>0</v>
      </c>
      <c r="E673" s="1" t="str">
        <f t="shared" si="21"/>
        <v>(F2.0)</v>
      </c>
      <c r="F673" s="1" t="str">
        <f t="shared" si="20"/>
        <v>alter type vKYT5m18 (F2.0).</v>
      </c>
    </row>
    <row r="674" spans="1:6" x14ac:dyDescent="0.25">
      <c r="A674" s="1" t="s">
        <v>1875</v>
      </c>
      <c r="B674" s="1" t="s">
        <v>30</v>
      </c>
      <c r="C674" s="1">
        <v>2</v>
      </c>
      <c r="D674" s="1">
        <v>0</v>
      </c>
      <c r="E674" s="1" t="str">
        <f t="shared" si="21"/>
        <v>(F2.0)</v>
      </c>
      <c r="F674" s="1" t="str">
        <f t="shared" si="20"/>
        <v>alter type vKYT5m19 (F2.0).</v>
      </c>
    </row>
    <row r="675" spans="1:6" x14ac:dyDescent="0.25">
      <c r="A675" s="1" t="s">
        <v>1876</v>
      </c>
      <c r="B675" s="1" t="s">
        <v>30</v>
      </c>
      <c r="C675" s="1">
        <v>2</v>
      </c>
      <c r="D675" s="1">
        <v>0</v>
      </c>
      <c r="E675" s="1" t="str">
        <f t="shared" si="21"/>
        <v>(F2.0)</v>
      </c>
      <c r="F675" s="1" t="str">
        <f t="shared" si="20"/>
        <v>alter type vKYT5m20 (F2.0).</v>
      </c>
    </row>
    <row r="676" spans="1:6" x14ac:dyDescent="0.25">
      <c r="A676" s="1" t="s">
        <v>1877</v>
      </c>
      <c r="B676" s="1" t="s">
        <v>30</v>
      </c>
      <c r="C676" s="1">
        <v>2</v>
      </c>
      <c r="D676" s="1">
        <v>0</v>
      </c>
      <c r="E676" s="1" t="str">
        <f t="shared" si="21"/>
        <v>(F2.0)</v>
      </c>
      <c r="F676" s="1" t="str">
        <f t="shared" si="20"/>
        <v>alter type vKYT5m21 (F2.0).</v>
      </c>
    </row>
    <row r="677" spans="1:6" x14ac:dyDescent="0.25">
      <c r="A677" s="1" t="s">
        <v>1878</v>
      </c>
      <c r="B677" s="1" t="s">
        <v>30</v>
      </c>
      <c r="C677" s="1">
        <v>2</v>
      </c>
      <c r="D677" s="1">
        <v>0</v>
      </c>
      <c r="E677" s="1" t="str">
        <f t="shared" si="21"/>
        <v>(F2.0)</v>
      </c>
      <c r="F677" s="1" t="str">
        <f t="shared" si="20"/>
        <v>alter type vKYT5m22 (F2.0).</v>
      </c>
    </row>
    <row r="678" spans="1:6" x14ac:dyDescent="0.25">
      <c r="A678" s="1" t="s">
        <v>1879</v>
      </c>
      <c r="B678" s="1" t="s">
        <v>30</v>
      </c>
      <c r="C678" s="1">
        <v>2</v>
      </c>
      <c r="D678" s="1">
        <v>0</v>
      </c>
      <c r="E678" s="1" t="str">
        <f t="shared" si="21"/>
        <v>(F2.0)</v>
      </c>
      <c r="F678" s="1" t="str">
        <f t="shared" si="20"/>
        <v>alter type vKYT5m23 (F2.0).</v>
      </c>
    </row>
    <row r="679" spans="1:6" x14ac:dyDescent="0.25">
      <c r="A679" s="1" t="s">
        <v>1880</v>
      </c>
      <c r="B679" s="1" t="s">
        <v>30</v>
      </c>
      <c r="C679" s="1">
        <v>2</v>
      </c>
      <c r="D679" s="1">
        <v>0</v>
      </c>
      <c r="E679" s="1" t="str">
        <f t="shared" si="21"/>
        <v>(F2.0)</v>
      </c>
      <c r="F679" s="1" t="str">
        <f t="shared" si="20"/>
        <v>alter type vKYT5m24 (F2.0).</v>
      </c>
    </row>
    <row r="680" spans="1:6" x14ac:dyDescent="0.25">
      <c r="A680" s="1" t="s">
        <v>1881</v>
      </c>
      <c r="B680" s="1" t="s">
        <v>30</v>
      </c>
      <c r="C680" s="1">
        <v>2</v>
      </c>
      <c r="D680" s="1">
        <v>0</v>
      </c>
      <c r="E680" s="1" t="str">
        <f t="shared" si="21"/>
        <v>(F2.0)</v>
      </c>
      <c r="F680" s="1" t="str">
        <f t="shared" si="20"/>
        <v>alter type vKYT5m25 (F2.0).</v>
      </c>
    </row>
    <row r="681" spans="1:6" x14ac:dyDescent="0.25">
      <c r="A681" s="1" t="s">
        <v>1882</v>
      </c>
      <c r="B681" s="1" t="s">
        <v>30</v>
      </c>
      <c r="C681" s="1">
        <v>2</v>
      </c>
      <c r="D681" s="1">
        <v>0</v>
      </c>
      <c r="E681" s="1" t="str">
        <f t="shared" si="21"/>
        <v>(F2.0)</v>
      </c>
      <c r="F681" s="1" t="str">
        <f t="shared" si="20"/>
        <v>alter type vKYT5m26 (F2.0).</v>
      </c>
    </row>
    <row r="682" spans="1:6" x14ac:dyDescent="0.25">
      <c r="A682" s="1" t="s">
        <v>1883</v>
      </c>
      <c r="B682" s="1" t="s">
        <v>30</v>
      </c>
      <c r="C682" s="1">
        <v>2</v>
      </c>
      <c r="D682" s="1">
        <v>0</v>
      </c>
      <c r="E682" s="1" t="str">
        <f t="shared" si="21"/>
        <v>(F2.0)</v>
      </c>
      <c r="F682" s="1" t="str">
        <f t="shared" si="20"/>
        <v>alter type vKYT5m27 (F2.0).</v>
      </c>
    </row>
    <row r="683" spans="1:6" x14ac:dyDescent="0.25">
      <c r="A683" s="1" t="s">
        <v>1884</v>
      </c>
      <c r="B683" s="1" t="s">
        <v>30</v>
      </c>
      <c r="C683" s="1">
        <v>2</v>
      </c>
      <c r="D683" s="1">
        <v>0</v>
      </c>
      <c r="E683" s="1" t="str">
        <f t="shared" si="21"/>
        <v>(F2.0)</v>
      </c>
      <c r="F683" s="1" t="str">
        <f t="shared" si="20"/>
        <v>alter type vKYT5m28 (F2.0).</v>
      </c>
    </row>
    <row r="684" spans="1:6" x14ac:dyDescent="0.25">
      <c r="A684" s="1" t="s">
        <v>1885</v>
      </c>
      <c r="B684" s="1" t="s">
        <v>30</v>
      </c>
      <c r="C684" s="1">
        <v>2</v>
      </c>
      <c r="D684" s="1">
        <v>0</v>
      </c>
      <c r="E684" s="1" t="str">
        <f t="shared" si="21"/>
        <v>(F2.0)</v>
      </c>
      <c r="F684" s="1" t="str">
        <f t="shared" si="20"/>
        <v>alter type vKYT5m29 (F2.0).</v>
      </c>
    </row>
    <row r="685" spans="1:6" x14ac:dyDescent="0.25">
      <c r="A685" s="1" t="s">
        <v>1886</v>
      </c>
      <c r="B685" s="1" t="s">
        <v>30</v>
      </c>
      <c r="C685" s="1">
        <v>2</v>
      </c>
      <c r="D685" s="1">
        <v>0</v>
      </c>
      <c r="E685" s="1" t="str">
        <f t="shared" si="21"/>
        <v>(F2.0)</v>
      </c>
      <c r="F685" s="1" t="str">
        <f t="shared" si="20"/>
        <v>alter type vKYT5m30 (F2.0).</v>
      </c>
    </row>
    <row r="686" spans="1:6" x14ac:dyDescent="0.25">
      <c r="A686" s="1" t="s">
        <v>1887</v>
      </c>
      <c r="B686" s="1" t="s">
        <v>30</v>
      </c>
      <c r="C686" s="1">
        <v>2</v>
      </c>
      <c r="D686" s="1">
        <v>0</v>
      </c>
      <c r="E686" s="1" t="str">
        <f t="shared" si="21"/>
        <v>(F2.0)</v>
      </c>
      <c r="F686" s="1" t="str">
        <f t="shared" si="20"/>
        <v>alter type vKYT5m31 (F2.0).</v>
      </c>
    </row>
    <row r="687" spans="1:6" x14ac:dyDescent="0.25">
      <c r="A687" s="1" t="s">
        <v>1888</v>
      </c>
      <c r="B687" s="1" t="s">
        <v>30</v>
      </c>
      <c r="C687" s="1">
        <v>2</v>
      </c>
      <c r="D687" s="1">
        <v>0</v>
      </c>
      <c r="E687" s="1" t="str">
        <f t="shared" si="21"/>
        <v>(F2.0)</v>
      </c>
      <c r="F687" s="1" t="str">
        <f t="shared" si="20"/>
        <v>alter type vKYT5m32 (F2.0).</v>
      </c>
    </row>
    <row r="688" spans="1:6" x14ac:dyDescent="0.25">
      <c r="A688" s="1" t="s">
        <v>1889</v>
      </c>
      <c r="B688" s="1" t="s">
        <v>30</v>
      </c>
      <c r="C688" s="1">
        <v>2</v>
      </c>
      <c r="D688" s="1">
        <v>0</v>
      </c>
      <c r="E688" s="1" t="str">
        <f t="shared" si="21"/>
        <v>(F2.0)</v>
      </c>
      <c r="F688" s="1" t="str">
        <f t="shared" si="20"/>
        <v>alter type vKYT5m33 (F2.0).</v>
      </c>
    </row>
    <row r="689" spans="1:6" x14ac:dyDescent="0.25">
      <c r="A689" s="1" t="s">
        <v>1890</v>
      </c>
      <c r="B689" s="1" t="s">
        <v>30</v>
      </c>
      <c r="C689" s="1">
        <v>2</v>
      </c>
      <c r="D689" s="1">
        <v>0</v>
      </c>
      <c r="E689" s="1" t="str">
        <f t="shared" si="21"/>
        <v>(F2.0)</v>
      </c>
      <c r="F689" s="1" t="str">
        <f t="shared" si="20"/>
        <v>alter type vKYT5m34 (F2.0).</v>
      </c>
    </row>
    <row r="690" spans="1:6" x14ac:dyDescent="0.25">
      <c r="A690" s="1" t="s">
        <v>1891</v>
      </c>
      <c r="B690" s="1" t="s">
        <v>30</v>
      </c>
      <c r="C690" s="1">
        <v>2</v>
      </c>
      <c r="D690" s="1">
        <v>0</v>
      </c>
      <c r="E690" s="1" t="str">
        <f t="shared" si="21"/>
        <v>(F2.0)</v>
      </c>
      <c r="F690" s="1" t="str">
        <f t="shared" si="20"/>
        <v>alter type vKYT5m35 (F2.0).</v>
      </c>
    </row>
    <row r="691" spans="1:6" x14ac:dyDescent="0.25">
      <c r="A691" s="1" t="s">
        <v>1892</v>
      </c>
      <c r="B691" s="1" t="s">
        <v>30</v>
      </c>
      <c r="C691" s="1">
        <v>2</v>
      </c>
      <c r="D691" s="1">
        <v>0</v>
      </c>
      <c r="E691" s="1" t="str">
        <f t="shared" si="21"/>
        <v>(F2.0)</v>
      </c>
      <c r="F691" s="1" t="str">
        <f t="shared" si="20"/>
        <v>alter type vKYT5m36 (F2.0).</v>
      </c>
    </row>
    <row r="692" spans="1:6" x14ac:dyDescent="0.25">
      <c r="A692" s="1" t="s">
        <v>1893</v>
      </c>
      <c r="B692" s="1" t="s">
        <v>30</v>
      </c>
      <c r="C692" s="1">
        <v>2</v>
      </c>
      <c r="D692" s="1">
        <v>0</v>
      </c>
      <c r="E692" s="1" t="str">
        <f t="shared" si="21"/>
        <v>(F2.0)</v>
      </c>
      <c r="F692" s="1" t="str">
        <f t="shared" si="20"/>
        <v>alter type vKYT5m37 (F2.0).</v>
      </c>
    </row>
    <row r="693" spans="1:6" x14ac:dyDescent="0.25">
      <c r="A693" s="1" t="s">
        <v>1894</v>
      </c>
      <c r="B693" s="1" t="s">
        <v>30</v>
      </c>
      <c r="C693" s="1">
        <v>2</v>
      </c>
      <c r="D693" s="1">
        <v>0</v>
      </c>
      <c r="E693" s="1" t="str">
        <f t="shared" si="21"/>
        <v>(F2.0)</v>
      </c>
      <c r="F693" s="1" t="str">
        <f t="shared" si="20"/>
        <v>alter type vKYT5m88 (F2.0).</v>
      </c>
    </row>
    <row r="694" spans="1:6" x14ac:dyDescent="0.25">
      <c r="A694" s="1" t="s">
        <v>1895</v>
      </c>
      <c r="B694" s="1" t="s">
        <v>27</v>
      </c>
      <c r="C694" s="1">
        <v>150</v>
      </c>
      <c r="D694" s="1">
        <v>0</v>
      </c>
      <c r="E694" s="1" t="str">
        <f t="shared" si="21"/>
        <v>(A150)</v>
      </c>
      <c r="F694" s="1" t="str">
        <f t="shared" si="20"/>
        <v>alter type vKYT5o88 (A150).</v>
      </c>
    </row>
    <row r="695" spans="1:6" x14ac:dyDescent="0.25">
      <c r="A695" s="1" t="s">
        <v>1896</v>
      </c>
      <c r="B695" s="1" t="s">
        <v>30</v>
      </c>
      <c r="C695" s="1">
        <v>2</v>
      </c>
      <c r="D695" s="1">
        <v>0</v>
      </c>
      <c r="E695" s="1" t="str">
        <f t="shared" si="21"/>
        <v>(F2.0)</v>
      </c>
      <c r="F695" s="1" t="str">
        <f t="shared" si="20"/>
        <v>alter type vKYT6 (F2.0).</v>
      </c>
    </row>
    <row r="696" spans="1:6" x14ac:dyDescent="0.25">
      <c r="A696" s="1" t="s">
        <v>1898</v>
      </c>
      <c r="B696" s="1" t="s">
        <v>30</v>
      </c>
      <c r="C696" s="1">
        <v>2</v>
      </c>
      <c r="D696" s="1">
        <v>0</v>
      </c>
      <c r="E696" s="1" t="str">
        <f t="shared" si="21"/>
        <v>(F2.0)</v>
      </c>
      <c r="F696" s="1" t="str">
        <f t="shared" si="20"/>
        <v>alter type vKYT7m01 (F2.0).</v>
      </c>
    </row>
    <row r="697" spans="1:6" x14ac:dyDescent="0.25">
      <c r="A697" s="1" t="s">
        <v>1900</v>
      </c>
      <c r="B697" s="1" t="s">
        <v>30</v>
      </c>
      <c r="C697" s="1">
        <v>2</v>
      </c>
      <c r="D697" s="1">
        <v>0</v>
      </c>
      <c r="E697" s="1" t="str">
        <f t="shared" si="21"/>
        <v>(F2.0)</v>
      </c>
      <c r="F697" s="1" t="str">
        <f t="shared" si="20"/>
        <v>alter type vKYT7m02 (F2.0).</v>
      </c>
    </row>
    <row r="698" spans="1:6" x14ac:dyDescent="0.25">
      <c r="A698" s="1" t="s">
        <v>1902</v>
      </c>
      <c r="B698" s="1" t="s">
        <v>30</v>
      </c>
      <c r="C698" s="1">
        <v>2</v>
      </c>
      <c r="D698" s="1">
        <v>0</v>
      </c>
      <c r="E698" s="1" t="str">
        <f t="shared" si="21"/>
        <v>(F2.0)</v>
      </c>
      <c r="F698" s="1" t="str">
        <f t="shared" si="20"/>
        <v>alter type vKYT7m03 (F2.0).</v>
      </c>
    </row>
    <row r="699" spans="1:6" x14ac:dyDescent="0.25">
      <c r="A699" s="1" t="s">
        <v>1904</v>
      </c>
      <c r="B699" s="1" t="s">
        <v>30</v>
      </c>
      <c r="C699" s="1">
        <v>2</v>
      </c>
      <c r="D699" s="1">
        <v>0</v>
      </c>
      <c r="E699" s="1" t="str">
        <f t="shared" si="21"/>
        <v>(F2.0)</v>
      </c>
      <c r="F699" s="1" t="str">
        <f t="shared" si="20"/>
        <v>alter type vKYT7m04 (F2.0).</v>
      </c>
    </row>
    <row r="700" spans="1:6" x14ac:dyDescent="0.25">
      <c r="A700" s="1" t="s">
        <v>1906</v>
      </c>
      <c r="B700" s="1" t="s">
        <v>30</v>
      </c>
      <c r="C700" s="1">
        <v>2</v>
      </c>
      <c r="D700" s="1">
        <v>0</v>
      </c>
      <c r="E700" s="1" t="str">
        <f t="shared" si="21"/>
        <v>(F2.0)</v>
      </c>
      <c r="F700" s="1" t="str">
        <f t="shared" si="20"/>
        <v>alter type vKYT7m05 (F2.0).</v>
      </c>
    </row>
    <row r="701" spans="1:6" x14ac:dyDescent="0.25">
      <c r="A701" s="1" t="s">
        <v>1908</v>
      </c>
      <c r="B701" s="1" t="s">
        <v>30</v>
      </c>
      <c r="C701" s="1">
        <v>2</v>
      </c>
      <c r="D701" s="1">
        <v>0</v>
      </c>
      <c r="E701" s="1" t="str">
        <f t="shared" si="21"/>
        <v>(F2.0)</v>
      </c>
      <c r="F701" s="1" t="str">
        <f t="shared" si="20"/>
        <v>alter type vKYT7m06 (F2.0).</v>
      </c>
    </row>
    <row r="702" spans="1:6" x14ac:dyDescent="0.25">
      <c r="A702" s="1" t="s">
        <v>1910</v>
      </c>
      <c r="B702" s="1" t="s">
        <v>30</v>
      </c>
      <c r="C702" s="1">
        <v>2</v>
      </c>
      <c r="D702" s="1">
        <v>0</v>
      </c>
      <c r="E702" s="1" t="str">
        <f t="shared" si="21"/>
        <v>(F2.0)</v>
      </c>
      <c r="F702" s="1" t="str">
        <f t="shared" si="20"/>
        <v>alter type vKYT7m07 (F2.0).</v>
      </c>
    </row>
    <row r="703" spans="1:6" x14ac:dyDescent="0.25">
      <c r="A703" s="1" t="s">
        <v>1912</v>
      </c>
      <c r="B703" s="1" t="s">
        <v>30</v>
      </c>
      <c r="C703" s="1">
        <v>2</v>
      </c>
      <c r="D703" s="1">
        <v>0</v>
      </c>
      <c r="E703" s="1" t="str">
        <f t="shared" si="21"/>
        <v>(F2.0)</v>
      </c>
      <c r="F703" s="1" t="str">
        <f t="shared" si="20"/>
        <v>alter type vKYT7m08 (F2.0).</v>
      </c>
    </row>
    <row r="704" spans="1:6" x14ac:dyDescent="0.25">
      <c r="A704" s="1" t="s">
        <v>1914</v>
      </c>
      <c r="B704" s="1" t="s">
        <v>30</v>
      </c>
      <c r="C704" s="1">
        <v>2</v>
      </c>
      <c r="D704" s="1">
        <v>0</v>
      </c>
      <c r="E704" s="1" t="str">
        <f t="shared" si="21"/>
        <v>(F2.0)</v>
      </c>
      <c r="F704" s="1" t="str">
        <f t="shared" si="20"/>
        <v>alter type vKYT7m09 (F2.0).</v>
      </c>
    </row>
    <row r="705" spans="1:6" x14ac:dyDescent="0.25">
      <c r="A705" s="1" t="s">
        <v>1916</v>
      </c>
      <c r="B705" s="1" t="s">
        <v>30</v>
      </c>
      <c r="C705" s="1">
        <v>2</v>
      </c>
      <c r="D705" s="1">
        <v>0</v>
      </c>
      <c r="E705" s="1" t="str">
        <f t="shared" si="21"/>
        <v>(F2.0)</v>
      </c>
      <c r="F705" s="1" t="str">
        <f t="shared" si="20"/>
        <v>alter type vKYT7m10 (F2.0).</v>
      </c>
    </row>
    <row r="706" spans="1:6" x14ac:dyDescent="0.25">
      <c r="A706" s="1" t="s">
        <v>1918</v>
      </c>
      <c r="B706" s="1" t="s">
        <v>30</v>
      </c>
      <c r="C706" s="1">
        <v>2</v>
      </c>
      <c r="D706" s="1">
        <v>0</v>
      </c>
      <c r="E706" s="1" t="str">
        <f t="shared" si="21"/>
        <v>(F2.0)</v>
      </c>
      <c r="F706" s="1" t="str">
        <f t="shared" ref="F706:F769" si="22">"alter type "&amp;A706&amp;" "&amp;E706&amp;"."</f>
        <v>alter type vKYT7m11 (F2.0).</v>
      </c>
    </row>
    <row r="707" spans="1:6" x14ac:dyDescent="0.25">
      <c r="A707" s="1" t="s">
        <v>1920</v>
      </c>
      <c r="B707" s="1" t="s">
        <v>30</v>
      </c>
      <c r="C707" s="1">
        <v>2</v>
      </c>
      <c r="D707" s="1">
        <v>0</v>
      </c>
      <c r="E707" s="1" t="str">
        <f t="shared" ref="E707:E770" si="23">IF(B707="數值","(F"&amp;C707&amp;"."&amp;D707&amp;")","(A"&amp;C707&amp;")")</f>
        <v>(F2.0)</v>
      </c>
      <c r="F707" s="1" t="str">
        <f t="shared" si="22"/>
        <v>alter type vKYT7m12 (F2.0).</v>
      </c>
    </row>
    <row r="708" spans="1:6" x14ac:dyDescent="0.25">
      <c r="A708" s="1" t="s">
        <v>1922</v>
      </c>
      <c r="B708" s="1" t="s">
        <v>30</v>
      </c>
      <c r="C708" s="1">
        <v>2</v>
      </c>
      <c r="D708" s="1">
        <v>0</v>
      </c>
      <c r="E708" s="1" t="str">
        <f t="shared" si="23"/>
        <v>(F2.0)</v>
      </c>
      <c r="F708" s="1" t="str">
        <f t="shared" si="22"/>
        <v>alter type vKYT7m88 (F2.0).</v>
      </c>
    </row>
    <row r="709" spans="1:6" x14ac:dyDescent="0.25">
      <c r="A709" s="1" t="s">
        <v>1924</v>
      </c>
      <c r="B709" s="1" t="s">
        <v>27</v>
      </c>
      <c r="C709" s="1">
        <v>150</v>
      </c>
      <c r="D709" s="1">
        <v>0</v>
      </c>
      <c r="E709" s="1" t="str">
        <f t="shared" si="23"/>
        <v>(A150)</v>
      </c>
      <c r="F709" s="1" t="str">
        <f t="shared" si="22"/>
        <v>alter type vKYT7o88 (A150).</v>
      </c>
    </row>
    <row r="710" spans="1:6" x14ac:dyDescent="0.25">
      <c r="A710" s="1" t="s">
        <v>1925</v>
      </c>
      <c r="B710" s="1" t="s">
        <v>30</v>
      </c>
      <c r="C710" s="1">
        <v>2</v>
      </c>
      <c r="D710" s="1">
        <v>0</v>
      </c>
      <c r="E710" s="1" t="str">
        <f t="shared" si="23"/>
        <v>(F2.0)</v>
      </c>
      <c r="F710" s="1" t="str">
        <f t="shared" si="22"/>
        <v>alter type vKYT8 (F2.0).</v>
      </c>
    </row>
    <row r="711" spans="1:6" x14ac:dyDescent="0.25">
      <c r="A711" s="1" t="s">
        <v>1927</v>
      </c>
      <c r="B711" s="1" t="s">
        <v>30</v>
      </c>
      <c r="C711" s="1">
        <v>2</v>
      </c>
      <c r="D711" s="1">
        <v>0</v>
      </c>
      <c r="E711" s="1" t="str">
        <f t="shared" si="23"/>
        <v>(F2.0)</v>
      </c>
      <c r="F711" s="1" t="str">
        <f t="shared" si="22"/>
        <v>alter type vKYT9m01 (F2.0).</v>
      </c>
    </row>
    <row r="712" spans="1:6" x14ac:dyDescent="0.25">
      <c r="A712" s="1" t="s">
        <v>1929</v>
      </c>
      <c r="B712" s="1" t="s">
        <v>30</v>
      </c>
      <c r="C712" s="1">
        <v>2</v>
      </c>
      <c r="D712" s="1">
        <v>0</v>
      </c>
      <c r="E712" s="1" t="str">
        <f t="shared" si="23"/>
        <v>(F2.0)</v>
      </c>
      <c r="F712" s="1" t="str">
        <f t="shared" si="22"/>
        <v>alter type vKYT9m02 (F2.0).</v>
      </c>
    </row>
    <row r="713" spans="1:6" x14ac:dyDescent="0.25">
      <c r="A713" s="1" t="s">
        <v>1931</v>
      </c>
      <c r="B713" s="1" t="s">
        <v>30</v>
      </c>
      <c r="C713" s="1">
        <v>2</v>
      </c>
      <c r="D713" s="1">
        <v>0</v>
      </c>
      <c r="E713" s="1" t="str">
        <f t="shared" si="23"/>
        <v>(F2.0)</v>
      </c>
      <c r="F713" s="1" t="str">
        <f t="shared" si="22"/>
        <v>alter type vKYT9m03 (F2.0).</v>
      </c>
    </row>
    <row r="714" spans="1:6" x14ac:dyDescent="0.25">
      <c r="A714" s="1" t="s">
        <v>1933</v>
      </c>
      <c r="B714" s="1" t="s">
        <v>30</v>
      </c>
      <c r="C714" s="1">
        <v>2</v>
      </c>
      <c r="D714" s="1">
        <v>0</v>
      </c>
      <c r="E714" s="1" t="str">
        <f t="shared" si="23"/>
        <v>(F2.0)</v>
      </c>
      <c r="F714" s="1" t="str">
        <f t="shared" si="22"/>
        <v>alter type vKYT9m04 (F2.0).</v>
      </c>
    </row>
    <row r="715" spans="1:6" x14ac:dyDescent="0.25">
      <c r="A715" s="1" t="s">
        <v>1935</v>
      </c>
      <c r="B715" s="1" t="s">
        <v>30</v>
      </c>
      <c r="C715" s="1">
        <v>2</v>
      </c>
      <c r="D715" s="1">
        <v>0</v>
      </c>
      <c r="E715" s="1" t="str">
        <f t="shared" si="23"/>
        <v>(F2.0)</v>
      </c>
      <c r="F715" s="1" t="str">
        <f t="shared" si="22"/>
        <v>alter type vKYT9m05 (F2.0).</v>
      </c>
    </row>
    <row r="716" spans="1:6" x14ac:dyDescent="0.25">
      <c r="A716" s="1" t="s">
        <v>1937</v>
      </c>
      <c r="B716" s="1" t="s">
        <v>30</v>
      </c>
      <c r="C716" s="1">
        <v>2</v>
      </c>
      <c r="D716" s="1">
        <v>0</v>
      </c>
      <c r="E716" s="1" t="str">
        <f t="shared" si="23"/>
        <v>(F2.0)</v>
      </c>
      <c r="F716" s="1" t="str">
        <f t="shared" si="22"/>
        <v>alter type vKYT9m06 (F2.0).</v>
      </c>
    </row>
    <row r="717" spans="1:6" x14ac:dyDescent="0.25">
      <c r="A717" s="1" t="s">
        <v>1939</v>
      </c>
      <c r="B717" s="1" t="s">
        <v>30</v>
      </c>
      <c r="C717" s="1">
        <v>2</v>
      </c>
      <c r="D717" s="1">
        <v>0</v>
      </c>
      <c r="E717" s="1" t="str">
        <f t="shared" si="23"/>
        <v>(F2.0)</v>
      </c>
      <c r="F717" s="1" t="str">
        <f t="shared" si="22"/>
        <v>alter type vKYT9m07 (F2.0).</v>
      </c>
    </row>
    <row r="718" spans="1:6" x14ac:dyDescent="0.25">
      <c r="A718" s="1" t="s">
        <v>1941</v>
      </c>
      <c r="B718" s="1" t="s">
        <v>30</v>
      </c>
      <c r="C718" s="1">
        <v>2</v>
      </c>
      <c r="D718" s="1">
        <v>0</v>
      </c>
      <c r="E718" s="1" t="str">
        <f t="shared" si="23"/>
        <v>(F2.0)</v>
      </c>
      <c r="F718" s="1" t="str">
        <f t="shared" si="22"/>
        <v>alter type vKYT9m08 (F2.0).</v>
      </c>
    </row>
    <row r="719" spans="1:6" x14ac:dyDescent="0.25">
      <c r="A719" s="1" t="s">
        <v>1943</v>
      </c>
      <c r="B719" s="1" t="s">
        <v>30</v>
      </c>
      <c r="C719" s="1">
        <v>2</v>
      </c>
      <c r="D719" s="1">
        <v>0</v>
      </c>
      <c r="E719" s="1" t="str">
        <f t="shared" si="23"/>
        <v>(F2.0)</v>
      </c>
      <c r="F719" s="1" t="str">
        <f t="shared" si="22"/>
        <v>alter type vKYT9m09 (F2.0).</v>
      </c>
    </row>
    <row r="720" spans="1:6" x14ac:dyDescent="0.25">
      <c r="A720" s="1" t="s">
        <v>1945</v>
      </c>
      <c r="B720" s="1" t="s">
        <v>30</v>
      </c>
      <c r="C720" s="1">
        <v>2</v>
      </c>
      <c r="D720" s="1">
        <v>0</v>
      </c>
      <c r="E720" s="1" t="str">
        <f t="shared" si="23"/>
        <v>(F2.0)</v>
      </c>
      <c r="F720" s="1" t="str">
        <f t="shared" si="22"/>
        <v>alter type vKYT9m10 (F2.0).</v>
      </c>
    </row>
    <row r="721" spans="1:6" x14ac:dyDescent="0.25">
      <c r="A721" s="1" t="s">
        <v>1947</v>
      </c>
      <c r="B721" s="1" t="s">
        <v>30</v>
      </c>
      <c r="C721" s="1">
        <v>2</v>
      </c>
      <c r="D721" s="1">
        <v>0</v>
      </c>
      <c r="E721" s="1" t="str">
        <f t="shared" si="23"/>
        <v>(F2.0)</v>
      </c>
      <c r="F721" s="1" t="str">
        <f t="shared" si="22"/>
        <v>alter type vKYT9m11 (F2.0).</v>
      </c>
    </row>
    <row r="722" spans="1:6" x14ac:dyDescent="0.25">
      <c r="A722" s="1" t="s">
        <v>1949</v>
      </c>
      <c r="B722" s="1" t="s">
        <v>30</v>
      </c>
      <c r="C722" s="1">
        <v>2</v>
      </c>
      <c r="D722" s="1">
        <v>0</v>
      </c>
      <c r="E722" s="1" t="str">
        <f t="shared" si="23"/>
        <v>(F2.0)</v>
      </c>
      <c r="F722" s="1" t="str">
        <f t="shared" si="22"/>
        <v>alter type vKYT9m12 (F2.0).</v>
      </c>
    </row>
    <row r="723" spans="1:6" x14ac:dyDescent="0.25">
      <c r="A723" s="1" t="s">
        <v>1951</v>
      </c>
      <c r="B723" s="1" t="s">
        <v>30</v>
      </c>
      <c r="C723" s="1">
        <v>2</v>
      </c>
      <c r="D723" s="1">
        <v>0</v>
      </c>
      <c r="E723" s="1" t="str">
        <f t="shared" si="23"/>
        <v>(F2.0)</v>
      </c>
      <c r="F723" s="1" t="str">
        <f t="shared" si="22"/>
        <v>alter type vKYT9m13 (F2.0).</v>
      </c>
    </row>
    <row r="724" spans="1:6" x14ac:dyDescent="0.25">
      <c r="A724" s="1" t="s">
        <v>1953</v>
      </c>
      <c r="B724" s="1" t="s">
        <v>30</v>
      </c>
      <c r="C724" s="1">
        <v>2</v>
      </c>
      <c r="D724" s="1">
        <v>0</v>
      </c>
      <c r="E724" s="1" t="str">
        <f t="shared" si="23"/>
        <v>(F2.0)</v>
      </c>
      <c r="F724" s="1" t="str">
        <f t="shared" si="22"/>
        <v>alter type vKYT9m88 (F2.0).</v>
      </c>
    </row>
    <row r="725" spans="1:6" x14ac:dyDescent="0.25">
      <c r="A725" s="1" t="s">
        <v>1955</v>
      </c>
      <c r="B725" s="1" t="s">
        <v>27</v>
      </c>
      <c r="C725" s="1">
        <v>150</v>
      </c>
      <c r="D725" s="1">
        <v>0</v>
      </c>
      <c r="E725" s="1" t="str">
        <f t="shared" si="23"/>
        <v>(A150)</v>
      </c>
      <c r="F725" s="1" t="str">
        <f t="shared" si="22"/>
        <v>alter type vKYT9o88 (A150).</v>
      </c>
    </row>
    <row r="726" spans="1:6" x14ac:dyDescent="0.25">
      <c r="A726" s="1" t="s">
        <v>573</v>
      </c>
      <c r="B726" s="1" t="s">
        <v>30</v>
      </c>
      <c r="C726" s="1">
        <v>4</v>
      </c>
      <c r="D726" s="1">
        <v>0</v>
      </c>
      <c r="E726" s="1" t="str">
        <f t="shared" si="23"/>
        <v>(F4.0)</v>
      </c>
      <c r="F726" s="1" t="str">
        <f t="shared" si="22"/>
        <v>alter type vM1g1 (F4.0).</v>
      </c>
    </row>
    <row r="727" spans="1:6" x14ac:dyDescent="0.25">
      <c r="A727" s="1" t="s">
        <v>574</v>
      </c>
      <c r="B727" s="1" t="s">
        <v>30</v>
      </c>
      <c r="C727" s="1">
        <v>2</v>
      </c>
      <c r="D727" s="1">
        <v>0</v>
      </c>
      <c r="E727" s="1" t="str">
        <f t="shared" si="23"/>
        <v>(F2.0)</v>
      </c>
      <c r="F727" s="1" t="str">
        <f t="shared" si="22"/>
        <v>alter type vM1g2 (F2.0).</v>
      </c>
    </row>
    <row r="728" spans="1:6" x14ac:dyDescent="0.25">
      <c r="A728" s="1" t="s">
        <v>1957</v>
      </c>
      <c r="B728" s="1" t="s">
        <v>30</v>
      </c>
      <c r="C728" s="1">
        <v>2</v>
      </c>
      <c r="D728" s="1">
        <v>0</v>
      </c>
      <c r="E728" s="1" t="str">
        <f t="shared" si="23"/>
        <v>(F2.0)</v>
      </c>
      <c r="F728" s="1" t="str">
        <f t="shared" si="22"/>
        <v>alter type vJ1 (F2.0).</v>
      </c>
    </row>
    <row r="729" spans="1:6" x14ac:dyDescent="0.25">
      <c r="A729" s="1" t="s">
        <v>1959</v>
      </c>
      <c r="B729" s="1" t="s">
        <v>27</v>
      </c>
      <c r="C729" s="1">
        <v>150</v>
      </c>
      <c r="D729" s="1">
        <v>0</v>
      </c>
      <c r="E729" s="1" t="str">
        <f t="shared" si="23"/>
        <v>(A150)</v>
      </c>
      <c r="F729" s="1" t="str">
        <f t="shared" si="22"/>
        <v>alter type vJ1o88 (A150).</v>
      </c>
    </row>
    <row r="730" spans="1:6" x14ac:dyDescent="0.25">
      <c r="A730" s="1" t="s">
        <v>1960</v>
      </c>
      <c r="B730" s="1" t="s">
        <v>30</v>
      </c>
      <c r="C730" s="1">
        <v>2</v>
      </c>
      <c r="D730" s="1">
        <v>0</v>
      </c>
      <c r="E730" s="1" t="str">
        <f t="shared" si="23"/>
        <v>(F2.0)</v>
      </c>
      <c r="F730" s="1" t="str">
        <f t="shared" si="22"/>
        <v>alter type vJ2 (F2.0).</v>
      </c>
    </row>
    <row r="731" spans="1:6" x14ac:dyDescent="0.25">
      <c r="A731" s="1" t="s">
        <v>1962</v>
      </c>
      <c r="B731" s="1" t="s">
        <v>27</v>
      </c>
      <c r="C731" s="1">
        <v>150</v>
      </c>
      <c r="D731" s="1">
        <v>0</v>
      </c>
      <c r="E731" s="1" t="str">
        <f t="shared" si="23"/>
        <v>(A150)</v>
      </c>
      <c r="F731" s="1" t="str">
        <f t="shared" si="22"/>
        <v>alter type vJ2o88 (A150).</v>
      </c>
    </row>
    <row r="732" spans="1:6" x14ac:dyDescent="0.25">
      <c r="A732" s="1" t="s">
        <v>1963</v>
      </c>
      <c r="B732" s="1" t="s">
        <v>30</v>
      </c>
      <c r="C732" s="1">
        <v>2</v>
      </c>
      <c r="D732" s="1">
        <v>0</v>
      </c>
      <c r="E732" s="1" t="str">
        <f t="shared" si="23"/>
        <v>(F2.0)</v>
      </c>
      <c r="F732" s="1" t="str">
        <f t="shared" si="22"/>
        <v>alter type vJ3 (F2.0).</v>
      </c>
    </row>
    <row r="733" spans="1:6" x14ac:dyDescent="0.25">
      <c r="A733" s="1" t="s">
        <v>1965</v>
      </c>
      <c r="B733" s="1" t="s">
        <v>27</v>
      </c>
      <c r="C733" s="1">
        <v>150</v>
      </c>
      <c r="D733" s="1">
        <v>0</v>
      </c>
      <c r="E733" s="1" t="str">
        <f t="shared" si="23"/>
        <v>(A150)</v>
      </c>
      <c r="F733" s="1" t="str">
        <f t="shared" si="22"/>
        <v>alter type vJ3o88 (A150).</v>
      </c>
    </row>
    <row r="734" spans="1:6" x14ac:dyDescent="0.25">
      <c r="A734" s="1" t="s">
        <v>1966</v>
      </c>
      <c r="B734" s="1" t="s">
        <v>30</v>
      </c>
      <c r="C734" s="1">
        <v>2</v>
      </c>
      <c r="D734" s="1">
        <v>0</v>
      </c>
      <c r="E734" s="1" t="str">
        <f t="shared" si="23"/>
        <v>(F2.0)</v>
      </c>
      <c r="F734" s="1" t="str">
        <f t="shared" si="22"/>
        <v>alter type vJA1m01 (F2.0).</v>
      </c>
    </row>
    <row r="735" spans="1:6" x14ac:dyDescent="0.25">
      <c r="A735" s="1" t="s">
        <v>1968</v>
      </c>
      <c r="B735" s="1" t="s">
        <v>30</v>
      </c>
      <c r="C735" s="1">
        <v>2</v>
      </c>
      <c r="D735" s="1">
        <v>0</v>
      </c>
      <c r="E735" s="1" t="str">
        <f t="shared" si="23"/>
        <v>(F2.0)</v>
      </c>
      <c r="F735" s="1" t="str">
        <f t="shared" si="22"/>
        <v>alter type vJA1m02 (F2.0).</v>
      </c>
    </row>
    <row r="736" spans="1:6" x14ac:dyDescent="0.25">
      <c r="A736" s="1" t="s">
        <v>1969</v>
      </c>
      <c r="B736" s="1" t="s">
        <v>30</v>
      </c>
      <c r="C736" s="1">
        <v>2</v>
      </c>
      <c r="D736" s="1">
        <v>0</v>
      </c>
      <c r="E736" s="1" t="str">
        <f t="shared" si="23"/>
        <v>(F2.0)</v>
      </c>
      <c r="F736" s="1" t="str">
        <f t="shared" si="22"/>
        <v>alter type vJA1m03 (F2.0).</v>
      </c>
    </row>
    <row r="737" spans="1:6" x14ac:dyDescent="0.25">
      <c r="A737" s="1" t="s">
        <v>1970</v>
      </c>
      <c r="B737" s="1" t="s">
        <v>30</v>
      </c>
      <c r="C737" s="1">
        <v>2</v>
      </c>
      <c r="D737" s="1">
        <v>0</v>
      </c>
      <c r="E737" s="1" t="str">
        <f t="shared" si="23"/>
        <v>(F2.0)</v>
      </c>
      <c r="F737" s="1" t="str">
        <f t="shared" si="22"/>
        <v>alter type vJA1m04 (F2.0).</v>
      </c>
    </row>
    <row r="738" spans="1:6" x14ac:dyDescent="0.25">
      <c r="A738" s="1" t="s">
        <v>1971</v>
      </c>
      <c r="B738" s="1" t="s">
        <v>30</v>
      </c>
      <c r="C738" s="1">
        <v>2</v>
      </c>
      <c r="D738" s="1">
        <v>0</v>
      </c>
      <c r="E738" s="1" t="str">
        <f t="shared" si="23"/>
        <v>(F2.0)</v>
      </c>
      <c r="F738" s="1" t="str">
        <f t="shared" si="22"/>
        <v>alter type vJA1m05 (F2.0).</v>
      </c>
    </row>
    <row r="739" spans="1:6" x14ac:dyDescent="0.25">
      <c r="A739" s="1" t="s">
        <v>1972</v>
      </c>
      <c r="B739" s="1" t="s">
        <v>30</v>
      </c>
      <c r="C739" s="1">
        <v>2</v>
      </c>
      <c r="D739" s="1">
        <v>0</v>
      </c>
      <c r="E739" s="1" t="str">
        <f t="shared" si="23"/>
        <v>(F2.0)</v>
      </c>
      <c r="F739" s="1" t="str">
        <f t="shared" si="22"/>
        <v>alter type vJA1m06 (F2.0).</v>
      </c>
    </row>
    <row r="740" spans="1:6" x14ac:dyDescent="0.25">
      <c r="A740" s="1" t="s">
        <v>1973</v>
      </c>
      <c r="B740" s="1" t="s">
        <v>30</v>
      </c>
      <c r="C740" s="1">
        <v>2</v>
      </c>
      <c r="D740" s="1">
        <v>0</v>
      </c>
      <c r="E740" s="1" t="str">
        <f t="shared" si="23"/>
        <v>(F2.0)</v>
      </c>
      <c r="F740" s="1" t="str">
        <f t="shared" si="22"/>
        <v>alter type vJA1m88 (F2.0).</v>
      </c>
    </row>
    <row r="741" spans="1:6" x14ac:dyDescent="0.25">
      <c r="A741" s="1" t="s">
        <v>1974</v>
      </c>
      <c r="B741" s="1" t="s">
        <v>30</v>
      </c>
      <c r="C741" s="1">
        <v>2</v>
      </c>
      <c r="D741" s="1">
        <v>0</v>
      </c>
      <c r="E741" s="1" t="str">
        <f t="shared" si="23"/>
        <v>(F2.0)</v>
      </c>
      <c r="F741" s="1" t="str">
        <f t="shared" si="22"/>
        <v>alter type vJA1m90 (F2.0).</v>
      </c>
    </row>
    <row r="742" spans="1:6" x14ac:dyDescent="0.25">
      <c r="A742" s="1" t="s">
        <v>1975</v>
      </c>
      <c r="B742" s="1" t="s">
        <v>27</v>
      </c>
      <c r="C742" s="1">
        <v>150</v>
      </c>
      <c r="D742" s="1">
        <v>0</v>
      </c>
      <c r="E742" s="1" t="str">
        <f t="shared" si="23"/>
        <v>(A150)</v>
      </c>
      <c r="F742" s="1" t="str">
        <f t="shared" si="22"/>
        <v>alter type vJA1o88 (A150).</v>
      </c>
    </row>
    <row r="743" spans="1:6" x14ac:dyDescent="0.25">
      <c r="A743" s="1" t="s">
        <v>1976</v>
      </c>
      <c r="B743" s="1" t="s">
        <v>30</v>
      </c>
      <c r="C743" s="1">
        <v>2</v>
      </c>
      <c r="D743" s="1">
        <v>0</v>
      </c>
      <c r="E743" s="1" t="str">
        <f t="shared" si="23"/>
        <v>(F2.0)</v>
      </c>
      <c r="F743" s="1" t="str">
        <f t="shared" si="22"/>
        <v>alter type vJA2m01 (F2.0).</v>
      </c>
    </row>
    <row r="744" spans="1:6" x14ac:dyDescent="0.25">
      <c r="A744" s="1" t="s">
        <v>1978</v>
      </c>
      <c r="B744" s="1" t="s">
        <v>30</v>
      </c>
      <c r="C744" s="1">
        <v>2</v>
      </c>
      <c r="D744" s="1">
        <v>0</v>
      </c>
      <c r="E744" s="1" t="str">
        <f t="shared" si="23"/>
        <v>(F2.0)</v>
      </c>
      <c r="F744" s="1" t="str">
        <f t="shared" si="22"/>
        <v>alter type vJA2m02 (F2.0).</v>
      </c>
    </row>
    <row r="745" spans="1:6" x14ac:dyDescent="0.25">
      <c r="A745" s="1" t="s">
        <v>1980</v>
      </c>
      <c r="B745" s="1" t="s">
        <v>30</v>
      </c>
      <c r="C745" s="1">
        <v>2</v>
      </c>
      <c r="D745" s="1">
        <v>0</v>
      </c>
      <c r="E745" s="1" t="str">
        <f t="shared" si="23"/>
        <v>(F2.0)</v>
      </c>
      <c r="F745" s="1" t="str">
        <f t="shared" si="22"/>
        <v>alter type vJA2m03 (F2.0).</v>
      </c>
    </row>
    <row r="746" spans="1:6" x14ac:dyDescent="0.25">
      <c r="A746" s="1" t="s">
        <v>1982</v>
      </c>
      <c r="B746" s="1" t="s">
        <v>30</v>
      </c>
      <c r="C746" s="1">
        <v>2</v>
      </c>
      <c r="D746" s="1">
        <v>0</v>
      </c>
      <c r="E746" s="1" t="str">
        <f t="shared" si="23"/>
        <v>(F2.0)</v>
      </c>
      <c r="F746" s="1" t="str">
        <f t="shared" si="22"/>
        <v>alter type vJA2m04 (F2.0).</v>
      </c>
    </row>
    <row r="747" spans="1:6" x14ac:dyDescent="0.25">
      <c r="A747" s="1" t="s">
        <v>1984</v>
      </c>
      <c r="B747" s="1" t="s">
        <v>30</v>
      </c>
      <c r="C747" s="1">
        <v>2</v>
      </c>
      <c r="D747" s="1">
        <v>0</v>
      </c>
      <c r="E747" s="1" t="str">
        <f t="shared" si="23"/>
        <v>(F2.0)</v>
      </c>
      <c r="F747" s="1" t="str">
        <f t="shared" si="22"/>
        <v>alter type vJA2m05 (F2.0).</v>
      </c>
    </row>
    <row r="748" spans="1:6" x14ac:dyDescent="0.25">
      <c r="A748" s="1" t="s">
        <v>1986</v>
      </c>
      <c r="B748" s="1" t="s">
        <v>30</v>
      </c>
      <c r="C748" s="1">
        <v>2</v>
      </c>
      <c r="D748" s="1">
        <v>0</v>
      </c>
      <c r="E748" s="1" t="str">
        <f t="shared" si="23"/>
        <v>(F2.0)</v>
      </c>
      <c r="F748" s="1" t="str">
        <f t="shared" si="22"/>
        <v>alter type vJA2m06 (F2.0).</v>
      </c>
    </row>
    <row r="749" spans="1:6" x14ac:dyDescent="0.25">
      <c r="A749" s="1" t="s">
        <v>1988</v>
      </c>
      <c r="B749" s="1" t="s">
        <v>30</v>
      </c>
      <c r="C749" s="1">
        <v>2</v>
      </c>
      <c r="D749" s="1">
        <v>0</v>
      </c>
      <c r="E749" s="1" t="str">
        <f t="shared" si="23"/>
        <v>(F2.0)</v>
      </c>
      <c r="F749" s="1" t="str">
        <f t="shared" si="22"/>
        <v>alter type vJA2m07 (F2.0).</v>
      </c>
    </row>
    <row r="750" spans="1:6" x14ac:dyDescent="0.25">
      <c r="A750" s="1" t="s">
        <v>1990</v>
      </c>
      <c r="B750" s="1" t="s">
        <v>30</v>
      </c>
      <c r="C750" s="1">
        <v>2</v>
      </c>
      <c r="D750" s="1">
        <v>0</v>
      </c>
      <c r="E750" s="1" t="str">
        <f t="shared" si="23"/>
        <v>(F2.0)</v>
      </c>
      <c r="F750" s="1" t="str">
        <f t="shared" si="22"/>
        <v>alter type vJA2m08 (F2.0).</v>
      </c>
    </row>
    <row r="751" spans="1:6" x14ac:dyDescent="0.25">
      <c r="A751" s="1" t="s">
        <v>1992</v>
      </c>
      <c r="B751" s="1" t="s">
        <v>30</v>
      </c>
      <c r="C751" s="1">
        <v>2</v>
      </c>
      <c r="D751" s="1">
        <v>0</v>
      </c>
      <c r="E751" s="1" t="str">
        <f t="shared" si="23"/>
        <v>(F2.0)</v>
      </c>
      <c r="F751" s="1" t="str">
        <f t="shared" si="22"/>
        <v>alter type vJA2m09 (F2.0).</v>
      </c>
    </row>
    <row r="752" spans="1:6" x14ac:dyDescent="0.25">
      <c r="A752" s="1" t="s">
        <v>1994</v>
      </c>
      <c r="B752" s="1" t="s">
        <v>30</v>
      </c>
      <c r="C752" s="1">
        <v>2</v>
      </c>
      <c r="D752" s="1">
        <v>0</v>
      </c>
      <c r="E752" s="1" t="str">
        <f t="shared" si="23"/>
        <v>(F2.0)</v>
      </c>
      <c r="F752" s="1" t="str">
        <f t="shared" si="22"/>
        <v>alter type vJA2m10 (F2.0).</v>
      </c>
    </row>
    <row r="753" spans="1:6" x14ac:dyDescent="0.25">
      <c r="A753" s="1" t="s">
        <v>1996</v>
      </c>
      <c r="B753" s="1" t="s">
        <v>30</v>
      </c>
      <c r="C753" s="1">
        <v>2</v>
      </c>
      <c r="D753" s="1">
        <v>0</v>
      </c>
      <c r="E753" s="1" t="str">
        <f t="shared" si="23"/>
        <v>(F2.0)</v>
      </c>
      <c r="F753" s="1" t="str">
        <f t="shared" si="22"/>
        <v>alter type vJA2m11 (F2.0).</v>
      </c>
    </row>
    <row r="754" spans="1:6" x14ac:dyDescent="0.25">
      <c r="A754" s="1" t="s">
        <v>1998</v>
      </c>
      <c r="B754" s="1" t="s">
        <v>30</v>
      </c>
      <c r="C754" s="1">
        <v>2</v>
      </c>
      <c r="D754" s="1">
        <v>0</v>
      </c>
      <c r="E754" s="1" t="str">
        <f t="shared" si="23"/>
        <v>(F2.0)</v>
      </c>
      <c r="F754" s="1" t="str">
        <f t="shared" si="22"/>
        <v>alter type vJA2m12 (F2.0).</v>
      </c>
    </row>
    <row r="755" spans="1:6" x14ac:dyDescent="0.25">
      <c r="A755" s="1" t="s">
        <v>2000</v>
      </c>
      <c r="B755" s="1" t="s">
        <v>30</v>
      </c>
      <c r="C755" s="1">
        <v>2</v>
      </c>
      <c r="D755" s="1">
        <v>0</v>
      </c>
      <c r="E755" s="1" t="str">
        <f t="shared" si="23"/>
        <v>(F2.0)</v>
      </c>
      <c r="F755" s="1" t="str">
        <f t="shared" si="22"/>
        <v>alter type vJA2m88 (F2.0).</v>
      </c>
    </row>
    <row r="756" spans="1:6" x14ac:dyDescent="0.25">
      <c r="A756" s="1" t="s">
        <v>2002</v>
      </c>
      <c r="B756" s="1" t="s">
        <v>30</v>
      </c>
      <c r="C756" s="1">
        <v>2</v>
      </c>
      <c r="D756" s="1">
        <v>0</v>
      </c>
      <c r="E756" s="1" t="str">
        <f t="shared" si="23"/>
        <v>(F2.0)</v>
      </c>
      <c r="F756" s="1" t="str">
        <f t="shared" si="22"/>
        <v>alter type vJA2m90 (F2.0).</v>
      </c>
    </row>
    <row r="757" spans="1:6" x14ac:dyDescent="0.25">
      <c r="A757" s="1" t="s">
        <v>2004</v>
      </c>
      <c r="B757" s="1" t="s">
        <v>30</v>
      </c>
      <c r="C757" s="1">
        <v>2</v>
      </c>
      <c r="D757" s="1">
        <v>0</v>
      </c>
      <c r="E757" s="1" t="str">
        <f t="shared" si="23"/>
        <v>(F2.0)</v>
      </c>
      <c r="F757" s="1" t="str">
        <f t="shared" si="22"/>
        <v>alter type vJA2m91 (F2.0).</v>
      </c>
    </row>
    <row r="758" spans="1:6" x14ac:dyDescent="0.25">
      <c r="A758" s="1" t="s">
        <v>2006</v>
      </c>
      <c r="B758" s="1" t="s">
        <v>30</v>
      </c>
      <c r="C758" s="1">
        <v>2</v>
      </c>
      <c r="D758" s="1">
        <v>0</v>
      </c>
      <c r="E758" s="1" t="str">
        <f t="shared" si="23"/>
        <v>(F2.0)</v>
      </c>
      <c r="F758" s="1" t="str">
        <f t="shared" si="22"/>
        <v>alter type vJA2m92 (F2.0).</v>
      </c>
    </row>
    <row r="759" spans="1:6" x14ac:dyDescent="0.25">
      <c r="A759" s="1" t="s">
        <v>2008</v>
      </c>
      <c r="B759" s="1" t="s">
        <v>27</v>
      </c>
      <c r="C759" s="1">
        <v>150</v>
      </c>
      <c r="D759" s="1">
        <v>0</v>
      </c>
      <c r="E759" s="1" t="str">
        <f t="shared" si="23"/>
        <v>(A150)</v>
      </c>
      <c r="F759" s="1" t="str">
        <f t="shared" si="22"/>
        <v>alter type vJA2o88 (A150).</v>
      </c>
    </row>
    <row r="760" spans="1:6" x14ac:dyDescent="0.25">
      <c r="A760" s="1" t="s">
        <v>2009</v>
      </c>
      <c r="B760" s="1" t="s">
        <v>30</v>
      </c>
      <c r="C760" s="1">
        <v>2</v>
      </c>
      <c r="D760" s="1">
        <v>0</v>
      </c>
      <c r="E760" s="1" t="str">
        <f t="shared" si="23"/>
        <v>(F2.0)</v>
      </c>
      <c r="F760" s="1" t="str">
        <f t="shared" si="22"/>
        <v>alter type vLA1 (F2.0).</v>
      </c>
    </row>
    <row r="761" spans="1:6" x14ac:dyDescent="0.25">
      <c r="A761" s="1" t="s">
        <v>2011</v>
      </c>
      <c r="B761" s="1" t="s">
        <v>30</v>
      </c>
      <c r="C761" s="1">
        <v>2</v>
      </c>
      <c r="D761" s="1">
        <v>0</v>
      </c>
      <c r="E761" s="1" t="str">
        <f t="shared" si="23"/>
        <v>(F2.0)</v>
      </c>
      <c r="F761" s="1" t="str">
        <f t="shared" si="22"/>
        <v>alter type vLA2 (F2.0).</v>
      </c>
    </row>
    <row r="762" spans="1:6" x14ac:dyDescent="0.25">
      <c r="A762" s="1" t="s">
        <v>2013</v>
      </c>
      <c r="B762" s="1" t="s">
        <v>30</v>
      </c>
      <c r="C762" s="1">
        <v>2</v>
      </c>
      <c r="D762" s="1">
        <v>0</v>
      </c>
      <c r="E762" s="1" t="str">
        <f t="shared" si="23"/>
        <v>(F2.0)</v>
      </c>
      <c r="F762" s="1" t="str">
        <f t="shared" si="22"/>
        <v>alter type vLA3_1m01 (F2.0).</v>
      </c>
    </row>
    <row r="763" spans="1:6" x14ac:dyDescent="0.25">
      <c r="A763" s="1" t="s">
        <v>2015</v>
      </c>
      <c r="B763" s="1" t="s">
        <v>30</v>
      </c>
      <c r="C763" s="1">
        <v>2</v>
      </c>
      <c r="D763" s="1">
        <v>0</v>
      </c>
      <c r="E763" s="1" t="str">
        <f t="shared" si="23"/>
        <v>(F2.0)</v>
      </c>
      <c r="F763" s="1" t="str">
        <f t="shared" si="22"/>
        <v>alter type vLA3_1m02 (F2.0).</v>
      </c>
    </row>
    <row r="764" spans="1:6" x14ac:dyDescent="0.25">
      <c r="A764" s="1" t="s">
        <v>2017</v>
      </c>
      <c r="B764" s="1" t="s">
        <v>30</v>
      </c>
      <c r="C764" s="1">
        <v>2</v>
      </c>
      <c r="D764" s="1">
        <v>0</v>
      </c>
      <c r="E764" s="1" t="str">
        <f t="shared" si="23"/>
        <v>(F2.0)</v>
      </c>
      <c r="F764" s="1" t="str">
        <f t="shared" si="22"/>
        <v>alter type vLA3_1m03 (F2.0).</v>
      </c>
    </row>
    <row r="765" spans="1:6" x14ac:dyDescent="0.25">
      <c r="A765" s="1" t="s">
        <v>2019</v>
      </c>
      <c r="B765" s="1" t="s">
        <v>30</v>
      </c>
      <c r="C765" s="1">
        <v>2</v>
      </c>
      <c r="D765" s="1">
        <v>0</v>
      </c>
      <c r="E765" s="1" t="str">
        <f t="shared" si="23"/>
        <v>(F2.0)</v>
      </c>
      <c r="F765" s="1" t="str">
        <f t="shared" si="22"/>
        <v>alter type vLA3_1m04 (F2.0).</v>
      </c>
    </row>
    <row r="766" spans="1:6" x14ac:dyDescent="0.25">
      <c r="A766" s="1" t="s">
        <v>2021</v>
      </c>
      <c r="B766" s="1" t="s">
        <v>30</v>
      </c>
      <c r="C766" s="1">
        <v>2</v>
      </c>
      <c r="D766" s="1">
        <v>0</v>
      </c>
      <c r="E766" s="1" t="str">
        <f t="shared" si="23"/>
        <v>(F2.0)</v>
      </c>
      <c r="F766" s="1" t="str">
        <f t="shared" si="22"/>
        <v>alter type vLA3_1m05 (F2.0).</v>
      </c>
    </row>
    <row r="767" spans="1:6" x14ac:dyDescent="0.25">
      <c r="A767" s="1" t="s">
        <v>2023</v>
      </c>
      <c r="B767" s="1" t="s">
        <v>30</v>
      </c>
      <c r="C767" s="1">
        <v>2</v>
      </c>
      <c r="D767" s="1">
        <v>0</v>
      </c>
      <c r="E767" s="1" t="str">
        <f t="shared" si="23"/>
        <v>(F2.0)</v>
      </c>
      <c r="F767" s="1" t="str">
        <f t="shared" si="22"/>
        <v>alter type vLA3_1m06 (F2.0).</v>
      </c>
    </row>
    <row r="768" spans="1:6" x14ac:dyDescent="0.25">
      <c r="A768" s="1" t="s">
        <v>2025</v>
      </c>
      <c r="B768" s="1" t="s">
        <v>30</v>
      </c>
      <c r="C768" s="1">
        <v>2</v>
      </c>
      <c r="D768" s="1">
        <v>0</v>
      </c>
      <c r="E768" s="1" t="str">
        <f t="shared" si="23"/>
        <v>(F2.0)</v>
      </c>
      <c r="F768" s="1" t="str">
        <f t="shared" si="22"/>
        <v>alter type vLA3_1m07 (F2.0).</v>
      </c>
    </row>
    <row r="769" spans="1:6" x14ac:dyDescent="0.25">
      <c r="A769" s="1" t="s">
        <v>2027</v>
      </c>
      <c r="B769" s="1" t="s">
        <v>30</v>
      </c>
      <c r="C769" s="1">
        <v>2</v>
      </c>
      <c r="D769" s="1">
        <v>0</v>
      </c>
      <c r="E769" s="1" t="str">
        <f t="shared" si="23"/>
        <v>(F2.0)</v>
      </c>
      <c r="F769" s="1" t="str">
        <f t="shared" si="22"/>
        <v>alter type vLA3_1m90 (F2.0).</v>
      </c>
    </row>
    <row r="770" spans="1:6" x14ac:dyDescent="0.25">
      <c r="A770" s="1" t="s">
        <v>2029</v>
      </c>
      <c r="B770" s="1" t="s">
        <v>30</v>
      </c>
      <c r="C770" s="1">
        <v>2</v>
      </c>
      <c r="D770" s="1">
        <v>0</v>
      </c>
      <c r="E770" s="1" t="str">
        <f t="shared" si="23"/>
        <v>(F2.0)</v>
      </c>
      <c r="F770" s="1" t="str">
        <f t="shared" ref="F770:F833" si="24">"alter type "&amp;A770&amp;" "&amp;E770&amp;"."</f>
        <v>alter type vLA3_2m01 (F2.0).</v>
      </c>
    </row>
    <row r="771" spans="1:6" x14ac:dyDescent="0.25">
      <c r="A771" s="1" t="s">
        <v>2031</v>
      </c>
      <c r="B771" s="1" t="s">
        <v>30</v>
      </c>
      <c r="C771" s="1">
        <v>2</v>
      </c>
      <c r="D771" s="1">
        <v>0</v>
      </c>
      <c r="E771" s="1" t="str">
        <f t="shared" ref="E771:E834" si="25">IF(B771="數值","(F"&amp;C771&amp;"."&amp;D771&amp;")","(A"&amp;C771&amp;")")</f>
        <v>(F2.0)</v>
      </c>
      <c r="F771" s="1" t="str">
        <f t="shared" si="24"/>
        <v>alter type vLA3_2m02 (F2.0).</v>
      </c>
    </row>
    <row r="772" spans="1:6" x14ac:dyDescent="0.25">
      <c r="A772" s="1" t="s">
        <v>2033</v>
      </c>
      <c r="B772" s="1" t="s">
        <v>30</v>
      </c>
      <c r="C772" s="1">
        <v>2</v>
      </c>
      <c r="D772" s="1">
        <v>0</v>
      </c>
      <c r="E772" s="1" t="str">
        <f t="shared" si="25"/>
        <v>(F2.0)</v>
      </c>
      <c r="F772" s="1" t="str">
        <f t="shared" si="24"/>
        <v>alter type vLA3_2m03 (F2.0).</v>
      </c>
    </row>
    <row r="773" spans="1:6" x14ac:dyDescent="0.25">
      <c r="A773" s="1" t="s">
        <v>2035</v>
      </c>
      <c r="B773" s="1" t="s">
        <v>30</v>
      </c>
      <c r="C773" s="1">
        <v>2</v>
      </c>
      <c r="D773" s="1">
        <v>0</v>
      </c>
      <c r="E773" s="1" t="str">
        <f t="shared" si="25"/>
        <v>(F2.0)</v>
      </c>
      <c r="F773" s="1" t="str">
        <f t="shared" si="24"/>
        <v>alter type vLA3_2m04 (F2.0).</v>
      </c>
    </row>
    <row r="774" spans="1:6" x14ac:dyDescent="0.25">
      <c r="A774" s="1" t="s">
        <v>2037</v>
      </c>
      <c r="B774" s="1" t="s">
        <v>30</v>
      </c>
      <c r="C774" s="1">
        <v>2</v>
      </c>
      <c r="D774" s="1">
        <v>0</v>
      </c>
      <c r="E774" s="1" t="str">
        <f t="shared" si="25"/>
        <v>(F2.0)</v>
      </c>
      <c r="F774" s="1" t="str">
        <f t="shared" si="24"/>
        <v>alter type vLA3_2m05 (F2.0).</v>
      </c>
    </row>
    <row r="775" spans="1:6" x14ac:dyDescent="0.25">
      <c r="A775" s="1" t="s">
        <v>2039</v>
      </c>
      <c r="B775" s="1" t="s">
        <v>30</v>
      </c>
      <c r="C775" s="1">
        <v>2</v>
      </c>
      <c r="D775" s="1">
        <v>0</v>
      </c>
      <c r="E775" s="1" t="str">
        <f t="shared" si="25"/>
        <v>(F2.0)</v>
      </c>
      <c r="F775" s="1" t="str">
        <f t="shared" si="24"/>
        <v>alter type vLA3_2m06 (F2.0).</v>
      </c>
    </row>
    <row r="776" spans="1:6" x14ac:dyDescent="0.25">
      <c r="A776" s="1" t="s">
        <v>2041</v>
      </c>
      <c r="B776" s="1" t="s">
        <v>30</v>
      </c>
      <c r="C776" s="1">
        <v>2</v>
      </c>
      <c r="D776" s="1">
        <v>0</v>
      </c>
      <c r="E776" s="1" t="str">
        <f t="shared" si="25"/>
        <v>(F2.0)</v>
      </c>
      <c r="F776" s="1" t="str">
        <f t="shared" si="24"/>
        <v>alter type vLA3_2m07 (F2.0).</v>
      </c>
    </row>
    <row r="777" spans="1:6" x14ac:dyDescent="0.25">
      <c r="A777" s="1" t="s">
        <v>2043</v>
      </c>
      <c r="B777" s="1" t="s">
        <v>30</v>
      </c>
      <c r="C777" s="1">
        <v>2</v>
      </c>
      <c r="D777" s="1">
        <v>0</v>
      </c>
      <c r="E777" s="1" t="str">
        <f t="shared" si="25"/>
        <v>(F2.0)</v>
      </c>
      <c r="F777" s="1" t="str">
        <f t="shared" si="24"/>
        <v>alter type vLA3_2m90 (F2.0).</v>
      </c>
    </row>
    <row r="778" spans="1:6" x14ac:dyDescent="0.25">
      <c r="A778" s="1" t="s">
        <v>2045</v>
      </c>
      <c r="B778" s="1" t="s">
        <v>30</v>
      </c>
      <c r="C778" s="1">
        <v>2</v>
      </c>
      <c r="D778" s="1">
        <v>0</v>
      </c>
      <c r="E778" s="1" t="str">
        <f t="shared" si="25"/>
        <v>(F2.0)</v>
      </c>
      <c r="F778" s="1" t="str">
        <f t="shared" si="24"/>
        <v>alter type vLA4 (F2.0).</v>
      </c>
    </row>
    <row r="779" spans="1:6" x14ac:dyDescent="0.25">
      <c r="A779" s="1" t="s">
        <v>2047</v>
      </c>
      <c r="B779" s="1" t="s">
        <v>30</v>
      </c>
      <c r="C779" s="1">
        <v>2</v>
      </c>
      <c r="D779" s="1">
        <v>0</v>
      </c>
      <c r="E779" s="1" t="str">
        <f t="shared" si="25"/>
        <v>(F2.0)</v>
      </c>
      <c r="F779" s="1" t="str">
        <f t="shared" si="24"/>
        <v>alter type vLA5_1m01 (F2.0).</v>
      </c>
    </row>
    <row r="780" spans="1:6" x14ac:dyDescent="0.25">
      <c r="A780" s="1" t="s">
        <v>2049</v>
      </c>
      <c r="B780" s="1" t="s">
        <v>30</v>
      </c>
      <c r="C780" s="1">
        <v>2</v>
      </c>
      <c r="D780" s="1">
        <v>0</v>
      </c>
      <c r="E780" s="1" t="str">
        <f t="shared" si="25"/>
        <v>(F2.0)</v>
      </c>
      <c r="F780" s="1" t="str">
        <f t="shared" si="24"/>
        <v>alter type vLA5_1m02 (F2.0).</v>
      </c>
    </row>
    <row r="781" spans="1:6" x14ac:dyDescent="0.25">
      <c r="A781" s="1" t="s">
        <v>2051</v>
      </c>
      <c r="B781" s="1" t="s">
        <v>30</v>
      </c>
      <c r="C781" s="1">
        <v>2</v>
      </c>
      <c r="D781" s="1">
        <v>0</v>
      </c>
      <c r="E781" s="1" t="str">
        <f t="shared" si="25"/>
        <v>(F2.0)</v>
      </c>
      <c r="F781" s="1" t="str">
        <f t="shared" si="24"/>
        <v>alter type vLA5_1m03 (F2.0).</v>
      </c>
    </row>
    <row r="782" spans="1:6" x14ac:dyDescent="0.25">
      <c r="A782" s="1" t="s">
        <v>2053</v>
      </c>
      <c r="B782" s="1" t="s">
        <v>30</v>
      </c>
      <c r="C782" s="1">
        <v>2</v>
      </c>
      <c r="D782" s="1">
        <v>0</v>
      </c>
      <c r="E782" s="1" t="str">
        <f t="shared" si="25"/>
        <v>(F2.0)</v>
      </c>
      <c r="F782" s="1" t="str">
        <f t="shared" si="24"/>
        <v>alter type vLA5_1m04 (F2.0).</v>
      </c>
    </row>
    <row r="783" spans="1:6" x14ac:dyDescent="0.25">
      <c r="A783" s="1" t="s">
        <v>2055</v>
      </c>
      <c r="B783" s="1" t="s">
        <v>30</v>
      </c>
      <c r="C783" s="1">
        <v>2</v>
      </c>
      <c r="D783" s="1">
        <v>0</v>
      </c>
      <c r="E783" s="1" t="str">
        <f t="shared" si="25"/>
        <v>(F2.0)</v>
      </c>
      <c r="F783" s="1" t="str">
        <f t="shared" si="24"/>
        <v>alter type vLA5_1m05 (F2.0).</v>
      </c>
    </row>
    <row r="784" spans="1:6" x14ac:dyDescent="0.25">
      <c r="A784" s="1" t="s">
        <v>2057</v>
      </c>
      <c r="B784" s="1" t="s">
        <v>30</v>
      </c>
      <c r="C784" s="1">
        <v>2</v>
      </c>
      <c r="D784" s="1">
        <v>0</v>
      </c>
      <c r="E784" s="1" t="str">
        <f t="shared" si="25"/>
        <v>(F2.0)</v>
      </c>
      <c r="F784" s="1" t="str">
        <f t="shared" si="24"/>
        <v>alter type vLA5_1m06 (F2.0).</v>
      </c>
    </row>
    <row r="785" spans="1:6" x14ac:dyDescent="0.25">
      <c r="A785" s="1" t="s">
        <v>2059</v>
      </c>
      <c r="B785" s="1" t="s">
        <v>30</v>
      </c>
      <c r="C785" s="1">
        <v>2</v>
      </c>
      <c r="D785" s="1">
        <v>0</v>
      </c>
      <c r="E785" s="1" t="str">
        <f t="shared" si="25"/>
        <v>(F2.0)</v>
      </c>
      <c r="F785" s="1" t="str">
        <f t="shared" si="24"/>
        <v>alter type vLA5_1m07 (F2.0).</v>
      </c>
    </row>
    <row r="786" spans="1:6" x14ac:dyDescent="0.25">
      <c r="A786" s="1" t="s">
        <v>2061</v>
      </c>
      <c r="B786" s="1" t="s">
        <v>30</v>
      </c>
      <c r="C786" s="1">
        <v>2</v>
      </c>
      <c r="D786" s="1">
        <v>0</v>
      </c>
      <c r="E786" s="1" t="str">
        <f t="shared" si="25"/>
        <v>(F2.0)</v>
      </c>
      <c r="F786" s="1" t="str">
        <f t="shared" si="24"/>
        <v>alter type vLA5_1m90 (F2.0).</v>
      </c>
    </row>
    <row r="787" spans="1:6" x14ac:dyDescent="0.25">
      <c r="A787" s="1" t="s">
        <v>2063</v>
      </c>
      <c r="B787" s="1" t="s">
        <v>30</v>
      </c>
      <c r="C787" s="1">
        <v>2</v>
      </c>
      <c r="D787" s="1">
        <v>0</v>
      </c>
      <c r="E787" s="1" t="str">
        <f t="shared" si="25"/>
        <v>(F2.0)</v>
      </c>
      <c r="F787" s="1" t="str">
        <f t="shared" si="24"/>
        <v>alter type vLA5_2m01 (F2.0).</v>
      </c>
    </row>
    <row r="788" spans="1:6" x14ac:dyDescent="0.25">
      <c r="A788" s="1" t="s">
        <v>2065</v>
      </c>
      <c r="B788" s="1" t="s">
        <v>30</v>
      </c>
      <c r="C788" s="1">
        <v>2</v>
      </c>
      <c r="D788" s="1">
        <v>0</v>
      </c>
      <c r="E788" s="1" t="str">
        <f t="shared" si="25"/>
        <v>(F2.0)</v>
      </c>
      <c r="F788" s="1" t="str">
        <f t="shared" si="24"/>
        <v>alter type vLA5_2m02 (F2.0).</v>
      </c>
    </row>
    <row r="789" spans="1:6" x14ac:dyDescent="0.25">
      <c r="A789" s="1" t="s">
        <v>2067</v>
      </c>
      <c r="B789" s="1" t="s">
        <v>30</v>
      </c>
      <c r="C789" s="1">
        <v>2</v>
      </c>
      <c r="D789" s="1">
        <v>0</v>
      </c>
      <c r="E789" s="1" t="str">
        <f t="shared" si="25"/>
        <v>(F2.0)</v>
      </c>
      <c r="F789" s="1" t="str">
        <f t="shared" si="24"/>
        <v>alter type vLA5_2m03 (F2.0).</v>
      </c>
    </row>
    <row r="790" spans="1:6" x14ac:dyDescent="0.25">
      <c r="A790" s="1" t="s">
        <v>2069</v>
      </c>
      <c r="B790" s="1" t="s">
        <v>30</v>
      </c>
      <c r="C790" s="1">
        <v>2</v>
      </c>
      <c r="D790" s="1">
        <v>0</v>
      </c>
      <c r="E790" s="1" t="str">
        <f t="shared" si="25"/>
        <v>(F2.0)</v>
      </c>
      <c r="F790" s="1" t="str">
        <f t="shared" si="24"/>
        <v>alter type vLA5_2m04 (F2.0).</v>
      </c>
    </row>
    <row r="791" spans="1:6" x14ac:dyDescent="0.25">
      <c r="A791" s="1" t="s">
        <v>2071</v>
      </c>
      <c r="B791" s="1" t="s">
        <v>30</v>
      </c>
      <c r="C791" s="1">
        <v>2</v>
      </c>
      <c r="D791" s="1">
        <v>0</v>
      </c>
      <c r="E791" s="1" t="str">
        <f t="shared" si="25"/>
        <v>(F2.0)</v>
      </c>
      <c r="F791" s="1" t="str">
        <f t="shared" si="24"/>
        <v>alter type vLA5_2m05 (F2.0).</v>
      </c>
    </row>
    <row r="792" spans="1:6" x14ac:dyDescent="0.25">
      <c r="A792" s="1" t="s">
        <v>2073</v>
      </c>
      <c r="B792" s="1" t="s">
        <v>30</v>
      </c>
      <c r="C792" s="1">
        <v>2</v>
      </c>
      <c r="D792" s="1">
        <v>0</v>
      </c>
      <c r="E792" s="1" t="str">
        <f t="shared" si="25"/>
        <v>(F2.0)</v>
      </c>
      <c r="F792" s="1" t="str">
        <f t="shared" si="24"/>
        <v>alter type vLA5_2m06 (F2.0).</v>
      </c>
    </row>
    <row r="793" spans="1:6" x14ac:dyDescent="0.25">
      <c r="A793" s="1" t="s">
        <v>2075</v>
      </c>
      <c r="B793" s="1" t="s">
        <v>30</v>
      </c>
      <c r="C793" s="1">
        <v>2</v>
      </c>
      <c r="D793" s="1">
        <v>0</v>
      </c>
      <c r="E793" s="1" t="str">
        <f t="shared" si="25"/>
        <v>(F2.0)</v>
      </c>
      <c r="F793" s="1" t="str">
        <f t="shared" si="24"/>
        <v>alter type vLA5_2m07 (F2.0).</v>
      </c>
    </row>
    <row r="794" spans="1:6" x14ac:dyDescent="0.25">
      <c r="A794" s="1" t="s">
        <v>2077</v>
      </c>
      <c r="B794" s="1" t="s">
        <v>30</v>
      </c>
      <c r="C794" s="1">
        <v>2</v>
      </c>
      <c r="D794" s="1">
        <v>0</v>
      </c>
      <c r="E794" s="1" t="str">
        <f t="shared" si="25"/>
        <v>(F2.0)</v>
      </c>
      <c r="F794" s="1" t="str">
        <f t="shared" si="24"/>
        <v>alter type vLA5_2m90 (F2.0).</v>
      </c>
    </row>
    <row r="795" spans="1:6" x14ac:dyDescent="0.25">
      <c r="A795" s="1" t="s">
        <v>2079</v>
      </c>
      <c r="B795" s="1" t="s">
        <v>30</v>
      </c>
      <c r="C795" s="1">
        <v>2</v>
      </c>
      <c r="D795" s="1">
        <v>0</v>
      </c>
      <c r="E795" s="1" t="str">
        <f t="shared" si="25"/>
        <v>(F2.0)</v>
      </c>
      <c r="F795" s="1" t="str">
        <f t="shared" si="24"/>
        <v>alter type vLA5_3m01 (F2.0).</v>
      </c>
    </row>
    <row r="796" spans="1:6" x14ac:dyDescent="0.25">
      <c r="A796" s="1" t="s">
        <v>2081</v>
      </c>
      <c r="B796" s="1" t="s">
        <v>30</v>
      </c>
      <c r="C796" s="1">
        <v>2</v>
      </c>
      <c r="D796" s="1">
        <v>0</v>
      </c>
      <c r="E796" s="1" t="str">
        <f t="shared" si="25"/>
        <v>(F2.0)</v>
      </c>
      <c r="F796" s="1" t="str">
        <f t="shared" si="24"/>
        <v>alter type vLA5_3m02 (F2.0).</v>
      </c>
    </row>
    <row r="797" spans="1:6" x14ac:dyDescent="0.25">
      <c r="A797" s="1" t="s">
        <v>2083</v>
      </c>
      <c r="B797" s="1" t="s">
        <v>30</v>
      </c>
      <c r="C797" s="1">
        <v>2</v>
      </c>
      <c r="D797" s="1">
        <v>0</v>
      </c>
      <c r="E797" s="1" t="str">
        <f t="shared" si="25"/>
        <v>(F2.0)</v>
      </c>
      <c r="F797" s="1" t="str">
        <f t="shared" si="24"/>
        <v>alter type vLA5_3m03 (F2.0).</v>
      </c>
    </row>
    <row r="798" spans="1:6" x14ac:dyDescent="0.25">
      <c r="A798" s="1" t="s">
        <v>2085</v>
      </c>
      <c r="B798" s="1" t="s">
        <v>30</v>
      </c>
      <c r="C798" s="1">
        <v>2</v>
      </c>
      <c r="D798" s="1">
        <v>0</v>
      </c>
      <c r="E798" s="1" t="str">
        <f t="shared" si="25"/>
        <v>(F2.0)</v>
      </c>
      <c r="F798" s="1" t="str">
        <f t="shared" si="24"/>
        <v>alter type vLA5_3m04 (F2.0).</v>
      </c>
    </row>
    <row r="799" spans="1:6" x14ac:dyDescent="0.25">
      <c r="A799" s="1" t="s">
        <v>2087</v>
      </c>
      <c r="B799" s="1" t="s">
        <v>30</v>
      </c>
      <c r="C799" s="1">
        <v>2</v>
      </c>
      <c r="D799" s="1">
        <v>0</v>
      </c>
      <c r="E799" s="1" t="str">
        <f t="shared" si="25"/>
        <v>(F2.0)</v>
      </c>
      <c r="F799" s="1" t="str">
        <f t="shared" si="24"/>
        <v>alter type vLA5_3m05 (F2.0).</v>
      </c>
    </row>
    <row r="800" spans="1:6" x14ac:dyDescent="0.25">
      <c r="A800" s="1" t="s">
        <v>2089</v>
      </c>
      <c r="B800" s="1" t="s">
        <v>30</v>
      </c>
      <c r="C800" s="1">
        <v>2</v>
      </c>
      <c r="D800" s="1">
        <v>0</v>
      </c>
      <c r="E800" s="1" t="str">
        <f t="shared" si="25"/>
        <v>(F2.0)</v>
      </c>
      <c r="F800" s="1" t="str">
        <f t="shared" si="24"/>
        <v>alter type vLA5_3m06 (F2.0).</v>
      </c>
    </row>
    <row r="801" spans="1:6" x14ac:dyDescent="0.25">
      <c r="A801" s="1" t="s">
        <v>2091</v>
      </c>
      <c r="B801" s="1" t="s">
        <v>30</v>
      </c>
      <c r="C801" s="1">
        <v>2</v>
      </c>
      <c r="D801" s="1">
        <v>0</v>
      </c>
      <c r="E801" s="1" t="str">
        <f t="shared" si="25"/>
        <v>(F2.0)</v>
      </c>
      <c r="F801" s="1" t="str">
        <f t="shared" si="24"/>
        <v>alter type vLA5_3m07 (F2.0).</v>
      </c>
    </row>
    <row r="802" spans="1:6" x14ac:dyDescent="0.25">
      <c r="A802" s="1" t="s">
        <v>2093</v>
      </c>
      <c r="B802" s="1" t="s">
        <v>30</v>
      </c>
      <c r="C802" s="1">
        <v>2</v>
      </c>
      <c r="D802" s="1">
        <v>0</v>
      </c>
      <c r="E802" s="1" t="str">
        <f t="shared" si="25"/>
        <v>(F2.0)</v>
      </c>
      <c r="F802" s="1" t="str">
        <f t="shared" si="24"/>
        <v>alter type vLA5_3m90 (F2.0).</v>
      </c>
    </row>
    <row r="803" spans="1:6" x14ac:dyDescent="0.25">
      <c r="A803" s="1" t="s">
        <v>2095</v>
      </c>
      <c r="B803" s="1" t="s">
        <v>30</v>
      </c>
      <c r="C803" s="1">
        <v>2</v>
      </c>
      <c r="D803" s="1">
        <v>0</v>
      </c>
      <c r="E803" s="1" t="str">
        <f t="shared" si="25"/>
        <v>(F2.0)</v>
      </c>
      <c r="F803" s="1" t="str">
        <f t="shared" si="24"/>
        <v>alter type vLA6m01 (F2.0).</v>
      </c>
    </row>
    <row r="804" spans="1:6" x14ac:dyDescent="0.25">
      <c r="A804" s="1" t="s">
        <v>2097</v>
      </c>
      <c r="B804" s="1" t="s">
        <v>30</v>
      </c>
      <c r="C804" s="1">
        <v>2</v>
      </c>
      <c r="D804" s="1">
        <v>0</v>
      </c>
      <c r="E804" s="1" t="str">
        <f t="shared" si="25"/>
        <v>(F2.0)</v>
      </c>
      <c r="F804" s="1" t="str">
        <f t="shared" si="24"/>
        <v>alter type vLA6m02 (F2.0).</v>
      </c>
    </row>
    <row r="805" spans="1:6" x14ac:dyDescent="0.25">
      <c r="A805" s="1" t="s">
        <v>2099</v>
      </c>
      <c r="B805" s="1" t="s">
        <v>30</v>
      </c>
      <c r="C805" s="1">
        <v>2</v>
      </c>
      <c r="D805" s="1">
        <v>0</v>
      </c>
      <c r="E805" s="1" t="str">
        <f t="shared" si="25"/>
        <v>(F2.0)</v>
      </c>
      <c r="F805" s="1" t="str">
        <f t="shared" si="24"/>
        <v>alter type vLA6m03 (F2.0).</v>
      </c>
    </row>
    <row r="806" spans="1:6" x14ac:dyDescent="0.25">
      <c r="A806" s="1" t="s">
        <v>2101</v>
      </c>
      <c r="B806" s="1" t="s">
        <v>30</v>
      </c>
      <c r="C806" s="1">
        <v>2</v>
      </c>
      <c r="D806" s="1">
        <v>0</v>
      </c>
      <c r="E806" s="1" t="str">
        <f t="shared" si="25"/>
        <v>(F2.0)</v>
      </c>
      <c r="F806" s="1" t="str">
        <f t="shared" si="24"/>
        <v>alter type vLA6m04 (F2.0).</v>
      </c>
    </row>
    <row r="807" spans="1:6" x14ac:dyDescent="0.25">
      <c r="A807" s="1" t="s">
        <v>2103</v>
      </c>
      <c r="B807" s="1" t="s">
        <v>30</v>
      </c>
      <c r="C807" s="1">
        <v>2</v>
      </c>
      <c r="D807" s="1">
        <v>0</v>
      </c>
      <c r="E807" s="1" t="str">
        <f t="shared" si="25"/>
        <v>(F2.0)</v>
      </c>
      <c r="F807" s="1" t="str">
        <f t="shared" si="24"/>
        <v>alter type vLA6m05 (F2.0).</v>
      </c>
    </row>
    <row r="808" spans="1:6" x14ac:dyDescent="0.25">
      <c r="A808" s="1" t="s">
        <v>2105</v>
      </c>
      <c r="B808" s="1" t="s">
        <v>30</v>
      </c>
      <c r="C808" s="1">
        <v>2</v>
      </c>
      <c r="D808" s="1">
        <v>0</v>
      </c>
      <c r="E808" s="1" t="str">
        <f t="shared" si="25"/>
        <v>(F2.0)</v>
      </c>
      <c r="F808" s="1" t="str">
        <f t="shared" si="24"/>
        <v>alter type vLA6m06 (F2.0).</v>
      </c>
    </row>
    <row r="809" spans="1:6" x14ac:dyDescent="0.25">
      <c r="A809" s="1" t="s">
        <v>2107</v>
      </c>
      <c r="B809" s="1" t="s">
        <v>30</v>
      </c>
      <c r="C809" s="1">
        <v>2</v>
      </c>
      <c r="D809" s="1">
        <v>0</v>
      </c>
      <c r="E809" s="1" t="str">
        <f t="shared" si="25"/>
        <v>(F2.0)</v>
      </c>
      <c r="F809" s="1" t="str">
        <f t="shared" si="24"/>
        <v>alter type vLA6m07 (F2.0).</v>
      </c>
    </row>
    <row r="810" spans="1:6" x14ac:dyDescent="0.25">
      <c r="A810" s="1" t="s">
        <v>2109</v>
      </c>
      <c r="B810" s="1" t="s">
        <v>30</v>
      </c>
      <c r="C810" s="1">
        <v>2</v>
      </c>
      <c r="D810" s="1">
        <v>0</v>
      </c>
      <c r="E810" s="1" t="str">
        <f t="shared" si="25"/>
        <v>(F2.0)</v>
      </c>
      <c r="F810" s="1" t="str">
        <f t="shared" si="24"/>
        <v>alter type vLA6m90 (F2.0).</v>
      </c>
    </row>
    <row r="811" spans="1:6" x14ac:dyDescent="0.25">
      <c r="A811" s="1" t="s">
        <v>2111</v>
      </c>
      <c r="B811" s="1" t="s">
        <v>30</v>
      </c>
      <c r="C811" s="1">
        <v>2</v>
      </c>
      <c r="D811" s="1">
        <v>0</v>
      </c>
      <c r="E811" s="1" t="str">
        <f t="shared" si="25"/>
        <v>(F2.0)</v>
      </c>
      <c r="F811" s="1" t="str">
        <f t="shared" si="24"/>
        <v>alter type vLA7m01 (F2.0).</v>
      </c>
    </row>
    <row r="812" spans="1:6" x14ac:dyDescent="0.25">
      <c r="A812" s="1" t="s">
        <v>2113</v>
      </c>
      <c r="B812" s="1" t="s">
        <v>30</v>
      </c>
      <c r="C812" s="1">
        <v>2</v>
      </c>
      <c r="D812" s="1">
        <v>0</v>
      </c>
      <c r="E812" s="1" t="str">
        <f t="shared" si="25"/>
        <v>(F2.0)</v>
      </c>
      <c r="F812" s="1" t="str">
        <f t="shared" si="24"/>
        <v>alter type vLA7m02 (F2.0).</v>
      </c>
    </row>
    <row r="813" spans="1:6" x14ac:dyDescent="0.25">
      <c r="A813" s="1" t="s">
        <v>2115</v>
      </c>
      <c r="B813" s="1" t="s">
        <v>30</v>
      </c>
      <c r="C813" s="1">
        <v>2</v>
      </c>
      <c r="D813" s="1">
        <v>0</v>
      </c>
      <c r="E813" s="1" t="str">
        <f t="shared" si="25"/>
        <v>(F2.0)</v>
      </c>
      <c r="F813" s="1" t="str">
        <f t="shared" si="24"/>
        <v>alter type vLA7m03 (F2.0).</v>
      </c>
    </row>
    <row r="814" spans="1:6" x14ac:dyDescent="0.25">
      <c r="A814" s="1" t="s">
        <v>2117</v>
      </c>
      <c r="B814" s="1" t="s">
        <v>30</v>
      </c>
      <c r="C814" s="1">
        <v>2</v>
      </c>
      <c r="D814" s="1">
        <v>0</v>
      </c>
      <c r="E814" s="1" t="str">
        <f t="shared" si="25"/>
        <v>(F2.0)</v>
      </c>
      <c r="F814" s="1" t="str">
        <f t="shared" si="24"/>
        <v>alter type vLA7m04 (F2.0).</v>
      </c>
    </row>
    <row r="815" spans="1:6" x14ac:dyDescent="0.25">
      <c r="A815" s="1" t="s">
        <v>2119</v>
      </c>
      <c r="B815" s="1" t="s">
        <v>30</v>
      </c>
      <c r="C815" s="1">
        <v>2</v>
      </c>
      <c r="D815" s="1">
        <v>0</v>
      </c>
      <c r="E815" s="1" t="str">
        <f t="shared" si="25"/>
        <v>(F2.0)</v>
      </c>
      <c r="F815" s="1" t="str">
        <f t="shared" si="24"/>
        <v>alter type vLA7m05 (F2.0).</v>
      </c>
    </row>
    <row r="816" spans="1:6" x14ac:dyDescent="0.25">
      <c r="A816" s="1" t="s">
        <v>2121</v>
      </c>
      <c r="B816" s="1" t="s">
        <v>30</v>
      </c>
      <c r="C816" s="1">
        <v>2</v>
      </c>
      <c r="D816" s="1">
        <v>0</v>
      </c>
      <c r="E816" s="1" t="str">
        <f t="shared" si="25"/>
        <v>(F2.0)</v>
      </c>
      <c r="F816" s="1" t="str">
        <f t="shared" si="24"/>
        <v>alter type vLA7m06 (F2.0).</v>
      </c>
    </row>
    <row r="817" spans="1:6" x14ac:dyDescent="0.25">
      <c r="A817" s="1" t="s">
        <v>2123</v>
      </c>
      <c r="B817" s="1" t="s">
        <v>30</v>
      </c>
      <c r="C817" s="1">
        <v>2</v>
      </c>
      <c r="D817" s="1">
        <v>0</v>
      </c>
      <c r="E817" s="1" t="str">
        <f t="shared" si="25"/>
        <v>(F2.0)</v>
      </c>
      <c r="F817" s="1" t="str">
        <f t="shared" si="24"/>
        <v>alter type vLA7m07 (F2.0).</v>
      </c>
    </row>
    <row r="818" spans="1:6" x14ac:dyDescent="0.25">
      <c r="A818" s="1" t="s">
        <v>2125</v>
      </c>
      <c r="B818" s="1" t="s">
        <v>30</v>
      </c>
      <c r="C818" s="1">
        <v>2</v>
      </c>
      <c r="D818" s="1">
        <v>0</v>
      </c>
      <c r="E818" s="1" t="str">
        <f t="shared" si="25"/>
        <v>(F2.0)</v>
      </c>
      <c r="F818" s="1" t="str">
        <f t="shared" si="24"/>
        <v>alter type vLA7m90 (F2.0).</v>
      </c>
    </row>
    <row r="819" spans="1:6" x14ac:dyDescent="0.25">
      <c r="A819" s="1" t="s">
        <v>611</v>
      </c>
      <c r="B819" s="1" t="s">
        <v>30</v>
      </c>
      <c r="C819" s="1">
        <v>2</v>
      </c>
      <c r="D819" s="1">
        <v>0</v>
      </c>
      <c r="E819" s="1" t="str">
        <f t="shared" si="25"/>
        <v>(F2.0)</v>
      </c>
      <c r="F819" s="1" t="str">
        <f t="shared" si="24"/>
        <v>alter type vN1sN1 (F2.0).</v>
      </c>
    </row>
    <row r="820" spans="1:6" x14ac:dyDescent="0.25">
      <c r="A820" s="1" t="s">
        <v>612</v>
      </c>
      <c r="B820" s="1" t="s">
        <v>30</v>
      </c>
      <c r="C820" s="1">
        <v>2</v>
      </c>
      <c r="D820" s="1">
        <v>0</v>
      </c>
      <c r="E820" s="1" t="str">
        <f t="shared" si="25"/>
        <v>(F2.0)</v>
      </c>
      <c r="F820" s="1" t="str">
        <f t="shared" si="24"/>
        <v>alter type vN1sN2 (F2.0).</v>
      </c>
    </row>
    <row r="821" spans="1:6" x14ac:dyDescent="0.25">
      <c r="A821" s="1" t="s">
        <v>613</v>
      </c>
      <c r="B821" s="1" t="s">
        <v>30</v>
      </c>
      <c r="C821" s="1">
        <v>2</v>
      </c>
      <c r="D821" s="1">
        <v>0</v>
      </c>
      <c r="E821" s="1" t="str">
        <f t="shared" si="25"/>
        <v>(F2.0)</v>
      </c>
      <c r="F821" s="1" t="str">
        <f t="shared" si="24"/>
        <v>alter type vN1sN3 (F2.0).</v>
      </c>
    </row>
    <row r="822" spans="1:6" x14ac:dyDescent="0.25">
      <c r="A822" s="1" t="s">
        <v>614</v>
      </c>
      <c r="B822" s="1" t="s">
        <v>30</v>
      </c>
      <c r="C822" s="1">
        <v>2</v>
      </c>
      <c r="D822" s="1">
        <v>0</v>
      </c>
      <c r="E822" s="1" t="str">
        <f t="shared" si="25"/>
        <v>(F2.0)</v>
      </c>
      <c r="F822" s="1" t="str">
        <f t="shared" si="24"/>
        <v>alter type vN1sN4 (F2.0).</v>
      </c>
    </row>
    <row r="823" spans="1:6" x14ac:dyDescent="0.25">
      <c r="A823" s="1" t="s">
        <v>2131</v>
      </c>
      <c r="B823" s="1" t="s">
        <v>30</v>
      </c>
      <c r="C823" s="1">
        <v>2</v>
      </c>
      <c r="D823" s="1">
        <v>0</v>
      </c>
      <c r="E823" s="1" t="str">
        <f t="shared" si="25"/>
        <v>(F2.0)</v>
      </c>
      <c r="F823" s="1" t="str">
        <f t="shared" si="24"/>
        <v>alter type vN5sN5 (F2.0).</v>
      </c>
    </row>
    <row r="824" spans="1:6" x14ac:dyDescent="0.25">
      <c r="A824" s="1" t="s">
        <v>2133</v>
      </c>
      <c r="B824" s="1" t="s">
        <v>30</v>
      </c>
      <c r="C824" s="1">
        <v>2</v>
      </c>
      <c r="D824" s="1">
        <v>0</v>
      </c>
      <c r="E824" s="1" t="str">
        <f t="shared" si="25"/>
        <v>(F2.0)</v>
      </c>
      <c r="F824" s="1" t="str">
        <f t="shared" si="24"/>
        <v>alter type vN5sN6 (F2.0).</v>
      </c>
    </row>
    <row r="825" spans="1:6" x14ac:dyDescent="0.25">
      <c r="A825" s="1" t="s">
        <v>2135</v>
      </c>
      <c r="B825" s="1" t="s">
        <v>30</v>
      </c>
      <c r="C825" s="1">
        <v>2</v>
      </c>
      <c r="D825" s="1">
        <v>0</v>
      </c>
      <c r="E825" s="1" t="str">
        <f t="shared" si="25"/>
        <v>(F2.0)</v>
      </c>
      <c r="F825" s="1" t="str">
        <f t="shared" si="24"/>
        <v>alter type vN5sN7 (F2.0).</v>
      </c>
    </row>
    <row r="826" spans="1:6" x14ac:dyDescent="0.25">
      <c r="A826" s="1" t="s">
        <v>2137</v>
      </c>
      <c r="B826" s="1" t="s">
        <v>30</v>
      </c>
      <c r="C826" s="1">
        <v>2</v>
      </c>
      <c r="D826" s="1">
        <v>0</v>
      </c>
      <c r="E826" s="1" t="str">
        <f t="shared" si="25"/>
        <v>(F2.0)</v>
      </c>
      <c r="F826" s="1" t="str">
        <f t="shared" si="24"/>
        <v>alter type vN5sN8 (F2.0).</v>
      </c>
    </row>
    <row r="827" spans="1:6" x14ac:dyDescent="0.25">
      <c r="A827" s="1" t="s">
        <v>2139</v>
      </c>
      <c r="B827" s="1" t="s">
        <v>30</v>
      </c>
      <c r="C827" s="1">
        <v>2</v>
      </c>
      <c r="D827" s="1">
        <v>0</v>
      </c>
      <c r="E827" s="1" t="str">
        <f t="shared" si="25"/>
        <v>(F2.0)</v>
      </c>
      <c r="F827" s="1" t="str">
        <f t="shared" si="24"/>
        <v>alter type vN5sN9 (F2.0).</v>
      </c>
    </row>
    <row r="828" spans="1:6" x14ac:dyDescent="0.25">
      <c r="A828" s="1" t="s">
        <v>2141</v>
      </c>
      <c r="B828" s="1" t="s">
        <v>30</v>
      </c>
      <c r="C828" s="1">
        <v>2</v>
      </c>
      <c r="D828" s="1">
        <v>0</v>
      </c>
      <c r="E828" s="1" t="str">
        <f t="shared" si="25"/>
        <v>(F2.0)</v>
      </c>
      <c r="F828" s="1" t="str">
        <f t="shared" si="24"/>
        <v>alter type vN5sN10 (F2.0).</v>
      </c>
    </row>
    <row r="829" spans="1:6" x14ac:dyDescent="0.25">
      <c r="A829" s="1" t="s">
        <v>621</v>
      </c>
      <c r="B829" s="1" t="s">
        <v>30</v>
      </c>
      <c r="C829" s="1">
        <v>2</v>
      </c>
      <c r="D829" s="1">
        <v>0</v>
      </c>
      <c r="E829" s="1" t="str">
        <f t="shared" si="25"/>
        <v>(F2.0)</v>
      </c>
      <c r="F829" s="1" t="str">
        <f t="shared" si="24"/>
        <v>alter type vN11sN11 (F2.0).</v>
      </c>
    </row>
    <row r="830" spans="1:6" x14ac:dyDescent="0.25">
      <c r="A830" s="1" t="s">
        <v>622</v>
      </c>
      <c r="B830" s="1" t="s">
        <v>30</v>
      </c>
      <c r="C830" s="1">
        <v>2</v>
      </c>
      <c r="D830" s="1">
        <v>0</v>
      </c>
      <c r="E830" s="1" t="str">
        <f t="shared" si="25"/>
        <v>(F2.0)</v>
      </c>
      <c r="F830" s="1" t="str">
        <f t="shared" si="24"/>
        <v>alter type vN11sN12 (F2.0).</v>
      </c>
    </row>
    <row r="831" spans="1:6" x14ac:dyDescent="0.25">
      <c r="A831" s="1" t="s">
        <v>623</v>
      </c>
      <c r="B831" s="1" t="s">
        <v>30</v>
      </c>
      <c r="C831" s="1">
        <v>2</v>
      </c>
      <c r="D831" s="1">
        <v>0</v>
      </c>
      <c r="E831" s="1" t="str">
        <f t="shared" si="25"/>
        <v>(F2.0)</v>
      </c>
      <c r="F831" s="1" t="str">
        <f t="shared" si="24"/>
        <v>alter type vN11sN13 (F2.0).</v>
      </c>
    </row>
    <row r="832" spans="1:6" x14ac:dyDescent="0.25">
      <c r="A832" s="1" t="s">
        <v>2146</v>
      </c>
      <c r="B832" s="1" t="s">
        <v>30</v>
      </c>
      <c r="C832" s="1">
        <v>2</v>
      </c>
      <c r="D832" s="1">
        <v>0</v>
      </c>
      <c r="E832" s="1" t="str">
        <f t="shared" si="25"/>
        <v>(F2.0)</v>
      </c>
      <c r="F832" s="1" t="str">
        <f t="shared" si="24"/>
        <v>alter type vN14sN14 (F2.0).</v>
      </c>
    </row>
    <row r="833" spans="1:6" x14ac:dyDescent="0.25">
      <c r="A833" s="1" t="s">
        <v>2148</v>
      </c>
      <c r="B833" s="1" t="s">
        <v>30</v>
      </c>
      <c r="C833" s="1">
        <v>2</v>
      </c>
      <c r="D833" s="1">
        <v>0</v>
      </c>
      <c r="E833" s="1" t="str">
        <f t="shared" si="25"/>
        <v>(F2.0)</v>
      </c>
      <c r="F833" s="1" t="str">
        <f t="shared" si="24"/>
        <v>alter type vN14sN15 (F2.0).</v>
      </c>
    </row>
    <row r="834" spans="1:6" x14ac:dyDescent="0.25">
      <c r="A834" s="1" t="s">
        <v>2150</v>
      </c>
      <c r="B834" s="1" t="s">
        <v>30</v>
      </c>
      <c r="C834" s="1">
        <v>2</v>
      </c>
      <c r="D834" s="1">
        <v>0</v>
      </c>
      <c r="E834" s="1" t="str">
        <f t="shared" si="25"/>
        <v>(F2.0)</v>
      </c>
      <c r="F834" s="1" t="str">
        <f t="shared" ref="F834:F897" si="26">"alter type "&amp;A834&amp;" "&amp;E834&amp;"."</f>
        <v>alter type vN14sN16 (F2.0).</v>
      </c>
    </row>
    <row r="835" spans="1:6" x14ac:dyDescent="0.25">
      <c r="A835" s="1" t="s">
        <v>2152</v>
      </c>
      <c r="B835" s="1" t="s">
        <v>30</v>
      </c>
      <c r="C835" s="1">
        <v>2</v>
      </c>
      <c r="D835" s="1">
        <v>0</v>
      </c>
      <c r="E835" s="1" t="str">
        <f t="shared" ref="E835:E898" si="27">IF(B835="數值","(F"&amp;C835&amp;"."&amp;D835&amp;")","(A"&amp;C835&amp;")")</f>
        <v>(F2.0)</v>
      </c>
      <c r="F835" s="1" t="str">
        <f t="shared" si="26"/>
        <v>alter type vN14sN17 (F2.0).</v>
      </c>
    </row>
    <row r="836" spans="1:6" x14ac:dyDescent="0.25">
      <c r="A836" s="1" t="s">
        <v>628</v>
      </c>
      <c r="B836" s="1" t="s">
        <v>30</v>
      </c>
      <c r="C836" s="1">
        <v>2</v>
      </c>
      <c r="D836" s="1">
        <v>0</v>
      </c>
      <c r="E836" s="1" t="str">
        <f t="shared" si="27"/>
        <v>(F2.0)</v>
      </c>
      <c r="F836" s="1" t="str">
        <f t="shared" si="26"/>
        <v>alter type vN18sN18 (F2.0).</v>
      </c>
    </row>
    <row r="837" spans="1:6" x14ac:dyDescent="0.25">
      <c r="A837" s="1" t="s">
        <v>629</v>
      </c>
      <c r="B837" s="1" t="s">
        <v>30</v>
      </c>
      <c r="C837" s="1">
        <v>2</v>
      </c>
      <c r="D837" s="1">
        <v>0</v>
      </c>
      <c r="E837" s="1" t="str">
        <f t="shared" si="27"/>
        <v>(F2.0)</v>
      </c>
      <c r="F837" s="1" t="str">
        <f t="shared" si="26"/>
        <v>alter type vN18sN19 (F2.0).</v>
      </c>
    </row>
    <row r="838" spans="1:6" x14ac:dyDescent="0.25">
      <c r="A838" s="1" t="s">
        <v>2156</v>
      </c>
      <c r="B838" s="1" t="s">
        <v>30</v>
      </c>
      <c r="C838" s="1">
        <v>2</v>
      </c>
      <c r="D838" s="1">
        <v>0</v>
      </c>
      <c r="E838" s="1" t="str">
        <f t="shared" si="27"/>
        <v>(F2.0)</v>
      </c>
      <c r="F838" s="1" t="str">
        <f t="shared" si="26"/>
        <v>alter type vN20 (F2.0).</v>
      </c>
    </row>
    <row r="839" spans="1:6" x14ac:dyDescent="0.25">
      <c r="A839" s="1" t="s">
        <v>631</v>
      </c>
      <c r="B839" s="1" t="s">
        <v>30</v>
      </c>
      <c r="C839" s="1">
        <v>2</v>
      </c>
      <c r="D839" s="1">
        <v>0</v>
      </c>
      <c r="E839" s="1" t="str">
        <f t="shared" si="27"/>
        <v>(F2.0)</v>
      </c>
      <c r="F839" s="1" t="str">
        <f t="shared" si="26"/>
        <v>alter type vN21sN21 (F2.0).</v>
      </c>
    </row>
    <row r="840" spans="1:6" x14ac:dyDescent="0.25">
      <c r="A840" s="1" t="s">
        <v>632</v>
      </c>
      <c r="B840" s="1" t="s">
        <v>30</v>
      </c>
      <c r="C840" s="1">
        <v>2</v>
      </c>
      <c r="D840" s="1">
        <v>0</v>
      </c>
      <c r="E840" s="1" t="str">
        <f t="shared" si="27"/>
        <v>(F2.0)</v>
      </c>
      <c r="F840" s="1" t="str">
        <f t="shared" si="26"/>
        <v>alter type vN21sN22 (F2.0).</v>
      </c>
    </row>
    <row r="841" spans="1:6" x14ac:dyDescent="0.25">
      <c r="A841" s="1" t="s">
        <v>2160</v>
      </c>
      <c r="B841" s="1" t="s">
        <v>30</v>
      </c>
      <c r="C841" s="1">
        <v>2</v>
      </c>
      <c r="D841" s="1">
        <v>0</v>
      </c>
      <c r="E841" s="1" t="str">
        <f t="shared" si="27"/>
        <v>(F2.0)</v>
      </c>
      <c r="F841" s="1" t="str">
        <f t="shared" si="26"/>
        <v>alter type vN21sN23 (F2.0).</v>
      </c>
    </row>
    <row r="842" spans="1:6" x14ac:dyDescent="0.25">
      <c r="A842" s="1" t="s">
        <v>2162</v>
      </c>
      <c r="B842" s="1" t="s">
        <v>30</v>
      </c>
      <c r="C842" s="1">
        <v>2</v>
      </c>
      <c r="D842" s="1">
        <v>0</v>
      </c>
      <c r="E842" s="1" t="str">
        <f t="shared" si="27"/>
        <v>(F2.0)</v>
      </c>
      <c r="F842" s="1" t="str">
        <f t="shared" si="26"/>
        <v>alter type vN24sN24 (F2.0).</v>
      </c>
    </row>
    <row r="843" spans="1:6" x14ac:dyDescent="0.25">
      <c r="A843" s="1" t="s">
        <v>2164</v>
      </c>
      <c r="B843" s="1" t="s">
        <v>30</v>
      </c>
      <c r="C843" s="1">
        <v>2</v>
      </c>
      <c r="D843" s="1">
        <v>0</v>
      </c>
      <c r="E843" s="1" t="str">
        <f t="shared" si="27"/>
        <v>(F2.0)</v>
      </c>
      <c r="F843" s="1" t="str">
        <f t="shared" si="26"/>
        <v>alter type vN24sN25 (F2.0).</v>
      </c>
    </row>
    <row r="844" spans="1:6" x14ac:dyDescent="0.25">
      <c r="A844" s="1" t="s">
        <v>636</v>
      </c>
      <c r="B844" s="1" t="s">
        <v>30</v>
      </c>
      <c r="C844" s="1">
        <v>2</v>
      </c>
      <c r="D844" s="1">
        <v>0</v>
      </c>
      <c r="E844" s="1" t="str">
        <f t="shared" si="27"/>
        <v>(F2.0)</v>
      </c>
      <c r="F844" s="1" t="str">
        <f t="shared" si="26"/>
        <v>alter type vN26 (F2.0).</v>
      </c>
    </row>
    <row r="845" spans="1:6" x14ac:dyDescent="0.25">
      <c r="A845" s="1" t="s">
        <v>637</v>
      </c>
      <c r="B845" s="1" t="s">
        <v>30</v>
      </c>
      <c r="C845" s="1">
        <v>2</v>
      </c>
      <c r="D845" s="1">
        <v>0</v>
      </c>
      <c r="E845" s="1" t="str">
        <f t="shared" si="27"/>
        <v>(F2.0)</v>
      </c>
      <c r="F845" s="1" t="str">
        <f t="shared" si="26"/>
        <v>alter type vN27 (F2.0).</v>
      </c>
    </row>
    <row r="846" spans="1:6" x14ac:dyDescent="0.25">
      <c r="A846" s="1" t="s">
        <v>638</v>
      </c>
      <c r="B846" s="1" t="s">
        <v>30</v>
      </c>
      <c r="C846" s="1">
        <v>2</v>
      </c>
      <c r="D846" s="1">
        <v>0</v>
      </c>
      <c r="E846" s="1" t="str">
        <f t="shared" si="27"/>
        <v>(F2.0)</v>
      </c>
      <c r="F846" s="1" t="str">
        <f t="shared" si="26"/>
        <v>alter type vN28 (F2.0).</v>
      </c>
    </row>
    <row r="847" spans="1:6" x14ac:dyDescent="0.25">
      <c r="A847" s="1" t="s">
        <v>639</v>
      </c>
      <c r="B847" s="1" t="s">
        <v>30</v>
      </c>
      <c r="C847" s="1">
        <v>2</v>
      </c>
      <c r="D847" s="1">
        <v>0</v>
      </c>
      <c r="E847" s="1" t="str">
        <f t="shared" si="27"/>
        <v>(F2.0)</v>
      </c>
      <c r="F847" s="1" t="str">
        <f t="shared" si="26"/>
        <v>alter type vN29 (F2.0).</v>
      </c>
    </row>
    <row r="848" spans="1:6" x14ac:dyDescent="0.25">
      <c r="A848" s="1" t="s">
        <v>640</v>
      </c>
      <c r="B848" s="1" t="s">
        <v>30</v>
      </c>
      <c r="C848" s="1">
        <v>2</v>
      </c>
      <c r="D848" s="1">
        <v>0</v>
      </c>
      <c r="E848" s="1" t="str">
        <f t="shared" si="27"/>
        <v>(F2.0)</v>
      </c>
      <c r="F848" s="1" t="str">
        <f t="shared" si="26"/>
        <v>alter type vN30 (F2.0).</v>
      </c>
    </row>
    <row r="849" spans="1:6" x14ac:dyDescent="0.25">
      <c r="A849" s="1" t="s">
        <v>641</v>
      </c>
      <c r="B849" s="1" t="s">
        <v>30</v>
      </c>
      <c r="C849" s="1">
        <v>2</v>
      </c>
      <c r="D849" s="1">
        <v>0</v>
      </c>
      <c r="E849" s="1" t="str">
        <f t="shared" si="27"/>
        <v>(F2.0)</v>
      </c>
      <c r="F849" s="1" t="str">
        <f t="shared" si="26"/>
        <v>alter type vN31 (F2.0).</v>
      </c>
    </row>
    <row r="850" spans="1:6" x14ac:dyDescent="0.25">
      <c r="A850" s="1" t="s">
        <v>642</v>
      </c>
      <c r="B850" s="1" t="s">
        <v>30</v>
      </c>
      <c r="C850" s="1">
        <v>2</v>
      </c>
      <c r="D850" s="1">
        <v>0</v>
      </c>
      <c r="E850" s="1" t="str">
        <f t="shared" si="27"/>
        <v>(F2.0)</v>
      </c>
      <c r="F850" s="1" t="str">
        <f t="shared" si="26"/>
        <v>alter type vN32 (F2.0).</v>
      </c>
    </row>
    <row r="851" spans="1:6" x14ac:dyDescent="0.25">
      <c r="A851" s="1" t="s">
        <v>2173</v>
      </c>
      <c r="B851" s="1" t="s">
        <v>30</v>
      </c>
      <c r="C851" s="1">
        <v>3</v>
      </c>
      <c r="D851" s="1">
        <v>0</v>
      </c>
      <c r="E851" s="1" t="str">
        <f t="shared" si="27"/>
        <v>(F3.0)</v>
      </c>
      <c r="F851" s="1" t="str">
        <f t="shared" si="26"/>
        <v>alter type vN33 (F3.0).</v>
      </c>
    </row>
    <row r="852" spans="1:6" x14ac:dyDescent="0.25">
      <c r="A852" s="1" t="s">
        <v>2175</v>
      </c>
      <c r="B852" s="1" t="s">
        <v>30</v>
      </c>
      <c r="C852" s="1">
        <v>3</v>
      </c>
      <c r="D852" s="1">
        <v>0</v>
      </c>
      <c r="E852" s="1" t="str">
        <f t="shared" si="27"/>
        <v>(F3.0)</v>
      </c>
      <c r="F852" s="1" t="str">
        <f t="shared" si="26"/>
        <v>alter type vN34 (F3.0).</v>
      </c>
    </row>
    <row r="853" spans="1:6" x14ac:dyDescent="0.25">
      <c r="A853" s="1" t="s">
        <v>2177</v>
      </c>
      <c r="B853" s="1" t="s">
        <v>30</v>
      </c>
      <c r="C853" s="1">
        <v>3</v>
      </c>
      <c r="D853" s="1">
        <v>0</v>
      </c>
      <c r="E853" s="1" t="str">
        <f t="shared" si="27"/>
        <v>(F3.0)</v>
      </c>
      <c r="F853" s="1" t="str">
        <f t="shared" si="26"/>
        <v>alter type vN35 (F3.0).</v>
      </c>
    </row>
    <row r="854" spans="1:6" x14ac:dyDescent="0.25">
      <c r="A854" s="1" t="s">
        <v>2179</v>
      </c>
      <c r="B854" s="1" t="s">
        <v>30</v>
      </c>
      <c r="C854" s="1">
        <v>2</v>
      </c>
      <c r="D854" s="1">
        <v>0</v>
      </c>
      <c r="E854" s="1" t="str">
        <f t="shared" si="27"/>
        <v>(F2.0)</v>
      </c>
      <c r="F854" s="1" t="str">
        <f t="shared" si="26"/>
        <v>alter type vN36sN36 (F2.0).</v>
      </c>
    </row>
    <row r="855" spans="1:6" x14ac:dyDescent="0.25">
      <c r="A855" s="1" t="s">
        <v>2181</v>
      </c>
      <c r="B855" s="1" t="s">
        <v>30</v>
      </c>
      <c r="C855" s="1">
        <v>2</v>
      </c>
      <c r="D855" s="1">
        <v>0</v>
      </c>
      <c r="E855" s="1" t="str">
        <f t="shared" si="27"/>
        <v>(F2.0)</v>
      </c>
      <c r="F855" s="1" t="str">
        <f t="shared" si="26"/>
        <v>alter type vN36sN37 (F2.0).</v>
      </c>
    </row>
    <row r="856" spans="1:6" x14ac:dyDescent="0.25">
      <c r="A856" s="1" t="s">
        <v>2183</v>
      </c>
      <c r="B856" s="1" t="s">
        <v>30</v>
      </c>
      <c r="C856" s="1">
        <v>2</v>
      </c>
      <c r="D856" s="1">
        <v>0</v>
      </c>
      <c r="E856" s="1" t="str">
        <f t="shared" si="27"/>
        <v>(F2.0)</v>
      </c>
      <c r="F856" s="1" t="str">
        <f t="shared" si="26"/>
        <v>alter type vN38sN38 (F2.0).</v>
      </c>
    </row>
    <row r="857" spans="1:6" x14ac:dyDescent="0.25">
      <c r="A857" s="1" t="s">
        <v>2185</v>
      </c>
      <c r="B857" s="1" t="s">
        <v>30</v>
      </c>
      <c r="C857" s="1">
        <v>2</v>
      </c>
      <c r="D857" s="1">
        <v>0</v>
      </c>
      <c r="E857" s="1" t="str">
        <f t="shared" si="27"/>
        <v>(F2.0)</v>
      </c>
      <c r="F857" s="1" t="str">
        <f t="shared" si="26"/>
        <v>alter type vN38sN39 (F2.0).</v>
      </c>
    </row>
    <row r="858" spans="1:6" x14ac:dyDescent="0.25">
      <c r="A858" s="1" t="s">
        <v>2187</v>
      </c>
      <c r="B858" s="1" t="s">
        <v>30</v>
      </c>
      <c r="C858" s="1">
        <v>2</v>
      </c>
      <c r="D858" s="1">
        <v>0</v>
      </c>
      <c r="E858" s="1" t="str">
        <f t="shared" si="27"/>
        <v>(F2.0)</v>
      </c>
      <c r="F858" s="1" t="str">
        <f t="shared" si="26"/>
        <v>alter type vN38sN40 (F2.0).</v>
      </c>
    </row>
    <row r="859" spans="1:6" x14ac:dyDescent="0.25">
      <c r="A859" s="1" t="s">
        <v>2189</v>
      </c>
      <c r="B859" s="1" t="s">
        <v>30</v>
      </c>
      <c r="C859" s="1">
        <v>2</v>
      </c>
      <c r="D859" s="1">
        <v>0</v>
      </c>
      <c r="E859" s="1" t="str">
        <f t="shared" si="27"/>
        <v>(F2.0)</v>
      </c>
      <c r="F859" s="1" t="str">
        <f t="shared" si="26"/>
        <v>alter type vN38sN41 (F2.0).</v>
      </c>
    </row>
    <row r="860" spans="1:6" x14ac:dyDescent="0.25">
      <c r="A860" s="1" t="s">
        <v>72</v>
      </c>
      <c r="B860" s="1" t="s">
        <v>30</v>
      </c>
      <c r="C860" s="1">
        <v>2</v>
      </c>
      <c r="D860" s="1">
        <v>0</v>
      </c>
      <c r="E860" s="1" t="str">
        <f t="shared" si="27"/>
        <v>(F2.0)</v>
      </c>
      <c r="F860" s="1" t="str">
        <f t="shared" si="26"/>
        <v>alter type vO1 (F2.0).</v>
      </c>
    </row>
    <row r="861" spans="1:6" x14ac:dyDescent="0.25">
      <c r="A861" s="1" t="s">
        <v>73</v>
      </c>
      <c r="B861" s="1" t="s">
        <v>27</v>
      </c>
      <c r="C861" s="1">
        <v>150</v>
      </c>
      <c r="D861" s="1">
        <v>0</v>
      </c>
      <c r="E861" s="1" t="str">
        <f t="shared" si="27"/>
        <v>(A150)</v>
      </c>
      <c r="F861" s="1" t="str">
        <f t="shared" si="26"/>
        <v>alter type vO1o88 (A150).</v>
      </c>
    </row>
    <row r="862" spans="1:6" x14ac:dyDescent="0.25">
      <c r="A862" s="1" t="s">
        <v>74</v>
      </c>
      <c r="B862" s="1" t="s">
        <v>30</v>
      </c>
      <c r="C862" s="1">
        <v>2</v>
      </c>
      <c r="D862" s="1">
        <v>0</v>
      </c>
      <c r="E862" s="1" t="str">
        <f t="shared" si="27"/>
        <v>(F2.0)</v>
      </c>
      <c r="F862" s="1" t="str">
        <f t="shared" si="26"/>
        <v>alter type vO2 (F2.0).</v>
      </c>
    </row>
    <row r="863" spans="1:6" x14ac:dyDescent="0.25">
      <c r="A863" s="1" t="s">
        <v>75</v>
      </c>
      <c r="B863" s="1" t="s">
        <v>27</v>
      </c>
      <c r="C863" s="1">
        <v>150</v>
      </c>
      <c r="D863" s="1">
        <v>0</v>
      </c>
      <c r="E863" s="1" t="str">
        <f t="shared" si="27"/>
        <v>(A150)</v>
      </c>
      <c r="F863" s="1" t="str">
        <f t="shared" si="26"/>
        <v>alter type vO2o88 (A150).</v>
      </c>
    </row>
    <row r="864" spans="1:6" x14ac:dyDescent="0.25">
      <c r="A864" s="1" t="s">
        <v>76</v>
      </c>
      <c r="B864" s="1" t="s">
        <v>30</v>
      </c>
      <c r="C864" s="1">
        <v>2</v>
      </c>
      <c r="D864" s="1">
        <v>0</v>
      </c>
      <c r="E864" s="1" t="str">
        <f t="shared" si="27"/>
        <v>(F2.0)</v>
      </c>
      <c r="F864" s="1" t="str">
        <f t="shared" si="26"/>
        <v>alter type vO3 (F2.0).</v>
      </c>
    </row>
    <row r="865" spans="1:6" x14ac:dyDescent="0.25">
      <c r="A865" s="1" t="s">
        <v>77</v>
      </c>
      <c r="B865" s="1" t="s">
        <v>27</v>
      </c>
      <c r="C865" s="1">
        <v>150</v>
      </c>
      <c r="D865" s="1">
        <v>0</v>
      </c>
      <c r="E865" s="1" t="str">
        <f t="shared" si="27"/>
        <v>(A150)</v>
      </c>
      <c r="F865" s="1" t="str">
        <f t="shared" si="26"/>
        <v>alter type vO3o88 (A150).</v>
      </c>
    </row>
    <row r="866" spans="1:6" x14ac:dyDescent="0.25">
      <c r="A866" s="1" t="s">
        <v>2197</v>
      </c>
      <c r="B866" s="1" t="s">
        <v>30</v>
      </c>
      <c r="C866" s="1">
        <v>2</v>
      </c>
      <c r="D866" s="1">
        <v>0</v>
      </c>
      <c r="E866" s="1" t="str">
        <f t="shared" si="27"/>
        <v>(F2.0)</v>
      </c>
      <c r="F866" s="1" t="str">
        <f t="shared" si="26"/>
        <v>alter type vO4A (F2.0).</v>
      </c>
    </row>
    <row r="867" spans="1:6" x14ac:dyDescent="0.25">
      <c r="A867" s="1" t="s">
        <v>1104</v>
      </c>
      <c r="B867" s="1" t="s">
        <v>30</v>
      </c>
      <c r="C867" s="1">
        <v>5</v>
      </c>
      <c r="D867" s="1">
        <v>0</v>
      </c>
      <c r="E867" s="1" t="str">
        <f t="shared" si="27"/>
        <v>(F5.0)</v>
      </c>
      <c r="F867" s="1" t="str">
        <f t="shared" si="26"/>
        <v>alter type vO4B (F5.0).</v>
      </c>
    </row>
    <row r="868" spans="1:6" x14ac:dyDescent="0.25">
      <c r="A868" s="1" t="s">
        <v>643</v>
      </c>
      <c r="B868" s="1" t="s">
        <v>30</v>
      </c>
      <c r="C868" s="1">
        <v>2</v>
      </c>
      <c r="D868" s="1">
        <v>0</v>
      </c>
      <c r="E868" s="1" t="str">
        <f t="shared" si="27"/>
        <v>(F2.0)</v>
      </c>
      <c r="F868" s="1" t="str">
        <f t="shared" si="26"/>
        <v>alter type vO5 (F2.0).</v>
      </c>
    </row>
    <row r="869" spans="1:6" x14ac:dyDescent="0.25">
      <c r="A869" s="1" t="s">
        <v>899</v>
      </c>
      <c r="B869" s="1" t="s">
        <v>27</v>
      </c>
      <c r="C869" s="1">
        <v>36</v>
      </c>
      <c r="D869" s="1">
        <v>0</v>
      </c>
      <c r="E869" s="1" t="str">
        <f t="shared" si="27"/>
        <v>(A36)</v>
      </c>
      <c r="F869" s="1" t="str">
        <f t="shared" si="26"/>
        <v>alter type vZ2_1g1 (A36).</v>
      </c>
    </row>
    <row r="870" spans="1:6" x14ac:dyDescent="0.25">
      <c r="A870" s="1" t="s">
        <v>900</v>
      </c>
      <c r="B870" s="1" t="s">
        <v>27</v>
      </c>
      <c r="C870" s="1">
        <v>24</v>
      </c>
      <c r="D870" s="1">
        <v>0</v>
      </c>
      <c r="E870" s="1" t="str">
        <f t="shared" si="27"/>
        <v>(A24)</v>
      </c>
      <c r="F870" s="1" t="str">
        <f t="shared" si="26"/>
        <v>alter type vZ2_1g2 (A24).</v>
      </c>
    </row>
    <row r="871" spans="1:6" x14ac:dyDescent="0.25">
      <c r="A871" s="1" t="s">
        <v>901</v>
      </c>
      <c r="B871" s="1" t="s">
        <v>27</v>
      </c>
      <c r="C871" s="1">
        <v>30</v>
      </c>
      <c r="D871" s="1">
        <v>0</v>
      </c>
      <c r="E871" s="1" t="str">
        <f t="shared" si="27"/>
        <v>(A30)</v>
      </c>
      <c r="F871" s="1" t="str">
        <f t="shared" si="26"/>
        <v>alter type vZ2_2 (A30).</v>
      </c>
    </row>
    <row r="872" spans="1:6" x14ac:dyDescent="0.25">
      <c r="A872" s="1" t="s">
        <v>902</v>
      </c>
      <c r="B872" s="1" t="s">
        <v>30</v>
      </c>
      <c r="C872" s="1">
        <v>2</v>
      </c>
      <c r="D872" s="1">
        <v>0</v>
      </c>
      <c r="E872" s="1" t="str">
        <f t="shared" si="27"/>
        <v>(F2.0)</v>
      </c>
      <c r="F872" s="1" t="str">
        <f t="shared" si="26"/>
        <v>alter type vZE1 (F2.0).</v>
      </c>
    </row>
    <row r="873" spans="1:6" x14ac:dyDescent="0.25">
      <c r="A873" s="1" t="s">
        <v>903</v>
      </c>
      <c r="B873" s="1" t="s">
        <v>27</v>
      </c>
      <c r="C873" s="1">
        <v>150</v>
      </c>
      <c r="D873" s="1">
        <v>0</v>
      </c>
      <c r="E873" s="1" t="str">
        <f t="shared" si="27"/>
        <v>(A150)</v>
      </c>
      <c r="F873" s="1" t="str">
        <f t="shared" si="26"/>
        <v>alter type vZE1o03 (A150).</v>
      </c>
    </row>
    <row r="874" spans="1:6" x14ac:dyDescent="0.25">
      <c r="A874" s="1" t="s">
        <v>904</v>
      </c>
      <c r="B874" s="1" t="s">
        <v>27</v>
      </c>
      <c r="C874" s="1">
        <v>150</v>
      </c>
      <c r="D874" s="1">
        <v>0</v>
      </c>
      <c r="E874" s="1" t="str">
        <f t="shared" si="27"/>
        <v>(A150)</v>
      </c>
      <c r="F874" s="1" t="str">
        <f t="shared" si="26"/>
        <v>alter type vZE1o04 (A150).</v>
      </c>
    </row>
    <row r="875" spans="1:6" x14ac:dyDescent="0.25">
      <c r="A875" s="1" t="s">
        <v>906</v>
      </c>
      <c r="B875" s="1" t="s">
        <v>30</v>
      </c>
      <c r="C875" s="1">
        <v>2</v>
      </c>
      <c r="D875" s="1">
        <v>0</v>
      </c>
      <c r="E875" s="1" t="str">
        <f t="shared" si="27"/>
        <v>(F2.0)</v>
      </c>
      <c r="F875" s="1" t="str">
        <f t="shared" si="26"/>
        <v>alter type vZE2m01 (F2.0).</v>
      </c>
    </row>
    <row r="876" spans="1:6" x14ac:dyDescent="0.25">
      <c r="A876" s="1" t="s">
        <v>907</v>
      </c>
      <c r="B876" s="1" t="s">
        <v>30</v>
      </c>
      <c r="C876" s="1">
        <v>2</v>
      </c>
      <c r="D876" s="1">
        <v>0</v>
      </c>
      <c r="E876" s="1" t="str">
        <f t="shared" si="27"/>
        <v>(F2.0)</v>
      </c>
      <c r="F876" s="1" t="str">
        <f t="shared" si="26"/>
        <v>alter type vZE2m02 (F2.0).</v>
      </c>
    </row>
    <row r="877" spans="1:6" x14ac:dyDescent="0.25">
      <c r="A877" s="1" t="s">
        <v>908</v>
      </c>
      <c r="B877" s="1" t="s">
        <v>30</v>
      </c>
      <c r="C877" s="1">
        <v>2</v>
      </c>
      <c r="D877" s="1">
        <v>0</v>
      </c>
      <c r="E877" s="1" t="str">
        <f t="shared" si="27"/>
        <v>(F2.0)</v>
      </c>
      <c r="F877" s="1" t="str">
        <f t="shared" si="26"/>
        <v>alter type vZE2m03 (F2.0).</v>
      </c>
    </row>
    <row r="878" spans="1:6" x14ac:dyDescent="0.25">
      <c r="A878" s="1" t="s">
        <v>2206</v>
      </c>
      <c r="B878" s="1" t="s">
        <v>30</v>
      </c>
      <c r="C878" s="1">
        <v>2</v>
      </c>
      <c r="D878" s="1">
        <v>0</v>
      </c>
      <c r="E878" s="1" t="str">
        <f t="shared" si="27"/>
        <v>(F2.0)</v>
      </c>
      <c r="F878" s="1" t="str">
        <f t="shared" si="26"/>
        <v>alter type vZE2m04 (F2.0).</v>
      </c>
    </row>
    <row r="879" spans="1:6" x14ac:dyDescent="0.25">
      <c r="A879" s="1" t="s">
        <v>2207</v>
      </c>
      <c r="B879" s="1" t="s">
        <v>30</v>
      </c>
      <c r="C879" s="1">
        <v>2</v>
      </c>
      <c r="D879" s="1">
        <v>0</v>
      </c>
      <c r="E879" s="1" t="str">
        <f t="shared" si="27"/>
        <v>(F2.0)</v>
      </c>
      <c r="F879" s="1" t="str">
        <f t="shared" si="26"/>
        <v>alter type vZE2_1m01 (F2.0).</v>
      </c>
    </row>
    <row r="880" spans="1:6" x14ac:dyDescent="0.25">
      <c r="A880" s="1" t="s">
        <v>2209</v>
      </c>
      <c r="B880" s="1" t="s">
        <v>30</v>
      </c>
      <c r="C880" s="1">
        <v>2</v>
      </c>
      <c r="D880" s="1">
        <v>0</v>
      </c>
      <c r="E880" s="1" t="str">
        <f t="shared" si="27"/>
        <v>(F2.0)</v>
      </c>
      <c r="F880" s="1" t="str">
        <f t="shared" si="26"/>
        <v>alter type vZE2_1m02 (F2.0).</v>
      </c>
    </row>
    <row r="881" spans="1:6" x14ac:dyDescent="0.25">
      <c r="A881" s="1" t="s">
        <v>2210</v>
      </c>
      <c r="B881" s="1" t="s">
        <v>30</v>
      </c>
      <c r="C881" s="1">
        <v>2</v>
      </c>
      <c r="D881" s="1">
        <v>0</v>
      </c>
      <c r="E881" s="1" t="str">
        <f t="shared" si="27"/>
        <v>(F2.0)</v>
      </c>
      <c r="F881" s="1" t="str">
        <f t="shared" si="26"/>
        <v>alter type vZE2_1m03 (F2.0).</v>
      </c>
    </row>
    <row r="882" spans="1:6" x14ac:dyDescent="0.25">
      <c r="A882" s="1" t="s">
        <v>2211</v>
      </c>
      <c r="B882" s="1" t="s">
        <v>30</v>
      </c>
      <c r="C882" s="1">
        <v>2</v>
      </c>
      <c r="D882" s="1">
        <v>0</v>
      </c>
      <c r="E882" s="1" t="str">
        <f t="shared" si="27"/>
        <v>(F2.0)</v>
      </c>
      <c r="F882" s="1" t="str">
        <f t="shared" si="26"/>
        <v>alter type vZE2_1m04 (F2.0).</v>
      </c>
    </row>
    <row r="883" spans="1:6" x14ac:dyDescent="0.25">
      <c r="A883" s="1" t="s">
        <v>2212</v>
      </c>
      <c r="B883" s="1" t="s">
        <v>30</v>
      </c>
      <c r="C883" s="1">
        <v>2</v>
      </c>
      <c r="D883" s="1">
        <v>0</v>
      </c>
      <c r="E883" s="1" t="str">
        <f t="shared" si="27"/>
        <v>(F2.0)</v>
      </c>
      <c r="F883" s="1" t="str">
        <f t="shared" si="26"/>
        <v>alter type vZE2_1m05 (F2.0).</v>
      </c>
    </row>
    <row r="884" spans="1:6" x14ac:dyDescent="0.25">
      <c r="A884" s="1" t="s">
        <v>910</v>
      </c>
      <c r="B884" s="1" t="s">
        <v>27</v>
      </c>
      <c r="C884" s="1">
        <v>30</v>
      </c>
      <c r="D884" s="1">
        <v>0</v>
      </c>
      <c r="E884" s="1" t="str">
        <f t="shared" si="27"/>
        <v>(A30)</v>
      </c>
      <c r="F884" s="1" t="str">
        <f t="shared" si="26"/>
        <v>alter type vZE2_2 (A30).</v>
      </c>
    </row>
    <row r="885" spans="1:6" x14ac:dyDescent="0.25">
      <c r="A885" s="1" t="s">
        <v>911</v>
      </c>
      <c r="B885" s="1" t="s">
        <v>27</v>
      </c>
      <c r="C885" s="1">
        <v>450</v>
      </c>
      <c r="D885" s="1">
        <v>0</v>
      </c>
      <c r="E885" s="1" t="str">
        <f t="shared" si="27"/>
        <v>(A450)</v>
      </c>
      <c r="F885" s="1" t="str">
        <f t="shared" si="26"/>
        <v>alter type vZE2_3 (A450).</v>
      </c>
    </row>
    <row r="886" spans="1:6" x14ac:dyDescent="0.25">
      <c r="A886" s="1" t="s">
        <v>2215</v>
      </c>
      <c r="B886" s="1" t="s">
        <v>27</v>
      </c>
      <c r="C886" s="1">
        <v>150</v>
      </c>
      <c r="D886" s="1">
        <v>0</v>
      </c>
      <c r="E886" s="1" t="str">
        <f t="shared" si="27"/>
        <v>(A150)</v>
      </c>
      <c r="F886" s="1" t="str">
        <f t="shared" si="26"/>
        <v>alter type vZE3 (A150).</v>
      </c>
    </row>
    <row r="887" spans="1:6" x14ac:dyDescent="0.25">
      <c r="A887" s="1" t="s">
        <v>912</v>
      </c>
      <c r="B887" s="1" t="s">
        <v>30</v>
      </c>
      <c r="C887" s="1">
        <v>14</v>
      </c>
      <c r="D887" s="1">
        <v>0</v>
      </c>
      <c r="E887" s="1" t="str">
        <f t="shared" si="27"/>
        <v>(F14.0)</v>
      </c>
      <c r="F887" s="1" t="str">
        <f t="shared" si="26"/>
        <v>alter type vvckend (F14.0).</v>
      </c>
    </row>
    <row r="888" spans="1:6" x14ac:dyDescent="0.25">
      <c r="A888" s="10" t="s">
        <v>2218</v>
      </c>
      <c r="B888" s="10" t="s">
        <v>27</v>
      </c>
      <c r="C888" s="10">
        <v>1500</v>
      </c>
      <c r="D888" s="10">
        <v>0</v>
      </c>
      <c r="E888" s="1" t="str">
        <f t="shared" si="27"/>
        <v>(A1500)</v>
      </c>
      <c r="F888" s="1" t="str">
        <f t="shared" si="26"/>
        <v>alter type vZX (A1500).</v>
      </c>
    </row>
    <row r="889" spans="1:6" x14ac:dyDescent="0.25">
      <c r="A889" s="10" t="s">
        <v>2219</v>
      </c>
      <c r="B889" s="10" t="s">
        <v>30</v>
      </c>
      <c r="C889" s="10">
        <v>2</v>
      </c>
      <c r="D889" s="10">
        <v>0</v>
      </c>
      <c r="E889" s="1" t="str">
        <f t="shared" si="27"/>
        <v>(F2.0)</v>
      </c>
      <c r="F889" s="1" t="str">
        <f t="shared" si="26"/>
        <v>alter type vZB1m01 (F2.0).</v>
      </c>
    </row>
    <row r="890" spans="1:6" x14ac:dyDescent="0.25">
      <c r="A890" s="10" t="s">
        <v>2220</v>
      </c>
      <c r="B890" s="10" t="s">
        <v>30</v>
      </c>
      <c r="C890" s="10">
        <v>2</v>
      </c>
      <c r="D890" s="10">
        <v>0</v>
      </c>
      <c r="E890" s="1" t="str">
        <f t="shared" si="27"/>
        <v>(F2.0)</v>
      </c>
      <c r="F890" s="1" t="str">
        <f t="shared" si="26"/>
        <v>alter type vZB1m02 (F2.0).</v>
      </c>
    </row>
    <row r="891" spans="1:6" x14ac:dyDescent="0.25">
      <c r="A891" s="10" t="s">
        <v>2221</v>
      </c>
      <c r="B891" s="10" t="s">
        <v>30</v>
      </c>
      <c r="C891" s="10">
        <v>2</v>
      </c>
      <c r="D891" s="10">
        <v>0</v>
      </c>
      <c r="E891" s="1" t="str">
        <f t="shared" si="27"/>
        <v>(F2.0)</v>
      </c>
      <c r="F891" s="1" t="str">
        <f t="shared" si="26"/>
        <v>alter type vZB1m03 (F2.0).</v>
      </c>
    </row>
    <row r="892" spans="1:6" x14ac:dyDescent="0.25">
      <c r="A892" s="10" t="s">
        <v>2222</v>
      </c>
      <c r="B892" s="10" t="s">
        <v>27</v>
      </c>
      <c r="C892" s="10">
        <v>150</v>
      </c>
      <c r="D892" s="10">
        <v>0</v>
      </c>
      <c r="E892" s="1" t="str">
        <f t="shared" si="27"/>
        <v>(A150)</v>
      </c>
      <c r="F892" s="1" t="str">
        <f t="shared" si="26"/>
        <v>alter type vZB1o01 (A150).</v>
      </c>
    </row>
    <row r="893" spans="1:6" x14ac:dyDescent="0.25">
      <c r="A893" s="10" t="s">
        <v>2223</v>
      </c>
      <c r="B893" s="10" t="s">
        <v>27</v>
      </c>
      <c r="C893" s="10">
        <v>150</v>
      </c>
      <c r="D893" s="10">
        <v>0</v>
      </c>
      <c r="E893" s="1" t="str">
        <f t="shared" si="27"/>
        <v>(A150)</v>
      </c>
      <c r="F893" s="1" t="str">
        <f t="shared" si="26"/>
        <v>alter type vZB1o02 (A150).</v>
      </c>
    </row>
    <row r="894" spans="1:6" x14ac:dyDescent="0.25">
      <c r="A894" s="10" t="s">
        <v>2224</v>
      </c>
      <c r="B894" s="10" t="s">
        <v>30</v>
      </c>
      <c r="C894" s="10">
        <v>2</v>
      </c>
      <c r="D894" s="10">
        <v>0</v>
      </c>
      <c r="E894" s="1" t="str">
        <f t="shared" si="27"/>
        <v>(F2.0)</v>
      </c>
      <c r="F894" s="1" t="str">
        <f t="shared" si="26"/>
        <v>alter type vZB2 (F2.0).</v>
      </c>
    </row>
    <row r="895" spans="1:6" x14ac:dyDescent="0.25">
      <c r="A895" s="10" t="s">
        <v>2225</v>
      </c>
      <c r="B895" s="10" t="s">
        <v>30</v>
      </c>
      <c r="C895" s="10">
        <v>2</v>
      </c>
      <c r="D895" s="10">
        <v>0</v>
      </c>
      <c r="E895" s="1" t="str">
        <f t="shared" si="27"/>
        <v>(F2.0)</v>
      </c>
      <c r="F895" s="1" t="str">
        <f t="shared" si="26"/>
        <v>alter type vZB3m01 (F2.0).</v>
      </c>
    </row>
    <row r="896" spans="1:6" x14ac:dyDescent="0.25">
      <c r="A896" s="10" t="s">
        <v>2226</v>
      </c>
      <c r="B896" s="10" t="s">
        <v>30</v>
      </c>
      <c r="C896" s="10">
        <v>2</v>
      </c>
      <c r="D896" s="10">
        <v>0</v>
      </c>
      <c r="E896" s="1" t="str">
        <f t="shared" si="27"/>
        <v>(F2.0)</v>
      </c>
      <c r="F896" s="1" t="str">
        <f t="shared" si="26"/>
        <v>alter type vZB3m02 (F2.0).</v>
      </c>
    </row>
    <row r="897" spans="1:6" x14ac:dyDescent="0.25">
      <c r="A897" s="10" t="s">
        <v>2227</v>
      </c>
      <c r="B897" s="10" t="s">
        <v>30</v>
      </c>
      <c r="C897" s="10">
        <v>2</v>
      </c>
      <c r="D897" s="10">
        <v>0</v>
      </c>
      <c r="E897" s="1" t="str">
        <f t="shared" si="27"/>
        <v>(F2.0)</v>
      </c>
      <c r="F897" s="1" t="str">
        <f t="shared" si="26"/>
        <v>alter type vZB3m03 (F2.0).</v>
      </c>
    </row>
    <row r="898" spans="1:6" x14ac:dyDescent="0.25">
      <c r="A898" s="10" t="s">
        <v>2228</v>
      </c>
      <c r="B898" s="10" t="s">
        <v>30</v>
      </c>
      <c r="C898" s="10">
        <v>2</v>
      </c>
      <c r="D898" s="10">
        <v>0</v>
      </c>
      <c r="E898" s="1" t="str">
        <f t="shared" si="27"/>
        <v>(F2.0)</v>
      </c>
      <c r="F898" s="1" t="str">
        <f t="shared" ref="F898:F961" si="28">"alter type "&amp;A898&amp;" "&amp;E898&amp;"."</f>
        <v>alter type vZB3m04 (F2.0).</v>
      </c>
    </row>
    <row r="899" spans="1:6" x14ac:dyDescent="0.25">
      <c r="A899" s="10" t="s">
        <v>2229</v>
      </c>
      <c r="B899" s="10" t="s">
        <v>30</v>
      </c>
      <c r="C899" s="10">
        <v>2</v>
      </c>
      <c r="D899" s="10">
        <v>0</v>
      </c>
      <c r="E899" s="1" t="str">
        <f t="shared" ref="E899:E962" si="29">IF(B899="數值","(F"&amp;C899&amp;"."&amp;D899&amp;")","(A"&amp;C899&amp;")")</f>
        <v>(F2.0)</v>
      </c>
      <c r="F899" s="1" t="str">
        <f t="shared" si="28"/>
        <v>alter type vZB3m05 (F2.0).</v>
      </c>
    </row>
    <row r="900" spans="1:6" x14ac:dyDescent="0.25">
      <c r="A900" s="10" t="s">
        <v>2230</v>
      </c>
      <c r="B900" s="10" t="s">
        <v>30</v>
      </c>
      <c r="C900" s="10">
        <v>2</v>
      </c>
      <c r="D900" s="10">
        <v>0</v>
      </c>
      <c r="E900" s="1" t="str">
        <f t="shared" si="29"/>
        <v>(F2.0)</v>
      </c>
      <c r="F900" s="1" t="str">
        <f t="shared" si="28"/>
        <v>alter type vZB3m06 (F2.0).</v>
      </c>
    </row>
    <row r="901" spans="1:6" x14ac:dyDescent="0.25">
      <c r="A901" s="10" t="s">
        <v>2231</v>
      </c>
      <c r="B901" s="10" t="s">
        <v>30</v>
      </c>
      <c r="C901" s="10">
        <v>2</v>
      </c>
      <c r="D901" s="10">
        <v>0</v>
      </c>
      <c r="E901" s="1" t="str">
        <f t="shared" si="29"/>
        <v>(F2.0)</v>
      </c>
      <c r="F901" s="1" t="str">
        <f t="shared" si="28"/>
        <v>alter type vZB3m07 (F2.0).</v>
      </c>
    </row>
    <row r="902" spans="1:6" x14ac:dyDescent="0.25">
      <c r="A902" s="10" t="s">
        <v>2232</v>
      </c>
      <c r="B902" s="10" t="s">
        <v>27</v>
      </c>
      <c r="C902" s="10">
        <v>150</v>
      </c>
      <c r="D902" s="10">
        <v>0</v>
      </c>
      <c r="E902" s="1" t="str">
        <f t="shared" si="29"/>
        <v>(A150)</v>
      </c>
      <c r="F902" s="1" t="str">
        <f t="shared" si="28"/>
        <v>alter type vZB3o07 (A150).</v>
      </c>
    </row>
    <row r="903" spans="1:6" x14ac:dyDescent="0.25">
      <c r="A903" s="10" t="s">
        <v>2233</v>
      </c>
      <c r="B903" s="10" t="s">
        <v>30</v>
      </c>
      <c r="C903" s="10">
        <v>2</v>
      </c>
      <c r="D903" s="10">
        <v>0</v>
      </c>
      <c r="E903" s="1" t="str">
        <f t="shared" si="29"/>
        <v>(F2.0)</v>
      </c>
      <c r="F903" s="1" t="str">
        <f t="shared" si="28"/>
        <v>alter type vZB4 (F2.0).</v>
      </c>
    </row>
    <row r="904" spans="1:6" x14ac:dyDescent="0.25">
      <c r="A904" s="10" t="s">
        <v>2234</v>
      </c>
      <c r="B904" s="10" t="s">
        <v>27</v>
      </c>
      <c r="C904" s="10">
        <v>150</v>
      </c>
      <c r="D904" s="10">
        <v>0</v>
      </c>
      <c r="E904" s="1" t="str">
        <f t="shared" si="29"/>
        <v>(A150)</v>
      </c>
      <c r="F904" s="1" t="str">
        <f t="shared" si="28"/>
        <v>alter type vZB4o07 (A150).</v>
      </c>
    </row>
    <row r="905" spans="1:6" x14ac:dyDescent="0.25">
      <c r="A905" s="10" t="s">
        <v>2235</v>
      </c>
      <c r="B905" s="10" t="s">
        <v>30</v>
      </c>
      <c r="C905" s="10">
        <v>2</v>
      </c>
      <c r="D905" s="10">
        <v>0</v>
      </c>
      <c r="E905" s="1" t="str">
        <f t="shared" si="29"/>
        <v>(F2.0)</v>
      </c>
      <c r="F905" s="1" t="str">
        <f t="shared" si="28"/>
        <v>alter type vZB5_1 (F2.0).</v>
      </c>
    </row>
    <row r="906" spans="1:6" x14ac:dyDescent="0.25">
      <c r="A906" s="10" t="s">
        <v>2236</v>
      </c>
      <c r="B906" s="10" t="s">
        <v>27</v>
      </c>
      <c r="C906" s="10">
        <v>150</v>
      </c>
      <c r="D906" s="10">
        <v>0</v>
      </c>
      <c r="E906" s="1" t="str">
        <f t="shared" si="29"/>
        <v>(A150)</v>
      </c>
      <c r="F906" s="1" t="str">
        <f t="shared" si="28"/>
        <v>alter type vZB5_1o03 (A150).</v>
      </c>
    </row>
    <row r="907" spans="1:6" x14ac:dyDescent="0.25">
      <c r="A907" s="10" t="s">
        <v>2237</v>
      </c>
      <c r="B907" s="10" t="s">
        <v>27</v>
      </c>
      <c r="C907" s="10">
        <v>150</v>
      </c>
      <c r="D907" s="10">
        <v>0</v>
      </c>
      <c r="E907" s="1" t="str">
        <f t="shared" si="29"/>
        <v>(A150)</v>
      </c>
      <c r="F907" s="1" t="str">
        <f t="shared" si="28"/>
        <v>alter type vZB5_1o04 (A150).</v>
      </c>
    </row>
    <row r="908" spans="1:6" x14ac:dyDescent="0.25">
      <c r="A908" s="10" t="s">
        <v>2238</v>
      </c>
      <c r="B908" s="10" t="s">
        <v>30</v>
      </c>
      <c r="C908" s="10">
        <v>2</v>
      </c>
      <c r="D908" s="10">
        <v>0</v>
      </c>
      <c r="E908" s="1" t="str">
        <f t="shared" si="29"/>
        <v>(F2.0)</v>
      </c>
      <c r="F908" s="1" t="str">
        <f t="shared" si="28"/>
        <v>alter type vZB5_2 (F2.0).</v>
      </c>
    </row>
    <row r="909" spans="1:6" x14ac:dyDescent="0.25">
      <c r="A909" s="10" t="s">
        <v>2239</v>
      </c>
      <c r="B909" s="10" t="s">
        <v>30</v>
      </c>
      <c r="C909" s="10">
        <v>2</v>
      </c>
      <c r="D909" s="10">
        <v>0</v>
      </c>
      <c r="E909" s="1" t="str">
        <f t="shared" si="29"/>
        <v>(F2.0)</v>
      </c>
      <c r="F909" s="1" t="str">
        <f t="shared" si="28"/>
        <v>alter type vZB6 (F2.0).</v>
      </c>
    </row>
    <row r="910" spans="1:6" x14ac:dyDescent="0.25">
      <c r="A910" s="10" t="s">
        <v>2240</v>
      </c>
      <c r="B910" s="10" t="s">
        <v>30</v>
      </c>
      <c r="C910" s="10">
        <v>2</v>
      </c>
      <c r="D910" s="10">
        <v>0</v>
      </c>
      <c r="E910" s="1" t="str">
        <f t="shared" si="29"/>
        <v>(F2.0)</v>
      </c>
      <c r="F910" s="1" t="str">
        <f t="shared" si="28"/>
        <v>alter type vZB7m01 (F2.0).</v>
      </c>
    </row>
    <row r="911" spans="1:6" x14ac:dyDescent="0.25">
      <c r="A911" s="10" t="s">
        <v>2241</v>
      </c>
      <c r="B911" s="10" t="s">
        <v>30</v>
      </c>
      <c r="C911" s="10">
        <v>2</v>
      </c>
      <c r="D911" s="10">
        <v>0</v>
      </c>
      <c r="E911" s="1" t="str">
        <f t="shared" si="29"/>
        <v>(F2.0)</v>
      </c>
      <c r="F911" s="1" t="str">
        <f t="shared" si="28"/>
        <v>alter type vZB7m02 (F2.0).</v>
      </c>
    </row>
    <row r="912" spans="1:6" x14ac:dyDescent="0.25">
      <c r="A912" s="10" t="s">
        <v>2242</v>
      </c>
      <c r="B912" s="10" t="s">
        <v>30</v>
      </c>
      <c r="C912" s="10">
        <v>2</v>
      </c>
      <c r="D912" s="10">
        <v>0</v>
      </c>
      <c r="E912" s="1" t="str">
        <f t="shared" si="29"/>
        <v>(F2.0)</v>
      </c>
      <c r="F912" s="1" t="str">
        <f t="shared" si="28"/>
        <v>alter type vZB7m03 (F2.0).</v>
      </c>
    </row>
    <row r="913" spans="1:6" x14ac:dyDescent="0.25">
      <c r="A913" s="10" t="s">
        <v>2243</v>
      </c>
      <c r="B913" s="10" t="s">
        <v>30</v>
      </c>
      <c r="C913" s="10">
        <v>2</v>
      </c>
      <c r="D913" s="10">
        <v>0</v>
      </c>
      <c r="E913" s="1" t="str">
        <f t="shared" si="29"/>
        <v>(F2.0)</v>
      </c>
      <c r="F913" s="1" t="str">
        <f t="shared" si="28"/>
        <v>alter type vZB7m04 (F2.0).</v>
      </c>
    </row>
    <row r="914" spans="1:6" x14ac:dyDescent="0.25">
      <c r="A914" s="10" t="s">
        <v>2244</v>
      </c>
      <c r="B914" s="10" t="s">
        <v>30</v>
      </c>
      <c r="C914" s="10">
        <v>2</v>
      </c>
      <c r="D914" s="10">
        <v>0</v>
      </c>
      <c r="E914" s="1" t="str">
        <f t="shared" si="29"/>
        <v>(F2.0)</v>
      </c>
      <c r="F914" s="1" t="str">
        <f t="shared" si="28"/>
        <v>alter type vZB7m05 (F2.0).</v>
      </c>
    </row>
    <row r="915" spans="1:6" x14ac:dyDescent="0.25">
      <c r="A915" s="10" t="s">
        <v>2245</v>
      </c>
      <c r="B915" s="10" t="s">
        <v>30</v>
      </c>
      <c r="C915" s="10">
        <v>2</v>
      </c>
      <c r="D915" s="10">
        <v>0</v>
      </c>
      <c r="E915" s="1" t="str">
        <f t="shared" si="29"/>
        <v>(F2.0)</v>
      </c>
      <c r="F915" s="1" t="str">
        <f t="shared" si="28"/>
        <v>alter type vZB7m06 (F2.0).</v>
      </c>
    </row>
    <row r="916" spans="1:6" x14ac:dyDescent="0.25">
      <c r="A916" s="10" t="s">
        <v>2246</v>
      </c>
      <c r="B916" s="10" t="s">
        <v>30</v>
      </c>
      <c r="C916" s="10">
        <v>2</v>
      </c>
      <c r="D916" s="10">
        <v>0</v>
      </c>
      <c r="E916" s="1" t="str">
        <f t="shared" si="29"/>
        <v>(F2.0)</v>
      </c>
      <c r="F916" s="1" t="str">
        <f t="shared" si="28"/>
        <v>alter type vZB7m07 (F2.0).</v>
      </c>
    </row>
    <row r="917" spans="1:6" x14ac:dyDescent="0.25">
      <c r="A917" s="10" t="s">
        <v>2247</v>
      </c>
      <c r="B917" s="10" t="s">
        <v>30</v>
      </c>
      <c r="C917" s="10">
        <v>2</v>
      </c>
      <c r="D917" s="10">
        <v>0</v>
      </c>
      <c r="E917" s="1" t="str">
        <f t="shared" si="29"/>
        <v>(F2.0)</v>
      </c>
      <c r="F917" s="1" t="str">
        <f t="shared" si="28"/>
        <v>alter type vZB7m08 (F2.0).</v>
      </c>
    </row>
    <row r="918" spans="1:6" x14ac:dyDescent="0.25">
      <c r="A918" s="10" t="s">
        <v>2248</v>
      </c>
      <c r="B918" s="10" t="s">
        <v>30</v>
      </c>
      <c r="C918" s="10">
        <v>2</v>
      </c>
      <c r="D918" s="10">
        <v>0</v>
      </c>
      <c r="E918" s="1" t="str">
        <f t="shared" si="29"/>
        <v>(F2.0)</v>
      </c>
      <c r="F918" s="1" t="str">
        <f t="shared" si="28"/>
        <v>alter type vZB7m09 (F2.0).</v>
      </c>
    </row>
    <row r="919" spans="1:6" x14ac:dyDescent="0.25">
      <c r="A919" s="10" t="s">
        <v>2249</v>
      </c>
      <c r="B919" s="10" t="s">
        <v>30</v>
      </c>
      <c r="C919" s="10">
        <v>2</v>
      </c>
      <c r="D919" s="10">
        <v>0</v>
      </c>
      <c r="E919" s="1" t="str">
        <f t="shared" si="29"/>
        <v>(F2.0)</v>
      </c>
      <c r="F919" s="1" t="str">
        <f t="shared" si="28"/>
        <v>alter type vZB7m10 (F2.0).</v>
      </c>
    </row>
    <row r="920" spans="1:6" x14ac:dyDescent="0.25">
      <c r="A920" s="10" t="s">
        <v>2250</v>
      </c>
      <c r="B920" s="10" t="s">
        <v>30</v>
      </c>
      <c r="C920" s="10">
        <v>2</v>
      </c>
      <c r="D920" s="10">
        <v>0</v>
      </c>
      <c r="E920" s="1" t="str">
        <f t="shared" si="29"/>
        <v>(F2.0)</v>
      </c>
      <c r="F920" s="1" t="str">
        <f t="shared" si="28"/>
        <v>alter type vZB7m11 (F2.0).</v>
      </c>
    </row>
    <row r="921" spans="1:6" x14ac:dyDescent="0.25">
      <c r="A921" s="10" t="s">
        <v>2251</v>
      </c>
      <c r="B921" s="10" t="s">
        <v>27</v>
      </c>
      <c r="C921" s="10">
        <v>150</v>
      </c>
      <c r="D921" s="10">
        <v>0</v>
      </c>
      <c r="E921" s="1" t="str">
        <f t="shared" si="29"/>
        <v>(A150)</v>
      </c>
      <c r="F921" s="1" t="str">
        <f t="shared" si="28"/>
        <v>alter type vZB7o11 (A150).</v>
      </c>
    </row>
    <row r="922" spans="1:6" x14ac:dyDescent="0.25">
      <c r="A922" s="10" t="s">
        <v>2252</v>
      </c>
      <c r="B922" s="10" t="s">
        <v>30</v>
      </c>
      <c r="C922" s="10">
        <v>2</v>
      </c>
      <c r="D922" s="10">
        <v>0</v>
      </c>
      <c r="E922" s="1" t="str">
        <f t="shared" si="29"/>
        <v>(F2.0)</v>
      </c>
      <c r="F922" s="1" t="str">
        <f t="shared" si="28"/>
        <v>alter type vZB8 (F2.0).</v>
      </c>
    </row>
    <row r="923" spans="1:6" x14ac:dyDescent="0.25">
      <c r="A923" s="10" t="s">
        <v>2253</v>
      </c>
      <c r="B923" s="10" t="s">
        <v>27</v>
      </c>
      <c r="C923" s="10">
        <v>150</v>
      </c>
      <c r="D923" s="10">
        <v>0</v>
      </c>
      <c r="E923" s="1" t="str">
        <f t="shared" si="29"/>
        <v>(A150)</v>
      </c>
      <c r="F923" s="1" t="str">
        <f t="shared" si="28"/>
        <v>alter type vZB8o01 (A150).</v>
      </c>
    </row>
    <row r="924" spans="1:6" x14ac:dyDescent="0.25">
      <c r="A924" s="10" t="s">
        <v>2254</v>
      </c>
      <c r="B924" s="10" t="s">
        <v>30</v>
      </c>
      <c r="C924" s="10">
        <v>2</v>
      </c>
      <c r="D924" s="10">
        <v>0</v>
      </c>
      <c r="E924" s="1" t="str">
        <f t="shared" si="29"/>
        <v>(F2.0)</v>
      </c>
      <c r="F924" s="1" t="str">
        <f t="shared" si="28"/>
        <v>alter type vZB9m01 (F2.0).</v>
      </c>
    </row>
    <row r="925" spans="1:6" x14ac:dyDescent="0.25">
      <c r="A925" s="10" t="s">
        <v>2255</v>
      </c>
      <c r="B925" s="10" t="s">
        <v>30</v>
      </c>
      <c r="C925" s="10">
        <v>2</v>
      </c>
      <c r="D925" s="10">
        <v>0</v>
      </c>
      <c r="E925" s="1" t="str">
        <f t="shared" si="29"/>
        <v>(F2.0)</v>
      </c>
      <c r="F925" s="1" t="str">
        <f t="shared" si="28"/>
        <v>alter type vZB9m02 (F2.0).</v>
      </c>
    </row>
    <row r="926" spans="1:6" x14ac:dyDescent="0.25">
      <c r="A926" s="10" t="s">
        <v>2256</v>
      </c>
      <c r="B926" s="10" t="s">
        <v>30</v>
      </c>
      <c r="C926" s="10">
        <v>2</v>
      </c>
      <c r="D926" s="10">
        <v>0</v>
      </c>
      <c r="E926" s="1" t="str">
        <f t="shared" si="29"/>
        <v>(F2.0)</v>
      </c>
      <c r="F926" s="1" t="str">
        <f t="shared" si="28"/>
        <v>alter type vZB9m03 (F2.0).</v>
      </c>
    </row>
    <row r="927" spans="1:6" x14ac:dyDescent="0.25">
      <c r="A927" s="10" t="s">
        <v>2257</v>
      </c>
      <c r="B927" s="10" t="s">
        <v>30</v>
      </c>
      <c r="C927" s="10">
        <v>2</v>
      </c>
      <c r="D927" s="10">
        <v>0</v>
      </c>
      <c r="E927" s="1" t="str">
        <f t="shared" si="29"/>
        <v>(F2.0)</v>
      </c>
      <c r="F927" s="1" t="str">
        <f t="shared" si="28"/>
        <v>alter type vZB9m04 (F2.0).</v>
      </c>
    </row>
    <row r="928" spans="1:6" x14ac:dyDescent="0.25">
      <c r="A928" s="10" t="s">
        <v>2258</v>
      </c>
      <c r="B928" s="10" t="s">
        <v>30</v>
      </c>
      <c r="C928" s="10">
        <v>2</v>
      </c>
      <c r="D928" s="10">
        <v>0</v>
      </c>
      <c r="E928" s="1" t="str">
        <f t="shared" si="29"/>
        <v>(F2.0)</v>
      </c>
      <c r="F928" s="1" t="str">
        <f t="shared" si="28"/>
        <v>alter type vZB9m05 (F2.0).</v>
      </c>
    </row>
    <row r="929" spans="1:6" x14ac:dyDescent="0.25">
      <c r="A929" s="10" t="s">
        <v>2259</v>
      </c>
      <c r="B929" s="10" t="s">
        <v>30</v>
      </c>
      <c r="C929" s="10">
        <v>2</v>
      </c>
      <c r="D929" s="10">
        <v>0</v>
      </c>
      <c r="E929" s="1" t="str">
        <f t="shared" si="29"/>
        <v>(F2.0)</v>
      </c>
      <c r="F929" s="1" t="str">
        <f t="shared" si="28"/>
        <v>alter type vZB9m06 (F2.0).</v>
      </c>
    </row>
    <row r="930" spans="1:6" x14ac:dyDescent="0.25">
      <c r="A930" s="10" t="s">
        <v>2260</v>
      </c>
      <c r="B930" s="10" t="s">
        <v>27</v>
      </c>
      <c r="C930" s="10">
        <v>150</v>
      </c>
      <c r="D930" s="10">
        <v>0</v>
      </c>
      <c r="E930" s="1" t="str">
        <f t="shared" si="29"/>
        <v>(A150)</v>
      </c>
      <c r="F930" s="1" t="str">
        <f t="shared" si="28"/>
        <v>alter type vZB9o03 (A150).</v>
      </c>
    </row>
    <row r="931" spans="1:6" x14ac:dyDescent="0.25">
      <c r="A931" s="10" t="s">
        <v>2261</v>
      </c>
      <c r="B931" s="10" t="s">
        <v>27</v>
      </c>
      <c r="C931" s="10">
        <v>150</v>
      </c>
      <c r="D931" s="10">
        <v>0</v>
      </c>
      <c r="E931" s="1" t="str">
        <f t="shared" si="29"/>
        <v>(A150)</v>
      </c>
      <c r="F931" s="1" t="str">
        <f t="shared" si="28"/>
        <v>alter type vZB9o04 (A150).</v>
      </c>
    </row>
    <row r="932" spans="1:6" x14ac:dyDescent="0.25">
      <c r="A932" s="10" t="s">
        <v>2262</v>
      </c>
      <c r="B932" s="10" t="s">
        <v>27</v>
      </c>
      <c r="C932" s="10">
        <v>150</v>
      </c>
      <c r="D932" s="10">
        <v>0</v>
      </c>
      <c r="E932" s="1" t="str">
        <f t="shared" si="29"/>
        <v>(A150)</v>
      </c>
      <c r="F932" s="1" t="str">
        <f t="shared" si="28"/>
        <v>alter type vZB9o05 (A150).</v>
      </c>
    </row>
    <row r="933" spans="1:6" x14ac:dyDescent="0.25">
      <c r="A933" s="10" t="s">
        <v>2263</v>
      </c>
      <c r="B933" s="10" t="s">
        <v>30</v>
      </c>
      <c r="C933" s="10">
        <v>2</v>
      </c>
      <c r="D933" s="10">
        <v>0</v>
      </c>
      <c r="E933" s="1" t="str">
        <f t="shared" si="29"/>
        <v>(F2.0)</v>
      </c>
      <c r="F933" s="1" t="str">
        <f t="shared" si="28"/>
        <v>alter type vZC1m01 (F2.0).</v>
      </c>
    </row>
    <row r="934" spans="1:6" x14ac:dyDescent="0.25">
      <c r="A934" s="10" t="s">
        <v>2264</v>
      </c>
      <c r="B934" s="10" t="s">
        <v>30</v>
      </c>
      <c r="C934" s="10">
        <v>2</v>
      </c>
      <c r="D934" s="10">
        <v>0</v>
      </c>
      <c r="E934" s="1" t="str">
        <f t="shared" si="29"/>
        <v>(F2.0)</v>
      </c>
      <c r="F934" s="1" t="str">
        <f t="shared" si="28"/>
        <v>alter type vZC1m02 (F2.0).</v>
      </c>
    </row>
    <row r="935" spans="1:6" x14ac:dyDescent="0.25">
      <c r="A935" s="10" t="s">
        <v>2265</v>
      </c>
      <c r="B935" s="10" t="s">
        <v>30</v>
      </c>
      <c r="C935" s="10">
        <v>2</v>
      </c>
      <c r="D935" s="10">
        <v>0</v>
      </c>
      <c r="E935" s="1" t="str">
        <f t="shared" si="29"/>
        <v>(F2.0)</v>
      </c>
      <c r="F935" s="1" t="str">
        <f t="shared" si="28"/>
        <v>alter type vZC1m03 (F2.0).</v>
      </c>
    </row>
    <row r="936" spans="1:6" x14ac:dyDescent="0.25">
      <c r="A936" s="10" t="s">
        <v>2266</v>
      </c>
      <c r="B936" s="10" t="s">
        <v>30</v>
      </c>
      <c r="C936" s="10">
        <v>2</v>
      </c>
      <c r="D936" s="10">
        <v>0</v>
      </c>
      <c r="E936" s="1" t="str">
        <f t="shared" si="29"/>
        <v>(F2.0)</v>
      </c>
      <c r="F936" s="1" t="str">
        <f t="shared" si="28"/>
        <v>alter type vZC1m04 (F2.0).</v>
      </c>
    </row>
    <row r="937" spans="1:6" x14ac:dyDescent="0.25">
      <c r="A937" s="10" t="s">
        <v>2267</v>
      </c>
      <c r="B937" s="10" t="s">
        <v>30</v>
      </c>
      <c r="C937" s="10">
        <v>2</v>
      </c>
      <c r="D937" s="10">
        <v>0</v>
      </c>
      <c r="E937" s="1" t="str">
        <f t="shared" si="29"/>
        <v>(F2.0)</v>
      </c>
      <c r="F937" s="1" t="str">
        <f t="shared" si="28"/>
        <v>alter type vZC2 (F2.0).</v>
      </c>
    </row>
    <row r="938" spans="1:6" x14ac:dyDescent="0.25">
      <c r="A938" s="10" t="s">
        <v>2268</v>
      </c>
      <c r="B938" s="10" t="s">
        <v>30</v>
      </c>
      <c r="C938" s="10">
        <v>2</v>
      </c>
      <c r="D938" s="10">
        <v>0</v>
      </c>
      <c r="E938" s="1" t="str">
        <f t="shared" si="29"/>
        <v>(F2.0)</v>
      </c>
      <c r="F938" s="1" t="str">
        <f t="shared" si="28"/>
        <v>alter type vZC3 (F2.0).</v>
      </c>
    </row>
    <row r="939" spans="1:6" x14ac:dyDescent="0.25">
      <c r="A939" s="10" t="s">
        <v>2269</v>
      </c>
      <c r="B939" s="10" t="s">
        <v>27</v>
      </c>
      <c r="C939" s="10">
        <v>150</v>
      </c>
      <c r="D939" s="10">
        <v>0</v>
      </c>
      <c r="E939" s="1" t="str">
        <f t="shared" si="29"/>
        <v>(A150)</v>
      </c>
      <c r="F939" s="1" t="str">
        <f t="shared" si="28"/>
        <v>alter type vZC3o01 (A150).</v>
      </c>
    </row>
    <row r="940" spans="1:6" x14ac:dyDescent="0.25">
      <c r="A940" s="10" t="s">
        <v>2270</v>
      </c>
      <c r="B940" s="10" t="s">
        <v>27</v>
      </c>
      <c r="C940" s="10">
        <v>150</v>
      </c>
      <c r="D940" s="10">
        <v>0</v>
      </c>
      <c r="E940" s="1" t="str">
        <f t="shared" si="29"/>
        <v>(A150)</v>
      </c>
      <c r="F940" s="1" t="str">
        <f t="shared" si="28"/>
        <v>alter type vZC3o02 (A150).</v>
      </c>
    </row>
    <row r="941" spans="1:6" x14ac:dyDescent="0.25">
      <c r="A941" s="10" t="s">
        <v>2271</v>
      </c>
      <c r="B941" s="10" t="s">
        <v>30</v>
      </c>
      <c r="C941" s="10">
        <v>2</v>
      </c>
      <c r="D941" s="10">
        <v>0</v>
      </c>
      <c r="E941" s="1" t="str">
        <f t="shared" si="29"/>
        <v>(F2.0)</v>
      </c>
      <c r="F941" s="1" t="str">
        <f t="shared" si="28"/>
        <v>alter type vZC4 (F2.0).</v>
      </c>
    </row>
    <row r="942" spans="1:6" x14ac:dyDescent="0.25">
      <c r="A942" s="10" t="s">
        <v>2272</v>
      </c>
      <c r="B942" s="10" t="s">
        <v>30</v>
      </c>
      <c r="C942" s="10">
        <v>2</v>
      </c>
      <c r="D942" s="10">
        <v>0</v>
      </c>
      <c r="E942" s="1" t="str">
        <f t="shared" si="29"/>
        <v>(F2.0)</v>
      </c>
      <c r="F942" s="1" t="str">
        <f t="shared" si="28"/>
        <v>alter type vZC5 (F2.0).</v>
      </c>
    </row>
    <row r="943" spans="1:6" x14ac:dyDescent="0.25">
      <c r="A943" s="10" t="s">
        <v>2273</v>
      </c>
      <c r="B943" s="10" t="s">
        <v>30</v>
      </c>
      <c r="C943" s="10">
        <v>14</v>
      </c>
      <c r="D943" s="10">
        <v>0</v>
      </c>
      <c r="E943" s="1" t="str">
        <f t="shared" si="29"/>
        <v>(F14.0)</v>
      </c>
      <c r="F943" s="1" t="str">
        <f t="shared" si="28"/>
        <v>alter type vEND (F14.0).</v>
      </c>
    </row>
    <row r="945" spans="1:6" x14ac:dyDescent="0.25">
      <c r="A945" s="1" t="s">
        <v>2274</v>
      </c>
      <c r="B945" s="1" t="s">
        <v>27</v>
      </c>
      <c r="C945" s="1">
        <v>3</v>
      </c>
      <c r="D945" s="1">
        <v>0</v>
      </c>
      <c r="E945" s="1" t="str">
        <f t="shared" ref="E945:E1008" si="30">IF(B945="數值","(F"&amp;C945&amp;"."&amp;D945&amp;")","(A"&amp;C945&amp;")")</f>
        <v>(A3)</v>
      </c>
      <c r="F945" s="1" t="str">
        <f t="shared" ref="F945:F1008" si="31">"alter type "&amp;A945&amp;" "&amp;E945&amp;"."</f>
        <v>alter type bir (A3).</v>
      </c>
    </row>
    <row r="946" spans="1:6" x14ac:dyDescent="0.25">
      <c r="A946" s="1" t="s">
        <v>2275</v>
      </c>
      <c r="B946" s="1" t="s">
        <v>27</v>
      </c>
      <c r="C946" s="1">
        <v>3</v>
      </c>
      <c r="D946" s="1">
        <v>0</v>
      </c>
      <c r="E946" s="1" t="str">
        <f t="shared" si="30"/>
        <v>(A3)</v>
      </c>
      <c r="F946" s="1" t="str">
        <f t="shared" si="31"/>
        <v>alter type gen (A3).</v>
      </c>
    </row>
    <row r="947" spans="1:6" x14ac:dyDescent="0.25">
      <c r="A947" s="1" t="s">
        <v>2276</v>
      </c>
      <c r="B947" s="1" t="s">
        <v>27</v>
      </c>
      <c r="C947" s="1">
        <v>3</v>
      </c>
      <c r="D947" s="1">
        <v>0</v>
      </c>
      <c r="E947" s="1" t="str">
        <f t="shared" si="30"/>
        <v>(A3)</v>
      </c>
      <c r="F947" s="1" t="str">
        <f t="shared" si="31"/>
        <v>alter type fno (A3).</v>
      </c>
    </row>
    <row r="948" spans="1:6" x14ac:dyDescent="0.25">
      <c r="A948" s="1" t="s">
        <v>2277</v>
      </c>
      <c r="B948" s="1" t="s">
        <v>27</v>
      </c>
      <c r="C948" s="1">
        <v>3</v>
      </c>
      <c r="D948" s="1">
        <v>0</v>
      </c>
      <c r="E948" s="1" t="str">
        <f t="shared" si="30"/>
        <v>(A3)</v>
      </c>
      <c r="F948" s="1" t="str">
        <f t="shared" si="31"/>
        <v>alter type lno (A3).</v>
      </c>
    </row>
    <row r="949" spans="1:6" x14ac:dyDescent="0.25">
      <c r="A949" s="1" t="s">
        <v>2278</v>
      </c>
      <c r="B949" s="1" t="s">
        <v>30</v>
      </c>
      <c r="C949" s="1">
        <v>2</v>
      </c>
      <c r="D949" s="1">
        <v>0</v>
      </c>
      <c r="E949" s="1" t="str">
        <f t="shared" si="30"/>
        <v>(F2.0)</v>
      </c>
      <c r="F949" s="1" t="str">
        <f t="shared" si="31"/>
        <v>alter type st (F2.0).</v>
      </c>
    </row>
    <row r="950" spans="1:6" x14ac:dyDescent="0.25">
      <c r="A950" s="1" t="s">
        <v>2279</v>
      </c>
      <c r="B950" s="1" t="s">
        <v>30</v>
      </c>
      <c r="C950" s="1">
        <v>2</v>
      </c>
      <c r="D950" s="1">
        <v>0</v>
      </c>
      <c r="E950" s="1" t="str">
        <f t="shared" si="30"/>
        <v>(F2.0)</v>
      </c>
      <c r="F950" s="1" t="str">
        <f t="shared" si="31"/>
        <v>alter type tt (F2.0).</v>
      </c>
    </row>
    <row r="951" spans="1:6" x14ac:dyDescent="0.25">
      <c r="A951" s="1" t="s">
        <v>2280</v>
      </c>
      <c r="B951" s="1" t="s">
        <v>30</v>
      </c>
      <c r="C951" s="1">
        <v>8</v>
      </c>
      <c r="D951" s="1">
        <v>0</v>
      </c>
      <c r="E951" s="1" t="str">
        <f t="shared" si="30"/>
        <v>(F8.0)</v>
      </c>
      <c r="F951" s="1" t="str">
        <f t="shared" si="31"/>
        <v>alter type vdate_1 (F8.0).</v>
      </c>
    </row>
    <row r="952" spans="1:6" x14ac:dyDescent="0.25">
      <c r="A952" s="1" t="s">
        <v>2281</v>
      </c>
      <c r="B952" s="1" t="s">
        <v>30</v>
      </c>
      <c r="C952" s="1">
        <v>1</v>
      </c>
      <c r="D952" s="1">
        <v>0</v>
      </c>
      <c r="E952" s="1" t="str">
        <f t="shared" si="30"/>
        <v>(F1.0)</v>
      </c>
      <c r="F952" s="1" t="str">
        <f t="shared" si="31"/>
        <v>alter type vt_1 (F1.0).</v>
      </c>
    </row>
    <row r="953" spans="1:6" x14ac:dyDescent="0.25">
      <c r="A953" s="1" t="s">
        <v>2282</v>
      </c>
      <c r="B953" s="1" t="s">
        <v>30</v>
      </c>
      <c r="C953" s="1">
        <v>4</v>
      </c>
      <c r="D953" s="1">
        <v>0</v>
      </c>
      <c r="E953" s="1" t="str">
        <f t="shared" si="30"/>
        <v>(F4.0)</v>
      </c>
      <c r="F953" s="1" t="str">
        <f t="shared" si="31"/>
        <v>alter type vr_1 (F4.0).</v>
      </c>
    </row>
    <row r="954" spans="1:6" x14ac:dyDescent="0.25">
      <c r="A954" s="1" t="s">
        <v>2283</v>
      </c>
      <c r="B954" s="1" t="s">
        <v>27</v>
      </c>
      <c r="C954" s="1">
        <v>300</v>
      </c>
      <c r="D954" s="1">
        <v>0</v>
      </c>
      <c r="E954" s="1" t="str">
        <f t="shared" si="30"/>
        <v>(A300)</v>
      </c>
      <c r="F954" s="1" t="str">
        <f t="shared" si="31"/>
        <v>alter type result303_o_1 (A300).</v>
      </c>
    </row>
    <row r="955" spans="1:6" x14ac:dyDescent="0.25">
      <c r="A955" s="1" t="s">
        <v>2284</v>
      </c>
      <c r="B955" s="1" t="s">
        <v>27</v>
      </c>
      <c r="C955" s="1">
        <v>300</v>
      </c>
      <c r="D955" s="1">
        <v>0</v>
      </c>
      <c r="E955" s="1" t="str">
        <f t="shared" si="30"/>
        <v>(A300)</v>
      </c>
      <c r="F955" s="1" t="str">
        <f t="shared" si="31"/>
        <v>alter type result3061_o_1 (A300).</v>
      </c>
    </row>
    <row r="956" spans="1:6" x14ac:dyDescent="0.25">
      <c r="A956" s="1" t="s">
        <v>2285</v>
      </c>
      <c r="B956" s="1" t="s">
        <v>27</v>
      </c>
      <c r="C956" s="1">
        <v>300</v>
      </c>
      <c r="D956" s="1">
        <v>0</v>
      </c>
      <c r="E956" s="1" t="str">
        <f t="shared" si="30"/>
        <v>(A300)</v>
      </c>
      <c r="F956" s="1" t="str">
        <f t="shared" si="31"/>
        <v>alter type result3062_o_1 (A300).</v>
      </c>
    </row>
    <row r="957" spans="1:6" x14ac:dyDescent="0.25">
      <c r="A957" s="1" t="s">
        <v>2286</v>
      </c>
      <c r="B957" s="1" t="s">
        <v>27</v>
      </c>
      <c r="C957" s="1">
        <v>300</v>
      </c>
      <c r="D957" s="1">
        <v>0</v>
      </c>
      <c r="E957" s="1" t="str">
        <f t="shared" si="30"/>
        <v>(A300)</v>
      </c>
      <c r="F957" s="1" t="str">
        <f t="shared" si="31"/>
        <v>alter type result404_o_1 (A300).</v>
      </c>
    </row>
    <row r="958" spans="1:6" x14ac:dyDescent="0.25">
      <c r="A958" s="1" t="s">
        <v>2287</v>
      </c>
      <c r="B958" s="1" t="s">
        <v>27</v>
      </c>
      <c r="C958" s="1">
        <v>300</v>
      </c>
      <c r="D958" s="1">
        <v>0</v>
      </c>
      <c r="E958" s="1" t="str">
        <f t="shared" si="30"/>
        <v>(A300)</v>
      </c>
      <c r="F958" s="1" t="str">
        <f t="shared" si="31"/>
        <v>alter type result504_o_1 (A300).</v>
      </c>
    </row>
    <row r="959" spans="1:6" x14ac:dyDescent="0.25">
      <c r="A959" s="1" t="s">
        <v>2288</v>
      </c>
      <c r="B959" s="1" t="s">
        <v>27</v>
      </c>
      <c r="C959" s="1">
        <v>300</v>
      </c>
      <c r="D959" s="1">
        <v>0</v>
      </c>
      <c r="E959" s="1" t="str">
        <f t="shared" si="30"/>
        <v>(A300)</v>
      </c>
      <c r="F959" s="1" t="str">
        <f t="shared" si="31"/>
        <v>alter type result608_o_1 (A300).</v>
      </c>
    </row>
    <row r="960" spans="1:6" x14ac:dyDescent="0.25">
      <c r="A960" s="1" t="s">
        <v>2289</v>
      </c>
      <c r="B960" s="1" t="s">
        <v>27</v>
      </c>
      <c r="C960" s="1">
        <v>300</v>
      </c>
      <c r="D960" s="1">
        <v>0</v>
      </c>
      <c r="E960" s="1" t="str">
        <f t="shared" si="30"/>
        <v>(A300)</v>
      </c>
      <c r="F960" s="1" t="str">
        <f t="shared" si="31"/>
        <v>alter type result311_o_1 (A300).</v>
      </c>
    </row>
    <row r="961" spans="1:6" x14ac:dyDescent="0.25">
      <c r="A961" s="1" t="s">
        <v>2290</v>
      </c>
      <c r="B961" s="1" t="s">
        <v>27</v>
      </c>
      <c r="C961" s="1">
        <v>300</v>
      </c>
      <c r="D961" s="1">
        <v>0</v>
      </c>
      <c r="E961" s="1" t="str">
        <f t="shared" si="30"/>
        <v>(A300)</v>
      </c>
      <c r="F961" s="1" t="str">
        <f t="shared" si="31"/>
        <v>alter type result607_o_1 (A300).</v>
      </c>
    </row>
    <row r="962" spans="1:6" x14ac:dyDescent="0.25">
      <c r="A962" s="1" t="s">
        <v>2291</v>
      </c>
      <c r="B962" s="1" t="s">
        <v>27</v>
      </c>
      <c r="C962" s="1">
        <v>300</v>
      </c>
      <c r="D962" s="1">
        <v>0</v>
      </c>
      <c r="E962" s="1" t="str">
        <f t="shared" si="30"/>
        <v>(A300)</v>
      </c>
      <c r="F962" s="1" t="str">
        <f t="shared" si="31"/>
        <v>alter type result999_o_1 (A300).</v>
      </c>
    </row>
    <row r="963" spans="1:6" x14ac:dyDescent="0.25">
      <c r="A963" s="1" t="s">
        <v>2292</v>
      </c>
      <c r="B963" s="1" t="s">
        <v>30</v>
      </c>
      <c r="C963" s="1">
        <v>2</v>
      </c>
      <c r="D963" s="1">
        <v>0</v>
      </c>
      <c r="E963" s="1" t="str">
        <f t="shared" si="30"/>
        <v>(F2.0)</v>
      </c>
      <c r="F963" s="1" t="str">
        <f t="shared" si="31"/>
        <v>alter type at1_1 (F2.0).</v>
      </c>
    </row>
    <row r="964" spans="1:6" x14ac:dyDescent="0.25">
      <c r="A964" s="1" t="s">
        <v>2293</v>
      </c>
      <c r="B964" s="1" t="s">
        <v>27</v>
      </c>
      <c r="C964" s="1">
        <v>300</v>
      </c>
      <c r="D964" s="1">
        <v>0</v>
      </c>
      <c r="E964" s="1" t="str">
        <f t="shared" si="30"/>
        <v>(A300)</v>
      </c>
      <c r="F964" s="1" t="str">
        <f t="shared" si="31"/>
        <v>alter type at1_o04_1 (A300).</v>
      </c>
    </row>
    <row r="965" spans="1:6" x14ac:dyDescent="0.25">
      <c r="A965" s="1" t="s">
        <v>2294</v>
      </c>
      <c r="B965" s="1" t="s">
        <v>30</v>
      </c>
      <c r="C965" s="1">
        <v>8</v>
      </c>
      <c r="D965" s="1">
        <v>0</v>
      </c>
      <c r="E965" s="1" t="str">
        <f t="shared" si="30"/>
        <v>(F8.0)</v>
      </c>
      <c r="F965" s="1" t="str">
        <f t="shared" si="31"/>
        <v>alter type vdate_2 (F8.0).</v>
      </c>
    </row>
    <row r="966" spans="1:6" x14ac:dyDescent="0.25">
      <c r="A966" s="1" t="s">
        <v>2295</v>
      </c>
      <c r="B966" s="1" t="s">
        <v>30</v>
      </c>
      <c r="C966" s="1">
        <v>1</v>
      </c>
      <c r="D966" s="1">
        <v>0</v>
      </c>
      <c r="E966" s="1" t="str">
        <f t="shared" si="30"/>
        <v>(F1.0)</v>
      </c>
      <c r="F966" s="1" t="str">
        <f t="shared" si="31"/>
        <v>alter type vt_2 (F1.0).</v>
      </c>
    </row>
    <row r="967" spans="1:6" x14ac:dyDescent="0.25">
      <c r="A967" s="1" t="s">
        <v>2296</v>
      </c>
      <c r="B967" s="1" t="s">
        <v>30</v>
      </c>
      <c r="C967" s="1">
        <v>4</v>
      </c>
      <c r="D967" s="1">
        <v>0</v>
      </c>
      <c r="E967" s="1" t="str">
        <f t="shared" si="30"/>
        <v>(F4.0)</v>
      </c>
      <c r="F967" s="1" t="str">
        <f t="shared" si="31"/>
        <v>alter type vr_2 (F4.0).</v>
      </c>
    </row>
    <row r="968" spans="1:6" x14ac:dyDescent="0.25">
      <c r="A968" s="1" t="s">
        <v>2297</v>
      </c>
      <c r="B968" s="1" t="s">
        <v>27</v>
      </c>
      <c r="C968" s="1">
        <v>300</v>
      </c>
      <c r="D968" s="1">
        <v>0</v>
      </c>
      <c r="E968" s="1" t="str">
        <f t="shared" si="30"/>
        <v>(A300)</v>
      </c>
      <c r="F968" s="1" t="str">
        <f t="shared" si="31"/>
        <v>alter type result303_o_2 (A300).</v>
      </c>
    </row>
    <row r="969" spans="1:6" x14ac:dyDescent="0.25">
      <c r="A969" s="1" t="s">
        <v>2298</v>
      </c>
      <c r="B969" s="1" t="s">
        <v>27</v>
      </c>
      <c r="C969" s="1">
        <v>300</v>
      </c>
      <c r="D969" s="1">
        <v>0</v>
      </c>
      <c r="E969" s="1" t="str">
        <f t="shared" si="30"/>
        <v>(A300)</v>
      </c>
      <c r="F969" s="1" t="str">
        <f t="shared" si="31"/>
        <v>alter type result3061_o_2 (A300).</v>
      </c>
    </row>
    <row r="970" spans="1:6" x14ac:dyDescent="0.25">
      <c r="A970" s="1" t="s">
        <v>2299</v>
      </c>
      <c r="B970" s="1" t="s">
        <v>27</v>
      </c>
      <c r="C970" s="1">
        <v>300</v>
      </c>
      <c r="D970" s="1">
        <v>0</v>
      </c>
      <c r="E970" s="1" t="str">
        <f t="shared" si="30"/>
        <v>(A300)</v>
      </c>
      <c r="F970" s="1" t="str">
        <f t="shared" si="31"/>
        <v>alter type result3062_o_2 (A300).</v>
      </c>
    </row>
    <row r="971" spans="1:6" x14ac:dyDescent="0.25">
      <c r="A971" s="1" t="s">
        <v>2300</v>
      </c>
      <c r="B971" s="1" t="s">
        <v>27</v>
      </c>
      <c r="C971" s="1">
        <v>300</v>
      </c>
      <c r="D971" s="1">
        <v>0</v>
      </c>
      <c r="E971" s="1" t="str">
        <f t="shared" si="30"/>
        <v>(A300)</v>
      </c>
      <c r="F971" s="1" t="str">
        <f t="shared" si="31"/>
        <v>alter type result404_o_2 (A300).</v>
      </c>
    </row>
    <row r="972" spans="1:6" x14ac:dyDescent="0.25">
      <c r="A972" s="1" t="s">
        <v>2301</v>
      </c>
      <c r="B972" s="1" t="s">
        <v>27</v>
      </c>
      <c r="C972" s="1">
        <v>300</v>
      </c>
      <c r="D972" s="1">
        <v>0</v>
      </c>
      <c r="E972" s="1" t="str">
        <f t="shared" si="30"/>
        <v>(A300)</v>
      </c>
      <c r="F972" s="1" t="str">
        <f t="shared" si="31"/>
        <v>alter type result504_o_2 (A300).</v>
      </c>
    </row>
    <row r="973" spans="1:6" x14ac:dyDescent="0.25">
      <c r="A973" s="1" t="s">
        <v>2302</v>
      </c>
      <c r="B973" s="1" t="s">
        <v>27</v>
      </c>
      <c r="C973" s="1">
        <v>300</v>
      </c>
      <c r="D973" s="1">
        <v>0</v>
      </c>
      <c r="E973" s="1" t="str">
        <f t="shared" si="30"/>
        <v>(A300)</v>
      </c>
      <c r="F973" s="1" t="str">
        <f t="shared" si="31"/>
        <v>alter type result608_o_2 (A300).</v>
      </c>
    </row>
    <row r="974" spans="1:6" x14ac:dyDescent="0.25">
      <c r="A974" s="1" t="s">
        <v>2303</v>
      </c>
      <c r="B974" s="1" t="s">
        <v>27</v>
      </c>
      <c r="C974" s="1">
        <v>300</v>
      </c>
      <c r="D974" s="1">
        <v>0</v>
      </c>
      <c r="E974" s="1" t="str">
        <f t="shared" si="30"/>
        <v>(A300)</v>
      </c>
      <c r="F974" s="1" t="str">
        <f t="shared" si="31"/>
        <v>alter type result311_o_2 (A300).</v>
      </c>
    </row>
    <row r="975" spans="1:6" x14ac:dyDescent="0.25">
      <c r="A975" s="1" t="s">
        <v>2304</v>
      </c>
      <c r="B975" s="1" t="s">
        <v>27</v>
      </c>
      <c r="C975" s="1">
        <v>300</v>
      </c>
      <c r="D975" s="1">
        <v>0</v>
      </c>
      <c r="E975" s="1" t="str">
        <f t="shared" si="30"/>
        <v>(A300)</v>
      </c>
      <c r="F975" s="1" t="str">
        <f t="shared" si="31"/>
        <v>alter type result607_o_2 (A300).</v>
      </c>
    </row>
    <row r="976" spans="1:6" x14ac:dyDescent="0.25">
      <c r="A976" s="1" t="s">
        <v>2305</v>
      </c>
      <c r="B976" s="1" t="s">
        <v>27</v>
      </c>
      <c r="C976" s="1">
        <v>300</v>
      </c>
      <c r="D976" s="1">
        <v>0</v>
      </c>
      <c r="E976" s="1" t="str">
        <f t="shared" si="30"/>
        <v>(A300)</v>
      </c>
      <c r="F976" s="1" t="str">
        <f t="shared" si="31"/>
        <v>alter type result999_o_2 (A300).</v>
      </c>
    </row>
    <row r="977" spans="1:6" x14ac:dyDescent="0.25">
      <c r="A977" s="1" t="s">
        <v>2306</v>
      </c>
      <c r="B977" s="1" t="s">
        <v>30</v>
      </c>
      <c r="C977" s="1">
        <v>2</v>
      </c>
      <c r="D977" s="1">
        <v>0</v>
      </c>
      <c r="E977" s="1" t="str">
        <f t="shared" si="30"/>
        <v>(F2.0)</v>
      </c>
      <c r="F977" s="1" t="str">
        <f t="shared" si="31"/>
        <v>alter type at1_2 (F2.0).</v>
      </c>
    </row>
    <row r="978" spans="1:6" x14ac:dyDescent="0.25">
      <c r="A978" s="1" t="s">
        <v>2307</v>
      </c>
      <c r="B978" s="1" t="s">
        <v>27</v>
      </c>
      <c r="C978" s="1">
        <v>300</v>
      </c>
      <c r="D978" s="1">
        <v>0</v>
      </c>
      <c r="E978" s="1" t="str">
        <f t="shared" si="30"/>
        <v>(A300)</v>
      </c>
      <c r="F978" s="1" t="str">
        <f t="shared" si="31"/>
        <v>alter type at1_o04_2 (A300).</v>
      </c>
    </row>
    <row r="979" spans="1:6" x14ac:dyDescent="0.25">
      <c r="A979" s="1" t="s">
        <v>2308</v>
      </c>
      <c r="B979" s="1" t="s">
        <v>30</v>
      </c>
      <c r="C979" s="1">
        <v>8</v>
      </c>
      <c r="D979" s="1">
        <v>0</v>
      </c>
      <c r="E979" s="1" t="str">
        <f t="shared" si="30"/>
        <v>(F8.0)</v>
      </c>
      <c r="F979" s="1" t="str">
        <f t="shared" si="31"/>
        <v>alter type vdate_3 (F8.0).</v>
      </c>
    </row>
    <row r="980" spans="1:6" x14ac:dyDescent="0.25">
      <c r="A980" s="1" t="s">
        <v>2309</v>
      </c>
      <c r="B980" s="1" t="s">
        <v>30</v>
      </c>
      <c r="C980" s="1">
        <v>1</v>
      </c>
      <c r="D980" s="1">
        <v>0</v>
      </c>
      <c r="E980" s="1" t="str">
        <f t="shared" si="30"/>
        <v>(F1.0)</v>
      </c>
      <c r="F980" s="1" t="str">
        <f t="shared" si="31"/>
        <v>alter type vt_3 (F1.0).</v>
      </c>
    </row>
    <row r="981" spans="1:6" x14ac:dyDescent="0.25">
      <c r="A981" s="1" t="s">
        <v>2310</v>
      </c>
      <c r="B981" s="1" t="s">
        <v>30</v>
      </c>
      <c r="C981" s="1">
        <v>4</v>
      </c>
      <c r="D981" s="1">
        <v>0</v>
      </c>
      <c r="E981" s="1" t="str">
        <f t="shared" si="30"/>
        <v>(F4.0)</v>
      </c>
      <c r="F981" s="1" t="str">
        <f t="shared" si="31"/>
        <v>alter type vr_3 (F4.0).</v>
      </c>
    </row>
    <row r="982" spans="1:6" x14ac:dyDescent="0.25">
      <c r="A982" s="1" t="s">
        <v>2311</v>
      </c>
      <c r="B982" s="1" t="s">
        <v>27</v>
      </c>
      <c r="C982" s="1">
        <v>300</v>
      </c>
      <c r="D982" s="1">
        <v>0</v>
      </c>
      <c r="E982" s="1" t="str">
        <f t="shared" si="30"/>
        <v>(A300)</v>
      </c>
      <c r="F982" s="1" t="str">
        <f t="shared" si="31"/>
        <v>alter type result303_o_3 (A300).</v>
      </c>
    </row>
    <row r="983" spans="1:6" x14ac:dyDescent="0.25">
      <c r="A983" s="1" t="s">
        <v>2312</v>
      </c>
      <c r="B983" s="1" t="s">
        <v>27</v>
      </c>
      <c r="C983" s="1">
        <v>300</v>
      </c>
      <c r="D983" s="1">
        <v>0</v>
      </c>
      <c r="E983" s="1" t="str">
        <f t="shared" si="30"/>
        <v>(A300)</v>
      </c>
      <c r="F983" s="1" t="str">
        <f t="shared" si="31"/>
        <v>alter type result3061_o_3 (A300).</v>
      </c>
    </row>
    <row r="984" spans="1:6" x14ac:dyDescent="0.25">
      <c r="A984" s="1" t="s">
        <v>2313</v>
      </c>
      <c r="B984" s="1" t="s">
        <v>27</v>
      </c>
      <c r="C984" s="1">
        <v>300</v>
      </c>
      <c r="D984" s="1">
        <v>0</v>
      </c>
      <c r="E984" s="1" t="str">
        <f t="shared" si="30"/>
        <v>(A300)</v>
      </c>
      <c r="F984" s="1" t="str">
        <f t="shared" si="31"/>
        <v>alter type result3062_o_3 (A300).</v>
      </c>
    </row>
    <row r="985" spans="1:6" x14ac:dyDescent="0.25">
      <c r="A985" s="1" t="s">
        <v>2314</v>
      </c>
      <c r="B985" s="1" t="s">
        <v>27</v>
      </c>
      <c r="C985" s="1">
        <v>300</v>
      </c>
      <c r="D985" s="1">
        <v>0</v>
      </c>
      <c r="E985" s="1" t="str">
        <f t="shared" si="30"/>
        <v>(A300)</v>
      </c>
      <c r="F985" s="1" t="str">
        <f t="shared" si="31"/>
        <v>alter type result404_o_3 (A300).</v>
      </c>
    </row>
    <row r="986" spans="1:6" x14ac:dyDescent="0.25">
      <c r="A986" s="1" t="s">
        <v>2315</v>
      </c>
      <c r="B986" s="1" t="s">
        <v>27</v>
      </c>
      <c r="C986" s="1">
        <v>300</v>
      </c>
      <c r="D986" s="1">
        <v>0</v>
      </c>
      <c r="E986" s="1" t="str">
        <f t="shared" si="30"/>
        <v>(A300)</v>
      </c>
      <c r="F986" s="1" t="str">
        <f t="shared" si="31"/>
        <v>alter type result504_o_3 (A300).</v>
      </c>
    </row>
    <row r="987" spans="1:6" x14ac:dyDescent="0.25">
      <c r="A987" s="1" t="s">
        <v>2316</v>
      </c>
      <c r="B987" s="1" t="s">
        <v>27</v>
      </c>
      <c r="C987" s="1">
        <v>300</v>
      </c>
      <c r="D987" s="1">
        <v>0</v>
      </c>
      <c r="E987" s="1" t="str">
        <f t="shared" si="30"/>
        <v>(A300)</v>
      </c>
      <c r="F987" s="1" t="str">
        <f t="shared" si="31"/>
        <v>alter type result608_o_3 (A300).</v>
      </c>
    </row>
    <row r="988" spans="1:6" x14ac:dyDescent="0.25">
      <c r="A988" s="1" t="s">
        <v>2317</v>
      </c>
      <c r="B988" s="1" t="s">
        <v>27</v>
      </c>
      <c r="C988" s="1">
        <v>300</v>
      </c>
      <c r="D988" s="1">
        <v>0</v>
      </c>
      <c r="E988" s="1" t="str">
        <f t="shared" si="30"/>
        <v>(A300)</v>
      </c>
      <c r="F988" s="1" t="str">
        <f t="shared" si="31"/>
        <v>alter type result311_o_3 (A300).</v>
      </c>
    </row>
    <row r="989" spans="1:6" x14ac:dyDescent="0.25">
      <c r="A989" s="1" t="s">
        <v>2318</v>
      </c>
      <c r="B989" s="1" t="s">
        <v>27</v>
      </c>
      <c r="C989" s="1">
        <v>300</v>
      </c>
      <c r="D989" s="1">
        <v>0</v>
      </c>
      <c r="E989" s="1" t="str">
        <f t="shared" si="30"/>
        <v>(A300)</v>
      </c>
      <c r="F989" s="1" t="str">
        <f t="shared" si="31"/>
        <v>alter type result607_o_3 (A300).</v>
      </c>
    </row>
    <row r="990" spans="1:6" x14ac:dyDescent="0.25">
      <c r="A990" s="1" t="s">
        <v>2319</v>
      </c>
      <c r="B990" s="1" t="s">
        <v>27</v>
      </c>
      <c r="C990" s="1">
        <v>300</v>
      </c>
      <c r="D990" s="1">
        <v>0</v>
      </c>
      <c r="E990" s="1" t="str">
        <f t="shared" si="30"/>
        <v>(A300)</v>
      </c>
      <c r="F990" s="1" t="str">
        <f t="shared" si="31"/>
        <v>alter type result999_o_3 (A300).</v>
      </c>
    </row>
    <row r="991" spans="1:6" x14ac:dyDescent="0.25">
      <c r="A991" s="1" t="s">
        <v>2320</v>
      </c>
      <c r="B991" s="1" t="s">
        <v>30</v>
      </c>
      <c r="C991" s="1">
        <v>2</v>
      </c>
      <c r="D991" s="1">
        <v>0</v>
      </c>
      <c r="E991" s="1" t="str">
        <f t="shared" si="30"/>
        <v>(F2.0)</v>
      </c>
      <c r="F991" s="1" t="str">
        <f t="shared" si="31"/>
        <v>alter type at1_3 (F2.0).</v>
      </c>
    </row>
    <row r="992" spans="1:6" x14ac:dyDescent="0.25">
      <c r="A992" s="1" t="s">
        <v>2321</v>
      </c>
      <c r="B992" s="1" t="s">
        <v>27</v>
      </c>
      <c r="C992" s="1">
        <v>300</v>
      </c>
      <c r="D992" s="1">
        <v>0</v>
      </c>
      <c r="E992" s="1" t="str">
        <f t="shared" si="30"/>
        <v>(A300)</v>
      </c>
      <c r="F992" s="1" t="str">
        <f t="shared" si="31"/>
        <v>alter type at1_o04_3 (A300).</v>
      </c>
    </row>
    <row r="993" spans="1:6" x14ac:dyDescent="0.25">
      <c r="A993" s="1" t="s">
        <v>2322</v>
      </c>
      <c r="B993" s="1" t="s">
        <v>30</v>
      </c>
      <c r="C993" s="1">
        <v>8</v>
      </c>
      <c r="D993" s="1">
        <v>0</v>
      </c>
      <c r="E993" s="1" t="str">
        <f t="shared" si="30"/>
        <v>(F8.0)</v>
      </c>
      <c r="F993" s="1" t="str">
        <f t="shared" si="31"/>
        <v>alter type vdate_4 (F8.0).</v>
      </c>
    </row>
    <row r="994" spans="1:6" x14ac:dyDescent="0.25">
      <c r="A994" s="1" t="s">
        <v>2323</v>
      </c>
      <c r="B994" s="1" t="s">
        <v>30</v>
      </c>
      <c r="C994" s="1">
        <v>1</v>
      </c>
      <c r="D994" s="1">
        <v>0</v>
      </c>
      <c r="E994" s="1" t="str">
        <f t="shared" si="30"/>
        <v>(F1.0)</v>
      </c>
      <c r="F994" s="1" t="str">
        <f t="shared" si="31"/>
        <v>alter type vt_4 (F1.0).</v>
      </c>
    </row>
    <row r="995" spans="1:6" x14ac:dyDescent="0.25">
      <c r="A995" s="1" t="s">
        <v>2324</v>
      </c>
      <c r="B995" s="1" t="s">
        <v>30</v>
      </c>
      <c r="C995" s="1">
        <v>4</v>
      </c>
      <c r="D995" s="1">
        <v>0</v>
      </c>
      <c r="E995" s="1" t="str">
        <f t="shared" si="30"/>
        <v>(F4.0)</v>
      </c>
      <c r="F995" s="1" t="str">
        <f t="shared" si="31"/>
        <v>alter type vr_4 (F4.0).</v>
      </c>
    </row>
    <row r="996" spans="1:6" x14ac:dyDescent="0.25">
      <c r="A996" s="1" t="s">
        <v>2325</v>
      </c>
      <c r="B996" s="1" t="s">
        <v>27</v>
      </c>
      <c r="C996" s="1">
        <v>300</v>
      </c>
      <c r="D996" s="1">
        <v>0</v>
      </c>
      <c r="E996" s="1" t="str">
        <f t="shared" si="30"/>
        <v>(A300)</v>
      </c>
      <c r="F996" s="1" t="str">
        <f t="shared" si="31"/>
        <v>alter type result303_o_4 (A300).</v>
      </c>
    </row>
    <row r="997" spans="1:6" x14ac:dyDescent="0.25">
      <c r="A997" s="1" t="s">
        <v>2326</v>
      </c>
      <c r="B997" s="1" t="s">
        <v>27</v>
      </c>
      <c r="C997" s="1">
        <v>300</v>
      </c>
      <c r="D997" s="1">
        <v>0</v>
      </c>
      <c r="E997" s="1" t="str">
        <f t="shared" si="30"/>
        <v>(A300)</v>
      </c>
      <c r="F997" s="1" t="str">
        <f t="shared" si="31"/>
        <v>alter type result3061_o_4 (A300).</v>
      </c>
    </row>
    <row r="998" spans="1:6" x14ac:dyDescent="0.25">
      <c r="A998" s="1" t="s">
        <v>2327</v>
      </c>
      <c r="B998" s="1" t="s">
        <v>27</v>
      </c>
      <c r="C998" s="1">
        <v>300</v>
      </c>
      <c r="D998" s="1">
        <v>0</v>
      </c>
      <c r="E998" s="1" t="str">
        <f t="shared" si="30"/>
        <v>(A300)</v>
      </c>
      <c r="F998" s="1" t="str">
        <f t="shared" si="31"/>
        <v>alter type result3062_o_4 (A300).</v>
      </c>
    </row>
    <row r="999" spans="1:6" x14ac:dyDescent="0.25">
      <c r="A999" s="1" t="s">
        <v>2328</v>
      </c>
      <c r="B999" s="1" t="s">
        <v>27</v>
      </c>
      <c r="C999" s="1">
        <v>300</v>
      </c>
      <c r="D999" s="1">
        <v>0</v>
      </c>
      <c r="E999" s="1" t="str">
        <f t="shared" si="30"/>
        <v>(A300)</v>
      </c>
      <c r="F999" s="1" t="str">
        <f t="shared" si="31"/>
        <v>alter type result404_o_4 (A300).</v>
      </c>
    </row>
    <row r="1000" spans="1:6" x14ac:dyDescent="0.25">
      <c r="A1000" s="1" t="s">
        <v>2329</v>
      </c>
      <c r="B1000" s="1" t="s">
        <v>27</v>
      </c>
      <c r="C1000" s="1">
        <v>300</v>
      </c>
      <c r="D1000" s="1">
        <v>0</v>
      </c>
      <c r="E1000" s="1" t="str">
        <f t="shared" si="30"/>
        <v>(A300)</v>
      </c>
      <c r="F1000" s="1" t="str">
        <f t="shared" si="31"/>
        <v>alter type result504_o_4 (A300).</v>
      </c>
    </row>
    <row r="1001" spans="1:6" x14ac:dyDescent="0.25">
      <c r="A1001" s="1" t="s">
        <v>2330</v>
      </c>
      <c r="B1001" s="1" t="s">
        <v>27</v>
      </c>
      <c r="C1001" s="1">
        <v>300</v>
      </c>
      <c r="D1001" s="1">
        <v>0</v>
      </c>
      <c r="E1001" s="1" t="str">
        <f t="shared" si="30"/>
        <v>(A300)</v>
      </c>
      <c r="F1001" s="1" t="str">
        <f t="shared" si="31"/>
        <v>alter type result608_o_4 (A300).</v>
      </c>
    </row>
    <row r="1002" spans="1:6" x14ac:dyDescent="0.25">
      <c r="A1002" s="1" t="s">
        <v>2331</v>
      </c>
      <c r="B1002" s="1" t="s">
        <v>27</v>
      </c>
      <c r="C1002" s="1">
        <v>300</v>
      </c>
      <c r="D1002" s="1">
        <v>0</v>
      </c>
      <c r="E1002" s="1" t="str">
        <f t="shared" si="30"/>
        <v>(A300)</v>
      </c>
      <c r="F1002" s="1" t="str">
        <f t="shared" si="31"/>
        <v>alter type result311_o_4 (A300).</v>
      </c>
    </row>
    <row r="1003" spans="1:6" x14ac:dyDescent="0.25">
      <c r="A1003" s="1" t="s">
        <v>2332</v>
      </c>
      <c r="B1003" s="1" t="s">
        <v>27</v>
      </c>
      <c r="C1003" s="1">
        <v>300</v>
      </c>
      <c r="D1003" s="1">
        <v>0</v>
      </c>
      <c r="E1003" s="1" t="str">
        <f t="shared" si="30"/>
        <v>(A300)</v>
      </c>
      <c r="F1003" s="1" t="str">
        <f t="shared" si="31"/>
        <v>alter type result607_o_4 (A300).</v>
      </c>
    </row>
    <row r="1004" spans="1:6" x14ac:dyDescent="0.25">
      <c r="A1004" s="1" t="s">
        <v>2333</v>
      </c>
      <c r="B1004" s="1" t="s">
        <v>27</v>
      </c>
      <c r="C1004" s="1">
        <v>300</v>
      </c>
      <c r="D1004" s="1">
        <v>0</v>
      </c>
      <c r="E1004" s="1" t="str">
        <f t="shared" si="30"/>
        <v>(A300)</v>
      </c>
      <c r="F1004" s="1" t="str">
        <f t="shared" si="31"/>
        <v>alter type result999_o_4 (A300).</v>
      </c>
    </row>
    <row r="1005" spans="1:6" x14ac:dyDescent="0.25">
      <c r="A1005" s="1" t="s">
        <v>2334</v>
      </c>
      <c r="B1005" s="1" t="s">
        <v>30</v>
      </c>
      <c r="C1005" s="1">
        <v>2</v>
      </c>
      <c r="D1005" s="1">
        <v>0</v>
      </c>
      <c r="E1005" s="1" t="str">
        <f t="shared" si="30"/>
        <v>(F2.0)</v>
      </c>
      <c r="F1005" s="1" t="str">
        <f t="shared" si="31"/>
        <v>alter type at1_4 (F2.0).</v>
      </c>
    </row>
    <row r="1006" spans="1:6" x14ac:dyDescent="0.25">
      <c r="A1006" s="1" t="s">
        <v>2335</v>
      </c>
      <c r="B1006" s="1" t="s">
        <v>27</v>
      </c>
      <c r="C1006" s="1">
        <v>300</v>
      </c>
      <c r="D1006" s="1">
        <v>0</v>
      </c>
      <c r="E1006" s="1" t="str">
        <f t="shared" si="30"/>
        <v>(A300)</v>
      </c>
      <c r="F1006" s="1" t="str">
        <f t="shared" si="31"/>
        <v>alter type at1_o04_4 (A300).</v>
      </c>
    </row>
    <row r="1007" spans="1:6" x14ac:dyDescent="0.25">
      <c r="A1007" s="1" t="s">
        <v>2336</v>
      </c>
      <c r="B1007" s="1" t="s">
        <v>30</v>
      </c>
      <c r="C1007" s="1">
        <v>8</v>
      </c>
      <c r="D1007" s="1">
        <v>0</v>
      </c>
      <c r="E1007" s="1" t="str">
        <f t="shared" si="30"/>
        <v>(F8.0)</v>
      </c>
      <c r="F1007" s="1" t="str">
        <f t="shared" si="31"/>
        <v>alter type vdate_5 (F8.0).</v>
      </c>
    </row>
    <row r="1008" spans="1:6" x14ac:dyDescent="0.25">
      <c r="A1008" s="1" t="s">
        <v>2337</v>
      </c>
      <c r="B1008" s="1" t="s">
        <v>30</v>
      </c>
      <c r="C1008" s="1">
        <v>1</v>
      </c>
      <c r="D1008" s="1">
        <v>0</v>
      </c>
      <c r="E1008" s="1" t="str">
        <f t="shared" si="30"/>
        <v>(F1.0)</v>
      </c>
      <c r="F1008" s="1" t="str">
        <f t="shared" si="31"/>
        <v>alter type vt_5 (F1.0).</v>
      </c>
    </row>
    <row r="1009" spans="1:6" x14ac:dyDescent="0.25">
      <c r="A1009" s="1" t="s">
        <v>2338</v>
      </c>
      <c r="B1009" s="1" t="s">
        <v>30</v>
      </c>
      <c r="C1009" s="1">
        <v>4</v>
      </c>
      <c r="D1009" s="1">
        <v>0</v>
      </c>
      <c r="E1009" s="1" t="str">
        <f t="shared" ref="E1009:E1072" si="32">IF(B1009="數值","(F"&amp;C1009&amp;"."&amp;D1009&amp;")","(A"&amp;C1009&amp;")")</f>
        <v>(F4.0)</v>
      </c>
      <c r="F1009" s="1" t="str">
        <f t="shared" ref="F1009:F1072" si="33">"alter type "&amp;A1009&amp;" "&amp;E1009&amp;"."</f>
        <v>alter type vr_5 (F4.0).</v>
      </c>
    </row>
    <row r="1010" spans="1:6" x14ac:dyDescent="0.25">
      <c r="A1010" s="1" t="s">
        <v>2339</v>
      </c>
      <c r="B1010" s="1" t="s">
        <v>27</v>
      </c>
      <c r="C1010" s="1">
        <v>300</v>
      </c>
      <c r="D1010" s="1">
        <v>0</v>
      </c>
      <c r="E1010" s="1" t="str">
        <f t="shared" si="32"/>
        <v>(A300)</v>
      </c>
      <c r="F1010" s="1" t="str">
        <f t="shared" si="33"/>
        <v>alter type result303_o_5 (A300).</v>
      </c>
    </row>
    <row r="1011" spans="1:6" x14ac:dyDescent="0.25">
      <c r="A1011" s="1" t="s">
        <v>2340</v>
      </c>
      <c r="B1011" s="1" t="s">
        <v>27</v>
      </c>
      <c r="C1011" s="1">
        <v>300</v>
      </c>
      <c r="D1011" s="1">
        <v>0</v>
      </c>
      <c r="E1011" s="1" t="str">
        <f t="shared" si="32"/>
        <v>(A300)</v>
      </c>
      <c r="F1011" s="1" t="str">
        <f t="shared" si="33"/>
        <v>alter type result3061_o_5 (A300).</v>
      </c>
    </row>
    <row r="1012" spans="1:6" x14ac:dyDescent="0.25">
      <c r="A1012" s="1" t="s">
        <v>2341</v>
      </c>
      <c r="B1012" s="1" t="s">
        <v>27</v>
      </c>
      <c r="C1012" s="1">
        <v>300</v>
      </c>
      <c r="D1012" s="1">
        <v>0</v>
      </c>
      <c r="E1012" s="1" t="str">
        <f t="shared" si="32"/>
        <v>(A300)</v>
      </c>
      <c r="F1012" s="1" t="str">
        <f t="shared" si="33"/>
        <v>alter type result3062_o_5 (A300).</v>
      </c>
    </row>
    <row r="1013" spans="1:6" x14ac:dyDescent="0.25">
      <c r="A1013" s="1" t="s">
        <v>2342</v>
      </c>
      <c r="B1013" s="1" t="s">
        <v>27</v>
      </c>
      <c r="C1013" s="1">
        <v>300</v>
      </c>
      <c r="D1013" s="1">
        <v>0</v>
      </c>
      <c r="E1013" s="1" t="str">
        <f t="shared" si="32"/>
        <v>(A300)</v>
      </c>
      <c r="F1013" s="1" t="str">
        <f t="shared" si="33"/>
        <v>alter type result404_o_5 (A300).</v>
      </c>
    </row>
    <row r="1014" spans="1:6" x14ac:dyDescent="0.25">
      <c r="A1014" s="1" t="s">
        <v>2343</v>
      </c>
      <c r="B1014" s="1" t="s">
        <v>27</v>
      </c>
      <c r="C1014" s="1">
        <v>300</v>
      </c>
      <c r="D1014" s="1">
        <v>0</v>
      </c>
      <c r="E1014" s="1" t="str">
        <f t="shared" si="32"/>
        <v>(A300)</v>
      </c>
      <c r="F1014" s="1" t="str">
        <f t="shared" si="33"/>
        <v>alter type result504_o_5 (A300).</v>
      </c>
    </row>
    <row r="1015" spans="1:6" x14ac:dyDescent="0.25">
      <c r="A1015" s="1" t="s">
        <v>2344</v>
      </c>
      <c r="B1015" s="1" t="s">
        <v>27</v>
      </c>
      <c r="C1015" s="1">
        <v>300</v>
      </c>
      <c r="D1015" s="1">
        <v>0</v>
      </c>
      <c r="E1015" s="1" t="str">
        <f t="shared" si="32"/>
        <v>(A300)</v>
      </c>
      <c r="F1015" s="1" t="str">
        <f t="shared" si="33"/>
        <v>alter type result608_o_5 (A300).</v>
      </c>
    </row>
    <row r="1016" spans="1:6" x14ac:dyDescent="0.25">
      <c r="A1016" s="1" t="s">
        <v>2345</v>
      </c>
      <c r="B1016" s="1" t="s">
        <v>27</v>
      </c>
      <c r="C1016" s="1">
        <v>300</v>
      </c>
      <c r="D1016" s="1">
        <v>0</v>
      </c>
      <c r="E1016" s="1" t="str">
        <f t="shared" si="32"/>
        <v>(A300)</v>
      </c>
      <c r="F1016" s="1" t="str">
        <f t="shared" si="33"/>
        <v>alter type result311_o_5 (A300).</v>
      </c>
    </row>
    <row r="1017" spans="1:6" x14ac:dyDescent="0.25">
      <c r="A1017" s="1" t="s">
        <v>2346</v>
      </c>
      <c r="B1017" s="1" t="s">
        <v>27</v>
      </c>
      <c r="C1017" s="1">
        <v>300</v>
      </c>
      <c r="D1017" s="1">
        <v>0</v>
      </c>
      <c r="E1017" s="1" t="str">
        <f t="shared" si="32"/>
        <v>(A300)</v>
      </c>
      <c r="F1017" s="1" t="str">
        <f t="shared" si="33"/>
        <v>alter type result607_o_5 (A300).</v>
      </c>
    </row>
    <row r="1018" spans="1:6" x14ac:dyDescent="0.25">
      <c r="A1018" s="1" t="s">
        <v>2347</v>
      </c>
      <c r="B1018" s="1" t="s">
        <v>27</v>
      </c>
      <c r="C1018" s="1">
        <v>300</v>
      </c>
      <c r="D1018" s="1">
        <v>0</v>
      </c>
      <c r="E1018" s="1" t="str">
        <f t="shared" si="32"/>
        <v>(A300)</v>
      </c>
      <c r="F1018" s="1" t="str">
        <f t="shared" si="33"/>
        <v>alter type result999_o_5 (A300).</v>
      </c>
    </row>
    <row r="1019" spans="1:6" x14ac:dyDescent="0.25">
      <c r="A1019" s="1" t="s">
        <v>2348</v>
      </c>
      <c r="B1019" s="1" t="s">
        <v>30</v>
      </c>
      <c r="C1019" s="1">
        <v>2</v>
      </c>
      <c r="D1019" s="1">
        <v>0</v>
      </c>
      <c r="E1019" s="1" t="str">
        <f t="shared" si="32"/>
        <v>(F2.0)</v>
      </c>
      <c r="F1019" s="1" t="str">
        <f t="shared" si="33"/>
        <v>alter type at1_5 (F2.0).</v>
      </c>
    </row>
    <row r="1020" spans="1:6" x14ac:dyDescent="0.25">
      <c r="A1020" s="1" t="s">
        <v>2349</v>
      </c>
      <c r="B1020" s="1" t="s">
        <v>27</v>
      </c>
      <c r="C1020" s="1">
        <v>300</v>
      </c>
      <c r="D1020" s="1">
        <v>0</v>
      </c>
      <c r="E1020" s="1" t="str">
        <f t="shared" si="32"/>
        <v>(A300)</v>
      </c>
      <c r="F1020" s="1" t="str">
        <f t="shared" si="33"/>
        <v>alter type at1_o04_5 (A300).</v>
      </c>
    </row>
    <row r="1021" spans="1:6" x14ac:dyDescent="0.25">
      <c r="A1021" s="1" t="s">
        <v>2350</v>
      </c>
      <c r="B1021" s="1" t="s">
        <v>30</v>
      </c>
      <c r="C1021" s="1">
        <v>8</v>
      </c>
      <c r="D1021" s="1">
        <v>0</v>
      </c>
      <c r="E1021" s="1" t="str">
        <f t="shared" si="32"/>
        <v>(F8.0)</v>
      </c>
      <c r="F1021" s="1" t="str">
        <f t="shared" si="33"/>
        <v>alter type vdate_6 (F8.0).</v>
      </c>
    </row>
    <row r="1022" spans="1:6" x14ac:dyDescent="0.25">
      <c r="A1022" s="1" t="s">
        <v>2351</v>
      </c>
      <c r="B1022" s="1" t="s">
        <v>30</v>
      </c>
      <c r="C1022" s="1">
        <v>1</v>
      </c>
      <c r="D1022" s="1">
        <v>0</v>
      </c>
      <c r="E1022" s="1" t="str">
        <f t="shared" si="32"/>
        <v>(F1.0)</v>
      </c>
      <c r="F1022" s="1" t="str">
        <f t="shared" si="33"/>
        <v>alter type vt_6 (F1.0).</v>
      </c>
    </row>
    <row r="1023" spans="1:6" x14ac:dyDescent="0.25">
      <c r="A1023" s="1" t="s">
        <v>2352</v>
      </c>
      <c r="B1023" s="1" t="s">
        <v>30</v>
      </c>
      <c r="C1023" s="1">
        <v>4</v>
      </c>
      <c r="D1023" s="1">
        <v>0</v>
      </c>
      <c r="E1023" s="1" t="str">
        <f t="shared" si="32"/>
        <v>(F4.0)</v>
      </c>
      <c r="F1023" s="1" t="str">
        <f t="shared" si="33"/>
        <v>alter type vr_6 (F4.0).</v>
      </c>
    </row>
    <row r="1024" spans="1:6" x14ac:dyDescent="0.25">
      <c r="A1024" s="1" t="s">
        <v>2353</v>
      </c>
      <c r="B1024" s="1" t="s">
        <v>27</v>
      </c>
      <c r="C1024" s="1">
        <v>300</v>
      </c>
      <c r="D1024" s="1">
        <v>0</v>
      </c>
      <c r="E1024" s="1" t="str">
        <f t="shared" si="32"/>
        <v>(A300)</v>
      </c>
      <c r="F1024" s="1" t="str">
        <f t="shared" si="33"/>
        <v>alter type result303_o_6 (A300).</v>
      </c>
    </row>
    <row r="1025" spans="1:6" x14ac:dyDescent="0.25">
      <c r="A1025" s="1" t="s">
        <v>2354</v>
      </c>
      <c r="B1025" s="1" t="s">
        <v>27</v>
      </c>
      <c r="C1025" s="1">
        <v>300</v>
      </c>
      <c r="D1025" s="1">
        <v>0</v>
      </c>
      <c r="E1025" s="1" t="str">
        <f t="shared" si="32"/>
        <v>(A300)</v>
      </c>
      <c r="F1025" s="1" t="str">
        <f t="shared" si="33"/>
        <v>alter type result3061_o_6 (A300).</v>
      </c>
    </row>
    <row r="1026" spans="1:6" x14ac:dyDescent="0.25">
      <c r="A1026" s="1" t="s">
        <v>2355</v>
      </c>
      <c r="B1026" s="1" t="s">
        <v>27</v>
      </c>
      <c r="C1026" s="1">
        <v>300</v>
      </c>
      <c r="D1026" s="1">
        <v>0</v>
      </c>
      <c r="E1026" s="1" t="str">
        <f t="shared" si="32"/>
        <v>(A300)</v>
      </c>
      <c r="F1026" s="1" t="str">
        <f t="shared" si="33"/>
        <v>alter type result3062_o_6 (A300).</v>
      </c>
    </row>
    <row r="1027" spans="1:6" x14ac:dyDescent="0.25">
      <c r="A1027" s="1" t="s">
        <v>2356</v>
      </c>
      <c r="B1027" s="1" t="s">
        <v>27</v>
      </c>
      <c r="C1027" s="1">
        <v>300</v>
      </c>
      <c r="D1027" s="1">
        <v>0</v>
      </c>
      <c r="E1027" s="1" t="str">
        <f t="shared" si="32"/>
        <v>(A300)</v>
      </c>
      <c r="F1027" s="1" t="str">
        <f t="shared" si="33"/>
        <v>alter type result404_o_6 (A300).</v>
      </c>
    </row>
    <row r="1028" spans="1:6" x14ac:dyDescent="0.25">
      <c r="A1028" s="1" t="s">
        <v>2357</v>
      </c>
      <c r="B1028" s="1" t="s">
        <v>27</v>
      </c>
      <c r="C1028" s="1">
        <v>300</v>
      </c>
      <c r="D1028" s="1">
        <v>0</v>
      </c>
      <c r="E1028" s="1" t="str">
        <f t="shared" si="32"/>
        <v>(A300)</v>
      </c>
      <c r="F1028" s="1" t="str">
        <f t="shared" si="33"/>
        <v>alter type result504_o_6 (A300).</v>
      </c>
    </row>
    <row r="1029" spans="1:6" x14ac:dyDescent="0.25">
      <c r="A1029" s="1" t="s">
        <v>2358</v>
      </c>
      <c r="B1029" s="1" t="s">
        <v>27</v>
      </c>
      <c r="C1029" s="1">
        <v>300</v>
      </c>
      <c r="D1029" s="1">
        <v>0</v>
      </c>
      <c r="E1029" s="1" t="str">
        <f t="shared" si="32"/>
        <v>(A300)</v>
      </c>
      <c r="F1029" s="1" t="str">
        <f t="shared" si="33"/>
        <v>alter type result608_o_6 (A300).</v>
      </c>
    </row>
    <row r="1030" spans="1:6" x14ac:dyDescent="0.25">
      <c r="A1030" s="1" t="s">
        <v>2359</v>
      </c>
      <c r="B1030" s="1" t="s">
        <v>27</v>
      </c>
      <c r="C1030" s="1">
        <v>300</v>
      </c>
      <c r="D1030" s="1">
        <v>0</v>
      </c>
      <c r="E1030" s="1" t="str">
        <f t="shared" si="32"/>
        <v>(A300)</v>
      </c>
      <c r="F1030" s="1" t="str">
        <f t="shared" si="33"/>
        <v>alter type result311_o_6 (A300).</v>
      </c>
    </row>
    <row r="1031" spans="1:6" x14ac:dyDescent="0.25">
      <c r="A1031" s="1" t="s">
        <v>2360</v>
      </c>
      <c r="B1031" s="1" t="s">
        <v>27</v>
      </c>
      <c r="C1031" s="1">
        <v>300</v>
      </c>
      <c r="D1031" s="1">
        <v>0</v>
      </c>
      <c r="E1031" s="1" t="str">
        <f t="shared" si="32"/>
        <v>(A300)</v>
      </c>
      <c r="F1031" s="1" t="str">
        <f t="shared" si="33"/>
        <v>alter type result607_o_6 (A300).</v>
      </c>
    </row>
    <row r="1032" spans="1:6" x14ac:dyDescent="0.25">
      <c r="A1032" s="1" t="s">
        <v>2361</v>
      </c>
      <c r="B1032" s="1" t="s">
        <v>27</v>
      </c>
      <c r="C1032" s="1">
        <v>300</v>
      </c>
      <c r="D1032" s="1">
        <v>0</v>
      </c>
      <c r="E1032" s="1" t="str">
        <f t="shared" si="32"/>
        <v>(A300)</v>
      </c>
      <c r="F1032" s="1" t="str">
        <f t="shared" si="33"/>
        <v>alter type result999_o_6 (A300).</v>
      </c>
    </row>
    <row r="1033" spans="1:6" x14ac:dyDescent="0.25">
      <c r="A1033" s="1" t="s">
        <v>2362</v>
      </c>
      <c r="B1033" s="1" t="s">
        <v>30</v>
      </c>
      <c r="C1033" s="1">
        <v>2</v>
      </c>
      <c r="D1033" s="1">
        <v>0</v>
      </c>
      <c r="E1033" s="1" t="str">
        <f t="shared" si="32"/>
        <v>(F2.0)</v>
      </c>
      <c r="F1033" s="1" t="str">
        <f t="shared" si="33"/>
        <v>alter type at1_6 (F2.0).</v>
      </c>
    </row>
    <row r="1034" spans="1:6" x14ac:dyDescent="0.25">
      <c r="A1034" s="1" t="s">
        <v>2363</v>
      </c>
      <c r="B1034" s="1" t="s">
        <v>27</v>
      </c>
      <c r="C1034" s="1">
        <v>300</v>
      </c>
      <c r="D1034" s="1">
        <v>0</v>
      </c>
      <c r="E1034" s="1" t="str">
        <f t="shared" si="32"/>
        <v>(A300)</v>
      </c>
      <c r="F1034" s="1" t="str">
        <f t="shared" si="33"/>
        <v>alter type at1_o04_6 (A300).</v>
      </c>
    </row>
    <row r="1035" spans="1:6" x14ac:dyDescent="0.25">
      <c r="A1035" s="1" t="s">
        <v>2364</v>
      </c>
      <c r="B1035" s="1" t="s">
        <v>30</v>
      </c>
      <c r="C1035" s="1">
        <v>8</v>
      </c>
      <c r="D1035" s="1">
        <v>0</v>
      </c>
      <c r="E1035" s="1" t="str">
        <f t="shared" si="32"/>
        <v>(F8.0)</v>
      </c>
      <c r="F1035" s="1" t="str">
        <f t="shared" si="33"/>
        <v>alter type vdate_7 (F8.0).</v>
      </c>
    </row>
    <row r="1036" spans="1:6" x14ac:dyDescent="0.25">
      <c r="A1036" s="1" t="s">
        <v>2365</v>
      </c>
      <c r="B1036" s="1" t="s">
        <v>30</v>
      </c>
      <c r="C1036" s="1">
        <v>1</v>
      </c>
      <c r="D1036" s="1">
        <v>0</v>
      </c>
      <c r="E1036" s="1" t="str">
        <f t="shared" si="32"/>
        <v>(F1.0)</v>
      </c>
      <c r="F1036" s="1" t="str">
        <f t="shared" si="33"/>
        <v>alter type vt_7 (F1.0).</v>
      </c>
    </row>
    <row r="1037" spans="1:6" x14ac:dyDescent="0.25">
      <c r="A1037" s="1" t="s">
        <v>2366</v>
      </c>
      <c r="B1037" s="1" t="s">
        <v>30</v>
      </c>
      <c r="C1037" s="1">
        <v>4</v>
      </c>
      <c r="D1037" s="1">
        <v>0</v>
      </c>
      <c r="E1037" s="1" t="str">
        <f t="shared" si="32"/>
        <v>(F4.0)</v>
      </c>
      <c r="F1037" s="1" t="str">
        <f t="shared" si="33"/>
        <v>alter type vr_7 (F4.0).</v>
      </c>
    </row>
    <row r="1038" spans="1:6" x14ac:dyDescent="0.25">
      <c r="A1038" s="1" t="s">
        <v>2367</v>
      </c>
      <c r="B1038" s="1" t="s">
        <v>27</v>
      </c>
      <c r="C1038" s="1">
        <v>300</v>
      </c>
      <c r="D1038" s="1">
        <v>0</v>
      </c>
      <c r="E1038" s="1" t="str">
        <f t="shared" si="32"/>
        <v>(A300)</v>
      </c>
      <c r="F1038" s="1" t="str">
        <f t="shared" si="33"/>
        <v>alter type result303_o_7 (A300).</v>
      </c>
    </row>
    <row r="1039" spans="1:6" x14ac:dyDescent="0.25">
      <c r="A1039" s="1" t="s">
        <v>2368</v>
      </c>
      <c r="B1039" s="1" t="s">
        <v>27</v>
      </c>
      <c r="C1039" s="1">
        <v>300</v>
      </c>
      <c r="D1039" s="1">
        <v>0</v>
      </c>
      <c r="E1039" s="1" t="str">
        <f t="shared" si="32"/>
        <v>(A300)</v>
      </c>
      <c r="F1039" s="1" t="str">
        <f t="shared" si="33"/>
        <v>alter type result3061_o_7 (A300).</v>
      </c>
    </row>
    <row r="1040" spans="1:6" x14ac:dyDescent="0.25">
      <c r="A1040" s="1" t="s">
        <v>2369</v>
      </c>
      <c r="B1040" s="1" t="s">
        <v>27</v>
      </c>
      <c r="C1040" s="1">
        <v>300</v>
      </c>
      <c r="D1040" s="1">
        <v>0</v>
      </c>
      <c r="E1040" s="1" t="str">
        <f t="shared" si="32"/>
        <v>(A300)</v>
      </c>
      <c r="F1040" s="1" t="str">
        <f t="shared" si="33"/>
        <v>alter type result3062_o_7 (A300).</v>
      </c>
    </row>
    <row r="1041" spans="1:6" x14ac:dyDescent="0.25">
      <c r="A1041" s="1" t="s">
        <v>2370</v>
      </c>
      <c r="B1041" s="1" t="s">
        <v>27</v>
      </c>
      <c r="C1041" s="1">
        <v>300</v>
      </c>
      <c r="D1041" s="1">
        <v>0</v>
      </c>
      <c r="E1041" s="1" t="str">
        <f t="shared" si="32"/>
        <v>(A300)</v>
      </c>
      <c r="F1041" s="1" t="str">
        <f t="shared" si="33"/>
        <v>alter type result404_o_7 (A300).</v>
      </c>
    </row>
    <row r="1042" spans="1:6" x14ac:dyDescent="0.25">
      <c r="A1042" s="1" t="s">
        <v>2371</v>
      </c>
      <c r="B1042" s="1" t="s">
        <v>27</v>
      </c>
      <c r="C1042" s="1">
        <v>300</v>
      </c>
      <c r="D1042" s="1">
        <v>0</v>
      </c>
      <c r="E1042" s="1" t="str">
        <f t="shared" si="32"/>
        <v>(A300)</v>
      </c>
      <c r="F1042" s="1" t="str">
        <f t="shared" si="33"/>
        <v>alter type result504_o_7 (A300).</v>
      </c>
    </row>
    <row r="1043" spans="1:6" x14ac:dyDescent="0.25">
      <c r="A1043" s="1" t="s">
        <v>2372</v>
      </c>
      <c r="B1043" s="1" t="s">
        <v>27</v>
      </c>
      <c r="C1043" s="1">
        <v>300</v>
      </c>
      <c r="D1043" s="1">
        <v>0</v>
      </c>
      <c r="E1043" s="1" t="str">
        <f t="shared" si="32"/>
        <v>(A300)</v>
      </c>
      <c r="F1043" s="1" t="str">
        <f t="shared" si="33"/>
        <v>alter type result608_o_7 (A300).</v>
      </c>
    </row>
    <row r="1044" spans="1:6" x14ac:dyDescent="0.25">
      <c r="A1044" s="1" t="s">
        <v>2373</v>
      </c>
      <c r="B1044" s="1" t="s">
        <v>27</v>
      </c>
      <c r="C1044" s="1">
        <v>300</v>
      </c>
      <c r="D1044" s="1">
        <v>0</v>
      </c>
      <c r="E1044" s="1" t="str">
        <f t="shared" si="32"/>
        <v>(A300)</v>
      </c>
      <c r="F1044" s="1" t="str">
        <f t="shared" si="33"/>
        <v>alter type result311_o_7 (A300).</v>
      </c>
    </row>
    <row r="1045" spans="1:6" x14ac:dyDescent="0.25">
      <c r="A1045" s="1" t="s">
        <v>2374</v>
      </c>
      <c r="B1045" s="1" t="s">
        <v>27</v>
      </c>
      <c r="C1045" s="1">
        <v>300</v>
      </c>
      <c r="D1045" s="1">
        <v>0</v>
      </c>
      <c r="E1045" s="1" t="str">
        <f t="shared" si="32"/>
        <v>(A300)</v>
      </c>
      <c r="F1045" s="1" t="str">
        <f t="shared" si="33"/>
        <v>alter type result607_o_7 (A300).</v>
      </c>
    </row>
    <row r="1046" spans="1:6" x14ac:dyDescent="0.25">
      <c r="A1046" s="1" t="s">
        <v>2375</v>
      </c>
      <c r="B1046" s="1" t="s">
        <v>27</v>
      </c>
      <c r="C1046" s="1">
        <v>300</v>
      </c>
      <c r="D1046" s="1">
        <v>0</v>
      </c>
      <c r="E1046" s="1" t="str">
        <f t="shared" si="32"/>
        <v>(A300)</v>
      </c>
      <c r="F1046" s="1" t="str">
        <f t="shared" si="33"/>
        <v>alter type result999_o_7 (A300).</v>
      </c>
    </row>
    <row r="1047" spans="1:6" x14ac:dyDescent="0.25">
      <c r="A1047" s="1" t="s">
        <v>2376</v>
      </c>
      <c r="B1047" s="1" t="s">
        <v>30</v>
      </c>
      <c r="C1047" s="1">
        <v>2</v>
      </c>
      <c r="D1047" s="1">
        <v>0</v>
      </c>
      <c r="E1047" s="1" t="str">
        <f t="shared" si="32"/>
        <v>(F2.0)</v>
      </c>
      <c r="F1047" s="1" t="str">
        <f t="shared" si="33"/>
        <v>alter type at1_7 (F2.0).</v>
      </c>
    </row>
    <row r="1048" spans="1:6" x14ac:dyDescent="0.25">
      <c r="A1048" s="1" t="s">
        <v>2377</v>
      </c>
      <c r="B1048" s="1" t="s">
        <v>27</v>
      </c>
      <c r="C1048" s="1">
        <v>300</v>
      </c>
      <c r="D1048" s="1">
        <v>0</v>
      </c>
      <c r="E1048" s="1" t="str">
        <f t="shared" si="32"/>
        <v>(A300)</v>
      </c>
      <c r="F1048" s="1" t="str">
        <f t="shared" si="33"/>
        <v>alter type at1_o04_7 (A300).</v>
      </c>
    </row>
    <row r="1049" spans="1:6" x14ac:dyDescent="0.25">
      <c r="A1049" s="1" t="s">
        <v>2378</v>
      </c>
      <c r="B1049" s="1" t="s">
        <v>30</v>
      </c>
      <c r="C1049" s="1">
        <v>8</v>
      </c>
      <c r="D1049" s="1">
        <v>0</v>
      </c>
      <c r="E1049" s="1" t="str">
        <f t="shared" si="32"/>
        <v>(F8.0)</v>
      </c>
      <c r="F1049" s="1" t="str">
        <f t="shared" si="33"/>
        <v>alter type vdate_8 (F8.0).</v>
      </c>
    </row>
    <row r="1050" spans="1:6" x14ac:dyDescent="0.25">
      <c r="A1050" s="1" t="s">
        <v>2379</v>
      </c>
      <c r="B1050" s="1" t="s">
        <v>30</v>
      </c>
      <c r="C1050" s="1">
        <v>1</v>
      </c>
      <c r="D1050" s="1">
        <v>0</v>
      </c>
      <c r="E1050" s="1" t="str">
        <f t="shared" si="32"/>
        <v>(F1.0)</v>
      </c>
      <c r="F1050" s="1" t="str">
        <f t="shared" si="33"/>
        <v>alter type vt_8 (F1.0).</v>
      </c>
    </row>
    <row r="1051" spans="1:6" x14ac:dyDescent="0.25">
      <c r="A1051" s="1" t="s">
        <v>2380</v>
      </c>
      <c r="B1051" s="1" t="s">
        <v>30</v>
      </c>
      <c r="C1051" s="1">
        <v>4</v>
      </c>
      <c r="D1051" s="1">
        <v>0</v>
      </c>
      <c r="E1051" s="1" t="str">
        <f t="shared" si="32"/>
        <v>(F4.0)</v>
      </c>
      <c r="F1051" s="1" t="str">
        <f t="shared" si="33"/>
        <v>alter type vr_8 (F4.0).</v>
      </c>
    </row>
    <row r="1052" spans="1:6" x14ac:dyDescent="0.25">
      <c r="A1052" s="1" t="s">
        <v>2381</v>
      </c>
      <c r="B1052" s="1" t="s">
        <v>27</v>
      </c>
      <c r="C1052" s="1">
        <v>300</v>
      </c>
      <c r="D1052" s="1">
        <v>0</v>
      </c>
      <c r="E1052" s="1" t="str">
        <f t="shared" si="32"/>
        <v>(A300)</v>
      </c>
      <c r="F1052" s="1" t="str">
        <f t="shared" si="33"/>
        <v>alter type result303_o_8 (A300).</v>
      </c>
    </row>
    <row r="1053" spans="1:6" x14ac:dyDescent="0.25">
      <c r="A1053" s="1" t="s">
        <v>2382</v>
      </c>
      <c r="B1053" s="1" t="s">
        <v>27</v>
      </c>
      <c r="C1053" s="1">
        <v>300</v>
      </c>
      <c r="D1053" s="1">
        <v>0</v>
      </c>
      <c r="E1053" s="1" t="str">
        <f t="shared" si="32"/>
        <v>(A300)</v>
      </c>
      <c r="F1053" s="1" t="str">
        <f t="shared" si="33"/>
        <v>alter type result3061_o_8 (A300).</v>
      </c>
    </row>
    <row r="1054" spans="1:6" x14ac:dyDescent="0.25">
      <c r="A1054" s="1" t="s">
        <v>2383</v>
      </c>
      <c r="B1054" s="1" t="s">
        <v>27</v>
      </c>
      <c r="C1054" s="1">
        <v>300</v>
      </c>
      <c r="D1054" s="1">
        <v>0</v>
      </c>
      <c r="E1054" s="1" t="str">
        <f t="shared" si="32"/>
        <v>(A300)</v>
      </c>
      <c r="F1054" s="1" t="str">
        <f t="shared" si="33"/>
        <v>alter type result3062_o_8 (A300).</v>
      </c>
    </row>
    <row r="1055" spans="1:6" x14ac:dyDescent="0.25">
      <c r="A1055" s="1" t="s">
        <v>2384</v>
      </c>
      <c r="B1055" s="1" t="s">
        <v>27</v>
      </c>
      <c r="C1055" s="1">
        <v>300</v>
      </c>
      <c r="D1055" s="1">
        <v>0</v>
      </c>
      <c r="E1055" s="1" t="str">
        <f t="shared" si="32"/>
        <v>(A300)</v>
      </c>
      <c r="F1055" s="1" t="str">
        <f t="shared" si="33"/>
        <v>alter type result404_o_8 (A300).</v>
      </c>
    </row>
    <row r="1056" spans="1:6" x14ac:dyDescent="0.25">
      <c r="A1056" s="1" t="s">
        <v>2385</v>
      </c>
      <c r="B1056" s="1" t="s">
        <v>27</v>
      </c>
      <c r="C1056" s="1">
        <v>300</v>
      </c>
      <c r="D1056" s="1">
        <v>0</v>
      </c>
      <c r="E1056" s="1" t="str">
        <f t="shared" si="32"/>
        <v>(A300)</v>
      </c>
      <c r="F1056" s="1" t="str">
        <f t="shared" si="33"/>
        <v>alter type result504_o_8 (A300).</v>
      </c>
    </row>
    <row r="1057" spans="1:6" x14ac:dyDescent="0.25">
      <c r="A1057" s="1" t="s">
        <v>2386</v>
      </c>
      <c r="B1057" s="1" t="s">
        <v>27</v>
      </c>
      <c r="C1057" s="1">
        <v>300</v>
      </c>
      <c r="D1057" s="1">
        <v>0</v>
      </c>
      <c r="E1057" s="1" t="str">
        <f t="shared" si="32"/>
        <v>(A300)</v>
      </c>
      <c r="F1057" s="1" t="str">
        <f t="shared" si="33"/>
        <v>alter type result608_o_8 (A300).</v>
      </c>
    </row>
    <row r="1058" spans="1:6" x14ac:dyDescent="0.25">
      <c r="A1058" s="1" t="s">
        <v>2387</v>
      </c>
      <c r="B1058" s="1" t="s">
        <v>27</v>
      </c>
      <c r="C1058" s="1">
        <v>300</v>
      </c>
      <c r="D1058" s="1">
        <v>0</v>
      </c>
      <c r="E1058" s="1" t="str">
        <f t="shared" si="32"/>
        <v>(A300)</v>
      </c>
      <c r="F1058" s="1" t="str">
        <f t="shared" si="33"/>
        <v>alter type result311_o_8 (A300).</v>
      </c>
    </row>
    <row r="1059" spans="1:6" x14ac:dyDescent="0.25">
      <c r="A1059" s="1" t="s">
        <v>2388</v>
      </c>
      <c r="B1059" s="1" t="s">
        <v>27</v>
      </c>
      <c r="C1059" s="1">
        <v>300</v>
      </c>
      <c r="D1059" s="1">
        <v>0</v>
      </c>
      <c r="E1059" s="1" t="str">
        <f t="shared" si="32"/>
        <v>(A300)</v>
      </c>
      <c r="F1059" s="1" t="str">
        <f t="shared" si="33"/>
        <v>alter type result607_o_8 (A300).</v>
      </c>
    </row>
    <row r="1060" spans="1:6" x14ac:dyDescent="0.25">
      <c r="A1060" s="1" t="s">
        <v>2389</v>
      </c>
      <c r="B1060" s="1" t="s">
        <v>27</v>
      </c>
      <c r="C1060" s="1">
        <v>300</v>
      </c>
      <c r="D1060" s="1">
        <v>0</v>
      </c>
      <c r="E1060" s="1" t="str">
        <f t="shared" si="32"/>
        <v>(A300)</v>
      </c>
      <c r="F1060" s="1" t="str">
        <f t="shared" si="33"/>
        <v>alter type result999_o_8 (A300).</v>
      </c>
    </row>
    <row r="1061" spans="1:6" x14ac:dyDescent="0.25">
      <c r="A1061" s="1" t="s">
        <v>2390</v>
      </c>
      <c r="B1061" s="1" t="s">
        <v>30</v>
      </c>
      <c r="C1061" s="1">
        <v>2</v>
      </c>
      <c r="D1061" s="1">
        <v>0</v>
      </c>
      <c r="E1061" s="1" t="str">
        <f t="shared" si="32"/>
        <v>(F2.0)</v>
      </c>
      <c r="F1061" s="1" t="str">
        <f t="shared" si="33"/>
        <v>alter type at1_8 (F2.0).</v>
      </c>
    </row>
    <row r="1062" spans="1:6" x14ac:dyDescent="0.25">
      <c r="A1062" s="1" t="s">
        <v>2391</v>
      </c>
      <c r="B1062" s="1" t="s">
        <v>27</v>
      </c>
      <c r="C1062" s="1">
        <v>300</v>
      </c>
      <c r="D1062" s="1">
        <v>0</v>
      </c>
      <c r="E1062" s="1" t="str">
        <f t="shared" si="32"/>
        <v>(A300)</v>
      </c>
      <c r="F1062" s="1" t="str">
        <f t="shared" si="33"/>
        <v>alter type at1_o04_8 (A300).</v>
      </c>
    </row>
    <row r="1063" spans="1:6" x14ac:dyDescent="0.25">
      <c r="A1063" s="1" t="s">
        <v>2392</v>
      </c>
      <c r="B1063" s="1" t="s">
        <v>30</v>
      </c>
      <c r="C1063" s="1">
        <v>8</v>
      </c>
      <c r="D1063" s="1">
        <v>0</v>
      </c>
      <c r="E1063" s="1" t="str">
        <f t="shared" si="32"/>
        <v>(F8.0)</v>
      </c>
      <c r="F1063" s="1" t="str">
        <f t="shared" si="33"/>
        <v>alter type vdate_9 (F8.0).</v>
      </c>
    </row>
    <row r="1064" spans="1:6" x14ac:dyDescent="0.25">
      <c r="A1064" s="1" t="s">
        <v>2393</v>
      </c>
      <c r="B1064" s="1" t="s">
        <v>30</v>
      </c>
      <c r="C1064" s="1">
        <v>1</v>
      </c>
      <c r="D1064" s="1">
        <v>0</v>
      </c>
      <c r="E1064" s="1" t="str">
        <f t="shared" si="32"/>
        <v>(F1.0)</v>
      </c>
      <c r="F1064" s="1" t="str">
        <f t="shared" si="33"/>
        <v>alter type vt_9 (F1.0).</v>
      </c>
    </row>
    <row r="1065" spans="1:6" x14ac:dyDescent="0.25">
      <c r="A1065" s="1" t="s">
        <v>2394</v>
      </c>
      <c r="B1065" s="1" t="s">
        <v>30</v>
      </c>
      <c r="C1065" s="1">
        <v>4</v>
      </c>
      <c r="D1065" s="1">
        <v>0</v>
      </c>
      <c r="E1065" s="1" t="str">
        <f t="shared" si="32"/>
        <v>(F4.0)</v>
      </c>
      <c r="F1065" s="1" t="str">
        <f t="shared" si="33"/>
        <v>alter type vr_9 (F4.0).</v>
      </c>
    </row>
    <row r="1066" spans="1:6" x14ac:dyDescent="0.25">
      <c r="A1066" s="1" t="s">
        <v>2395</v>
      </c>
      <c r="B1066" s="1" t="s">
        <v>27</v>
      </c>
      <c r="C1066" s="1">
        <v>300</v>
      </c>
      <c r="D1066" s="1">
        <v>0</v>
      </c>
      <c r="E1066" s="1" t="str">
        <f t="shared" si="32"/>
        <v>(A300)</v>
      </c>
      <c r="F1066" s="1" t="str">
        <f t="shared" si="33"/>
        <v>alter type result303_o_9 (A300).</v>
      </c>
    </row>
    <row r="1067" spans="1:6" x14ac:dyDescent="0.25">
      <c r="A1067" s="1" t="s">
        <v>2396</v>
      </c>
      <c r="B1067" s="1" t="s">
        <v>27</v>
      </c>
      <c r="C1067" s="1">
        <v>300</v>
      </c>
      <c r="D1067" s="1">
        <v>0</v>
      </c>
      <c r="E1067" s="1" t="str">
        <f t="shared" si="32"/>
        <v>(A300)</v>
      </c>
      <c r="F1067" s="1" t="str">
        <f t="shared" si="33"/>
        <v>alter type result3061_o_9 (A300).</v>
      </c>
    </row>
    <row r="1068" spans="1:6" x14ac:dyDescent="0.25">
      <c r="A1068" s="1" t="s">
        <v>2397</v>
      </c>
      <c r="B1068" s="1" t="s">
        <v>27</v>
      </c>
      <c r="C1068" s="1">
        <v>300</v>
      </c>
      <c r="D1068" s="1">
        <v>0</v>
      </c>
      <c r="E1068" s="1" t="str">
        <f t="shared" si="32"/>
        <v>(A300)</v>
      </c>
      <c r="F1068" s="1" t="str">
        <f t="shared" si="33"/>
        <v>alter type result3062_o_9 (A300).</v>
      </c>
    </row>
    <row r="1069" spans="1:6" x14ac:dyDescent="0.25">
      <c r="A1069" s="1" t="s">
        <v>2398</v>
      </c>
      <c r="B1069" s="1" t="s">
        <v>27</v>
      </c>
      <c r="C1069" s="1">
        <v>300</v>
      </c>
      <c r="D1069" s="1">
        <v>0</v>
      </c>
      <c r="E1069" s="1" t="str">
        <f t="shared" si="32"/>
        <v>(A300)</v>
      </c>
      <c r="F1069" s="1" t="str">
        <f t="shared" si="33"/>
        <v>alter type result404_o_9 (A300).</v>
      </c>
    </row>
    <row r="1070" spans="1:6" x14ac:dyDescent="0.25">
      <c r="A1070" s="1" t="s">
        <v>2399</v>
      </c>
      <c r="B1070" s="1" t="s">
        <v>27</v>
      </c>
      <c r="C1070" s="1">
        <v>300</v>
      </c>
      <c r="D1070" s="1">
        <v>0</v>
      </c>
      <c r="E1070" s="1" t="str">
        <f t="shared" si="32"/>
        <v>(A300)</v>
      </c>
      <c r="F1070" s="1" t="str">
        <f t="shared" si="33"/>
        <v>alter type result504_o_9 (A300).</v>
      </c>
    </row>
    <row r="1071" spans="1:6" x14ac:dyDescent="0.25">
      <c r="A1071" s="1" t="s">
        <v>2400</v>
      </c>
      <c r="B1071" s="1" t="s">
        <v>27</v>
      </c>
      <c r="C1071" s="1">
        <v>300</v>
      </c>
      <c r="D1071" s="1">
        <v>0</v>
      </c>
      <c r="E1071" s="1" t="str">
        <f t="shared" si="32"/>
        <v>(A300)</v>
      </c>
      <c r="F1071" s="1" t="str">
        <f t="shared" si="33"/>
        <v>alter type result608_o_9 (A300).</v>
      </c>
    </row>
    <row r="1072" spans="1:6" x14ac:dyDescent="0.25">
      <c r="A1072" s="1" t="s">
        <v>2401</v>
      </c>
      <c r="B1072" s="1" t="s">
        <v>27</v>
      </c>
      <c r="C1072" s="1">
        <v>300</v>
      </c>
      <c r="D1072" s="1">
        <v>0</v>
      </c>
      <c r="E1072" s="1" t="str">
        <f t="shared" si="32"/>
        <v>(A300)</v>
      </c>
      <c r="F1072" s="1" t="str">
        <f t="shared" si="33"/>
        <v>alter type result311_o_9 (A300).</v>
      </c>
    </row>
    <row r="1073" spans="1:6" x14ac:dyDescent="0.25">
      <c r="A1073" s="1" t="s">
        <v>2402</v>
      </c>
      <c r="B1073" s="1" t="s">
        <v>27</v>
      </c>
      <c r="C1073" s="1">
        <v>300</v>
      </c>
      <c r="D1073" s="1">
        <v>0</v>
      </c>
      <c r="E1073" s="1" t="str">
        <f t="shared" ref="E1073:E1136" si="34">IF(B1073="數值","(F"&amp;C1073&amp;"."&amp;D1073&amp;")","(A"&amp;C1073&amp;")")</f>
        <v>(A300)</v>
      </c>
      <c r="F1073" s="1" t="str">
        <f t="shared" ref="F1073:F1136" si="35">"alter type "&amp;A1073&amp;" "&amp;E1073&amp;"."</f>
        <v>alter type result607_o_9 (A300).</v>
      </c>
    </row>
    <row r="1074" spans="1:6" x14ac:dyDescent="0.25">
      <c r="A1074" s="1" t="s">
        <v>2403</v>
      </c>
      <c r="B1074" s="1" t="s">
        <v>27</v>
      </c>
      <c r="C1074" s="1">
        <v>300</v>
      </c>
      <c r="D1074" s="1">
        <v>0</v>
      </c>
      <c r="E1074" s="1" t="str">
        <f t="shared" si="34"/>
        <v>(A300)</v>
      </c>
      <c r="F1074" s="1" t="str">
        <f t="shared" si="35"/>
        <v>alter type result999_o_9 (A300).</v>
      </c>
    </row>
    <row r="1075" spans="1:6" x14ac:dyDescent="0.25">
      <c r="A1075" s="1" t="s">
        <v>2404</v>
      </c>
      <c r="B1075" s="1" t="s">
        <v>30</v>
      </c>
      <c r="C1075" s="1">
        <v>2</v>
      </c>
      <c r="D1075" s="1">
        <v>0</v>
      </c>
      <c r="E1075" s="1" t="str">
        <f t="shared" si="34"/>
        <v>(F2.0)</v>
      </c>
      <c r="F1075" s="1" t="str">
        <f t="shared" si="35"/>
        <v>alter type at1_9 (F2.0).</v>
      </c>
    </row>
    <row r="1076" spans="1:6" x14ac:dyDescent="0.25">
      <c r="A1076" s="1" t="s">
        <v>2405</v>
      </c>
      <c r="B1076" s="1" t="s">
        <v>27</v>
      </c>
      <c r="C1076" s="1">
        <v>300</v>
      </c>
      <c r="D1076" s="1">
        <v>0</v>
      </c>
      <c r="E1076" s="1" t="str">
        <f t="shared" si="34"/>
        <v>(A300)</v>
      </c>
      <c r="F1076" s="1" t="str">
        <f t="shared" si="35"/>
        <v>alter type at1_o04_9 (A300).</v>
      </c>
    </row>
    <row r="1077" spans="1:6" x14ac:dyDescent="0.25">
      <c r="A1077" s="1" t="s">
        <v>2406</v>
      </c>
      <c r="B1077" s="1" t="s">
        <v>30</v>
      </c>
      <c r="C1077" s="1">
        <v>8</v>
      </c>
      <c r="D1077" s="1">
        <v>0</v>
      </c>
      <c r="E1077" s="1" t="str">
        <f t="shared" si="34"/>
        <v>(F8.0)</v>
      </c>
      <c r="F1077" s="1" t="str">
        <f t="shared" si="35"/>
        <v>alter type vdate_10 (F8.0).</v>
      </c>
    </row>
    <row r="1078" spans="1:6" x14ac:dyDescent="0.25">
      <c r="A1078" s="1" t="s">
        <v>2407</v>
      </c>
      <c r="B1078" s="1" t="s">
        <v>30</v>
      </c>
      <c r="C1078" s="1">
        <v>1</v>
      </c>
      <c r="D1078" s="1">
        <v>0</v>
      </c>
      <c r="E1078" s="1" t="str">
        <f t="shared" si="34"/>
        <v>(F1.0)</v>
      </c>
      <c r="F1078" s="1" t="str">
        <f t="shared" si="35"/>
        <v>alter type vt_10 (F1.0).</v>
      </c>
    </row>
    <row r="1079" spans="1:6" x14ac:dyDescent="0.25">
      <c r="A1079" s="1" t="s">
        <v>2408</v>
      </c>
      <c r="B1079" s="1" t="s">
        <v>30</v>
      </c>
      <c r="C1079" s="1">
        <v>4</v>
      </c>
      <c r="D1079" s="1">
        <v>0</v>
      </c>
      <c r="E1079" s="1" t="str">
        <f t="shared" si="34"/>
        <v>(F4.0)</v>
      </c>
      <c r="F1079" s="1" t="str">
        <f t="shared" si="35"/>
        <v>alter type vr_10 (F4.0).</v>
      </c>
    </row>
    <row r="1080" spans="1:6" x14ac:dyDescent="0.25">
      <c r="A1080" s="1" t="s">
        <v>2409</v>
      </c>
      <c r="B1080" s="1" t="s">
        <v>27</v>
      </c>
      <c r="C1080" s="1">
        <v>300</v>
      </c>
      <c r="D1080" s="1">
        <v>0</v>
      </c>
      <c r="E1080" s="1" t="str">
        <f t="shared" si="34"/>
        <v>(A300)</v>
      </c>
      <c r="F1080" s="1" t="str">
        <f t="shared" si="35"/>
        <v>alter type result303_o_10 (A300).</v>
      </c>
    </row>
    <row r="1081" spans="1:6" x14ac:dyDescent="0.25">
      <c r="A1081" s="1" t="s">
        <v>2410</v>
      </c>
      <c r="B1081" s="1" t="s">
        <v>27</v>
      </c>
      <c r="C1081" s="1">
        <v>300</v>
      </c>
      <c r="D1081" s="1">
        <v>0</v>
      </c>
      <c r="E1081" s="1" t="str">
        <f t="shared" si="34"/>
        <v>(A300)</v>
      </c>
      <c r="F1081" s="1" t="str">
        <f t="shared" si="35"/>
        <v>alter type result3061_o_10 (A300).</v>
      </c>
    </row>
    <row r="1082" spans="1:6" x14ac:dyDescent="0.25">
      <c r="A1082" s="1" t="s">
        <v>2411</v>
      </c>
      <c r="B1082" s="1" t="s">
        <v>27</v>
      </c>
      <c r="C1082" s="1">
        <v>300</v>
      </c>
      <c r="D1082" s="1">
        <v>0</v>
      </c>
      <c r="E1082" s="1" t="str">
        <f t="shared" si="34"/>
        <v>(A300)</v>
      </c>
      <c r="F1082" s="1" t="str">
        <f t="shared" si="35"/>
        <v>alter type result3062_o_10 (A300).</v>
      </c>
    </row>
    <row r="1083" spans="1:6" x14ac:dyDescent="0.25">
      <c r="A1083" s="1" t="s">
        <v>2412</v>
      </c>
      <c r="B1083" s="1" t="s">
        <v>27</v>
      </c>
      <c r="C1083" s="1">
        <v>300</v>
      </c>
      <c r="D1083" s="1">
        <v>0</v>
      </c>
      <c r="E1083" s="1" t="str">
        <f t="shared" si="34"/>
        <v>(A300)</v>
      </c>
      <c r="F1083" s="1" t="str">
        <f t="shared" si="35"/>
        <v>alter type result404_o_10 (A300).</v>
      </c>
    </row>
    <row r="1084" spans="1:6" x14ac:dyDescent="0.25">
      <c r="A1084" s="1" t="s">
        <v>2413</v>
      </c>
      <c r="B1084" s="1" t="s">
        <v>27</v>
      </c>
      <c r="C1084" s="1">
        <v>300</v>
      </c>
      <c r="D1084" s="1">
        <v>0</v>
      </c>
      <c r="E1084" s="1" t="str">
        <f t="shared" si="34"/>
        <v>(A300)</v>
      </c>
      <c r="F1084" s="1" t="str">
        <f t="shared" si="35"/>
        <v>alter type result504_o_10 (A300).</v>
      </c>
    </row>
    <row r="1085" spans="1:6" x14ac:dyDescent="0.25">
      <c r="A1085" s="1" t="s">
        <v>2414</v>
      </c>
      <c r="B1085" s="1" t="s">
        <v>27</v>
      </c>
      <c r="C1085" s="1">
        <v>300</v>
      </c>
      <c r="D1085" s="1">
        <v>0</v>
      </c>
      <c r="E1085" s="1" t="str">
        <f t="shared" si="34"/>
        <v>(A300)</v>
      </c>
      <c r="F1085" s="1" t="str">
        <f t="shared" si="35"/>
        <v>alter type result608_o_10 (A300).</v>
      </c>
    </row>
    <row r="1086" spans="1:6" x14ac:dyDescent="0.25">
      <c r="A1086" s="1" t="s">
        <v>2415</v>
      </c>
      <c r="B1086" s="1" t="s">
        <v>27</v>
      </c>
      <c r="C1086" s="1">
        <v>300</v>
      </c>
      <c r="D1086" s="1">
        <v>0</v>
      </c>
      <c r="E1086" s="1" t="str">
        <f t="shared" si="34"/>
        <v>(A300)</v>
      </c>
      <c r="F1086" s="1" t="str">
        <f t="shared" si="35"/>
        <v>alter type result311_o_10 (A300).</v>
      </c>
    </row>
    <row r="1087" spans="1:6" x14ac:dyDescent="0.25">
      <c r="A1087" s="1" t="s">
        <v>2416</v>
      </c>
      <c r="B1087" s="1" t="s">
        <v>27</v>
      </c>
      <c r="C1087" s="1">
        <v>300</v>
      </c>
      <c r="D1087" s="1">
        <v>0</v>
      </c>
      <c r="E1087" s="1" t="str">
        <f t="shared" si="34"/>
        <v>(A300)</v>
      </c>
      <c r="F1087" s="1" t="str">
        <f t="shared" si="35"/>
        <v>alter type result607_o_10 (A300).</v>
      </c>
    </row>
    <row r="1088" spans="1:6" x14ac:dyDescent="0.25">
      <c r="A1088" s="1" t="s">
        <v>2417</v>
      </c>
      <c r="B1088" s="1" t="s">
        <v>27</v>
      </c>
      <c r="C1088" s="1">
        <v>300</v>
      </c>
      <c r="D1088" s="1">
        <v>0</v>
      </c>
      <c r="E1088" s="1" t="str">
        <f t="shared" si="34"/>
        <v>(A300)</v>
      </c>
      <c r="F1088" s="1" t="str">
        <f t="shared" si="35"/>
        <v>alter type result999_o_10 (A300).</v>
      </c>
    </row>
    <row r="1089" spans="1:6" x14ac:dyDescent="0.25">
      <c r="A1089" s="1" t="s">
        <v>2418</v>
      </c>
      <c r="B1089" s="1" t="s">
        <v>30</v>
      </c>
      <c r="C1089" s="1">
        <v>2</v>
      </c>
      <c r="D1089" s="1">
        <v>0</v>
      </c>
      <c r="E1089" s="1" t="str">
        <f t="shared" si="34"/>
        <v>(F2.0)</v>
      </c>
      <c r="F1089" s="1" t="str">
        <f t="shared" si="35"/>
        <v>alter type at1_10 (F2.0).</v>
      </c>
    </row>
    <row r="1090" spans="1:6" x14ac:dyDescent="0.25">
      <c r="A1090" s="1" t="s">
        <v>2419</v>
      </c>
      <c r="B1090" s="1" t="s">
        <v>27</v>
      </c>
      <c r="C1090" s="1">
        <v>300</v>
      </c>
      <c r="D1090" s="1">
        <v>0</v>
      </c>
      <c r="E1090" s="1" t="str">
        <f t="shared" si="34"/>
        <v>(A300)</v>
      </c>
      <c r="F1090" s="1" t="str">
        <f t="shared" si="35"/>
        <v>alter type at1_o04_10 (A300).</v>
      </c>
    </row>
    <row r="1091" spans="1:6" x14ac:dyDescent="0.25">
      <c r="A1091" s="1" t="s">
        <v>2420</v>
      </c>
      <c r="B1091" s="1" t="s">
        <v>30</v>
      </c>
      <c r="C1091" s="1">
        <v>8</v>
      </c>
      <c r="D1091" s="1">
        <v>0</v>
      </c>
      <c r="E1091" s="1" t="str">
        <f t="shared" si="34"/>
        <v>(F8.0)</v>
      </c>
      <c r="F1091" s="1" t="str">
        <f t="shared" si="35"/>
        <v>alter type vdate_11 (F8.0).</v>
      </c>
    </row>
    <row r="1092" spans="1:6" x14ac:dyDescent="0.25">
      <c r="A1092" s="1" t="s">
        <v>2421</v>
      </c>
      <c r="B1092" s="1" t="s">
        <v>30</v>
      </c>
      <c r="C1092" s="1">
        <v>1</v>
      </c>
      <c r="D1092" s="1">
        <v>0</v>
      </c>
      <c r="E1092" s="1" t="str">
        <f t="shared" si="34"/>
        <v>(F1.0)</v>
      </c>
      <c r="F1092" s="1" t="str">
        <f t="shared" si="35"/>
        <v>alter type vt_11 (F1.0).</v>
      </c>
    </row>
    <row r="1093" spans="1:6" x14ac:dyDescent="0.25">
      <c r="A1093" s="1" t="s">
        <v>2422</v>
      </c>
      <c r="B1093" s="1" t="s">
        <v>30</v>
      </c>
      <c r="C1093" s="1">
        <v>4</v>
      </c>
      <c r="D1093" s="1">
        <v>0</v>
      </c>
      <c r="E1093" s="1" t="str">
        <f t="shared" si="34"/>
        <v>(F4.0)</v>
      </c>
      <c r="F1093" s="1" t="str">
        <f t="shared" si="35"/>
        <v>alter type vr_11 (F4.0).</v>
      </c>
    </row>
    <row r="1094" spans="1:6" x14ac:dyDescent="0.25">
      <c r="A1094" s="1" t="s">
        <v>2423</v>
      </c>
      <c r="B1094" s="1" t="s">
        <v>27</v>
      </c>
      <c r="C1094" s="1">
        <v>300</v>
      </c>
      <c r="D1094" s="1">
        <v>0</v>
      </c>
      <c r="E1094" s="1" t="str">
        <f t="shared" si="34"/>
        <v>(A300)</v>
      </c>
      <c r="F1094" s="1" t="str">
        <f t="shared" si="35"/>
        <v>alter type result303_o_11 (A300).</v>
      </c>
    </row>
    <row r="1095" spans="1:6" x14ac:dyDescent="0.25">
      <c r="A1095" s="1" t="s">
        <v>2424</v>
      </c>
      <c r="B1095" s="1" t="s">
        <v>27</v>
      </c>
      <c r="C1095" s="1">
        <v>300</v>
      </c>
      <c r="D1095" s="1">
        <v>0</v>
      </c>
      <c r="E1095" s="1" t="str">
        <f t="shared" si="34"/>
        <v>(A300)</v>
      </c>
      <c r="F1095" s="1" t="str">
        <f t="shared" si="35"/>
        <v>alter type result3061_o_11 (A300).</v>
      </c>
    </row>
    <row r="1096" spans="1:6" x14ac:dyDescent="0.25">
      <c r="A1096" s="1" t="s">
        <v>2425</v>
      </c>
      <c r="B1096" s="1" t="s">
        <v>27</v>
      </c>
      <c r="C1096" s="1">
        <v>300</v>
      </c>
      <c r="D1096" s="1">
        <v>0</v>
      </c>
      <c r="E1096" s="1" t="str">
        <f t="shared" si="34"/>
        <v>(A300)</v>
      </c>
      <c r="F1096" s="1" t="str">
        <f t="shared" si="35"/>
        <v>alter type result3062_o_11 (A300).</v>
      </c>
    </row>
    <row r="1097" spans="1:6" x14ac:dyDescent="0.25">
      <c r="A1097" s="1" t="s">
        <v>2426</v>
      </c>
      <c r="B1097" s="1" t="s">
        <v>27</v>
      </c>
      <c r="C1097" s="1">
        <v>300</v>
      </c>
      <c r="D1097" s="1">
        <v>0</v>
      </c>
      <c r="E1097" s="1" t="str">
        <f t="shared" si="34"/>
        <v>(A300)</v>
      </c>
      <c r="F1097" s="1" t="str">
        <f t="shared" si="35"/>
        <v>alter type result404_o_11 (A300).</v>
      </c>
    </row>
    <row r="1098" spans="1:6" x14ac:dyDescent="0.25">
      <c r="A1098" s="1" t="s">
        <v>2427</v>
      </c>
      <c r="B1098" s="1" t="s">
        <v>27</v>
      </c>
      <c r="C1098" s="1">
        <v>300</v>
      </c>
      <c r="D1098" s="1">
        <v>0</v>
      </c>
      <c r="E1098" s="1" t="str">
        <f t="shared" si="34"/>
        <v>(A300)</v>
      </c>
      <c r="F1098" s="1" t="str">
        <f t="shared" si="35"/>
        <v>alter type result504_o_11 (A300).</v>
      </c>
    </row>
    <row r="1099" spans="1:6" x14ac:dyDescent="0.25">
      <c r="A1099" s="1" t="s">
        <v>2428</v>
      </c>
      <c r="B1099" s="1" t="s">
        <v>27</v>
      </c>
      <c r="C1099" s="1">
        <v>300</v>
      </c>
      <c r="D1099" s="1">
        <v>0</v>
      </c>
      <c r="E1099" s="1" t="str">
        <f t="shared" si="34"/>
        <v>(A300)</v>
      </c>
      <c r="F1099" s="1" t="str">
        <f t="shared" si="35"/>
        <v>alter type result608_o_11 (A300).</v>
      </c>
    </row>
    <row r="1100" spans="1:6" x14ac:dyDescent="0.25">
      <c r="A1100" s="1" t="s">
        <v>2429</v>
      </c>
      <c r="B1100" s="1" t="s">
        <v>27</v>
      </c>
      <c r="C1100" s="1">
        <v>300</v>
      </c>
      <c r="D1100" s="1">
        <v>0</v>
      </c>
      <c r="E1100" s="1" t="str">
        <f t="shared" si="34"/>
        <v>(A300)</v>
      </c>
      <c r="F1100" s="1" t="str">
        <f t="shared" si="35"/>
        <v>alter type result311_o_11 (A300).</v>
      </c>
    </row>
    <row r="1101" spans="1:6" x14ac:dyDescent="0.25">
      <c r="A1101" s="1" t="s">
        <v>2430</v>
      </c>
      <c r="B1101" s="1" t="s">
        <v>27</v>
      </c>
      <c r="C1101" s="1">
        <v>300</v>
      </c>
      <c r="D1101" s="1">
        <v>0</v>
      </c>
      <c r="E1101" s="1" t="str">
        <f t="shared" si="34"/>
        <v>(A300)</v>
      </c>
      <c r="F1101" s="1" t="str">
        <f t="shared" si="35"/>
        <v>alter type result607_o_11 (A300).</v>
      </c>
    </row>
    <row r="1102" spans="1:6" x14ac:dyDescent="0.25">
      <c r="A1102" s="1" t="s">
        <v>2431</v>
      </c>
      <c r="B1102" s="1" t="s">
        <v>27</v>
      </c>
      <c r="C1102" s="1">
        <v>300</v>
      </c>
      <c r="D1102" s="1">
        <v>0</v>
      </c>
      <c r="E1102" s="1" t="str">
        <f t="shared" si="34"/>
        <v>(A300)</v>
      </c>
      <c r="F1102" s="1" t="str">
        <f t="shared" si="35"/>
        <v>alter type result999_o_11 (A300).</v>
      </c>
    </row>
    <row r="1103" spans="1:6" x14ac:dyDescent="0.25">
      <c r="A1103" s="1" t="s">
        <v>2432</v>
      </c>
      <c r="B1103" s="1" t="s">
        <v>30</v>
      </c>
      <c r="C1103" s="1">
        <v>2</v>
      </c>
      <c r="D1103" s="1">
        <v>0</v>
      </c>
      <c r="E1103" s="1" t="str">
        <f t="shared" si="34"/>
        <v>(F2.0)</v>
      </c>
      <c r="F1103" s="1" t="str">
        <f t="shared" si="35"/>
        <v>alter type at1_11 (F2.0).</v>
      </c>
    </row>
    <row r="1104" spans="1:6" x14ac:dyDescent="0.25">
      <c r="A1104" s="1" t="s">
        <v>2433</v>
      </c>
      <c r="B1104" s="1" t="s">
        <v>27</v>
      </c>
      <c r="C1104" s="1">
        <v>300</v>
      </c>
      <c r="D1104" s="1">
        <v>0</v>
      </c>
      <c r="E1104" s="1" t="str">
        <f t="shared" si="34"/>
        <v>(A300)</v>
      </c>
      <c r="F1104" s="1" t="str">
        <f t="shared" si="35"/>
        <v>alter type at1_o04_11 (A300).</v>
      </c>
    </row>
    <row r="1105" spans="1:6" x14ac:dyDescent="0.25">
      <c r="A1105" s="1" t="s">
        <v>2434</v>
      </c>
      <c r="B1105" s="1" t="s">
        <v>30</v>
      </c>
      <c r="C1105" s="1">
        <v>8</v>
      </c>
      <c r="D1105" s="1">
        <v>0</v>
      </c>
      <c r="E1105" s="1" t="str">
        <f t="shared" si="34"/>
        <v>(F8.0)</v>
      </c>
      <c r="F1105" s="1" t="str">
        <f t="shared" si="35"/>
        <v>alter type vdate_12 (F8.0).</v>
      </c>
    </row>
    <row r="1106" spans="1:6" x14ac:dyDescent="0.25">
      <c r="A1106" s="1" t="s">
        <v>2435</v>
      </c>
      <c r="B1106" s="1" t="s">
        <v>30</v>
      </c>
      <c r="C1106" s="1">
        <v>1</v>
      </c>
      <c r="D1106" s="1">
        <v>0</v>
      </c>
      <c r="E1106" s="1" t="str">
        <f t="shared" si="34"/>
        <v>(F1.0)</v>
      </c>
      <c r="F1106" s="1" t="str">
        <f t="shared" si="35"/>
        <v>alter type vt_12 (F1.0).</v>
      </c>
    </row>
    <row r="1107" spans="1:6" x14ac:dyDescent="0.25">
      <c r="A1107" s="1" t="s">
        <v>2436</v>
      </c>
      <c r="B1107" s="1" t="s">
        <v>30</v>
      </c>
      <c r="C1107" s="1">
        <v>4</v>
      </c>
      <c r="D1107" s="1">
        <v>0</v>
      </c>
      <c r="E1107" s="1" t="str">
        <f t="shared" si="34"/>
        <v>(F4.0)</v>
      </c>
      <c r="F1107" s="1" t="str">
        <f t="shared" si="35"/>
        <v>alter type vr_12 (F4.0).</v>
      </c>
    </row>
    <row r="1108" spans="1:6" x14ac:dyDescent="0.25">
      <c r="A1108" s="1" t="s">
        <v>2437</v>
      </c>
      <c r="B1108" s="1" t="s">
        <v>27</v>
      </c>
      <c r="C1108" s="1">
        <v>300</v>
      </c>
      <c r="D1108" s="1">
        <v>0</v>
      </c>
      <c r="E1108" s="1" t="str">
        <f t="shared" si="34"/>
        <v>(A300)</v>
      </c>
      <c r="F1108" s="1" t="str">
        <f t="shared" si="35"/>
        <v>alter type result303_o_12 (A300).</v>
      </c>
    </row>
    <row r="1109" spans="1:6" x14ac:dyDescent="0.25">
      <c r="A1109" s="1" t="s">
        <v>2438</v>
      </c>
      <c r="B1109" s="1" t="s">
        <v>27</v>
      </c>
      <c r="C1109" s="1">
        <v>300</v>
      </c>
      <c r="D1109" s="1">
        <v>0</v>
      </c>
      <c r="E1109" s="1" t="str">
        <f t="shared" si="34"/>
        <v>(A300)</v>
      </c>
      <c r="F1109" s="1" t="str">
        <f t="shared" si="35"/>
        <v>alter type result3061_o_12 (A300).</v>
      </c>
    </row>
    <row r="1110" spans="1:6" x14ac:dyDescent="0.25">
      <c r="A1110" s="1" t="s">
        <v>2439</v>
      </c>
      <c r="B1110" s="1" t="s">
        <v>27</v>
      </c>
      <c r="C1110" s="1">
        <v>300</v>
      </c>
      <c r="D1110" s="1">
        <v>0</v>
      </c>
      <c r="E1110" s="1" t="str">
        <f t="shared" si="34"/>
        <v>(A300)</v>
      </c>
      <c r="F1110" s="1" t="str">
        <f t="shared" si="35"/>
        <v>alter type result3062_o_12 (A300).</v>
      </c>
    </row>
    <row r="1111" spans="1:6" x14ac:dyDescent="0.25">
      <c r="A1111" s="1" t="s">
        <v>2440</v>
      </c>
      <c r="B1111" s="1" t="s">
        <v>27</v>
      </c>
      <c r="C1111" s="1">
        <v>300</v>
      </c>
      <c r="D1111" s="1">
        <v>0</v>
      </c>
      <c r="E1111" s="1" t="str">
        <f t="shared" si="34"/>
        <v>(A300)</v>
      </c>
      <c r="F1111" s="1" t="str">
        <f t="shared" si="35"/>
        <v>alter type result404_o_12 (A300).</v>
      </c>
    </row>
    <row r="1112" spans="1:6" x14ac:dyDescent="0.25">
      <c r="A1112" s="1" t="s">
        <v>2441</v>
      </c>
      <c r="B1112" s="1" t="s">
        <v>27</v>
      </c>
      <c r="C1112" s="1">
        <v>300</v>
      </c>
      <c r="D1112" s="1">
        <v>0</v>
      </c>
      <c r="E1112" s="1" t="str">
        <f t="shared" si="34"/>
        <v>(A300)</v>
      </c>
      <c r="F1112" s="1" t="str">
        <f t="shared" si="35"/>
        <v>alter type result504_o_12 (A300).</v>
      </c>
    </row>
    <row r="1113" spans="1:6" x14ac:dyDescent="0.25">
      <c r="A1113" s="1" t="s">
        <v>2442</v>
      </c>
      <c r="B1113" s="1" t="s">
        <v>27</v>
      </c>
      <c r="C1113" s="1">
        <v>300</v>
      </c>
      <c r="D1113" s="1">
        <v>0</v>
      </c>
      <c r="E1113" s="1" t="str">
        <f t="shared" si="34"/>
        <v>(A300)</v>
      </c>
      <c r="F1113" s="1" t="str">
        <f t="shared" si="35"/>
        <v>alter type result608_o_12 (A300).</v>
      </c>
    </row>
    <row r="1114" spans="1:6" x14ac:dyDescent="0.25">
      <c r="A1114" s="1" t="s">
        <v>2443</v>
      </c>
      <c r="B1114" s="1" t="s">
        <v>27</v>
      </c>
      <c r="C1114" s="1">
        <v>300</v>
      </c>
      <c r="D1114" s="1">
        <v>0</v>
      </c>
      <c r="E1114" s="1" t="str">
        <f t="shared" si="34"/>
        <v>(A300)</v>
      </c>
      <c r="F1114" s="1" t="str">
        <f t="shared" si="35"/>
        <v>alter type result311_o_12 (A300).</v>
      </c>
    </row>
    <row r="1115" spans="1:6" x14ac:dyDescent="0.25">
      <c r="A1115" s="1" t="s">
        <v>2444</v>
      </c>
      <c r="B1115" s="1" t="s">
        <v>27</v>
      </c>
      <c r="C1115" s="1">
        <v>300</v>
      </c>
      <c r="D1115" s="1">
        <v>0</v>
      </c>
      <c r="E1115" s="1" t="str">
        <f t="shared" si="34"/>
        <v>(A300)</v>
      </c>
      <c r="F1115" s="1" t="str">
        <f t="shared" si="35"/>
        <v>alter type result607_o_12 (A300).</v>
      </c>
    </row>
    <row r="1116" spans="1:6" x14ac:dyDescent="0.25">
      <c r="A1116" s="1" t="s">
        <v>2445</v>
      </c>
      <c r="B1116" s="1" t="s">
        <v>27</v>
      </c>
      <c r="C1116" s="1">
        <v>300</v>
      </c>
      <c r="D1116" s="1">
        <v>0</v>
      </c>
      <c r="E1116" s="1" t="str">
        <f t="shared" si="34"/>
        <v>(A300)</v>
      </c>
      <c r="F1116" s="1" t="str">
        <f t="shared" si="35"/>
        <v>alter type result999_o_12 (A300).</v>
      </c>
    </row>
    <row r="1117" spans="1:6" x14ac:dyDescent="0.25">
      <c r="A1117" s="1" t="s">
        <v>2446</v>
      </c>
      <c r="B1117" s="1" t="s">
        <v>30</v>
      </c>
      <c r="C1117" s="1">
        <v>2</v>
      </c>
      <c r="D1117" s="1">
        <v>0</v>
      </c>
      <c r="E1117" s="1" t="str">
        <f t="shared" si="34"/>
        <v>(F2.0)</v>
      </c>
      <c r="F1117" s="1" t="str">
        <f t="shared" si="35"/>
        <v>alter type at1_12 (F2.0).</v>
      </c>
    </row>
    <row r="1118" spans="1:6" x14ac:dyDescent="0.25">
      <c r="A1118" s="1" t="s">
        <v>2447</v>
      </c>
      <c r="B1118" s="1" t="s">
        <v>27</v>
      </c>
      <c r="C1118" s="1">
        <v>300</v>
      </c>
      <c r="D1118" s="1">
        <v>0</v>
      </c>
      <c r="E1118" s="1" t="str">
        <f t="shared" si="34"/>
        <v>(A300)</v>
      </c>
      <c r="F1118" s="1" t="str">
        <f t="shared" si="35"/>
        <v>alter type at1_o04_12 (A300).</v>
      </c>
    </row>
    <row r="1119" spans="1:6" x14ac:dyDescent="0.25">
      <c r="A1119" s="1" t="s">
        <v>2448</v>
      </c>
      <c r="B1119" s="1" t="s">
        <v>30</v>
      </c>
      <c r="C1119" s="1">
        <v>8</v>
      </c>
      <c r="D1119" s="1">
        <v>0</v>
      </c>
      <c r="E1119" s="1" t="str">
        <f t="shared" si="34"/>
        <v>(F8.0)</v>
      </c>
      <c r="F1119" s="1" t="str">
        <f t="shared" si="35"/>
        <v>alter type vdate_13 (F8.0).</v>
      </c>
    </row>
    <row r="1120" spans="1:6" x14ac:dyDescent="0.25">
      <c r="A1120" s="1" t="s">
        <v>2449</v>
      </c>
      <c r="B1120" s="1" t="s">
        <v>30</v>
      </c>
      <c r="C1120" s="1">
        <v>1</v>
      </c>
      <c r="D1120" s="1">
        <v>0</v>
      </c>
      <c r="E1120" s="1" t="str">
        <f t="shared" si="34"/>
        <v>(F1.0)</v>
      </c>
      <c r="F1120" s="1" t="str">
        <f t="shared" si="35"/>
        <v>alter type vt_13 (F1.0).</v>
      </c>
    </row>
    <row r="1121" spans="1:6" x14ac:dyDescent="0.25">
      <c r="A1121" s="1" t="s">
        <v>2450</v>
      </c>
      <c r="B1121" s="1" t="s">
        <v>30</v>
      </c>
      <c r="C1121" s="1">
        <v>4</v>
      </c>
      <c r="D1121" s="1">
        <v>0</v>
      </c>
      <c r="E1121" s="1" t="str">
        <f t="shared" si="34"/>
        <v>(F4.0)</v>
      </c>
      <c r="F1121" s="1" t="str">
        <f t="shared" si="35"/>
        <v>alter type vr_13 (F4.0).</v>
      </c>
    </row>
    <row r="1122" spans="1:6" x14ac:dyDescent="0.25">
      <c r="A1122" s="1" t="s">
        <v>2451</v>
      </c>
      <c r="B1122" s="1" t="s">
        <v>27</v>
      </c>
      <c r="C1122" s="1">
        <v>300</v>
      </c>
      <c r="D1122" s="1">
        <v>0</v>
      </c>
      <c r="E1122" s="1" t="str">
        <f t="shared" si="34"/>
        <v>(A300)</v>
      </c>
      <c r="F1122" s="1" t="str">
        <f t="shared" si="35"/>
        <v>alter type result303_o_13 (A300).</v>
      </c>
    </row>
    <row r="1123" spans="1:6" x14ac:dyDescent="0.25">
      <c r="A1123" s="1" t="s">
        <v>2452</v>
      </c>
      <c r="B1123" s="1" t="s">
        <v>27</v>
      </c>
      <c r="C1123" s="1">
        <v>300</v>
      </c>
      <c r="D1123" s="1">
        <v>0</v>
      </c>
      <c r="E1123" s="1" t="str">
        <f t="shared" si="34"/>
        <v>(A300)</v>
      </c>
      <c r="F1123" s="1" t="str">
        <f t="shared" si="35"/>
        <v>alter type result3061_o_13 (A300).</v>
      </c>
    </row>
    <row r="1124" spans="1:6" x14ac:dyDescent="0.25">
      <c r="A1124" s="1" t="s">
        <v>2453</v>
      </c>
      <c r="B1124" s="1" t="s">
        <v>27</v>
      </c>
      <c r="C1124" s="1">
        <v>300</v>
      </c>
      <c r="D1124" s="1">
        <v>0</v>
      </c>
      <c r="E1124" s="1" t="str">
        <f t="shared" si="34"/>
        <v>(A300)</v>
      </c>
      <c r="F1124" s="1" t="str">
        <f t="shared" si="35"/>
        <v>alter type result3062_o_13 (A300).</v>
      </c>
    </row>
    <row r="1125" spans="1:6" x14ac:dyDescent="0.25">
      <c r="A1125" s="1" t="s">
        <v>2454</v>
      </c>
      <c r="B1125" s="1" t="s">
        <v>27</v>
      </c>
      <c r="C1125" s="1">
        <v>300</v>
      </c>
      <c r="D1125" s="1">
        <v>0</v>
      </c>
      <c r="E1125" s="1" t="str">
        <f t="shared" si="34"/>
        <v>(A300)</v>
      </c>
      <c r="F1125" s="1" t="str">
        <f t="shared" si="35"/>
        <v>alter type result404_o_13 (A300).</v>
      </c>
    </row>
    <row r="1126" spans="1:6" x14ac:dyDescent="0.25">
      <c r="A1126" s="1" t="s">
        <v>2455</v>
      </c>
      <c r="B1126" s="1" t="s">
        <v>27</v>
      </c>
      <c r="C1126" s="1">
        <v>300</v>
      </c>
      <c r="D1126" s="1">
        <v>0</v>
      </c>
      <c r="E1126" s="1" t="str">
        <f t="shared" si="34"/>
        <v>(A300)</v>
      </c>
      <c r="F1126" s="1" t="str">
        <f t="shared" si="35"/>
        <v>alter type result504_o_13 (A300).</v>
      </c>
    </row>
    <row r="1127" spans="1:6" x14ac:dyDescent="0.25">
      <c r="A1127" s="1" t="s">
        <v>2456</v>
      </c>
      <c r="B1127" s="1" t="s">
        <v>27</v>
      </c>
      <c r="C1127" s="1">
        <v>300</v>
      </c>
      <c r="D1127" s="1">
        <v>0</v>
      </c>
      <c r="E1127" s="1" t="str">
        <f t="shared" si="34"/>
        <v>(A300)</v>
      </c>
      <c r="F1127" s="1" t="str">
        <f t="shared" si="35"/>
        <v>alter type result608_o_13 (A300).</v>
      </c>
    </row>
    <row r="1128" spans="1:6" x14ac:dyDescent="0.25">
      <c r="A1128" s="1" t="s">
        <v>2457</v>
      </c>
      <c r="B1128" s="1" t="s">
        <v>27</v>
      </c>
      <c r="C1128" s="1">
        <v>300</v>
      </c>
      <c r="D1128" s="1">
        <v>0</v>
      </c>
      <c r="E1128" s="1" t="str">
        <f t="shared" si="34"/>
        <v>(A300)</v>
      </c>
      <c r="F1128" s="1" t="str">
        <f t="shared" si="35"/>
        <v>alter type result311_o_13 (A300).</v>
      </c>
    </row>
    <row r="1129" spans="1:6" x14ac:dyDescent="0.25">
      <c r="A1129" s="1" t="s">
        <v>2458</v>
      </c>
      <c r="B1129" s="1" t="s">
        <v>27</v>
      </c>
      <c r="C1129" s="1">
        <v>300</v>
      </c>
      <c r="D1129" s="1">
        <v>0</v>
      </c>
      <c r="E1129" s="1" t="str">
        <f t="shared" si="34"/>
        <v>(A300)</v>
      </c>
      <c r="F1129" s="1" t="str">
        <f t="shared" si="35"/>
        <v>alter type result607_o_13 (A300).</v>
      </c>
    </row>
    <row r="1130" spans="1:6" x14ac:dyDescent="0.25">
      <c r="A1130" s="1" t="s">
        <v>2459</v>
      </c>
      <c r="B1130" s="1" t="s">
        <v>27</v>
      </c>
      <c r="C1130" s="1">
        <v>300</v>
      </c>
      <c r="D1130" s="1">
        <v>0</v>
      </c>
      <c r="E1130" s="1" t="str">
        <f t="shared" si="34"/>
        <v>(A300)</v>
      </c>
      <c r="F1130" s="1" t="str">
        <f t="shared" si="35"/>
        <v>alter type result999_o_13 (A300).</v>
      </c>
    </row>
    <row r="1131" spans="1:6" x14ac:dyDescent="0.25">
      <c r="A1131" s="1" t="s">
        <v>2460</v>
      </c>
      <c r="B1131" s="1" t="s">
        <v>30</v>
      </c>
      <c r="C1131" s="1">
        <v>2</v>
      </c>
      <c r="D1131" s="1">
        <v>0</v>
      </c>
      <c r="E1131" s="1" t="str">
        <f t="shared" si="34"/>
        <v>(F2.0)</v>
      </c>
      <c r="F1131" s="1" t="str">
        <f t="shared" si="35"/>
        <v>alter type at1_13 (F2.0).</v>
      </c>
    </row>
    <row r="1132" spans="1:6" x14ac:dyDescent="0.25">
      <c r="A1132" s="1" t="s">
        <v>2461</v>
      </c>
      <c r="B1132" s="1" t="s">
        <v>27</v>
      </c>
      <c r="C1132" s="1">
        <v>300</v>
      </c>
      <c r="D1132" s="1">
        <v>0</v>
      </c>
      <c r="E1132" s="1" t="str">
        <f t="shared" si="34"/>
        <v>(A300)</v>
      </c>
      <c r="F1132" s="1" t="str">
        <f t="shared" si="35"/>
        <v>alter type at1_o04_13 (A300).</v>
      </c>
    </row>
    <row r="1133" spans="1:6" x14ac:dyDescent="0.25">
      <c r="A1133" s="1" t="s">
        <v>2462</v>
      </c>
      <c r="B1133" s="1" t="s">
        <v>30</v>
      </c>
      <c r="C1133" s="1">
        <v>8</v>
      </c>
      <c r="D1133" s="1">
        <v>0</v>
      </c>
      <c r="E1133" s="1" t="str">
        <f t="shared" si="34"/>
        <v>(F8.0)</v>
      </c>
      <c r="F1133" s="1" t="str">
        <f t="shared" si="35"/>
        <v>alter type vdate_14 (F8.0).</v>
      </c>
    </row>
    <row r="1134" spans="1:6" x14ac:dyDescent="0.25">
      <c r="A1134" s="1" t="s">
        <v>2463</v>
      </c>
      <c r="B1134" s="1" t="s">
        <v>30</v>
      </c>
      <c r="C1134" s="1">
        <v>1</v>
      </c>
      <c r="D1134" s="1">
        <v>0</v>
      </c>
      <c r="E1134" s="1" t="str">
        <f t="shared" si="34"/>
        <v>(F1.0)</v>
      </c>
      <c r="F1134" s="1" t="str">
        <f t="shared" si="35"/>
        <v>alter type vt_14 (F1.0).</v>
      </c>
    </row>
    <row r="1135" spans="1:6" x14ac:dyDescent="0.25">
      <c r="A1135" s="1" t="s">
        <v>2464</v>
      </c>
      <c r="B1135" s="1" t="s">
        <v>30</v>
      </c>
      <c r="C1135" s="1">
        <v>4</v>
      </c>
      <c r="D1135" s="1">
        <v>0</v>
      </c>
      <c r="E1135" s="1" t="str">
        <f t="shared" si="34"/>
        <v>(F4.0)</v>
      </c>
      <c r="F1135" s="1" t="str">
        <f t="shared" si="35"/>
        <v>alter type vr_14 (F4.0).</v>
      </c>
    </row>
    <row r="1136" spans="1:6" x14ac:dyDescent="0.25">
      <c r="A1136" s="1" t="s">
        <v>2465</v>
      </c>
      <c r="B1136" s="1" t="s">
        <v>27</v>
      </c>
      <c r="C1136" s="1">
        <v>300</v>
      </c>
      <c r="D1136" s="1">
        <v>0</v>
      </c>
      <c r="E1136" s="1" t="str">
        <f t="shared" si="34"/>
        <v>(A300)</v>
      </c>
      <c r="F1136" s="1" t="str">
        <f t="shared" si="35"/>
        <v>alter type result303_o_14 (A300).</v>
      </c>
    </row>
    <row r="1137" spans="1:6" x14ac:dyDescent="0.25">
      <c r="A1137" s="1" t="s">
        <v>2466</v>
      </c>
      <c r="B1137" s="1" t="s">
        <v>27</v>
      </c>
      <c r="C1137" s="1">
        <v>300</v>
      </c>
      <c r="D1137" s="1">
        <v>0</v>
      </c>
      <c r="E1137" s="1" t="str">
        <f t="shared" ref="E1137:E1200" si="36">IF(B1137="數值","(F"&amp;C1137&amp;"."&amp;D1137&amp;")","(A"&amp;C1137&amp;")")</f>
        <v>(A300)</v>
      </c>
      <c r="F1137" s="1" t="str">
        <f t="shared" ref="F1137:F1200" si="37">"alter type "&amp;A1137&amp;" "&amp;E1137&amp;"."</f>
        <v>alter type result3061_o_14 (A300).</v>
      </c>
    </row>
    <row r="1138" spans="1:6" x14ac:dyDescent="0.25">
      <c r="A1138" s="1" t="s">
        <v>2467</v>
      </c>
      <c r="B1138" s="1" t="s">
        <v>27</v>
      </c>
      <c r="C1138" s="1">
        <v>300</v>
      </c>
      <c r="D1138" s="1">
        <v>0</v>
      </c>
      <c r="E1138" s="1" t="str">
        <f t="shared" si="36"/>
        <v>(A300)</v>
      </c>
      <c r="F1138" s="1" t="str">
        <f t="shared" si="37"/>
        <v>alter type result3062_o_14 (A300).</v>
      </c>
    </row>
    <row r="1139" spans="1:6" x14ac:dyDescent="0.25">
      <c r="A1139" s="1" t="s">
        <v>2468</v>
      </c>
      <c r="B1139" s="1" t="s">
        <v>27</v>
      </c>
      <c r="C1139" s="1">
        <v>300</v>
      </c>
      <c r="D1139" s="1">
        <v>0</v>
      </c>
      <c r="E1139" s="1" t="str">
        <f t="shared" si="36"/>
        <v>(A300)</v>
      </c>
      <c r="F1139" s="1" t="str">
        <f t="shared" si="37"/>
        <v>alter type result404_o_14 (A300).</v>
      </c>
    </row>
    <row r="1140" spans="1:6" x14ac:dyDescent="0.25">
      <c r="A1140" s="1" t="s">
        <v>2469</v>
      </c>
      <c r="B1140" s="1" t="s">
        <v>27</v>
      </c>
      <c r="C1140" s="1">
        <v>300</v>
      </c>
      <c r="D1140" s="1">
        <v>0</v>
      </c>
      <c r="E1140" s="1" t="str">
        <f t="shared" si="36"/>
        <v>(A300)</v>
      </c>
      <c r="F1140" s="1" t="str">
        <f t="shared" si="37"/>
        <v>alter type result504_o_14 (A300).</v>
      </c>
    </row>
    <row r="1141" spans="1:6" x14ac:dyDescent="0.25">
      <c r="A1141" s="1" t="s">
        <v>2470</v>
      </c>
      <c r="B1141" s="1" t="s">
        <v>27</v>
      </c>
      <c r="C1141" s="1">
        <v>300</v>
      </c>
      <c r="D1141" s="1">
        <v>0</v>
      </c>
      <c r="E1141" s="1" t="str">
        <f t="shared" si="36"/>
        <v>(A300)</v>
      </c>
      <c r="F1141" s="1" t="str">
        <f t="shared" si="37"/>
        <v>alter type result608_o_14 (A300).</v>
      </c>
    </row>
    <row r="1142" spans="1:6" x14ac:dyDescent="0.25">
      <c r="A1142" s="1" t="s">
        <v>2471</v>
      </c>
      <c r="B1142" s="1" t="s">
        <v>27</v>
      </c>
      <c r="C1142" s="1">
        <v>300</v>
      </c>
      <c r="D1142" s="1">
        <v>0</v>
      </c>
      <c r="E1142" s="1" t="str">
        <f t="shared" si="36"/>
        <v>(A300)</v>
      </c>
      <c r="F1142" s="1" t="str">
        <f t="shared" si="37"/>
        <v>alter type result311_o_14 (A300).</v>
      </c>
    </row>
    <row r="1143" spans="1:6" x14ac:dyDescent="0.25">
      <c r="A1143" s="1" t="s">
        <v>2472</v>
      </c>
      <c r="B1143" s="1" t="s">
        <v>27</v>
      </c>
      <c r="C1143" s="1">
        <v>300</v>
      </c>
      <c r="D1143" s="1">
        <v>0</v>
      </c>
      <c r="E1143" s="1" t="str">
        <f t="shared" si="36"/>
        <v>(A300)</v>
      </c>
      <c r="F1143" s="1" t="str">
        <f t="shared" si="37"/>
        <v>alter type result607_o_14 (A300).</v>
      </c>
    </row>
    <row r="1144" spans="1:6" x14ac:dyDescent="0.25">
      <c r="A1144" s="1" t="s">
        <v>2473</v>
      </c>
      <c r="B1144" s="1" t="s">
        <v>27</v>
      </c>
      <c r="C1144" s="1">
        <v>300</v>
      </c>
      <c r="D1144" s="1">
        <v>0</v>
      </c>
      <c r="E1144" s="1" t="str">
        <f t="shared" si="36"/>
        <v>(A300)</v>
      </c>
      <c r="F1144" s="1" t="str">
        <f t="shared" si="37"/>
        <v>alter type result999_o_14 (A300).</v>
      </c>
    </row>
    <row r="1145" spans="1:6" x14ac:dyDescent="0.25">
      <c r="A1145" s="1" t="s">
        <v>2474</v>
      </c>
      <c r="B1145" s="1" t="s">
        <v>30</v>
      </c>
      <c r="C1145" s="1">
        <v>2</v>
      </c>
      <c r="D1145" s="1">
        <v>0</v>
      </c>
      <c r="E1145" s="1" t="str">
        <f t="shared" si="36"/>
        <v>(F2.0)</v>
      </c>
      <c r="F1145" s="1" t="str">
        <f t="shared" si="37"/>
        <v>alter type at1_14 (F2.0).</v>
      </c>
    </row>
    <row r="1146" spans="1:6" x14ac:dyDescent="0.25">
      <c r="A1146" s="1" t="s">
        <v>2475</v>
      </c>
      <c r="B1146" s="1" t="s">
        <v>27</v>
      </c>
      <c r="C1146" s="1">
        <v>300</v>
      </c>
      <c r="D1146" s="1">
        <v>0</v>
      </c>
      <c r="E1146" s="1" t="str">
        <f t="shared" si="36"/>
        <v>(A300)</v>
      </c>
      <c r="F1146" s="1" t="str">
        <f t="shared" si="37"/>
        <v>alter type at1_o04_14 (A300).</v>
      </c>
    </row>
    <row r="1147" spans="1:6" x14ac:dyDescent="0.25">
      <c r="A1147" s="1" t="s">
        <v>2476</v>
      </c>
      <c r="B1147" s="1" t="s">
        <v>30</v>
      </c>
      <c r="C1147" s="1">
        <v>8</v>
      </c>
      <c r="D1147" s="1">
        <v>0</v>
      </c>
      <c r="E1147" s="1" t="str">
        <f t="shared" si="36"/>
        <v>(F8.0)</v>
      </c>
      <c r="F1147" s="1" t="str">
        <f t="shared" si="37"/>
        <v>alter type vdate_15 (F8.0).</v>
      </c>
    </row>
    <row r="1148" spans="1:6" x14ac:dyDescent="0.25">
      <c r="A1148" s="1" t="s">
        <v>2477</v>
      </c>
      <c r="B1148" s="1" t="s">
        <v>30</v>
      </c>
      <c r="C1148" s="1">
        <v>1</v>
      </c>
      <c r="D1148" s="1">
        <v>0</v>
      </c>
      <c r="E1148" s="1" t="str">
        <f t="shared" si="36"/>
        <v>(F1.0)</v>
      </c>
      <c r="F1148" s="1" t="str">
        <f t="shared" si="37"/>
        <v>alter type vt_15 (F1.0).</v>
      </c>
    </row>
    <row r="1149" spans="1:6" x14ac:dyDescent="0.25">
      <c r="A1149" s="1" t="s">
        <v>2478</v>
      </c>
      <c r="B1149" s="1" t="s">
        <v>30</v>
      </c>
      <c r="C1149" s="1">
        <v>4</v>
      </c>
      <c r="D1149" s="1">
        <v>0</v>
      </c>
      <c r="E1149" s="1" t="str">
        <f t="shared" si="36"/>
        <v>(F4.0)</v>
      </c>
      <c r="F1149" s="1" t="str">
        <f t="shared" si="37"/>
        <v>alter type vr_15 (F4.0).</v>
      </c>
    </row>
    <row r="1150" spans="1:6" x14ac:dyDescent="0.25">
      <c r="A1150" s="1" t="s">
        <v>2479</v>
      </c>
      <c r="B1150" s="1" t="s">
        <v>27</v>
      </c>
      <c r="C1150" s="1">
        <v>300</v>
      </c>
      <c r="D1150" s="1">
        <v>0</v>
      </c>
      <c r="E1150" s="1" t="str">
        <f t="shared" si="36"/>
        <v>(A300)</v>
      </c>
      <c r="F1150" s="1" t="str">
        <f t="shared" si="37"/>
        <v>alter type result303_o_15 (A300).</v>
      </c>
    </row>
    <row r="1151" spans="1:6" x14ac:dyDescent="0.25">
      <c r="A1151" s="1" t="s">
        <v>2480</v>
      </c>
      <c r="B1151" s="1" t="s">
        <v>27</v>
      </c>
      <c r="C1151" s="1">
        <v>300</v>
      </c>
      <c r="D1151" s="1">
        <v>0</v>
      </c>
      <c r="E1151" s="1" t="str">
        <f t="shared" si="36"/>
        <v>(A300)</v>
      </c>
      <c r="F1151" s="1" t="str">
        <f t="shared" si="37"/>
        <v>alter type result3061_o_15 (A300).</v>
      </c>
    </row>
    <row r="1152" spans="1:6" x14ac:dyDescent="0.25">
      <c r="A1152" s="1" t="s">
        <v>2481</v>
      </c>
      <c r="B1152" s="1" t="s">
        <v>27</v>
      </c>
      <c r="C1152" s="1">
        <v>300</v>
      </c>
      <c r="D1152" s="1">
        <v>0</v>
      </c>
      <c r="E1152" s="1" t="str">
        <f t="shared" si="36"/>
        <v>(A300)</v>
      </c>
      <c r="F1152" s="1" t="str">
        <f t="shared" si="37"/>
        <v>alter type result3062_o_15 (A300).</v>
      </c>
    </row>
    <row r="1153" spans="1:6" x14ac:dyDescent="0.25">
      <c r="A1153" s="1" t="s">
        <v>2482</v>
      </c>
      <c r="B1153" s="1" t="s">
        <v>27</v>
      </c>
      <c r="C1153" s="1">
        <v>300</v>
      </c>
      <c r="D1153" s="1">
        <v>0</v>
      </c>
      <c r="E1153" s="1" t="str">
        <f t="shared" si="36"/>
        <v>(A300)</v>
      </c>
      <c r="F1153" s="1" t="str">
        <f t="shared" si="37"/>
        <v>alter type result404_o_15 (A300).</v>
      </c>
    </row>
    <row r="1154" spans="1:6" x14ac:dyDescent="0.25">
      <c r="A1154" s="1" t="s">
        <v>2483</v>
      </c>
      <c r="B1154" s="1" t="s">
        <v>27</v>
      </c>
      <c r="C1154" s="1">
        <v>300</v>
      </c>
      <c r="D1154" s="1">
        <v>0</v>
      </c>
      <c r="E1154" s="1" t="str">
        <f t="shared" si="36"/>
        <v>(A300)</v>
      </c>
      <c r="F1154" s="1" t="str">
        <f t="shared" si="37"/>
        <v>alter type result504_o_15 (A300).</v>
      </c>
    </row>
    <row r="1155" spans="1:6" x14ac:dyDescent="0.25">
      <c r="A1155" s="1" t="s">
        <v>2484</v>
      </c>
      <c r="B1155" s="1" t="s">
        <v>27</v>
      </c>
      <c r="C1155" s="1">
        <v>300</v>
      </c>
      <c r="D1155" s="1">
        <v>0</v>
      </c>
      <c r="E1155" s="1" t="str">
        <f t="shared" si="36"/>
        <v>(A300)</v>
      </c>
      <c r="F1155" s="1" t="str">
        <f t="shared" si="37"/>
        <v>alter type result608_o_15 (A300).</v>
      </c>
    </row>
    <row r="1156" spans="1:6" x14ac:dyDescent="0.25">
      <c r="A1156" s="1" t="s">
        <v>2485</v>
      </c>
      <c r="B1156" s="1" t="s">
        <v>27</v>
      </c>
      <c r="C1156" s="1">
        <v>300</v>
      </c>
      <c r="D1156" s="1">
        <v>0</v>
      </c>
      <c r="E1156" s="1" t="str">
        <f t="shared" si="36"/>
        <v>(A300)</v>
      </c>
      <c r="F1156" s="1" t="str">
        <f t="shared" si="37"/>
        <v>alter type result311_o_15 (A300).</v>
      </c>
    </row>
    <row r="1157" spans="1:6" x14ac:dyDescent="0.25">
      <c r="A1157" s="1" t="s">
        <v>2486</v>
      </c>
      <c r="B1157" s="1" t="s">
        <v>27</v>
      </c>
      <c r="C1157" s="1">
        <v>300</v>
      </c>
      <c r="D1157" s="1">
        <v>0</v>
      </c>
      <c r="E1157" s="1" t="str">
        <f t="shared" si="36"/>
        <v>(A300)</v>
      </c>
      <c r="F1157" s="1" t="str">
        <f t="shared" si="37"/>
        <v>alter type result607_o_15 (A300).</v>
      </c>
    </row>
    <row r="1158" spans="1:6" x14ac:dyDescent="0.25">
      <c r="A1158" s="1" t="s">
        <v>2487</v>
      </c>
      <c r="B1158" s="1" t="s">
        <v>27</v>
      </c>
      <c r="C1158" s="1">
        <v>300</v>
      </c>
      <c r="D1158" s="1">
        <v>0</v>
      </c>
      <c r="E1158" s="1" t="str">
        <f t="shared" si="36"/>
        <v>(A300)</v>
      </c>
      <c r="F1158" s="1" t="str">
        <f t="shared" si="37"/>
        <v>alter type result999_o_15 (A300).</v>
      </c>
    </row>
    <row r="1159" spans="1:6" x14ac:dyDescent="0.25">
      <c r="A1159" s="1" t="s">
        <v>2488</v>
      </c>
      <c r="B1159" s="1" t="s">
        <v>30</v>
      </c>
      <c r="C1159" s="1">
        <v>2</v>
      </c>
      <c r="D1159" s="1">
        <v>0</v>
      </c>
      <c r="E1159" s="1" t="str">
        <f t="shared" si="36"/>
        <v>(F2.0)</v>
      </c>
      <c r="F1159" s="1" t="str">
        <f t="shared" si="37"/>
        <v>alter type at1_15 (F2.0).</v>
      </c>
    </row>
    <row r="1160" spans="1:6" x14ac:dyDescent="0.25">
      <c r="A1160" s="1" t="s">
        <v>2489</v>
      </c>
      <c r="B1160" s="1" t="s">
        <v>27</v>
      </c>
      <c r="C1160" s="1">
        <v>300</v>
      </c>
      <c r="D1160" s="1">
        <v>0</v>
      </c>
      <c r="E1160" s="1" t="str">
        <f t="shared" si="36"/>
        <v>(A300)</v>
      </c>
      <c r="F1160" s="1" t="str">
        <f t="shared" si="37"/>
        <v>alter type at1_o04_15 (A300).</v>
      </c>
    </row>
    <row r="1161" spans="1:6" x14ac:dyDescent="0.25">
      <c r="A1161" s="1" t="s">
        <v>2490</v>
      </c>
      <c r="B1161" s="1" t="s">
        <v>30</v>
      </c>
      <c r="C1161" s="1">
        <v>8</v>
      </c>
      <c r="D1161" s="1">
        <v>0</v>
      </c>
      <c r="E1161" s="1" t="str">
        <f t="shared" si="36"/>
        <v>(F8.0)</v>
      </c>
      <c r="F1161" s="1" t="str">
        <f t="shared" si="37"/>
        <v>alter type vdate_16 (F8.0).</v>
      </c>
    </row>
    <row r="1162" spans="1:6" x14ac:dyDescent="0.25">
      <c r="A1162" s="1" t="s">
        <v>2491</v>
      </c>
      <c r="B1162" s="1" t="s">
        <v>30</v>
      </c>
      <c r="C1162" s="1">
        <v>1</v>
      </c>
      <c r="D1162" s="1">
        <v>0</v>
      </c>
      <c r="E1162" s="1" t="str">
        <f t="shared" si="36"/>
        <v>(F1.0)</v>
      </c>
      <c r="F1162" s="1" t="str">
        <f t="shared" si="37"/>
        <v>alter type vt_16 (F1.0).</v>
      </c>
    </row>
    <row r="1163" spans="1:6" x14ac:dyDescent="0.25">
      <c r="A1163" s="1" t="s">
        <v>2492</v>
      </c>
      <c r="B1163" s="1" t="s">
        <v>30</v>
      </c>
      <c r="C1163" s="1">
        <v>4</v>
      </c>
      <c r="D1163" s="1">
        <v>0</v>
      </c>
      <c r="E1163" s="1" t="str">
        <f t="shared" si="36"/>
        <v>(F4.0)</v>
      </c>
      <c r="F1163" s="1" t="str">
        <f t="shared" si="37"/>
        <v>alter type vr_16 (F4.0).</v>
      </c>
    </row>
    <row r="1164" spans="1:6" x14ac:dyDescent="0.25">
      <c r="A1164" s="1" t="s">
        <v>2493</v>
      </c>
      <c r="B1164" s="1" t="s">
        <v>27</v>
      </c>
      <c r="C1164" s="1">
        <v>300</v>
      </c>
      <c r="D1164" s="1">
        <v>0</v>
      </c>
      <c r="E1164" s="1" t="str">
        <f t="shared" si="36"/>
        <v>(A300)</v>
      </c>
      <c r="F1164" s="1" t="str">
        <f t="shared" si="37"/>
        <v>alter type result303_o_16 (A300).</v>
      </c>
    </row>
    <row r="1165" spans="1:6" x14ac:dyDescent="0.25">
      <c r="A1165" s="1" t="s">
        <v>2494</v>
      </c>
      <c r="B1165" s="1" t="s">
        <v>27</v>
      </c>
      <c r="C1165" s="1">
        <v>300</v>
      </c>
      <c r="D1165" s="1">
        <v>0</v>
      </c>
      <c r="E1165" s="1" t="str">
        <f t="shared" si="36"/>
        <v>(A300)</v>
      </c>
      <c r="F1165" s="1" t="str">
        <f t="shared" si="37"/>
        <v>alter type result3061_o_16 (A300).</v>
      </c>
    </row>
    <row r="1166" spans="1:6" x14ac:dyDescent="0.25">
      <c r="A1166" s="1" t="s">
        <v>2495</v>
      </c>
      <c r="B1166" s="1" t="s">
        <v>27</v>
      </c>
      <c r="C1166" s="1">
        <v>300</v>
      </c>
      <c r="D1166" s="1">
        <v>0</v>
      </c>
      <c r="E1166" s="1" t="str">
        <f t="shared" si="36"/>
        <v>(A300)</v>
      </c>
      <c r="F1166" s="1" t="str">
        <f t="shared" si="37"/>
        <v>alter type result3062_o_16 (A300).</v>
      </c>
    </row>
    <row r="1167" spans="1:6" x14ac:dyDescent="0.25">
      <c r="A1167" s="1" t="s">
        <v>2496</v>
      </c>
      <c r="B1167" s="1" t="s">
        <v>27</v>
      </c>
      <c r="C1167" s="1">
        <v>300</v>
      </c>
      <c r="D1167" s="1">
        <v>0</v>
      </c>
      <c r="E1167" s="1" t="str">
        <f t="shared" si="36"/>
        <v>(A300)</v>
      </c>
      <c r="F1167" s="1" t="str">
        <f t="shared" si="37"/>
        <v>alter type result404_o_16 (A300).</v>
      </c>
    </row>
    <row r="1168" spans="1:6" x14ac:dyDescent="0.25">
      <c r="A1168" s="1" t="s">
        <v>2497</v>
      </c>
      <c r="B1168" s="1" t="s">
        <v>27</v>
      </c>
      <c r="C1168" s="1">
        <v>300</v>
      </c>
      <c r="D1168" s="1">
        <v>0</v>
      </c>
      <c r="E1168" s="1" t="str">
        <f t="shared" si="36"/>
        <v>(A300)</v>
      </c>
      <c r="F1168" s="1" t="str">
        <f t="shared" si="37"/>
        <v>alter type result504_o_16 (A300).</v>
      </c>
    </row>
    <row r="1169" spans="1:6" x14ac:dyDescent="0.25">
      <c r="A1169" s="1" t="s">
        <v>2498</v>
      </c>
      <c r="B1169" s="1" t="s">
        <v>27</v>
      </c>
      <c r="C1169" s="1">
        <v>300</v>
      </c>
      <c r="D1169" s="1">
        <v>0</v>
      </c>
      <c r="E1169" s="1" t="str">
        <f t="shared" si="36"/>
        <v>(A300)</v>
      </c>
      <c r="F1169" s="1" t="str">
        <f t="shared" si="37"/>
        <v>alter type result608_o_16 (A300).</v>
      </c>
    </row>
    <row r="1170" spans="1:6" x14ac:dyDescent="0.25">
      <c r="A1170" s="1" t="s">
        <v>2499</v>
      </c>
      <c r="B1170" s="1" t="s">
        <v>27</v>
      </c>
      <c r="C1170" s="1">
        <v>300</v>
      </c>
      <c r="D1170" s="1">
        <v>0</v>
      </c>
      <c r="E1170" s="1" t="str">
        <f t="shared" si="36"/>
        <v>(A300)</v>
      </c>
      <c r="F1170" s="1" t="str">
        <f t="shared" si="37"/>
        <v>alter type result311_o_16 (A300).</v>
      </c>
    </row>
    <row r="1171" spans="1:6" x14ac:dyDescent="0.25">
      <c r="A1171" s="1" t="s">
        <v>2500</v>
      </c>
      <c r="B1171" s="1" t="s">
        <v>27</v>
      </c>
      <c r="C1171" s="1">
        <v>300</v>
      </c>
      <c r="D1171" s="1">
        <v>0</v>
      </c>
      <c r="E1171" s="1" t="str">
        <f t="shared" si="36"/>
        <v>(A300)</v>
      </c>
      <c r="F1171" s="1" t="str">
        <f t="shared" si="37"/>
        <v>alter type result607_o_16 (A300).</v>
      </c>
    </row>
    <row r="1172" spans="1:6" x14ac:dyDescent="0.25">
      <c r="A1172" s="1" t="s">
        <v>2501</v>
      </c>
      <c r="B1172" s="1" t="s">
        <v>27</v>
      </c>
      <c r="C1172" s="1">
        <v>300</v>
      </c>
      <c r="D1172" s="1">
        <v>0</v>
      </c>
      <c r="E1172" s="1" t="str">
        <f t="shared" si="36"/>
        <v>(A300)</v>
      </c>
      <c r="F1172" s="1" t="str">
        <f t="shared" si="37"/>
        <v>alter type result999_o_16 (A300).</v>
      </c>
    </row>
    <row r="1173" spans="1:6" x14ac:dyDescent="0.25">
      <c r="A1173" s="1" t="s">
        <v>2502</v>
      </c>
      <c r="B1173" s="1" t="s">
        <v>30</v>
      </c>
      <c r="C1173" s="1">
        <v>2</v>
      </c>
      <c r="D1173" s="1">
        <v>0</v>
      </c>
      <c r="E1173" s="1" t="str">
        <f t="shared" si="36"/>
        <v>(F2.0)</v>
      </c>
      <c r="F1173" s="1" t="str">
        <f t="shared" si="37"/>
        <v>alter type at1_16 (F2.0).</v>
      </c>
    </row>
    <row r="1174" spans="1:6" x14ac:dyDescent="0.25">
      <c r="A1174" s="1" t="s">
        <v>2503</v>
      </c>
      <c r="B1174" s="1" t="s">
        <v>27</v>
      </c>
      <c r="C1174" s="1">
        <v>300</v>
      </c>
      <c r="D1174" s="1">
        <v>0</v>
      </c>
      <c r="E1174" s="1" t="str">
        <f t="shared" si="36"/>
        <v>(A300)</v>
      </c>
      <c r="F1174" s="1" t="str">
        <f t="shared" si="37"/>
        <v>alter type at1_o04_16 (A300).</v>
      </c>
    </row>
    <row r="1175" spans="1:6" x14ac:dyDescent="0.25">
      <c r="A1175" s="1" t="s">
        <v>2504</v>
      </c>
      <c r="B1175" s="1" t="s">
        <v>30</v>
      </c>
      <c r="C1175" s="1">
        <v>8</v>
      </c>
      <c r="D1175" s="1">
        <v>0</v>
      </c>
      <c r="E1175" s="1" t="str">
        <f t="shared" si="36"/>
        <v>(F8.0)</v>
      </c>
      <c r="F1175" s="1" t="str">
        <f t="shared" si="37"/>
        <v>alter type vdate_17 (F8.0).</v>
      </c>
    </row>
    <row r="1176" spans="1:6" x14ac:dyDescent="0.25">
      <c r="A1176" s="1" t="s">
        <v>2505</v>
      </c>
      <c r="B1176" s="1" t="s">
        <v>30</v>
      </c>
      <c r="C1176" s="1">
        <v>1</v>
      </c>
      <c r="D1176" s="1">
        <v>0</v>
      </c>
      <c r="E1176" s="1" t="str">
        <f t="shared" si="36"/>
        <v>(F1.0)</v>
      </c>
      <c r="F1176" s="1" t="str">
        <f t="shared" si="37"/>
        <v>alter type vt_17 (F1.0).</v>
      </c>
    </row>
    <row r="1177" spans="1:6" x14ac:dyDescent="0.25">
      <c r="A1177" s="1" t="s">
        <v>2506</v>
      </c>
      <c r="B1177" s="1" t="s">
        <v>30</v>
      </c>
      <c r="C1177" s="1">
        <v>4</v>
      </c>
      <c r="D1177" s="1">
        <v>0</v>
      </c>
      <c r="E1177" s="1" t="str">
        <f t="shared" si="36"/>
        <v>(F4.0)</v>
      </c>
      <c r="F1177" s="1" t="str">
        <f t="shared" si="37"/>
        <v>alter type vr_17 (F4.0).</v>
      </c>
    </row>
    <row r="1178" spans="1:6" x14ac:dyDescent="0.25">
      <c r="A1178" s="1" t="s">
        <v>2507</v>
      </c>
      <c r="B1178" s="1" t="s">
        <v>27</v>
      </c>
      <c r="C1178" s="1">
        <v>300</v>
      </c>
      <c r="D1178" s="1">
        <v>0</v>
      </c>
      <c r="E1178" s="1" t="str">
        <f t="shared" si="36"/>
        <v>(A300)</v>
      </c>
      <c r="F1178" s="1" t="str">
        <f t="shared" si="37"/>
        <v>alter type result303_o_17 (A300).</v>
      </c>
    </row>
    <row r="1179" spans="1:6" x14ac:dyDescent="0.25">
      <c r="A1179" s="1" t="s">
        <v>2508</v>
      </c>
      <c r="B1179" s="1" t="s">
        <v>27</v>
      </c>
      <c r="C1179" s="1">
        <v>300</v>
      </c>
      <c r="D1179" s="1">
        <v>0</v>
      </c>
      <c r="E1179" s="1" t="str">
        <f t="shared" si="36"/>
        <v>(A300)</v>
      </c>
      <c r="F1179" s="1" t="str">
        <f t="shared" si="37"/>
        <v>alter type result3061_o_17 (A300).</v>
      </c>
    </row>
    <row r="1180" spans="1:6" x14ac:dyDescent="0.25">
      <c r="A1180" s="1" t="s">
        <v>2509</v>
      </c>
      <c r="B1180" s="1" t="s">
        <v>27</v>
      </c>
      <c r="C1180" s="1">
        <v>300</v>
      </c>
      <c r="D1180" s="1">
        <v>0</v>
      </c>
      <c r="E1180" s="1" t="str">
        <f t="shared" si="36"/>
        <v>(A300)</v>
      </c>
      <c r="F1180" s="1" t="str">
        <f t="shared" si="37"/>
        <v>alter type result3062_o_17 (A300).</v>
      </c>
    </row>
    <row r="1181" spans="1:6" x14ac:dyDescent="0.25">
      <c r="A1181" s="1" t="s">
        <v>2510</v>
      </c>
      <c r="B1181" s="1" t="s">
        <v>27</v>
      </c>
      <c r="C1181" s="1">
        <v>300</v>
      </c>
      <c r="D1181" s="1">
        <v>0</v>
      </c>
      <c r="E1181" s="1" t="str">
        <f t="shared" si="36"/>
        <v>(A300)</v>
      </c>
      <c r="F1181" s="1" t="str">
        <f t="shared" si="37"/>
        <v>alter type result404_o_17 (A300).</v>
      </c>
    </row>
    <row r="1182" spans="1:6" x14ac:dyDescent="0.25">
      <c r="A1182" s="1" t="s">
        <v>2511</v>
      </c>
      <c r="B1182" s="1" t="s">
        <v>27</v>
      </c>
      <c r="C1182" s="1">
        <v>300</v>
      </c>
      <c r="D1182" s="1">
        <v>0</v>
      </c>
      <c r="E1182" s="1" t="str">
        <f t="shared" si="36"/>
        <v>(A300)</v>
      </c>
      <c r="F1182" s="1" t="str">
        <f t="shared" si="37"/>
        <v>alter type result504_o_17 (A300).</v>
      </c>
    </row>
    <row r="1183" spans="1:6" x14ac:dyDescent="0.25">
      <c r="A1183" s="1" t="s">
        <v>2512</v>
      </c>
      <c r="B1183" s="1" t="s">
        <v>27</v>
      </c>
      <c r="C1183" s="1">
        <v>300</v>
      </c>
      <c r="D1183" s="1">
        <v>0</v>
      </c>
      <c r="E1183" s="1" t="str">
        <f t="shared" si="36"/>
        <v>(A300)</v>
      </c>
      <c r="F1183" s="1" t="str">
        <f t="shared" si="37"/>
        <v>alter type result608_o_17 (A300).</v>
      </c>
    </row>
    <row r="1184" spans="1:6" x14ac:dyDescent="0.25">
      <c r="A1184" s="1" t="s">
        <v>2513</v>
      </c>
      <c r="B1184" s="1" t="s">
        <v>27</v>
      </c>
      <c r="C1184" s="1">
        <v>300</v>
      </c>
      <c r="D1184" s="1">
        <v>0</v>
      </c>
      <c r="E1184" s="1" t="str">
        <f t="shared" si="36"/>
        <v>(A300)</v>
      </c>
      <c r="F1184" s="1" t="str">
        <f t="shared" si="37"/>
        <v>alter type result311_o_17 (A300).</v>
      </c>
    </row>
    <row r="1185" spans="1:6" x14ac:dyDescent="0.25">
      <c r="A1185" s="1" t="s">
        <v>2514</v>
      </c>
      <c r="B1185" s="1" t="s">
        <v>27</v>
      </c>
      <c r="C1185" s="1">
        <v>300</v>
      </c>
      <c r="D1185" s="1">
        <v>0</v>
      </c>
      <c r="E1185" s="1" t="str">
        <f t="shared" si="36"/>
        <v>(A300)</v>
      </c>
      <c r="F1185" s="1" t="str">
        <f t="shared" si="37"/>
        <v>alter type result607_o_17 (A300).</v>
      </c>
    </row>
    <row r="1186" spans="1:6" x14ac:dyDescent="0.25">
      <c r="A1186" s="1" t="s">
        <v>2515</v>
      </c>
      <c r="B1186" s="1" t="s">
        <v>27</v>
      </c>
      <c r="C1186" s="1">
        <v>300</v>
      </c>
      <c r="D1186" s="1">
        <v>0</v>
      </c>
      <c r="E1186" s="1" t="str">
        <f t="shared" si="36"/>
        <v>(A300)</v>
      </c>
      <c r="F1186" s="1" t="str">
        <f t="shared" si="37"/>
        <v>alter type result999_o_17 (A300).</v>
      </c>
    </row>
    <row r="1187" spans="1:6" x14ac:dyDescent="0.25">
      <c r="A1187" s="1" t="s">
        <v>2516</v>
      </c>
      <c r="B1187" s="1" t="s">
        <v>30</v>
      </c>
      <c r="C1187" s="1">
        <v>2</v>
      </c>
      <c r="D1187" s="1">
        <v>0</v>
      </c>
      <c r="E1187" s="1" t="str">
        <f t="shared" si="36"/>
        <v>(F2.0)</v>
      </c>
      <c r="F1187" s="1" t="str">
        <f t="shared" si="37"/>
        <v>alter type at1_17 (F2.0).</v>
      </c>
    </row>
    <row r="1188" spans="1:6" x14ac:dyDescent="0.25">
      <c r="A1188" s="1" t="s">
        <v>2517</v>
      </c>
      <c r="B1188" s="1" t="s">
        <v>27</v>
      </c>
      <c r="C1188" s="1">
        <v>300</v>
      </c>
      <c r="D1188" s="1">
        <v>0</v>
      </c>
      <c r="E1188" s="1" t="str">
        <f t="shared" si="36"/>
        <v>(A300)</v>
      </c>
      <c r="F1188" s="1" t="str">
        <f t="shared" si="37"/>
        <v>alter type at1_o04_17 (A300).</v>
      </c>
    </row>
    <row r="1189" spans="1:6" x14ac:dyDescent="0.25">
      <c r="A1189" s="1" t="s">
        <v>2518</v>
      </c>
      <c r="B1189" s="1" t="s">
        <v>30</v>
      </c>
      <c r="C1189" s="1">
        <v>8</v>
      </c>
      <c r="D1189" s="1">
        <v>0</v>
      </c>
      <c r="E1189" s="1" t="str">
        <f t="shared" si="36"/>
        <v>(F8.0)</v>
      </c>
      <c r="F1189" s="1" t="str">
        <f t="shared" si="37"/>
        <v>alter type vdate_18 (F8.0).</v>
      </c>
    </row>
    <row r="1190" spans="1:6" x14ac:dyDescent="0.25">
      <c r="A1190" s="1" t="s">
        <v>2519</v>
      </c>
      <c r="B1190" s="1" t="s">
        <v>30</v>
      </c>
      <c r="C1190" s="1">
        <v>1</v>
      </c>
      <c r="D1190" s="1">
        <v>0</v>
      </c>
      <c r="E1190" s="1" t="str">
        <f t="shared" si="36"/>
        <v>(F1.0)</v>
      </c>
      <c r="F1190" s="1" t="str">
        <f t="shared" si="37"/>
        <v>alter type vt_18 (F1.0).</v>
      </c>
    </row>
    <row r="1191" spans="1:6" x14ac:dyDescent="0.25">
      <c r="A1191" s="1" t="s">
        <v>2520</v>
      </c>
      <c r="B1191" s="1" t="s">
        <v>30</v>
      </c>
      <c r="C1191" s="1">
        <v>4</v>
      </c>
      <c r="D1191" s="1">
        <v>0</v>
      </c>
      <c r="E1191" s="1" t="str">
        <f t="shared" si="36"/>
        <v>(F4.0)</v>
      </c>
      <c r="F1191" s="1" t="str">
        <f t="shared" si="37"/>
        <v>alter type vr_18 (F4.0).</v>
      </c>
    </row>
    <row r="1192" spans="1:6" x14ac:dyDescent="0.25">
      <c r="A1192" s="1" t="s">
        <v>2521</v>
      </c>
      <c r="B1192" s="1" t="s">
        <v>27</v>
      </c>
      <c r="C1192" s="1">
        <v>300</v>
      </c>
      <c r="D1192" s="1">
        <v>0</v>
      </c>
      <c r="E1192" s="1" t="str">
        <f t="shared" si="36"/>
        <v>(A300)</v>
      </c>
      <c r="F1192" s="1" t="str">
        <f t="shared" si="37"/>
        <v>alter type result303_o_18 (A300).</v>
      </c>
    </row>
    <row r="1193" spans="1:6" x14ac:dyDescent="0.25">
      <c r="A1193" s="1" t="s">
        <v>2522</v>
      </c>
      <c r="B1193" s="1" t="s">
        <v>27</v>
      </c>
      <c r="C1193" s="1">
        <v>300</v>
      </c>
      <c r="D1193" s="1">
        <v>0</v>
      </c>
      <c r="E1193" s="1" t="str">
        <f t="shared" si="36"/>
        <v>(A300)</v>
      </c>
      <c r="F1193" s="1" t="str">
        <f t="shared" si="37"/>
        <v>alter type result3061_o_18 (A300).</v>
      </c>
    </row>
    <row r="1194" spans="1:6" x14ac:dyDescent="0.25">
      <c r="A1194" s="1" t="s">
        <v>2523</v>
      </c>
      <c r="B1194" s="1" t="s">
        <v>27</v>
      </c>
      <c r="C1194" s="1">
        <v>300</v>
      </c>
      <c r="D1194" s="1">
        <v>0</v>
      </c>
      <c r="E1194" s="1" t="str">
        <f t="shared" si="36"/>
        <v>(A300)</v>
      </c>
      <c r="F1194" s="1" t="str">
        <f t="shared" si="37"/>
        <v>alter type result3062_o_18 (A300).</v>
      </c>
    </row>
    <row r="1195" spans="1:6" x14ac:dyDescent="0.25">
      <c r="A1195" s="1" t="s">
        <v>2524</v>
      </c>
      <c r="B1195" s="1" t="s">
        <v>27</v>
      </c>
      <c r="C1195" s="1">
        <v>300</v>
      </c>
      <c r="D1195" s="1">
        <v>0</v>
      </c>
      <c r="E1195" s="1" t="str">
        <f t="shared" si="36"/>
        <v>(A300)</v>
      </c>
      <c r="F1195" s="1" t="str">
        <f t="shared" si="37"/>
        <v>alter type result404_o_18 (A300).</v>
      </c>
    </row>
    <row r="1196" spans="1:6" x14ac:dyDescent="0.25">
      <c r="A1196" s="1" t="s">
        <v>2525</v>
      </c>
      <c r="B1196" s="1" t="s">
        <v>27</v>
      </c>
      <c r="C1196" s="1">
        <v>300</v>
      </c>
      <c r="D1196" s="1">
        <v>0</v>
      </c>
      <c r="E1196" s="1" t="str">
        <f t="shared" si="36"/>
        <v>(A300)</v>
      </c>
      <c r="F1196" s="1" t="str">
        <f t="shared" si="37"/>
        <v>alter type result504_o_18 (A300).</v>
      </c>
    </row>
    <row r="1197" spans="1:6" x14ac:dyDescent="0.25">
      <c r="A1197" s="1" t="s">
        <v>2526</v>
      </c>
      <c r="B1197" s="1" t="s">
        <v>27</v>
      </c>
      <c r="C1197" s="1">
        <v>300</v>
      </c>
      <c r="D1197" s="1">
        <v>0</v>
      </c>
      <c r="E1197" s="1" t="str">
        <f t="shared" si="36"/>
        <v>(A300)</v>
      </c>
      <c r="F1197" s="1" t="str">
        <f t="shared" si="37"/>
        <v>alter type result608_o_18 (A300).</v>
      </c>
    </row>
    <row r="1198" spans="1:6" x14ac:dyDescent="0.25">
      <c r="A1198" s="1" t="s">
        <v>2527</v>
      </c>
      <c r="B1198" s="1" t="s">
        <v>27</v>
      </c>
      <c r="C1198" s="1">
        <v>300</v>
      </c>
      <c r="D1198" s="1">
        <v>0</v>
      </c>
      <c r="E1198" s="1" t="str">
        <f t="shared" si="36"/>
        <v>(A300)</v>
      </c>
      <c r="F1198" s="1" t="str">
        <f t="shared" si="37"/>
        <v>alter type result311_o_18 (A300).</v>
      </c>
    </row>
    <row r="1199" spans="1:6" x14ac:dyDescent="0.25">
      <c r="A1199" s="1" t="s">
        <v>2528</v>
      </c>
      <c r="B1199" s="1" t="s">
        <v>27</v>
      </c>
      <c r="C1199" s="1">
        <v>300</v>
      </c>
      <c r="D1199" s="1">
        <v>0</v>
      </c>
      <c r="E1199" s="1" t="str">
        <f t="shared" si="36"/>
        <v>(A300)</v>
      </c>
      <c r="F1199" s="1" t="str">
        <f t="shared" si="37"/>
        <v>alter type result607_o_18 (A300).</v>
      </c>
    </row>
    <row r="1200" spans="1:6" x14ac:dyDescent="0.25">
      <c r="A1200" s="1" t="s">
        <v>2529</v>
      </c>
      <c r="B1200" s="1" t="s">
        <v>27</v>
      </c>
      <c r="C1200" s="1">
        <v>300</v>
      </c>
      <c r="D1200" s="1">
        <v>0</v>
      </c>
      <c r="E1200" s="1" t="str">
        <f t="shared" si="36"/>
        <v>(A300)</v>
      </c>
      <c r="F1200" s="1" t="str">
        <f t="shared" si="37"/>
        <v>alter type result999_o_18 (A300).</v>
      </c>
    </row>
    <row r="1201" spans="1:6" x14ac:dyDescent="0.25">
      <c r="A1201" s="1" t="s">
        <v>2530</v>
      </c>
      <c r="B1201" s="1" t="s">
        <v>30</v>
      </c>
      <c r="C1201" s="1">
        <v>2</v>
      </c>
      <c r="D1201" s="1">
        <v>0</v>
      </c>
      <c r="E1201" s="1" t="str">
        <f t="shared" ref="E1201:E1264" si="38">IF(B1201="數值","(F"&amp;C1201&amp;"."&amp;D1201&amp;")","(A"&amp;C1201&amp;")")</f>
        <v>(F2.0)</v>
      </c>
      <c r="F1201" s="1" t="str">
        <f t="shared" ref="F1201:F1264" si="39">"alter type "&amp;A1201&amp;" "&amp;E1201&amp;"."</f>
        <v>alter type at1_18 (F2.0).</v>
      </c>
    </row>
    <row r="1202" spans="1:6" x14ac:dyDescent="0.25">
      <c r="A1202" s="1" t="s">
        <v>2531</v>
      </c>
      <c r="B1202" s="1" t="s">
        <v>27</v>
      </c>
      <c r="C1202" s="1">
        <v>300</v>
      </c>
      <c r="D1202" s="1">
        <v>0</v>
      </c>
      <c r="E1202" s="1" t="str">
        <f t="shared" si="38"/>
        <v>(A300)</v>
      </c>
      <c r="F1202" s="1" t="str">
        <f t="shared" si="39"/>
        <v>alter type at1_o04_18 (A300).</v>
      </c>
    </row>
    <row r="1203" spans="1:6" x14ac:dyDescent="0.25">
      <c r="A1203" s="1" t="s">
        <v>2532</v>
      </c>
      <c r="B1203" s="1" t="s">
        <v>30</v>
      </c>
      <c r="C1203" s="1">
        <v>8</v>
      </c>
      <c r="D1203" s="1">
        <v>0</v>
      </c>
      <c r="E1203" s="1" t="str">
        <f t="shared" si="38"/>
        <v>(F8.0)</v>
      </c>
      <c r="F1203" s="1" t="str">
        <f t="shared" si="39"/>
        <v>alter type vdate_19 (F8.0).</v>
      </c>
    </row>
    <row r="1204" spans="1:6" x14ac:dyDescent="0.25">
      <c r="A1204" s="1" t="s">
        <v>2533</v>
      </c>
      <c r="B1204" s="1" t="s">
        <v>30</v>
      </c>
      <c r="C1204" s="1">
        <v>1</v>
      </c>
      <c r="D1204" s="1">
        <v>0</v>
      </c>
      <c r="E1204" s="1" t="str">
        <f t="shared" si="38"/>
        <v>(F1.0)</v>
      </c>
      <c r="F1204" s="1" t="str">
        <f t="shared" si="39"/>
        <v>alter type vt_19 (F1.0).</v>
      </c>
    </row>
    <row r="1205" spans="1:6" x14ac:dyDescent="0.25">
      <c r="A1205" s="1" t="s">
        <v>2534</v>
      </c>
      <c r="B1205" s="1" t="s">
        <v>30</v>
      </c>
      <c r="C1205" s="1">
        <v>4</v>
      </c>
      <c r="D1205" s="1">
        <v>0</v>
      </c>
      <c r="E1205" s="1" t="str">
        <f t="shared" si="38"/>
        <v>(F4.0)</v>
      </c>
      <c r="F1205" s="1" t="str">
        <f t="shared" si="39"/>
        <v>alter type vr_19 (F4.0).</v>
      </c>
    </row>
    <row r="1206" spans="1:6" x14ac:dyDescent="0.25">
      <c r="A1206" s="1" t="s">
        <v>2535</v>
      </c>
      <c r="B1206" s="1" t="s">
        <v>27</v>
      </c>
      <c r="C1206" s="1">
        <v>300</v>
      </c>
      <c r="D1206" s="1">
        <v>0</v>
      </c>
      <c r="E1206" s="1" t="str">
        <f t="shared" si="38"/>
        <v>(A300)</v>
      </c>
      <c r="F1206" s="1" t="str">
        <f t="shared" si="39"/>
        <v>alter type result303_o_19 (A300).</v>
      </c>
    </row>
    <row r="1207" spans="1:6" x14ac:dyDescent="0.25">
      <c r="A1207" s="1" t="s">
        <v>2536</v>
      </c>
      <c r="B1207" s="1" t="s">
        <v>27</v>
      </c>
      <c r="C1207" s="1">
        <v>300</v>
      </c>
      <c r="D1207" s="1">
        <v>0</v>
      </c>
      <c r="E1207" s="1" t="str">
        <f t="shared" si="38"/>
        <v>(A300)</v>
      </c>
      <c r="F1207" s="1" t="str">
        <f t="shared" si="39"/>
        <v>alter type result3061_o_19 (A300).</v>
      </c>
    </row>
    <row r="1208" spans="1:6" x14ac:dyDescent="0.25">
      <c r="A1208" s="1" t="s">
        <v>2537</v>
      </c>
      <c r="B1208" s="1" t="s">
        <v>27</v>
      </c>
      <c r="C1208" s="1">
        <v>300</v>
      </c>
      <c r="D1208" s="1">
        <v>0</v>
      </c>
      <c r="E1208" s="1" t="str">
        <f t="shared" si="38"/>
        <v>(A300)</v>
      </c>
      <c r="F1208" s="1" t="str">
        <f t="shared" si="39"/>
        <v>alter type result3062_o_19 (A300).</v>
      </c>
    </row>
    <row r="1209" spans="1:6" x14ac:dyDescent="0.25">
      <c r="A1209" s="1" t="s">
        <v>2538</v>
      </c>
      <c r="B1209" s="1" t="s">
        <v>27</v>
      </c>
      <c r="C1209" s="1">
        <v>300</v>
      </c>
      <c r="D1209" s="1">
        <v>0</v>
      </c>
      <c r="E1209" s="1" t="str">
        <f t="shared" si="38"/>
        <v>(A300)</v>
      </c>
      <c r="F1209" s="1" t="str">
        <f t="shared" si="39"/>
        <v>alter type result404_o_19 (A300).</v>
      </c>
    </row>
    <row r="1210" spans="1:6" x14ac:dyDescent="0.25">
      <c r="A1210" s="1" t="s">
        <v>2539</v>
      </c>
      <c r="B1210" s="1" t="s">
        <v>27</v>
      </c>
      <c r="C1210" s="1">
        <v>300</v>
      </c>
      <c r="D1210" s="1">
        <v>0</v>
      </c>
      <c r="E1210" s="1" t="str">
        <f t="shared" si="38"/>
        <v>(A300)</v>
      </c>
      <c r="F1210" s="1" t="str">
        <f t="shared" si="39"/>
        <v>alter type result504_o_19 (A300).</v>
      </c>
    </row>
    <row r="1211" spans="1:6" x14ac:dyDescent="0.25">
      <c r="A1211" s="1" t="s">
        <v>2540</v>
      </c>
      <c r="B1211" s="1" t="s">
        <v>27</v>
      </c>
      <c r="C1211" s="1">
        <v>300</v>
      </c>
      <c r="D1211" s="1">
        <v>0</v>
      </c>
      <c r="E1211" s="1" t="str">
        <f t="shared" si="38"/>
        <v>(A300)</v>
      </c>
      <c r="F1211" s="1" t="str">
        <f t="shared" si="39"/>
        <v>alter type result608_o_19 (A300).</v>
      </c>
    </row>
    <row r="1212" spans="1:6" x14ac:dyDescent="0.25">
      <c r="A1212" s="1" t="s">
        <v>2541</v>
      </c>
      <c r="B1212" s="1" t="s">
        <v>27</v>
      </c>
      <c r="C1212" s="1">
        <v>300</v>
      </c>
      <c r="D1212" s="1">
        <v>0</v>
      </c>
      <c r="E1212" s="1" t="str">
        <f t="shared" si="38"/>
        <v>(A300)</v>
      </c>
      <c r="F1212" s="1" t="str">
        <f t="shared" si="39"/>
        <v>alter type result311_o_19 (A300).</v>
      </c>
    </row>
    <row r="1213" spans="1:6" x14ac:dyDescent="0.25">
      <c r="A1213" s="1" t="s">
        <v>2542</v>
      </c>
      <c r="B1213" s="1" t="s">
        <v>27</v>
      </c>
      <c r="C1213" s="1">
        <v>300</v>
      </c>
      <c r="D1213" s="1">
        <v>0</v>
      </c>
      <c r="E1213" s="1" t="str">
        <f t="shared" si="38"/>
        <v>(A300)</v>
      </c>
      <c r="F1213" s="1" t="str">
        <f t="shared" si="39"/>
        <v>alter type result607_o_19 (A300).</v>
      </c>
    </row>
    <row r="1214" spans="1:6" x14ac:dyDescent="0.25">
      <c r="A1214" s="1" t="s">
        <v>2543</v>
      </c>
      <c r="B1214" s="1" t="s">
        <v>27</v>
      </c>
      <c r="C1214" s="1">
        <v>300</v>
      </c>
      <c r="D1214" s="1">
        <v>0</v>
      </c>
      <c r="E1214" s="1" t="str">
        <f t="shared" si="38"/>
        <v>(A300)</v>
      </c>
      <c r="F1214" s="1" t="str">
        <f t="shared" si="39"/>
        <v>alter type result999_o_19 (A300).</v>
      </c>
    </row>
    <row r="1215" spans="1:6" x14ac:dyDescent="0.25">
      <c r="A1215" s="1" t="s">
        <v>2544</v>
      </c>
      <c r="B1215" s="1" t="s">
        <v>30</v>
      </c>
      <c r="C1215" s="1">
        <v>2</v>
      </c>
      <c r="D1215" s="1">
        <v>0</v>
      </c>
      <c r="E1215" s="1" t="str">
        <f t="shared" si="38"/>
        <v>(F2.0)</v>
      </c>
      <c r="F1215" s="1" t="str">
        <f t="shared" si="39"/>
        <v>alter type at1_19 (F2.0).</v>
      </c>
    </row>
    <row r="1216" spans="1:6" x14ac:dyDescent="0.25">
      <c r="A1216" s="1" t="s">
        <v>2545</v>
      </c>
      <c r="B1216" s="1" t="s">
        <v>27</v>
      </c>
      <c r="C1216" s="1">
        <v>300</v>
      </c>
      <c r="D1216" s="1">
        <v>0</v>
      </c>
      <c r="E1216" s="1" t="str">
        <f t="shared" si="38"/>
        <v>(A300)</v>
      </c>
      <c r="F1216" s="1" t="str">
        <f t="shared" si="39"/>
        <v>alter type at1_o04_19 (A300).</v>
      </c>
    </row>
    <row r="1217" spans="1:6" x14ac:dyDescent="0.25">
      <c r="A1217" s="1" t="s">
        <v>2546</v>
      </c>
      <c r="B1217" s="1" t="s">
        <v>30</v>
      </c>
      <c r="C1217" s="1">
        <v>8</v>
      </c>
      <c r="D1217" s="1">
        <v>0</v>
      </c>
      <c r="E1217" s="1" t="str">
        <f t="shared" si="38"/>
        <v>(F8.0)</v>
      </c>
      <c r="F1217" s="1" t="str">
        <f t="shared" si="39"/>
        <v>alter type vdate_20 (F8.0).</v>
      </c>
    </row>
    <row r="1218" spans="1:6" x14ac:dyDescent="0.25">
      <c r="A1218" s="1" t="s">
        <v>2547</v>
      </c>
      <c r="B1218" s="1" t="s">
        <v>30</v>
      </c>
      <c r="C1218" s="1">
        <v>1</v>
      </c>
      <c r="D1218" s="1">
        <v>0</v>
      </c>
      <c r="E1218" s="1" t="str">
        <f t="shared" si="38"/>
        <v>(F1.0)</v>
      </c>
      <c r="F1218" s="1" t="str">
        <f t="shared" si="39"/>
        <v>alter type vt_20 (F1.0).</v>
      </c>
    </row>
    <row r="1219" spans="1:6" x14ac:dyDescent="0.25">
      <c r="A1219" s="1" t="s">
        <v>2548</v>
      </c>
      <c r="B1219" s="1" t="s">
        <v>30</v>
      </c>
      <c r="C1219" s="1">
        <v>4</v>
      </c>
      <c r="D1219" s="1">
        <v>0</v>
      </c>
      <c r="E1219" s="1" t="str">
        <f t="shared" si="38"/>
        <v>(F4.0)</v>
      </c>
      <c r="F1219" s="1" t="str">
        <f t="shared" si="39"/>
        <v>alter type vr_20 (F4.0).</v>
      </c>
    </row>
    <row r="1220" spans="1:6" x14ac:dyDescent="0.25">
      <c r="A1220" s="1" t="s">
        <v>2549</v>
      </c>
      <c r="B1220" s="1" t="s">
        <v>27</v>
      </c>
      <c r="C1220" s="1">
        <v>300</v>
      </c>
      <c r="D1220" s="1">
        <v>0</v>
      </c>
      <c r="E1220" s="1" t="str">
        <f t="shared" si="38"/>
        <v>(A300)</v>
      </c>
      <c r="F1220" s="1" t="str">
        <f t="shared" si="39"/>
        <v>alter type result303_o_20 (A300).</v>
      </c>
    </row>
    <row r="1221" spans="1:6" x14ac:dyDescent="0.25">
      <c r="A1221" s="1" t="s">
        <v>2550</v>
      </c>
      <c r="B1221" s="1" t="s">
        <v>27</v>
      </c>
      <c r="C1221" s="1">
        <v>300</v>
      </c>
      <c r="D1221" s="1">
        <v>0</v>
      </c>
      <c r="E1221" s="1" t="str">
        <f t="shared" si="38"/>
        <v>(A300)</v>
      </c>
      <c r="F1221" s="1" t="str">
        <f t="shared" si="39"/>
        <v>alter type result3061_o_20 (A300).</v>
      </c>
    </row>
    <row r="1222" spans="1:6" x14ac:dyDescent="0.25">
      <c r="A1222" s="1" t="s">
        <v>2551</v>
      </c>
      <c r="B1222" s="1" t="s">
        <v>27</v>
      </c>
      <c r="C1222" s="1">
        <v>300</v>
      </c>
      <c r="D1222" s="1">
        <v>0</v>
      </c>
      <c r="E1222" s="1" t="str">
        <f t="shared" si="38"/>
        <v>(A300)</v>
      </c>
      <c r="F1222" s="1" t="str">
        <f t="shared" si="39"/>
        <v>alter type result3062_o_20 (A300).</v>
      </c>
    </row>
    <row r="1223" spans="1:6" x14ac:dyDescent="0.25">
      <c r="A1223" s="1" t="s">
        <v>2552</v>
      </c>
      <c r="B1223" s="1" t="s">
        <v>27</v>
      </c>
      <c r="C1223" s="1">
        <v>300</v>
      </c>
      <c r="D1223" s="1">
        <v>0</v>
      </c>
      <c r="E1223" s="1" t="str">
        <f t="shared" si="38"/>
        <v>(A300)</v>
      </c>
      <c r="F1223" s="1" t="str">
        <f t="shared" si="39"/>
        <v>alter type result404_o_20 (A300).</v>
      </c>
    </row>
    <row r="1224" spans="1:6" x14ac:dyDescent="0.25">
      <c r="A1224" s="1" t="s">
        <v>2553</v>
      </c>
      <c r="B1224" s="1" t="s">
        <v>27</v>
      </c>
      <c r="C1224" s="1">
        <v>300</v>
      </c>
      <c r="D1224" s="1">
        <v>0</v>
      </c>
      <c r="E1224" s="1" t="str">
        <f t="shared" si="38"/>
        <v>(A300)</v>
      </c>
      <c r="F1224" s="1" t="str">
        <f t="shared" si="39"/>
        <v>alter type result504_o_20 (A300).</v>
      </c>
    </row>
    <row r="1225" spans="1:6" x14ac:dyDescent="0.25">
      <c r="A1225" s="1" t="s">
        <v>2554</v>
      </c>
      <c r="B1225" s="1" t="s">
        <v>27</v>
      </c>
      <c r="C1225" s="1">
        <v>300</v>
      </c>
      <c r="D1225" s="1">
        <v>0</v>
      </c>
      <c r="E1225" s="1" t="str">
        <f t="shared" si="38"/>
        <v>(A300)</v>
      </c>
      <c r="F1225" s="1" t="str">
        <f t="shared" si="39"/>
        <v>alter type result608_o_20 (A300).</v>
      </c>
    </row>
    <row r="1226" spans="1:6" x14ac:dyDescent="0.25">
      <c r="A1226" s="1" t="s">
        <v>2555</v>
      </c>
      <c r="B1226" s="1" t="s">
        <v>27</v>
      </c>
      <c r="C1226" s="1">
        <v>300</v>
      </c>
      <c r="D1226" s="1">
        <v>0</v>
      </c>
      <c r="E1226" s="1" t="str">
        <f t="shared" si="38"/>
        <v>(A300)</v>
      </c>
      <c r="F1226" s="1" t="str">
        <f t="shared" si="39"/>
        <v>alter type result311_o_20 (A300).</v>
      </c>
    </row>
    <row r="1227" spans="1:6" x14ac:dyDescent="0.25">
      <c r="A1227" s="1" t="s">
        <v>2556</v>
      </c>
      <c r="B1227" s="1" t="s">
        <v>27</v>
      </c>
      <c r="C1227" s="1">
        <v>300</v>
      </c>
      <c r="D1227" s="1">
        <v>0</v>
      </c>
      <c r="E1227" s="1" t="str">
        <f t="shared" si="38"/>
        <v>(A300)</v>
      </c>
      <c r="F1227" s="1" t="str">
        <f t="shared" si="39"/>
        <v>alter type result607_o_20 (A300).</v>
      </c>
    </row>
    <row r="1228" spans="1:6" x14ac:dyDescent="0.25">
      <c r="A1228" s="1" t="s">
        <v>2557</v>
      </c>
      <c r="B1228" s="1" t="s">
        <v>27</v>
      </c>
      <c r="C1228" s="1">
        <v>300</v>
      </c>
      <c r="D1228" s="1">
        <v>0</v>
      </c>
      <c r="E1228" s="1" t="str">
        <f t="shared" si="38"/>
        <v>(A300)</v>
      </c>
      <c r="F1228" s="1" t="str">
        <f t="shared" si="39"/>
        <v>alter type result999_o_20 (A300).</v>
      </c>
    </row>
    <row r="1229" spans="1:6" x14ac:dyDescent="0.25">
      <c r="A1229" s="1" t="s">
        <v>2558</v>
      </c>
      <c r="B1229" s="1" t="s">
        <v>30</v>
      </c>
      <c r="C1229" s="1">
        <v>2</v>
      </c>
      <c r="D1229" s="1">
        <v>0</v>
      </c>
      <c r="E1229" s="1" t="str">
        <f t="shared" si="38"/>
        <v>(F2.0)</v>
      </c>
      <c r="F1229" s="1" t="str">
        <f t="shared" si="39"/>
        <v>alter type at1_20 (F2.0).</v>
      </c>
    </row>
    <row r="1230" spans="1:6" x14ac:dyDescent="0.25">
      <c r="A1230" s="1" t="s">
        <v>2559</v>
      </c>
      <c r="B1230" s="1" t="s">
        <v>27</v>
      </c>
      <c r="C1230" s="1">
        <v>300</v>
      </c>
      <c r="D1230" s="1">
        <v>0</v>
      </c>
      <c r="E1230" s="1" t="str">
        <f t="shared" si="38"/>
        <v>(A300)</v>
      </c>
      <c r="F1230" s="1" t="str">
        <f t="shared" si="39"/>
        <v>alter type at1_o04_20 (A300).</v>
      </c>
    </row>
    <row r="1231" spans="1:6" x14ac:dyDescent="0.25">
      <c r="A1231" s="1" t="s">
        <v>2560</v>
      </c>
      <c r="B1231" s="1" t="s">
        <v>30</v>
      </c>
      <c r="C1231" s="1">
        <v>8</v>
      </c>
      <c r="D1231" s="1">
        <v>0</v>
      </c>
      <c r="E1231" s="1" t="str">
        <f t="shared" si="38"/>
        <v>(F8.0)</v>
      </c>
      <c r="F1231" s="1" t="str">
        <f t="shared" si="39"/>
        <v>alter type vdate_21 (F8.0).</v>
      </c>
    </row>
    <row r="1232" spans="1:6" x14ac:dyDescent="0.25">
      <c r="A1232" s="1" t="s">
        <v>2561</v>
      </c>
      <c r="B1232" s="1" t="s">
        <v>30</v>
      </c>
      <c r="C1232" s="1">
        <v>1</v>
      </c>
      <c r="D1232" s="1">
        <v>0</v>
      </c>
      <c r="E1232" s="1" t="str">
        <f t="shared" si="38"/>
        <v>(F1.0)</v>
      </c>
      <c r="F1232" s="1" t="str">
        <f t="shared" si="39"/>
        <v>alter type vt_21 (F1.0).</v>
      </c>
    </row>
    <row r="1233" spans="1:6" x14ac:dyDescent="0.25">
      <c r="A1233" s="1" t="s">
        <v>2562</v>
      </c>
      <c r="B1233" s="1" t="s">
        <v>30</v>
      </c>
      <c r="C1233" s="1">
        <v>4</v>
      </c>
      <c r="D1233" s="1">
        <v>0</v>
      </c>
      <c r="E1233" s="1" t="str">
        <f t="shared" si="38"/>
        <v>(F4.0)</v>
      </c>
      <c r="F1233" s="1" t="str">
        <f t="shared" si="39"/>
        <v>alter type vr_21 (F4.0).</v>
      </c>
    </row>
    <row r="1234" spans="1:6" x14ac:dyDescent="0.25">
      <c r="A1234" s="1" t="s">
        <v>2563</v>
      </c>
      <c r="B1234" s="1" t="s">
        <v>27</v>
      </c>
      <c r="C1234" s="1">
        <v>300</v>
      </c>
      <c r="D1234" s="1">
        <v>0</v>
      </c>
      <c r="E1234" s="1" t="str">
        <f t="shared" si="38"/>
        <v>(A300)</v>
      </c>
      <c r="F1234" s="1" t="str">
        <f t="shared" si="39"/>
        <v>alter type result303_o_21 (A300).</v>
      </c>
    </row>
    <row r="1235" spans="1:6" x14ac:dyDescent="0.25">
      <c r="A1235" s="1" t="s">
        <v>2564</v>
      </c>
      <c r="B1235" s="1" t="s">
        <v>27</v>
      </c>
      <c r="C1235" s="1">
        <v>300</v>
      </c>
      <c r="D1235" s="1">
        <v>0</v>
      </c>
      <c r="E1235" s="1" t="str">
        <f t="shared" si="38"/>
        <v>(A300)</v>
      </c>
      <c r="F1235" s="1" t="str">
        <f t="shared" si="39"/>
        <v>alter type result3061_o_21 (A300).</v>
      </c>
    </row>
    <row r="1236" spans="1:6" x14ac:dyDescent="0.25">
      <c r="A1236" s="1" t="s">
        <v>2565</v>
      </c>
      <c r="B1236" s="1" t="s">
        <v>27</v>
      </c>
      <c r="C1236" s="1">
        <v>300</v>
      </c>
      <c r="D1236" s="1">
        <v>0</v>
      </c>
      <c r="E1236" s="1" t="str">
        <f t="shared" si="38"/>
        <v>(A300)</v>
      </c>
      <c r="F1236" s="1" t="str">
        <f t="shared" si="39"/>
        <v>alter type result3062_o_21 (A300).</v>
      </c>
    </row>
    <row r="1237" spans="1:6" x14ac:dyDescent="0.25">
      <c r="A1237" s="1" t="s">
        <v>2566</v>
      </c>
      <c r="B1237" s="1" t="s">
        <v>27</v>
      </c>
      <c r="C1237" s="1">
        <v>300</v>
      </c>
      <c r="D1237" s="1">
        <v>0</v>
      </c>
      <c r="E1237" s="1" t="str">
        <f t="shared" si="38"/>
        <v>(A300)</v>
      </c>
      <c r="F1237" s="1" t="str">
        <f t="shared" si="39"/>
        <v>alter type result404_o_21 (A300).</v>
      </c>
    </row>
    <row r="1238" spans="1:6" x14ac:dyDescent="0.25">
      <c r="A1238" s="1" t="s">
        <v>2567</v>
      </c>
      <c r="B1238" s="1" t="s">
        <v>27</v>
      </c>
      <c r="C1238" s="1">
        <v>300</v>
      </c>
      <c r="D1238" s="1">
        <v>0</v>
      </c>
      <c r="E1238" s="1" t="str">
        <f t="shared" si="38"/>
        <v>(A300)</v>
      </c>
      <c r="F1238" s="1" t="str">
        <f t="shared" si="39"/>
        <v>alter type result504_o_21 (A300).</v>
      </c>
    </row>
    <row r="1239" spans="1:6" x14ac:dyDescent="0.25">
      <c r="A1239" s="1" t="s">
        <v>2568</v>
      </c>
      <c r="B1239" s="1" t="s">
        <v>27</v>
      </c>
      <c r="C1239" s="1">
        <v>300</v>
      </c>
      <c r="D1239" s="1">
        <v>0</v>
      </c>
      <c r="E1239" s="1" t="str">
        <f t="shared" si="38"/>
        <v>(A300)</v>
      </c>
      <c r="F1239" s="1" t="str">
        <f t="shared" si="39"/>
        <v>alter type result608_o_21 (A300).</v>
      </c>
    </row>
    <row r="1240" spans="1:6" x14ac:dyDescent="0.25">
      <c r="A1240" s="1" t="s">
        <v>2569</v>
      </c>
      <c r="B1240" s="1" t="s">
        <v>27</v>
      </c>
      <c r="C1240" s="1">
        <v>300</v>
      </c>
      <c r="D1240" s="1">
        <v>0</v>
      </c>
      <c r="E1240" s="1" t="str">
        <f t="shared" si="38"/>
        <v>(A300)</v>
      </c>
      <c r="F1240" s="1" t="str">
        <f t="shared" si="39"/>
        <v>alter type result311_o_21 (A300).</v>
      </c>
    </row>
    <row r="1241" spans="1:6" x14ac:dyDescent="0.25">
      <c r="A1241" s="1" t="s">
        <v>2570</v>
      </c>
      <c r="B1241" s="1" t="s">
        <v>27</v>
      </c>
      <c r="C1241" s="1">
        <v>300</v>
      </c>
      <c r="D1241" s="1">
        <v>0</v>
      </c>
      <c r="E1241" s="1" t="str">
        <f t="shared" si="38"/>
        <v>(A300)</v>
      </c>
      <c r="F1241" s="1" t="str">
        <f t="shared" si="39"/>
        <v>alter type result607_o_21 (A300).</v>
      </c>
    </row>
    <row r="1242" spans="1:6" x14ac:dyDescent="0.25">
      <c r="A1242" s="1" t="s">
        <v>2571</v>
      </c>
      <c r="B1242" s="1" t="s">
        <v>27</v>
      </c>
      <c r="C1242" s="1">
        <v>300</v>
      </c>
      <c r="D1242" s="1">
        <v>0</v>
      </c>
      <c r="E1242" s="1" t="str">
        <f t="shared" si="38"/>
        <v>(A300)</v>
      </c>
      <c r="F1242" s="1" t="str">
        <f t="shared" si="39"/>
        <v>alter type result999_o_21 (A300).</v>
      </c>
    </row>
    <row r="1243" spans="1:6" x14ac:dyDescent="0.25">
      <c r="A1243" s="1" t="s">
        <v>2572</v>
      </c>
      <c r="B1243" s="1" t="s">
        <v>30</v>
      </c>
      <c r="C1243" s="1">
        <v>2</v>
      </c>
      <c r="D1243" s="1">
        <v>0</v>
      </c>
      <c r="E1243" s="1" t="str">
        <f t="shared" si="38"/>
        <v>(F2.0)</v>
      </c>
      <c r="F1243" s="1" t="str">
        <f t="shared" si="39"/>
        <v>alter type at1_21 (F2.0).</v>
      </c>
    </row>
    <row r="1244" spans="1:6" x14ac:dyDescent="0.25">
      <c r="A1244" s="1" t="s">
        <v>2573</v>
      </c>
      <c r="B1244" s="1" t="s">
        <v>27</v>
      </c>
      <c r="C1244" s="1">
        <v>300</v>
      </c>
      <c r="D1244" s="1">
        <v>0</v>
      </c>
      <c r="E1244" s="1" t="str">
        <f t="shared" si="38"/>
        <v>(A300)</v>
      </c>
      <c r="F1244" s="1" t="str">
        <f t="shared" si="39"/>
        <v>alter type at1_o04_21 (A300).</v>
      </c>
    </row>
    <row r="1245" spans="1:6" x14ac:dyDescent="0.25">
      <c r="A1245" s="1" t="s">
        <v>2574</v>
      </c>
      <c r="B1245" s="1" t="s">
        <v>30</v>
      </c>
      <c r="C1245" s="1">
        <v>8</v>
      </c>
      <c r="D1245" s="1">
        <v>0</v>
      </c>
      <c r="E1245" s="1" t="str">
        <f t="shared" si="38"/>
        <v>(F8.0)</v>
      </c>
      <c r="F1245" s="1" t="str">
        <f t="shared" si="39"/>
        <v>alter type vdate_22 (F8.0).</v>
      </c>
    </row>
    <row r="1246" spans="1:6" x14ac:dyDescent="0.25">
      <c r="A1246" s="1" t="s">
        <v>2575</v>
      </c>
      <c r="B1246" s="1" t="s">
        <v>30</v>
      </c>
      <c r="C1246" s="1">
        <v>1</v>
      </c>
      <c r="D1246" s="1">
        <v>0</v>
      </c>
      <c r="E1246" s="1" t="str">
        <f t="shared" si="38"/>
        <v>(F1.0)</v>
      </c>
      <c r="F1246" s="1" t="str">
        <f t="shared" si="39"/>
        <v>alter type vt_22 (F1.0).</v>
      </c>
    </row>
    <row r="1247" spans="1:6" x14ac:dyDescent="0.25">
      <c r="A1247" s="1" t="s">
        <v>2576</v>
      </c>
      <c r="B1247" s="1" t="s">
        <v>30</v>
      </c>
      <c r="C1247" s="1">
        <v>4</v>
      </c>
      <c r="D1247" s="1">
        <v>0</v>
      </c>
      <c r="E1247" s="1" t="str">
        <f t="shared" si="38"/>
        <v>(F4.0)</v>
      </c>
      <c r="F1247" s="1" t="str">
        <f t="shared" si="39"/>
        <v>alter type vr_22 (F4.0).</v>
      </c>
    </row>
    <row r="1248" spans="1:6" x14ac:dyDescent="0.25">
      <c r="A1248" s="1" t="s">
        <v>2577</v>
      </c>
      <c r="B1248" s="1" t="s">
        <v>27</v>
      </c>
      <c r="C1248" s="1">
        <v>300</v>
      </c>
      <c r="D1248" s="1">
        <v>0</v>
      </c>
      <c r="E1248" s="1" t="str">
        <f t="shared" si="38"/>
        <v>(A300)</v>
      </c>
      <c r="F1248" s="1" t="str">
        <f t="shared" si="39"/>
        <v>alter type result303_o_22 (A300).</v>
      </c>
    </row>
    <row r="1249" spans="1:6" x14ac:dyDescent="0.25">
      <c r="A1249" s="1" t="s">
        <v>2578</v>
      </c>
      <c r="B1249" s="1" t="s">
        <v>27</v>
      </c>
      <c r="C1249" s="1">
        <v>300</v>
      </c>
      <c r="D1249" s="1">
        <v>0</v>
      </c>
      <c r="E1249" s="1" t="str">
        <f t="shared" si="38"/>
        <v>(A300)</v>
      </c>
      <c r="F1249" s="1" t="str">
        <f t="shared" si="39"/>
        <v>alter type result3061_o_22 (A300).</v>
      </c>
    </row>
    <row r="1250" spans="1:6" x14ac:dyDescent="0.25">
      <c r="A1250" s="1" t="s">
        <v>2579</v>
      </c>
      <c r="B1250" s="1" t="s">
        <v>27</v>
      </c>
      <c r="C1250" s="1">
        <v>300</v>
      </c>
      <c r="D1250" s="1">
        <v>0</v>
      </c>
      <c r="E1250" s="1" t="str">
        <f t="shared" si="38"/>
        <v>(A300)</v>
      </c>
      <c r="F1250" s="1" t="str">
        <f t="shared" si="39"/>
        <v>alter type result3062_o_22 (A300).</v>
      </c>
    </row>
    <row r="1251" spans="1:6" x14ac:dyDescent="0.25">
      <c r="A1251" s="1" t="s">
        <v>2580</v>
      </c>
      <c r="B1251" s="1" t="s">
        <v>27</v>
      </c>
      <c r="C1251" s="1">
        <v>300</v>
      </c>
      <c r="D1251" s="1">
        <v>0</v>
      </c>
      <c r="E1251" s="1" t="str">
        <f t="shared" si="38"/>
        <v>(A300)</v>
      </c>
      <c r="F1251" s="1" t="str">
        <f t="shared" si="39"/>
        <v>alter type result404_o_22 (A300).</v>
      </c>
    </row>
    <row r="1252" spans="1:6" x14ac:dyDescent="0.25">
      <c r="A1252" s="1" t="s">
        <v>2581</v>
      </c>
      <c r="B1252" s="1" t="s">
        <v>27</v>
      </c>
      <c r="C1252" s="1">
        <v>300</v>
      </c>
      <c r="D1252" s="1">
        <v>0</v>
      </c>
      <c r="E1252" s="1" t="str">
        <f t="shared" si="38"/>
        <v>(A300)</v>
      </c>
      <c r="F1252" s="1" t="str">
        <f t="shared" si="39"/>
        <v>alter type result504_o_22 (A300).</v>
      </c>
    </row>
    <row r="1253" spans="1:6" x14ac:dyDescent="0.25">
      <c r="A1253" s="1" t="s">
        <v>2582</v>
      </c>
      <c r="B1253" s="1" t="s">
        <v>27</v>
      </c>
      <c r="C1253" s="1">
        <v>300</v>
      </c>
      <c r="D1253" s="1">
        <v>0</v>
      </c>
      <c r="E1253" s="1" t="str">
        <f t="shared" si="38"/>
        <v>(A300)</v>
      </c>
      <c r="F1253" s="1" t="str">
        <f t="shared" si="39"/>
        <v>alter type result608_o_22 (A300).</v>
      </c>
    </row>
    <row r="1254" spans="1:6" x14ac:dyDescent="0.25">
      <c r="A1254" s="1" t="s">
        <v>2583</v>
      </c>
      <c r="B1254" s="1" t="s">
        <v>27</v>
      </c>
      <c r="C1254" s="1">
        <v>300</v>
      </c>
      <c r="D1254" s="1">
        <v>0</v>
      </c>
      <c r="E1254" s="1" t="str">
        <f t="shared" si="38"/>
        <v>(A300)</v>
      </c>
      <c r="F1254" s="1" t="str">
        <f t="shared" si="39"/>
        <v>alter type result311_o_22 (A300).</v>
      </c>
    </row>
    <row r="1255" spans="1:6" x14ac:dyDescent="0.25">
      <c r="A1255" s="1" t="s">
        <v>2584</v>
      </c>
      <c r="B1255" s="1" t="s">
        <v>27</v>
      </c>
      <c r="C1255" s="1">
        <v>300</v>
      </c>
      <c r="D1255" s="1">
        <v>0</v>
      </c>
      <c r="E1255" s="1" t="str">
        <f t="shared" si="38"/>
        <v>(A300)</v>
      </c>
      <c r="F1255" s="1" t="str">
        <f t="shared" si="39"/>
        <v>alter type result607_o_22 (A300).</v>
      </c>
    </row>
    <row r="1256" spans="1:6" x14ac:dyDescent="0.25">
      <c r="A1256" s="1" t="s">
        <v>2585</v>
      </c>
      <c r="B1256" s="1" t="s">
        <v>27</v>
      </c>
      <c r="C1256" s="1">
        <v>300</v>
      </c>
      <c r="D1256" s="1">
        <v>0</v>
      </c>
      <c r="E1256" s="1" t="str">
        <f t="shared" si="38"/>
        <v>(A300)</v>
      </c>
      <c r="F1256" s="1" t="str">
        <f t="shared" si="39"/>
        <v>alter type result999_o_22 (A300).</v>
      </c>
    </row>
    <row r="1257" spans="1:6" x14ac:dyDescent="0.25">
      <c r="A1257" s="1" t="s">
        <v>2586</v>
      </c>
      <c r="B1257" s="1" t="s">
        <v>30</v>
      </c>
      <c r="C1257" s="1">
        <v>2</v>
      </c>
      <c r="D1257" s="1">
        <v>0</v>
      </c>
      <c r="E1257" s="1" t="str">
        <f t="shared" si="38"/>
        <v>(F2.0)</v>
      </c>
      <c r="F1257" s="1" t="str">
        <f t="shared" si="39"/>
        <v>alter type at1_22 (F2.0).</v>
      </c>
    </row>
    <row r="1258" spans="1:6" x14ac:dyDescent="0.25">
      <c r="A1258" s="1" t="s">
        <v>2587</v>
      </c>
      <c r="B1258" s="1" t="s">
        <v>27</v>
      </c>
      <c r="C1258" s="1">
        <v>300</v>
      </c>
      <c r="D1258" s="1">
        <v>0</v>
      </c>
      <c r="E1258" s="1" t="str">
        <f t="shared" si="38"/>
        <v>(A300)</v>
      </c>
      <c r="F1258" s="1" t="str">
        <f t="shared" si="39"/>
        <v>alter type at1_o04_22 (A300).</v>
      </c>
    </row>
    <row r="1259" spans="1:6" x14ac:dyDescent="0.25">
      <c r="A1259" s="1" t="s">
        <v>2588</v>
      </c>
      <c r="B1259" s="1" t="s">
        <v>30</v>
      </c>
      <c r="C1259" s="1">
        <v>8</v>
      </c>
      <c r="D1259" s="1">
        <v>0</v>
      </c>
      <c r="E1259" s="1" t="str">
        <f t="shared" si="38"/>
        <v>(F8.0)</v>
      </c>
      <c r="F1259" s="1" t="str">
        <f t="shared" si="39"/>
        <v>alter type vdate_23 (F8.0).</v>
      </c>
    </row>
    <row r="1260" spans="1:6" x14ac:dyDescent="0.25">
      <c r="A1260" s="1" t="s">
        <v>2589</v>
      </c>
      <c r="B1260" s="1" t="s">
        <v>30</v>
      </c>
      <c r="C1260" s="1">
        <v>1</v>
      </c>
      <c r="D1260" s="1">
        <v>0</v>
      </c>
      <c r="E1260" s="1" t="str">
        <f t="shared" si="38"/>
        <v>(F1.0)</v>
      </c>
      <c r="F1260" s="1" t="str">
        <f t="shared" si="39"/>
        <v>alter type vt_23 (F1.0).</v>
      </c>
    </row>
    <row r="1261" spans="1:6" x14ac:dyDescent="0.25">
      <c r="A1261" s="1" t="s">
        <v>2590</v>
      </c>
      <c r="B1261" s="1" t="s">
        <v>30</v>
      </c>
      <c r="C1261" s="1">
        <v>4</v>
      </c>
      <c r="D1261" s="1">
        <v>0</v>
      </c>
      <c r="E1261" s="1" t="str">
        <f t="shared" si="38"/>
        <v>(F4.0)</v>
      </c>
      <c r="F1261" s="1" t="str">
        <f t="shared" si="39"/>
        <v>alter type vr_23 (F4.0).</v>
      </c>
    </row>
    <row r="1262" spans="1:6" x14ac:dyDescent="0.25">
      <c r="A1262" s="1" t="s">
        <v>2591</v>
      </c>
      <c r="B1262" s="1" t="s">
        <v>27</v>
      </c>
      <c r="C1262" s="1">
        <v>300</v>
      </c>
      <c r="D1262" s="1">
        <v>0</v>
      </c>
      <c r="E1262" s="1" t="str">
        <f t="shared" si="38"/>
        <v>(A300)</v>
      </c>
      <c r="F1262" s="1" t="str">
        <f t="shared" si="39"/>
        <v>alter type result303_o_23 (A300).</v>
      </c>
    </row>
    <row r="1263" spans="1:6" x14ac:dyDescent="0.25">
      <c r="A1263" s="1" t="s">
        <v>2592</v>
      </c>
      <c r="B1263" s="1" t="s">
        <v>27</v>
      </c>
      <c r="C1263" s="1">
        <v>300</v>
      </c>
      <c r="D1263" s="1">
        <v>0</v>
      </c>
      <c r="E1263" s="1" t="str">
        <f t="shared" si="38"/>
        <v>(A300)</v>
      </c>
      <c r="F1263" s="1" t="str">
        <f t="shared" si="39"/>
        <v>alter type result3061_o_23 (A300).</v>
      </c>
    </row>
    <row r="1264" spans="1:6" x14ac:dyDescent="0.25">
      <c r="A1264" s="1" t="s">
        <v>2593</v>
      </c>
      <c r="B1264" s="1" t="s">
        <v>27</v>
      </c>
      <c r="C1264" s="1">
        <v>300</v>
      </c>
      <c r="D1264" s="1">
        <v>0</v>
      </c>
      <c r="E1264" s="1" t="str">
        <f t="shared" si="38"/>
        <v>(A300)</v>
      </c>
      <c r="F1264" s="1" t="str">
        <f t="shared" si="39"/>
        <v>alter type result3062_o_23 (A300).</v>
      </c>
    </row>
    <row r="1265" spans="1:6" x14ac:dyDescent="0.25">
      <c r="A1265" s="1" t="s">
        <v>2594</v>
      </c>
      <c r="B1265" s="1" t="s">
        <v>27</v>
      </c>
      <c r="C1265" s="1">
        <v>300</v>
      </c>
      <c r="D1265" s="1">
        <v>0</v>
      </c>
      <c r="E1265" s="1" t="str">
        <f t="shared" ref="E1265:E1328" si="40">IF(B1265="數值","(F"&amp;C1265&amp;"."&amp;D1265&amp;")","(A"&amp;C1265&amp;")")</f>
        <v>(A300)</v>
      </c>
      <c r="F1265" s="1" t="str">
        <f t="shared" ref="F1265:F1328" si="41">"alter type "&amp;A1265&amp;" "&amp;E1265&amp;"."</f>
        <v>alter type result404_o_23 (A300).</v>
      </c>
    </row>
    <row r="1266" spans="1:6" x14ac:dyDescent="0.25">
      <c r="A1266" s="1" t="s">
        <v>2595</v>
      </c>
      <c r="B1266" s="1" t="s">
        <v>27</v>
      </c>
      <c r="C1266" s="1">
        <v>300</v>
      </c>
      <c r="D1266" s="1">
        <v>0</v>
      </c>
      <c r="E1266" s="1" t="str">
        <f t="shared" si="40"/>
        <v>(A300)</v>
      </c>
      <c r="F1266" s="1" t="str">
        <f t="shared" si="41"/>
        <v>alter type result504_o_23 (A300).</v>
      </c>
    </row>
    <row r="1267" spans="1:6" x14ac:dyDescent="0.25">
      <c r="A1267" s="1" t="s">
        <v>2596</v>
      </c>
      <c r="B1267" s="1" t="s">
        <v>27</v>
      </c>
      <c r="C1267" s="1">
        <v>300</v>
      </c>
      <c r="D1267" s="1">
        <v>0</v>
      </c>
      <c r="E1267" s="1" t="str">
        <f t="shared" si="40"/>
        <v>(A300)</v>
      </c>
      <c r="F1267" s="1" t="str">
        <f t="shared" si="41"/>
        <v>alter type result608_o_23 (A300).</v>
      </c>
    </row>
    <row r="1268" spans="1:6" x14ac:dyDescent="0.25">
      <c r="A1268" s="1" t="s">
        <v>2597</v>
      </c>
      <c r="B1268" s="1" t="s">
        <v>27</v>
      </c>
      <c r="C1268" s="1">
        <v>300</v>
      </c>
      <c r="D1268" s="1">
        <v>0</v>
      </c>
      <c r="E1268" s="1" t="str">
        <f t="shared" si="40"/>
        <v>(A300)</v>
      </c>
      <c r="F1268" s="1" t="str">
        <f t="shared" si="41"/>
        <v>alter type result311_o_23 (A300).</v>
      </c>
    </row>
    <row r="1269" spans="1:6" x14ac:dyDescent="0.25">
      <c r="A1269" s="1" t="s">
        <v>2598</v>
      </c>
      <c r="B1269" s="1" t="s">
        <v>27</v>
      </c>
      <c r="C1269" s="1">
        <v>300</v>
      </c>
      <c r="D1269" s="1">
        <v>0</v>
      </c>
      <c r="E1269" s="1" t="str">
        <f t="shared" si="40"/>
        <v>(A300)</v>
      </c>
      <c r="F1269" s="1" t="str">
        <f t="shared" si="41"/>
        <v>alter type result607_o_23 (A300).</v>
      </c>
    </row>
    <row r="1270" spans="1:6" x14ac:dyDescent="0.25">
      <c r="A1270" s="1" t="s">
        <v>2599</v>
      </c>
      <c r="B1270" s="1" t="s">
        <v>27</v>
      </c>
      <c r="C1270" s="1">
        <v>300</v>
      </c>
      <c r="D1270" s="1">
        <v>0</v>
      </c>
      <c r="E1270" s="1" t="str">
        <f t="shared" si="40"/>
        <v>(A300)</v>
      </c>
      <c r="F1270" s="1" t="str">
        <f t="shared" si="41"/>
        <v>alter type result999_o_23 (A300).</v>
      </c>
    </row>
    <row r="1271" spans="1:6" x14ac:dyDescent="0.25">
      <c r="A1271" s="1" t="s">
        <v>2600</v>
      </c>
      <c r="B1271" s="1" t="s">
        <v>30</v>
      </c>
      <c r="C1271" s="1">
        <v>2</v>
      </c>
      <c r="D1271" s="1">
        <v>0</v>
      </c>
      <c r="E1271" s="1" t="str">
        <f t="shared" si="40"/>
        <v>(F2.0)</v>
      </c>
      <c r="F1271" s="1" t="str">
        <f t="shared" si="41"/>
        <v>alter type at1_23 (F2.0).</v>
      </c>
    </row>
    <row r="1272" spans="1:6" x14ac:dyDescent="0.25">
      <c r="A1272" s="1" t="s">
        <v>2601</v>
      </c>
      <c r="B1272" s="1" t="s">
        <v>27</v>
      </c>
      <c r="C1272" s="1">
        <v>300</v>
      </c>
      <c r="D1272" s="1">
        <v>0</v>
      </c>
      <c r="E1272" s="1" t="str">
        <f t="shared" si="40"/>
        <v>(A300)</v>
      </c>
      <c r="F1272" s="1" t="str">
        <f t="shared" si="41"/>
        <v>alter type at1_o04_23 (A300).</v>
      </c>
    </row>
    <row r="1273" spans="1:6" x14ac:dyDescent="0.25">
      <c r="A1273" s="1" t="s">
        <v>2602</v>
      </c>
      <c r="B1273" s="1" t="s">
        <v>30</v>
      </c>
      <c r="C1273" s="1">
        <v>8</v>
      </c>
      <c r="D1273" s="1">
        <v>0</v>
      </c>
      <c r="E1273" s="1" t="str">
        <f t="shared" si="40"/>
        <v>(F8.0)</v>
      </c>
      <c r="F1273" s="1" t="str">
        <f t="shared" si="41"/>
        <v>alter type vdate_24 (F8.0).</v>
      </c>
    </row>
    <row r="1274" spans="1:6" x14ac:dyDescent="0.25">
      <c r="A1274" s="1" t="s">
        <v>2603</v>
      </c>
      <c r="B1274" s="1" t="s">
        <v>30</v>
      </c>
      <c r="C1274" s="1">
        <v>1</v>
      </c>
      <c r="D1274" s="1">
        <v>0</v>
      </c>
      <c r="E1274" s="1" t="str">
        <f t="shared" si="40"/>
        <v>(F1.0)</v>
      </c>
      <c r="F1274" s="1" t="str">
        <f t="shared" si="41"/>
        <v>alter type vt_24 (F1.0).</v>
      </c>
    </row>
    <row r="1275" spans="1:6" x14ac:dyDescent="0.25">
      <c r="A1275" s="1" t="s">
        <v>2604</v>
      </c>
      <c r="B1275" s="1" t="s">
        <v>30</v>
      </c>
      <c r="C1275" s="1">
        <v>4</v>
      </c>
      <c r="D1275" s="1">
        <v>0</v>
      </c>
      <c r="E1275" s="1" t="str">
        <f t="shared" si="40"/>
        <v>(F4.0)</v>
      </c>
      <c r="F1275" s="1" t="str">
        <f t="shared" si="41"/>
        <v>alter type vr_24 (F4.0).</v>
      </c>
    </row>
    <row r="1276" spans="1:6" x14ac:dyDescent="0.25">
      <c r="A1276" s="1" t="s">
        <v>2605</v>
      </c>
      <c r="B1276" s="1" t="s">
        <v>27</v>
      </c>
      <c r="C1276" s="1">
        <v>300</v>
      </c>
      <c r="D1276" s="1">
        <v>0</v>
      </c>
      <c r="E1276" s="1" t="str">
        <f t="shared" si="40"/>
        <v>(A300)</v>
      </c>
      <c r="F1276" s="1" t="str">
        <f t="shared" si="41"/>
        <v>alter type result303_o_24 (A300).</v>
      </c>
    </row>
    <row r="1277" spans="1:6" x14ac:dyDescent="0.25">
      <c r="A1277" s="1" t="s">
        <v>2606</v>
      </c>
      <c r="B1277" s="1" t="s">
        <v>27</v>
      </c>
      <c r="C1277" s="1">
        <v>300</v>
      </c>
      <c r="D1277" s="1">
        <v>0</v>
      </c>
      <c r="E1277" s="1" t="str">
        <f t="shared" si="40"/>
        <v>(A300)</v>
      </c>
      <c r="F1277" s="1" t="str">
        <f t="shared" si="41"/>
        <v>alter type result3061_o_24 (A300).</v>
      </c>
    </row>
    <row r="1278" spans="1:6" x14ac:dyDescent="0.25">
      <c r="A1278" s="1" t="s">
        <v>2607</v>
      </c>
      <c r="B1278" s="1" t="s">
        <v>27</v>
      </c>
      <c r="C1278" s="1">
        <v>300</v>
      </c>
      <c r="D1278" s="1">
        <v>0</v>
      </c>
      <c r="E1278" s="1" t="str">
        <f t="shared" si="40"/>
        <v>(A300)</v>
      </c>
      <c r="F1278" s="1" t="str">
        <f t="shared" si="41"/>
        <v>alter type result3062_o_24 (A300).</v>
      </c>
    </row>
    <row r="1279" spans="1:6" x14ac:dyDescent="0.25">
      <c r="A1279" s="1" t="s">
        <v>2608</v>
      </c>
      <c r="B1279" s="1" t="s">
        <v>27</v>
      </c>
      <c r="C1279" s="1">
        <v>300</v>
      </c>
      <c r="D1279" s="1">
        <v>0</v>
      </c>
      <c r="E1279" s="1" t="str">
        <f t="shared" si="40"/>
        <v>(A300)</v>
      </c>
      <c r="F1279" s="1" t="str">
        <f t="shared" si="41"/>
        <v>alter type result404_o_24 (A300).</v>
      </c>
    </row>
    <row r="1280" spans="1:6" x14ac:dyDescent="0.25">
      <c r="A1280" s="1" t="s">
        <v>2609</v>
      </c>
      <c r="B1280" s="1" t="s">
        <v>27</v>
      </c>
      <c r="C1280" s="1">
        <v>300</v>
      </c>
      <c r="D1280" s="1">
        <v>0</v>
      </c>
      <c r="E1280" s="1" t="str">
        <f t="shared" si="40"/>
        <v>(A300)</v>
      </c>
      <c r="F1280" s="1" t="str">
        <f t="shared" si="41"/>
        <v>alter type result504_o_24 (A300).</v>
      </c>
    </row>
    <row r="1281" spans="1:6" x14ac:dyDescent="0.25">
      <c r="A1281" s="1" t="s">
        <v>2610</v>
      </c>
      <c r="B1281" s="1" t="s">
        <v>27</v>
      </c>
      <c r="C1281" s="1">
        <v>300</v>
      </c>
      <c r="D1281" s="1">
        <v>0</v>
      </c>
      <c r="E1281" s="1" t="str">
        <f t="shared" si="40"/>
        <v>(A300)</v>
      </c>
      <c r="F1281" s="1" t="str">
        <f t="shared" si="41"/>
        <v>alter type result608_o_24 (A300).</v>
      </c>
    </row>
    <row r="1282" spans="1:6" x14ac:dyDescent="0.25">
      <c r="A1282" s="1" t="s">
        <v>2611</v>
      </c>
      <c r="B1282" s="1" t="s">
        <v>27</v>
      </c>
      <c r="C1282" s="1">
        <v>300</v>
      </c>
      <c r="D1282" s="1">
        <v>0</v>
      </c>
      <c r="E1282" s="1" t="str">
        <f t="shared" si="40"/>
        <v>(A300)</v>
      </c>
      <c r="F1282" s="1" t="str">
        <f t="shared" si="41"/>
        <v>alter type result311_o_24 (A300).</v>
      </c>
    </row>
    <row r="1283" spans="1:6" x14ac:dyDescent="0.25">
      <c r="A1283" s="1" t="s">
        <v>2612</v>
      </c>
      <c r="B1283" s="1" t="s">
        <v>27</v>
      </c>
      <c r="C1283" s="1">
        <v>300</v>
      </c>
      <c r="D1283" s="1">
        <v>0</v>
      </c>
      <c r="E1283" s="1" t="str">
        <f t="shared" si="40"/>
        <v>(A300)</v>
      </c>
      <c r="F1283" s="1" t="str">
        <f t="shared" si="41"/>
        <v>alter type result607_o_24 (A300).</v>
      </c>
    </row>
    <row r="1284" spans="1:6" x14ac:dyDescent="0.25">
      <c r="A1284" s="1" t="s">
        <v>2613</v>
      </c>
      <c r="B1284" s="1" t="s">
        <v>27</v>
      </c>
      <c r="C1284" s="1">
        <v>300</v>
      </c>
      <c r="D1284" s="1">
        <v>0</v>
      </c>
      <c r="E1284" s="1" t="str">
        <f t="shared" si="40"/>
        <v>(A300)</v>
      </c>
      <c r="F1284" s="1" t="str">
        <f t="shared" si="41"/>
        <v>alter type result999_o_24 (A300).</v>
      </c>
    </row>
    <row r="1285" spans="1:6" x14ac:dyDescent="0.25">
      <c r="A1285" s="1" t="s">
        <v>2614</v>
      </c>
      <c r="B1285" s="1" t="s">
        <v>30</v>
      </c>
      <c r="C1285" s="1">
        <v>2</v>
      </c>
      <c r="D1285" s="1">
        <v>0</v>
      </c>
      <c r="E1285" s="1" t="str">
        <f t="shared" si="40"/>
        <v>(F2.0)</v>
      </c>
      <c r="F1285" s="1" t="str">
        <f t="shared" si="41"/>
        <v>alter type at1_24 (F2.0).</v>
      </c>
    </row>
    <row r="1286" spans="1:6" x14ac:dyDescent="0.25">
      <c r="A1286" s="1" t="s">
        <v>2615</v>
      </c>
      <c r="B1286" s="1" t="s">
        <v>27</v>
      </c>
      <c r="C1286" s="1">
        <v>300</v>
      </c>
      <c r="D1286" s="1">
        <v>0</v>
      </c>
      <c r="E1286" s="1" t="str">
        <f t="shared" si="40"/>
        <v>(A300)</v>
      </c>
      <c r="F1286" s="1" t="str">
        <f t="shared" si="41"/>
        <v>alter type at1_o04_24 (A300).</v>
      </c>
    </row>
    <row r="1287" spans="1:6" x14ac:dyDescent="0.25">
      <c r="A1287" s="1" t="s">
        <v>2616</v>
      </c>
      <c r="B1287" s="1" t="s">
        <v>30</v>
      </c>
      <c r="C1287" s="1">
        <v>8</v>
      </c>
      <c r="D1287" s="1">
        <v>0</v>
      </c>
      <c r="E1287" s="1" t="str">
        <f t="shared" si="40"/>
        <v>(F8.0)</v>
      </c>
      <c r="F1287" s="1" t="str">
        <f t="shared" si="41"/>
        <v>alter type vdate_25 (F8.0).</v>
      </c>
    </row>
    <row r="1288" spans="1:6" x14ac:dyDescent="0.25">
      <c r="A1288" s="1" t="s">
        <v>2617</v>
      </c>
      <c r="B1288" s="1" t="s">
        <v>30</v>
      </c>
      <c r="C1288" s="1">
        <v>1</v>
      </c>
      <c r="D1288" s="1">
        <v>0</v>
      </c>
      <c r="E1288" s="1" t="str">
        <f t="shared" si="40"/>
        <v>(F1.0)</v>
      </c>
      <c r="F1288" s="1" t="str">
        <f t="shared" si="41"/>
        <v>alter type vt_25 (F1.0).</v>
      </c>
    </row>
    <row r="1289" spans="1:6" x14ac:dyDescent="0.25">
      <c r="A1289" s="1" t="s">
        <v>2618</v>
      </c>
      <c r="B1289" s="1" t="s">
        <v>30</v>
      </c>
      <c r="C1289" s="1">
        <v>4</v>
      </c>
      <c r="D1289" s="1">
        <v>0</v>
      </c>
      <c r="E1289" s="1" t="str">
        <f t="shared" si="40"/>
        <v>(F4.0)</v>
      </c>
      <c r="F1289" s="1" t="str">
        <f t="shared" si="41"/>
        <v>alter type vr_25 (F4.0).</v>
      </c>
    </row>
    <row r="1290" spans="1:6" x14ac:dyDescent="0.25">
      <c r="A1290" s="1" t="s">
        <v>2619</v>
      </c>
      <c r="B1290" s="1" t="s">
        <v>27</v>
      </c>
      <c r="C1290" s="1">
        <v>300</v>
      </c>
      <c r="D1290" s="1">
        <v>0</v>
      </c>
      <c r="E1290" s="1" t="str">
        <f t="shared" si="40"/>
        <v>(A300)</v>
      </c>
      <c r="F1290" s="1" t="str">
        <f t="shared" si="41"/>
        <v>alter type result303_o_25 (A300).</v>
      </c>
    </row>
    <row r="1291" spans="1:6" x14ac:dyDescent="0.25">
      <c r="A1291" s="1" t="s">
        <v>2620</v>
      </c>
      <c r="B1291" s="1" t="s">
        <v>27</v>
      </c>
      <c r="C1291" s="1">
        <v>300</v>
      </c>
      <c r="D1291" s="1">
        <v>0</v>
      </c>
      <c r="E1291" s="1" t="str">
        <f t="shared" si="40"/>
        <v>(A300)</v>
      </c>
      <c r="F1291" s="1" t="str">
        <f t="shared" si="41"/>
        <v>alter type result3061_o_25 (A300).</v>
      </c>
    </row>
    <row r="1292" spans="1:6" x14ac:dyDescent="0.25">
      <c r="A1292" s="1" t="s">
        <v>2621</v>
      </c>
      <c r="B1292" s="1" t="s">
        <v>27</v>
      </c>
      <c r="C1292" s="1">
        <v>300</v>
      </c>
      <c r="D1292" s="1">
        <v>0</v>
      </c>
      <c r="E1292" s="1" t="str">
        <f t="shared" si="40"/>
        <v>(A300)</v>
      </c>
      <c r="F1292" s="1" t="str">
        <f t="shared" si="41"/>
        <v>alter type result3062_o_25 (A300).</v>
      </c>
    </row>
    <row r="1293" spans="1:6" x14ac:dyDescent="0.25">
      <c r="A1293" s="1" t="s">
        <v>2622</v>
      </c>
      <c r="B1293" s="1" t="s">
        <v>27</v>
      </c>
      <c r="C1293" s="1">
        <v>300</v>
      </c>
      <c r="D1293" s="1">
        <v>0</v>
      </c>
      <c r="E1293" s="1" t="str">
        <f t="shared" si="40"/>
        <v>(A300)</v>
      </c>
      <c r="F1293" s="1" t="str">
        <f t="shared" si="41"/>
        <v>alter type result404_o_25 (A300).</v>
      </c>
    </row>
    <row r="1294" spans="1:6" x14ac:dyDescent="0.25">
      <c r="A1294" s="1" t="s">
        <v>2623</v>
      </c>
      <c r="B1294" s="1" t="s">
        <v>27</v>
      </c>
      <c r="C1294" s="1">
        <v>300</v>
      </c>
      <c r="D1294" s="1">
        <v>0</v>
      </c>
      <c r="E1294" s="1" t="str">
        <f t="shared" si="40"/>
        <v>(A300)</v>
      </c>
      <c r="F1294" s="1" t="str">
        <f t="shared" si="41"/>
        <v>alter type result504_o_25 (A300).</v>
      </c>
    </row>
    <row r="1295" spans="1:6" x14ac:dyDescent="0.25">
      <c r="A1295" s="1" t="s">
        <v>2624</v>
      </c>
      <c r="B1295" s="1" t="s">
        <v>27</v>
      </c>
      <c r="C1295" s="1">
        <v>300</v>
      </c>
      <c r="D1295" s="1">
        <v>0</v>
      </c>
      <c r="E1295" s="1" t="str">
        <f t="shared" si="40"/>
        <v>(A300)</v>
      </c>
      <c r="F1295" s="1" t="str">
        <f t="shared" si="41"/>
        <v>alter type result608_o_25 (A300).</v>
      </c>
    </row>
    <row r="1296" spans="1:6" x14ac:dyDescent="0.25">
      <c r="A1296" s="1" t="s">
        <v>2625</v>
      </c>
      <c r="B1296" s="1" t="s">
        <v>27</v>
      </c>
      <c r="C1296" s="1">
        <v>300</v>
      </c>
      <c r="D1296" s="1">
        <v>0</v>
      </c>
      <c r="E1296" s="1" t="str">
        <f t="shared" si="40"/>
        <v>(A300)</v>
      </c>
      <c r="F1296" s="1" t="str">
        <f t="shared" si="41"/>
        <v>alter type result311_o_25 (A300).</v>
      </c>
    </row>
    <row r="1297" spans="1:6" x14ac:dyDescent="0.25">
      <c r="A1297" s="1" t="s">
        <v>2626</v>
      </c>
      <c r="B1297" s="1" t="s">
        <v>27</v>
      </c>
      <c r="C1297" s="1">
        <v>300</v>
      </c>
      <c r="D1297" s="1">
        <v>0</v>
      </c>
      <c r="E1297" s="1" t="str">
        <f t="shared" si="40"/>
        <v>(A300)</v>
      </c>
      <c r="F1297" s="1" t="str">
        <f t="shared" si="41"/>
        <v>alter type result607_o_25 (A300).</v>
      </c>
    </row>
    <row r="1298" spans="1:6" x14ac:dyDescent="0.25">
      <c r="A1298" s="1" t="s">
        <v>2627</v>
      </c>
      <c r="B1298" s="1" t="s">
        <v>27</v>
      </c>
      <c r="C1298" s="1">
        <v>300</v>
      </c>
      <c r="D1298" s="1">
        <v>0</v>
      </c>
      <c r="E1298" s="1" t="str">
        <f t="shared" si="40"/>
        <v>(A300)</v>
      </c>
      <c r="F1298" s="1" t="str">
        <f t="shared" si="41"/>
        <v>alter type result999_o_25 (A300).</v>
      </c>
    </row>
    <row r="1299" spans="1:6" x14ac:dyDescent="0.25">
      <c r="A1299" s="1" t="s">
        <v>2628</v>
      </c>
      <c r="B1299" s="1" t="s">
        <v>30</v>
      </c>
      <c r="C1299" s="1">
        <v>2</v>
      </c>
      <c r="D1299" s="1">
        <v>0</v>
      </c>
      <c r="E1299" s="1" t="str">
        <f t="shared" si="40"/>
        <v>(F2.0)</v>
      </c>
      <c r="F1299" s="1" t="str">
        <f t="shared" si="41"/>
        <v>alter type at1_25 (F2.0).</v>
      </c>
    </row>
    <row r="1300" spans="1:6" x14ac:dyDescent="0.25">
      <c r="A1300" s="1" t="s">
        <v>2629</v>
      </c>
      <c r="B1300" s="1" t="s">
        <v>27</v>
      </c>
      <c r="C1300" s="1">
        <v>300</v>
      </c>
      <c r="D1300" s="1">
        <v>0</v>
      </c>
      <c r="E1300" s="1" t="str">
        <f t="shared" si="40"/>
        <v>(A300)</v>
      </c>
      <c r="F1300" s="1" t="str">
        <f t="shared" si="41"/>
        <v>alter type at1_o04_25 (A300).</v>
      </c>
    </row>
    <row r="1301" spans="1:6" x14ac:dyDescent="0.25">
      <c r="A1301" s="1" t="s">
        <v>2630</v>
      </c>
      <c r="B1301" s="1" t="s">
        <v>30</v>
      </c>
      <c r="C1301" s="1">
        <v>8</v>
      </c>
      <c r="D1301" s="1">
        <v>0</v>
      </c>
      <c r="E1301" s="1" t="str">
        <f t="shared" si="40"/>
        <v>(F8.0)</v>
      </c>
      <c r="F1301" s="1" t="str">
        <f t="shared" si="41"/>
        <v>alter type vdate_26 (F8.0).</v>
      </c>
    </row>
    <row r="1302" spans="1:6" x14ac:dyDescent="0.25">
      <c r="A1302" s="1" t="s">
        <v>2631</v>
      </c>
      <c r="B1302" s="1" t="s">
        <v>30</v>
      </c>
      <c r="C1302" s="1">
        <v>1</v>
      </c>
      <c r="D1302" s="1">
        <v>0</v>
      </c>
      <c r="E1302" s="1" t="str">
        <f t="shared" si="40"/>
        <v>(F1.0)</v>
      </c>
      <c r="F1302" s="1" t="str">
        <f t="shared" si="41"/>
        <v>alter type vt_26 (F1.0).</v>
      </c>
    </row>
    <row r="1303" spans="1:6" x14ac:dyDescent="0.25">
      <c r="A1303" s="1" t="s">
        <v>2632</v>
      </c>
      <c r="B1303" s="1" t="s">
        <v>30</v>
      </c>
      <c r="C1303" s="1">
        <v>4</v>
      </c>
      <c r="D1303" s="1">
        <v>0</v>
      </c>
      <c r="E1303" s="1" t="str">
        <f t="shared" si="40"/>
        <v>(F4.0)</v>
      </c>
      <c r="F1303" s="1" t="str">
        <f t="shared" si="41"/>
        <v>alter type vr_26 (F4.0).</v>
      </c>
    </row>
    <row r="1304" spans="1:6" x14ac:dyDescent="0.25">
      <c r="A1304" s="1" t="s">
        <v>2633</v>
      </c>
      <c r="B1304" s="1" t="s">
        <v>27</v>
      </c>
      <c r="C1304" s="1">
        <v>300</v>
      </c>
      <c r="D1304" s="1">
        <v>0</v>
      </c>
      <c r="E1304" s="1" t="str">
        <f t="shared" si="40"/>
        <v>(A300)</v>
      </c>
      <c r="F1304" s="1" t="str">
        <f t="shared" si="41"/>
        <v>alter type result303_o_26 (A300).</v>
      </c>
    </row>
    <row r="1305" spans="1:6" x14ac:dyDescent="0.25">
      <c r="A1305" s="1" t="s">
        <v>2634</v>
      </c>
      <c r="B1305" s="1" t="s">
        <v>27</v>
      </c>
      <c r="C1305" s="1">
        <v>300</v>
      </c>
      <c r="D1305" s="1">
        <v>0</v>
      </c>
      <c r="E1305" s="1" t="str">
        <f t="shared" si="40"/>
        <v>(A300)</v>
      </c>
      <c r="F1305" s="1" t="str">
        <f t="shared" si="41"/>
        <v>alter type result3061_o_26 (A300).</v>
      </c>
    </row>
    <row r="1306" spans="1:6" x14ac:dyDescent="0.25">
      <c r="A1306" s="1" t="s">
        <v>2635</v>
      </c>
      <c r="B1306" s="1" t="s">
        <v>27</v>
      </c>
      <c r="C1306" s="1">
        <v>300</v>
      </c>
      <c r="D1306" s="1">
        <v>0</v>
      </c>
      <c r="E1306" s="1" t="str">
        <f t="shared" si="40"/>
        <v>(A300)</v>
      </c>
      <c r="F1306" s="1" t="str">
        <f t="shared" si="41"/>
        <v>alter type result3062_o_26 (A300).</v>
      </c>
    </row>
    <row r="1307" spans="1:6" x14ac:dyDescent="0.25">
      <c r="A1307" s="1" t="s">
        <v>2636</v>
      </c>
      <c r="B1307" s="1" t="s">
        <v>27</v>
      </c>
      <c r="C1307" s="1">
        <v>300</v>
      </c>
      <c r="D1307" s="1">
        <v>0</v>
      </c>
      <c r="E1307" s="1" t="str">
        <f t="shared" si="40"/>
        <v>(A300)</v>
      </c>
      <c r="F1307" s="1" t="str">
        <f t="shared" si="41"/>
        <v>alter type result404_o_26 (A300).</v>
      </c>
    </row>
    <row r="1308" spans="1:6" x14ac:dyDescent="0.25">
      <c r="A1308" s="1" t="s">
        <v>2637</v>
      </c>
      <c r="B1308" s="1" t="s">
        <v>27</v>
      </c>
      <c r="C1308" s="1">
        <v>300</v>
      </c>
      <c r="D1308" s="1">
        <v>0</v>
      </c>
      <c r="E1308" s="1" t="str">
        <f t="shared" si="40"/>
        <v>(A300)</v>
      </c>
      <c r="F1308" s="1" t="str">
        <f t="shared" si="41"/>
        <v>alter type result504_o_26 (A300).</v>
      </c>
    </row>
    <row r="1309" spans="1:6" x14ac:dyDescent="0.25">
      <c r="A1309" s="1" t="s">
        <v>2638</v>
      </c>
      <c r="B1309" s="1" t="s">
        <v>27</v>
      </c>
      <c r="C1309" s="1">
        <v>300</v>
      </c>
      <c r="D1309" s="1">
        <v>0</v>
      </c>
      <c r="E1309" s="1" t="str">
        <f t="shared" si="40"/>
        <v>(A300)</v>
      </c>
      <c r="F1309" s="1" t="str">
        <f t="shared" si="41"/>
        <v>alter type result608_o_26 (A300).</v>
      </c>
    </row>
    <row r="1310" spans="1:6" x14ac:dyDescent="0.25">
      <c r="A1310" s="1" t="s">
        <v>2639</v>
      </c>
      <c r="B1310" s="1" t="s">
        <v>27</v>
      </c>
      <c r="C1310" s="1">
        <v>300</v>
      </c>
      <c r="D1310" s="1">
        <v>0</v>
      </c>
      <c r="E1310" s="1" t="str">
        <f t="shared" si="40"/>
        <v>(A300)</v>
      </c>
      <c r="F1310" s="1" t="str">
        <f t="shared" si="41"/>
        <v>alter type result311_o_26 (A300).</v>
      </c>
    </row>
    <row r="1311" spans="1:6" x14ac:dyDescent="0.25">
      <c r="A1311" s="1" t="s">
        <v>2640</v>
      </c>
      <c r="B1311" s="1" t="s">
        <v>27</v>
      </c>
      <c r="C1311" s="1">
        <v>300</v>
      </c>
      <c r="D1311" s="1">
        <v>0</v>
      </c>
      <c r="E1311" s="1" t="str">
        <f t="shared" si="40"/>
        <v>(A300)</v>
      </c>
      <c r="F1311" s="1" t="str">
        <f t="shared" si="41"/>
        <v>alter type result607_o_26 (A300).</v>
      </c>
    </row>
    <row r="1312" spans="1:6" x14ac:dyDescent="0.25">
      <c r="A1312" s="1" t="s">
        <v>2641</v>
      </c>
      <c r="B1312" s="1" t="s">
        <v>27</v>
      </c>
      <c r="C1312" s="1">
        <v>300</v>
      </c>
      <c r="D1312" s="1">
        <v>0</v>
      </c>
      <c r="E1312" s="1" t="str">
        <f t="shared" si="40"/>
        <v>(A300)</v>
      </c>
      <c r="F1312" s="1" t="str">
        <f t="shared" si="41"/>
        <v>alter type result999_o_26 (A300).</v>
      </c>
    </row>
    <row r="1313" spans="1:6" x14ac:dyDescent="0.25">
      <c r="A1313" s="1" t="s">
        <v>2642</v>
      </c>
      <c r="B1313" s="1" t="s">
        <v>30</v>
      </c>
      <c r="C1313" s="1">
        <v>2</v>
      </c>
      <c r="D1313" s="1">
        <v>0</v>
      </c>
      <c r="E1313" s="1" t="str">
        <f t="shared" si="40"/>
        <v>(F2.0)</v>
      </c>
      <c r="F1313" s="1" t="str">
        <f t="shared" si="41"/>
        <v>alter type at1_26 (F2.0).</v>
      </c>
    </row>
    <row r="1314" spans="1:6" x14ac:dyDescent="0.25">
      <c r="A1314" s="1" t="s">
        <v>2643</v>
      </c>
      <c r="B1314" s="1" t="s">
        <v>27</v>
      </c>
      <c r="C1314" s="1">
        <v>300</v>
      </c>
      <c r="D1314" s="1">
        <v>0</v>
      </c>
      <c r="E1314" s="1" t="str">
        <f t="shared" si="40"/>
        <v>(A300)</v>
      </c>
      <c r="F1314" s="1" t="str">
        <f t="shared" si="41"/>
        <v>alter type at1_o04_26 (A300).</v>
      </c>
    </row>
    <row r="1315" spans="1:6" x14ac:dyDescent="0.25">
      <c r="A1315" s="1" t="s">
        <v>2644</v>
      </c>
      <c r="B1315" s="1" t="s">
        <v>30</v>
      </c>
      <c r="C1315" s="1">
        <v>8</v>
      </c>
      <c r="D1315" s="1">
        <v>0</v>
      </c>
      <c r="E1315" s="1" t="str">
        <f t="shared" si="40"/>
        <v>(F8.0)</v>
      </c>
      <c r="F1315" s="1" t="str">
        <f t="shared" si="41"/>
        <v>alter type vdate_27 (F8.0).</v>
      </c>
    </row>
    <row r="1316" spans="1:6" x14ac:dyDescent="0.25">
      <c r="A1316" s="1" t="s">
        <v>2645</v>
      </c>
      <c r="B1316" s="1" t="s">
        <v>30</v>
      </c>
      <c r="C1316" s="1">
        <v>1</v>
      </c>
      <c r="D1316" s="1">
        <v>0</v>
      </c>
      <c r="E1316" s="1" t="str">
        <f t="shared" si="40"/>
        <v>(F1.0)</v>
      </c>
      <c r="F1316" s="1" t="str">
        <f t="shared" si="41"/>
        <v>alter type vt_27 (F1.0).</v>
      </c>
    </row>
    <row r="1317" spans="1:6" x14ac:dyDescent="0.25">
      <c r="A1317" s="1" t="s">
        <v>2646</v>
      </c>
      <c r="B1317" s="1" t="s">
        <v>30</v>
      </c>
      <c r="C1317" s="1">
        <v>4</v>
      </c>
      <c r="D1317" s="1">
        <v>0</v>
      </c>
      <c r="E1317" s="1" t="str">
        <f t="shared" si="40"/>
        <v>(F4.0)</v>
      </c>
      <c r="F1317" s="1" t="str">
        <f t="shared" si="41"/>
        <v>alter type vr_27 (F4.0).</v>
      </c>
    </row>
    <row r="1318" spans="1:6" x14ac:dyDescent="0.25">
      <c r="A1318" s="1" t="s">
        <v>2647</v>
      </c>
      <c r="B1318" s="1" t="s">
        <v>27</v>
      </c>
      <c r="C1318" s="1">
        <v>300</v>
      </c>
      <c r="D1318" s="1">
        <v>0</v>
      </c>
      <c r="E1318" s="1" t="str">
        <f t="shared" si="40"/>
        <v>(A300)</v>
      </c>
      <c r="F1318" s="1" t="str">
        <f t="shared" si="41"/>
        <v>alter type result303_o_27 (A300).</v>
      </c>
    </row>
    <row r="1319" spans="1:6" x14ac:dyDescent="0.25">
      <c r="A1319" s="1" t="s">
        <v>2648</v>
      </c>
      <c r="B1319" s="1" t="s">
        <v>27</v>
      </c>
      <c r="C1319" s="1">
        <v>300</v>
      </c>
      <c r="D1319" s="1">
        <v>0</v>
      </c>
      <c r="E1319" s="1" t="str">
        <f t="shared" si="40"/>
        <v>(A300)</v>
      </c>
      <c r="F1319" s="1" t="str">
        <f t="shared" si="41"/>
        <v>alter type result3061_o_27 (A300).</v>
      </c>
    </row>
    <row r="1320" spans="1:6" x14ac:dyDescent="0.25">
      <c r="A1320" s="1" t="s">
        <v>2649</v>
      </c>
      <c r="B1320" s="1" t="s">
        <v>27</v>
      </c>
      <c r="C1320" s="1">
        <v>300</v>
      </c>
      <c r="D1320" s="1">
        <v>0</v>
      </c>
      <c r="E1320" s="1" t="str">
        <f t="shared" si="40"/>
        <v>(A300)</v>
      </c>
      <c r="F1320" s="1" t="str">
        <f t="shared" si="41"/>
        <v>alter type result3062_o_27 (A300).</v>
      </c>
    </row>
    <row r="1321" spans="1:6" x14ac:dyDescent="0.25">
      <c r="A1321" s="1" t="s">
        <v>2650</v>
      </c>
      <c r="B1321" s="1" t="s">
        <v>27</v>
      </c>
      <c r="C1321" s="1">
        <v>300</v>
      </c>
      <c r="D1321" s="1">
        <v>0</v>
      </c>
      <c r="E1321" s="1" t="str">
        <f t="shared" si="40"/>
        <v>(A300)</v>
      </c>
      <c r="F1321" s="1" t="str">
        <f t="shared" si="41"/>
        <v>alter type result404_o_27 (A300).</v>
      </c>
    </row>
    <row r="1322" spans="1:6" x14ac:dyDescent="0.25">
      <c r="A1322" s="1" t="s">
        <v>2651</v>
      </c>
      <c r="B1322" s="1" t="s">
        <v>27</v>
      </c>
      <c r="C1322" s="1">
        <v>300</v>
      </c>
      <c r="D1322" s="1">
        <v>0</v>
      </c>
      <c r="E1322" s="1" t="str">
        <f t="shared" si="40"/>
        <v>(A300)</v>
      </c>
      <c r="F1322" s="1" t="str">
        <f t="shared" si="41"/>
        <v>alter type result504_o_27 (A300).</v>
      </c>
    </row>
    <row r="1323" spans="1:6" x14ac:dyDescent="0.25">
      <c r="A1323" s="1" t="s">
        <v>2652</v>
      </c>
      <c r="B1323" s="1" t="s">
        <v>27</v>
      </c>
      <c r="C1323" s="1">
        <v>300</v>
      </c>
      <c r="D1323" s="1">
        <v>0</v>
      </c>
      <c r="E1323" s="1" t="str">
        <f t="shared" si="40"/>
        <v>(A300)</v>
      </c>
      <c r="F1323" s="1" t="str">
        <f t="shared" si="41"/>
        <v>alter type result608_o_27 (A300).</v>
      </c>
    </row>
    <row r="1324" spans="1:6" x14ac:dyDescent="0.25">
      <c r="A1324" s="1" t="s">
        <v>2653</v>
      </c>
      <c r="B1324" s="1" t="s">
        <v>27</v>
      </c>
      <c r="C1324" s="1">
        <v>300</v>
      </c>
      <c r="D1324" s="1">
        <v>0</v>
      </c>
      <c r="E1324" s="1" t="str">
        <f t="shared" si="40"/>
        <v>(A300)</v>
      </c>
      <c r="F1324" s="1" t="str">
        <f t="shared" si="41"/>
        <v>alter type result311_o_27 (A300).</v>
      </c>
    </row>
    <row r="1325" spans="1:6" x14ac:dyDescent="0.25">
      <c r="A1325" s="1" t="s">
        <v>2654</v>
      </c>
      <c r="B1325" s="1" t="s">
        <v>27</v>
      </c>
      <c r="C1325" s="1">
        <v>300</v>
      </c>
      <c r="D1325" s="1">
        <v>0</v>
      </c>
      <c r="E1325" s="1" t="str">
        <f t="shared" si="40"/>
        <v>(A300)</v>
      </c>
      <c r="F1325" s="1" t="str">
        <f t="shared" si="41"/>
        <v>alter type result607_o_27 (A300).</v>
      </c>
    </row>
    <row r="1326" spans="1:6" x14ac:dyDescent="0.25">
      <c r="A1326" s="1" t="s">
        <v>2655</v>
      </c>
      <c r="B1326" s="1" t="s">
        <v>27</v>
      </c>
      <c r="C1326" s="1">
        <v>300</v>
      </c>
      <c r="D1326" s="1">
        <v>0</v>
      </c>
      <c r="E1326" s="1" t="str">
        <f t="shared" si="40"/>
        <v>(A300)</v>
      </c>
      <c r="F1326" s="1" t="str">
        <f t="shared" si="41"/>
        <v>alter type result999_o_27 (A300).</v>
      </c>
    </row>
    <row r="1327" spans="1:6" x14ac:dyDescent="0.25">
      <c r="A1327" s="1" t="s">
        <v>2656</v>
      </c>
      <c r="B1327" s="1" t="s">
        <v>30</v>
      </c>
      <c r="C1327" s="1">
        <v>2</v>
      </c>
      <c r="D1327" s="1">
        <v>0</v>
      </c>
      <c r="E1327" s="1" t="str">
        <f t="shared" si="40"/>
        <v>(F2.0)</v>
      </c>
      <c r="F1327" s="1" t="str">
        <f t="shared" si="41"/>
        <v>alter type at1_27 (F2.0).</v>
      </c>
    </row>
    <row r="1328" spans="1:6" x14ac:dyDescent="0.25">
      <c r="A1328" s="1" t="s">
        <v>2657</v>
      </c>
      <c r="B1328" s="1" t="s">
        <v>27</v>
      </c>
      <c r="C1328" s="1">
        <v>300</v>
      </c>
      <c r="D1328" s="1">
        <v>0</v>
      </c>
      <c r="E1328" s="1" t="str">
        <f t="shared" si="40"/>
        <v>(A300)</v>
      </c>
      <c r="F1328" s="1" t="str">
        <f t="shared" si="41"/>
        <v>alter type at1_o04_27 (A300).</v>
      </c>
    </row>
    <row r="1329" spans="1:6" x14ac:dyDescent="0.25">
      <c r="A1329" s="1" t="s">
        <v>2658</v>
      </c>
      <c r="B1329" s="1" t="s">
        <v>30</v>
      </c>
      <c r="C1329" s="1">
        <v>8</v>
      </c>
      <c r="D1329" s="1">
        <v>0</v>
      </c>
      <c r="E1329" s="1" t="str">
        <f t="shared" ref="E1329:E1392" si="42">IF(B1329="數值","(F"&amp;C1329&amp;"."&amp;D1329&amp;")","(A"&amp;C1329&amp;")")</f>
        <v>(F8.0)</v>
      </c>
      <c r="F1329" s="1" t="str">
        <f t="shared" ref="F1329:F1392" si="43">"alter type "&amp;A1329&amp;" "&amp;E1329&amp;"."</f>
        <v>alter type vdate_28 (F8.0).</v>
      </c>
    </row>
    <row r="1330" spans="1:6" x14ac:dyDescent="0.25">
      <c r="A1330" s="1" t="s">
        <v>2659</v>
      </c>
      <c r="B1330" s="1" t="s">
        <v>30</v>
      </c>
      <c r="C1330" s="1">
        <v>1</v>
      </c>
      <c r="D1330" s="1">
        <v>0</v>
      </c>
      <c r="E1330" s="1" t="str">
        <f t="shared" si="42"/>
        <v>(F1.0)</v>
      </c>
      <c r="F1330" s="1" t="str">
        <f t="shared" si="43"/>
        <v>alter type vt_28 (F1.0).</v>
      </c>
    </row>
    <row r="1331" spans="1:6" x14ac:dyDescent="0.25">
      <c r="A1331" s="1" t="s">
        <v>2660</v>
      </c>
      <c r="B1331" s="1" t="s">
        <v>30</v>
      </c>
      <c r="C1331" s="1">
        <v>4</v>
      </c>
      <c r="D1331" s="1">
        <v>0</v>
      </c>
      <c r="E1331" s="1" t="str">
        <f t="shared" si="42"/>
        <v>(F4.0)</v>
      </c>
      <c r="F1331" s="1" t="str">
        <f t="shared" si="43"/>
        <v>alter type vr_28 (F4.0).</v>
      </c>
    </row>
    <row r="1332" spans="1:6" x14ac:dyDescent="0.25">
      <c r="A1332" s="1" t="s">
        <v>2661</v>
      </c>
      <c r="B1332" s="1" t="s">
        <v>27</v>
      </c>
      <c r="C1332" s="1">
        <v>300</v>
      </c>
      <c r="D1332" s="1">
        <v>0</v>
      </c>
      <c r="E1332" s="1" t="str">
        <f t="shared" si="42"/>
        <v>(A300)</v>
      </c>
      <c r="F1332" s="1" t="str">
        <f t="shared" si="43"/>
        <v>alter type result303_o_28 (A300).</v>
      </c>
    </row>
    <row r="1333" spans="1:6" x14ac:dyDescent="0.25">
      <c r="A1333" s="1" t="s">
        <v>2662</v>
      </c>
      <c r="B1333" s="1" t="s">
        <v>27</v>
      </c>
      <c r="C1333" s="1">
        <v>300</v>
      </c>
      <c r="D1333" s="1">
        <v>0</v>
      </c>
      <c r="E1333" s="1" t="str">
        <f t="shared" si="42"/>
        <v>(A300)</v>
      </c>
      <c r="F1333" s="1" t="str">
        <f t="shared" si="43"/>
        <v>alter type result3061_o_28 (A300).</v>
      </c>
    </row>
    <row r="1334" spans="1:6" x14ac:dyDescent="0.25">
      <c r="A1334" s="1" t="s">
        <v>2663</v>
      </c>
      <c r="B1334" s="1" t="s">
        <v>27</v>
      </c>
      <c r="C1334" s="1">
        <v>300</v>
      </c>
      <c r="D1334" s="1">
        <v>0</v>
      </c>
      <c r="E1334" s="1" t="str">
        <f t="shared" si="42"/>
        <v>(A300)</v>
      </c>
      <c r="F1334" s="1" t="str">
        <f t="shared" si="43"/>
        <v>alter type result3062_o_28 (A300).</v>
      </c>
    </row>
    <row r="1335" spans="1:6" x14ac:dyDescent="0.25">
      <c r="A1335" s="1" t="s">
        <v>2664</v>
      </c>
      <c r="B1335" s="1" t="s">
        <v>27</v>
      </c>
      <c r="C1335" s="1">
        <v>300</v>
      </c>
      <c r="D1335" s="1">
        <v>0</v>
      </c>
      <c r="E1335" s="1" t="str">
        <f t="shared" si="42"/>
        <v>(A300)</v>
      </c>
      <c r="F1335" s="1" t="str">
        <f t="shared" si="43"/>
        <v>alter type result404_o_28 (A300).</v>
      </c>
    </row>
    <row r="1336" spans="1:6" x14ac:dyDescent="0.25">
      <c r="A1336" s="1" t="s">
        <v>2665</v>
      </c>
      <c r="B1336" s="1" t="s">
        <v>27</v>
      </c>
      <c r="C1336" s="1">
        <v>300</v>
      </c>
      <c r="D1336" s="1">
        <v>0</v>
      </c>
      <c r="E1336" s="1" t="str">
        <f t="shared" si="42"/>
        <v>(A300)</v>
      </c>
      <c r="F1336" s="1" t="str">
        <f t="shared" si="43"/>
        <v>alter type result504_o_28 (A300).</v>
      </c>
    </row>
    <row r="1337" spans="1:6" x14ac:dyDescent="0.25">
      <c r="A1337" s="1" t="s">
        <v>2666</v>
      </c>
      <c r="B1337" s="1" t="s">
        <v>27</v>
      </c>
      <c r="C1337" s="1">
        <v>300</v>
      </c>
      <c r="D1337" s="1">
        <v>0</v>
      </c>
      <c r="E1337" s="1" t="str">
        <f t="shared" si="42"/>
        <v>(A300)</v>
      </c>
      <c r="F1337" s="1" t="str">
        <f t="shared" si="43"/>
        <v>alter type result608_o_28 (A300).</v>
      </c>
    </row>
    <row r="1338" spans="1:6" x14ac:dyDescent="0.25">
      <c r="A1338" s="1" t="s">
        <v>2667</v>
      </c>
      <c r="B1338" s="1" t="s">
        <v>27</v>
      </c>
      <c r="C1338" s="1">
        <v>300</v>
      </c>
      <c r="D1338" s="1">
        <v>0</v>
      </c>
      <c r="E1338" s="1" t="str">
        <f t="shared" si="42"/>
        <v>(A300)</v>
      </c>
      <c r="F1338" s="1" t="str">
        <f t="shared" si="43"/>
        <v>alter type result311_o_28 (A300).</v>
      </c>
    </row>
    <row r="1339" spans="1:6" x14ac:dyDescent="0.25">
      <c r="A1339" s="1" t="s">
        <v>2668</v>
      </c>
      <c r="B1339" s="1" t="s">
        <v>27</v>
      </c>
      <c r="C1339" s="1">
        <v>300</v>
      </c>
      <c r="D1339" s="1">
        <v>0</v>
      </c>
      <c r="E1339" s="1" t="str">
        <f t="shared" si="42"/>
        <v>(A300)</v>
      </c>
      <c r="F1339" s="1" t="str">
        <f t="shared" si="43"/>
        <v>alter type result607_o_28 (A300).</v>
      </c>
    </row>
    <row r="1340" spans="1:6" x14ac:dyDescent="0.25">
      <c r="A1340" s="1" t="s">
        <v>2669</v>
      </c>
      <c r="B1340" s="1" t="s">
        <v>27</v>
      </c>
      <c r="C1340" s="1">
        <v>300</v>
      </c>
      <c r="D1340" s="1">
        <v>0</v>
      </c>
      <c r="E1340" s="1" t="str">
        <f t="shared" si="42"/>
        <v>(A300)</v>
      </c>
      <c r="F1340" s="1" t="str">
        <f t="shared" si="43"/>
        <v>alter type result999_o_28 (A300).</v>
      </c>
    </row>
    <row r="1341" spans="1:6" x14ac:dyDescent="0.25">
      <c r="A1341" s="1" t="s">
        <v>2670</v>
      </c>
      <c r="B1341" s="1" t="s">
        <v>30</v>
      </c>
      <c r="C1341" s="1">
        <v>2</v>
      </c>
      <c r="D1341" s="1">
        <v>0</v>
      </c>
      <c r="E1341" s="1" t="str">
        <f t="shared" si="42"/>
        <v>(F2.0)</v>
      </c>
      <c r="F1341" s="1" t="str">
        <f t="shared" si="43"/>
        <v>alter type at1_28 (F2.0).</v>
      </c>
    </row>
    <row r="1342" spans="1:6" x14ac:dyDescent="0.25">
      <c r="A1342" s="1" t="s">
        <v>2671</v>
      </c>
      <c r="B1342" s="1" t="s">
        <v>27</v>
      </c>
      <c r="C1342" s="1">
        <v>300</v>
      </c>
      <c r="D1342" s="1">
        <v>0</v>
      </c>
      <c r="E1342" s="1" t="str">
        <f t="shared" si="42"/>
        <v>(A300)</v>
      </c>
      <c r="F1342" s="1" t="str">
        <f t="shared" si="43"/>
        <v>alter type at1_o04_28 (A300).</v>
      </c>
    </row>
    <row r="1343" spans="1:6" x14ac:dyDescent="0.25">
      <c r="A1343" s="1" t="s">
        <v>2672</v>
      </c>
      <c r="B1343" s="1" t="s">
        <v>30</v>
      </c>
      <c r="C1343" s="1">
        <v>8</v>
      </c>
      <c r="D1343" s="1">
        <v>0</v>
      </c>
      <c r="E1343" s="1" t="str">
        <f t="shared" si="42"/>
        <v>(F8.0)</v>
      </c>
      <c r="F1343" s="1" t="str">
        <f t="shared" si="43"/>
        <v>alter type vdate_29 (F8.0).</v>
      </c>
    </row>
    <row r="1344" spans="1:6" x14ac:dyDescent="0.25">
      <c r="A1344" s="1" t="s">
        <v>2673</v>
      </c>
      <c r="B1344" s="1" t="s">
        <v>30</v>
      </c>
      <c r="C1344" s="1">
        <v>1</v>
      </c>
      <c r="D1344" s="1">
        <v>0</v>
      </c>
      <c r="E1344" s="1" t="str">
        <f t="shared" si="42"/>
        <v>(F1.0)</v>
      </c>
      <c r="F1344" s="1" t="str">
        <f t="shared" si="43"/>
        <v>alter type vt_29 (F1.0).</v>
      </c>
    </row>
    <row r="1345" spans="1:6" x14ac:dyDescent="0.25">
      <c r="A1345" s="1" t="s">
        <v>2674</v>
      </c>
      <c r="B1345" s="1" t="s">
        <v>30</v>
      </c>
      <c r="C1345" s="1">
        <v>4</v>
      </c>
      <c r="D1345" s="1">
        <v>0</v>
      </c>
      <c r="E1345" s="1" t="str">
        <f t="shared" si="42"/>
        <v>(F4.0)</v>
      </c>
      <c r="F1345" s="1" t="str">
        <f t="shared" si="43"/>
        <v>alter type vr_29 (F4.0).</v>
      </c>
    </row>
    <row r="1346" spans="1:6" x14ac:dyDescent="0.25">
      <c r="A1346" s="1" t="s">
        <v>2675</v>
      </c>
      <c r="B1346" s="1" t="s">
        <v>27</v>
      </c>
      <c r="C1346" s="1">
        <v>300</v>
      </c>
      <c r="D1346" s="1">
        <v>0</v>
      </c>
      <c r="E1346" s="1" t="str">
        <f t="shared" si="42"/>
        <v>(A300)</v>
      </c>
      <c r="F1346" s="1" t="str">
        <f t="shared" si="43"/>
        <v>alter type result303_o_29 (A300).</v>
      </c>
    </row>
    <row r="1347" spans="1:6" x14ac:dyDescent="0.25">
      <c r="A1347" s="1" t="s">
        <v>2676</v>
      </c>
      <c r="B1347" s="1" t="s">
        <v>27</v>
      </c>
      <c r="C1347" s="1">
        <v>300</v>
      </c>
      <c r="D1347" s="1">
        <v>0</v>
      </c>
      <c r="E1347" s="1" t="str">
        <f t="shared" si="42"/>
        <v>(A300)</v>
      </c>
      <c r="F1347" s="1" t="str">
        <f t="shared" si="43"/>
        <v>alter type result3061_o_29 (A300).</v>
      </c>
    </row>
    <row r="1348" spans="1:6" x14ac:dyDescent="0.25">
      <c r="A1348" s="1" t="s">
        <v>2677</v>
      </c>
      <c r="B1348" s="1" t="s">
        <v>27</v>
      </c>
      <c r="C1348" s="1">
        <v>300</v>
      </c>
      <c r="D1348" s="1">
        <v>0</v>
      </c>
      <c r="E1348" s="1" t="str">
        <f t="shared" si="42"/>
        <v>(A300)</v>
      </c>
      <c r="F1348" s="1" t="str">
        <f t="shared" si="43"/>
        <v>alter type result3062_o_29 (A300).</v>
      </c>
    </row>
    <row r="1349" spans="1:6" x14ac:dyDescent="0.25">
      <c r="A1349" s="1" t="s">
        <v>2678</v>
      </c>
      <c r="B1349" s="1" t="s">
        <v>27</v>
      </c>
      <c r="C1349" s="1">
        <v>300</v>
      </c>
      <c r="D1349" s="1">
        <v>0</v>
      </c>
      <c r="E1349" s="1" t="str">
        <f t="shared" si="42"/>
        <v>(A300)</v>
      </c>
      <c r="F1349" s="1" t="str">
        <f t="shared" si="43"/>
        <v>alter type result404_o_29 (A300).</v>
      </c>
    </row>
    <row r="1350" spans="1:6" x14ac:dyDescent="0.25">
      <c r="A1350" s="1" t="s">
        <v>2679</v>
      </c>
      <c r="B1350" s="1" t="s">
        <v>27</v>
      </c>
      <c r="C1350" s="1">
        <v>300</v>
      </c>
      <c r="D1350" s="1">
        <v>0</v>
      </c>
      <c r="E1350" s="1" t="str">
        <f t="shared" si="42"/>
        <v>(A300)</v>
      </c>
      <c r="F1350" s="1" t="str">
        <f t="shared" si="43"/>
        <v>alter type result504_o_29 (A300).</v>
      </c>
    </row>
    <row r="1351" spans="1:6" x14ac:dyDescent="0.25">
      <c r="A1351" s="1" t="s">
        <v>2680</v>
      </c>
      <c r="B1351" s="1" t="s">
        <v>27</v>
      </c>
      <c r="C1351" s="1">
        <v>300</v>
      </c>
      <c r="D1351" s="1">
        <v>0</v>
      </c>
      <c r="E1351" s="1" t="str">
        <f t="shared" si="42"/>
        <v>(A300)</v>
      </c>
      <c r="F1351" s="1" t="str">
        <f t="shared" si="43"/>
        <v>alter type result608_o_29 (A300).</v>
      </c>
    </row>
    <row r="1352" spans="1:6" x14ac:dyDescent="0.25">
      <c r="A1352" s="1" t="s">
        <v>2681</v>
      </c>
      <c r="B1352" s="1" t="s">
        <v>27</v>
      </c>
      <c r="C1352" s="1">
        <v>300</v>
      </c>
      <c r="D1352" s="1">
        <v>0</v>
      </c>
      <c r="E1352" s="1" t="str">
        <f t="shared" si="42"/>
        <v>(A300)</v>
      </c>
      <c r="F1352" s="1" t="str">
        <f t="shared" si="43"/>
        <v>alter type result311_o_29 (A300).</v>
      </c>
    </row>
    <row r="1353" spans="1:6" x14ac:dyDescent="0.25">
      <c r="A1353" s="1" t="s">
        <v>2682</v>
      </c>
      <c r="B1353" s="1" t="s">
        <v>27</v>
      </c>
      <c r="C1353" s="1">
        <v>300</v>
      </c>
      <c r="D1353" s="1">
        <v>0</v>
      </c>
      <c r="E1353" s="1" t="str">
        <f t="shared" si="42"/>
        <v>(A300)</v>
      </c>
      <c r="F1353" s="1" t="str">
        <f t="shared" si="43"/>
        <v>alter type result607_o_29 (A300).</v>
      </c>
    </row>
    <row r="1354" spans="1:6" x14ac:dyDescent="0.25">
      <c r="A1354" s="1" t="s">
        <v>2683</v>
      </c>
      <c r="B1354" s="1" t="s">
        <v>27</v>
      </c>
      <c r="C1354" s="1">
        <v>300</v>
      </c>
      <c r="D1354" s="1">
        <v>0</v>
      </c>
      <c r="E1354" s="1" t="str">
        <f t="shared" si="42"/>
        <v>(A300)</v>
      </c>
      <c r="F1354" s="1" t="str">
        <f t="shared" si="43"/>
        <v>alter type result999_o_29 (A300).</v>
      </c>
    </row>
    <row r="1355" spans="1:6" x14ac:dyDescent="0.25">
      <c r="A1355" s="1" t="s">
        <v>2684</v>
      </c>
      <c r="B1355" s="1" t="s">
        <v>30</v>
      </c>
      <c r="C1355" s="1">
        <v>2</v>
      </c>
      <c r="D1355" s="1">
        <v>0</v>
      </c>
      <c r="E1355" s="1" t="str">
        <f t="shared" si="42"/>
        <v>(F2.0)</v>
      </c>
      <c r="F1355" s="1" t="str">
        <f t="shared" si="43"/>
        <v>alter type at1_29 (F2.0).</v>
      </c>
    </row>
    <row r="1356" spans="1:6" x14ac:dyDescent="0.25">
      <c r="A1356" s="1" t="s">
        <v>2685</v>
      </c>
      <c r="B1356" s="1" t="s">
        <v>27</v>
      </c>
      <c r="C1356" s="1">
        <v>300</v>
      </c>
      <c r="D1356" s="1">
        <v>0</v>
      </c>
      <c r="E1356" s="1" t="str">
        <f t="shared" si="42"/>
        <v>(A300)</v>
      </c>
      <c r="F1356" s="1" t="str">
        <f t="shared" si="43"/>
        <v>alter type at1_o04_29 (A300).</v>
      </c>
    </row>
    <row r="1357" spans="1:6" x14ac:dyDescent="0.25">
      <c r="A1357" s="1" t="s">
        <v>2686</v>
      </c>
      <c r="B1357" s="1" t="s">
        <v>30</v>
      </c>
      <c r="C1357" s="1">
        <v>8</v>
      </c>
      <c r="D1357" s="1">
        <v>0</v>
      </c>
      <c r="E1357" s="1" t="str">
        <f t="shared" si="42"/>
        <v>(F8.0)</v>
      </c>
      <c r="F1357" s="1" t="str">
        <f t="shared" si="43"/>
        <v>alter type vdate_30 (F8.0).</v>
      </c>
    </row>
    <row r="1358" spans="1:6" x14ac:dyDescent="0.25">
      <c r="A1358" s="1" t="s">
        <v>2687</v>
      </c>
      <c r="B1358" s="1" t="s">
        <v>30</v>
      </c>
      <c r="C1358" s="1">
        <v>1</v>
      </c>
      <c r="D1358" s="1">
        <v>0</v>
      </c>
      <c r="E1358" s="1" t="str">
        <f t="shared" si="42"/>
        <v>(F1.0)</v>
      </c>
      <c r="F1358" s="1" t="str">
        <f t="shared" si="43"/>
        <v>alter type vt_30 (F1.0).</v>
      </c>
    </row>
    <row r="1359" spans="1:6" x14ac:dyDescent="0.25">
      <c r="A1359" s="1" t="s">
        <v>2688</v>
      </c>
      <c r="B1359" s="1" t="s">
        <v>30</v>
      </c>
      <c r="C1359" s="1">
        <v>4</v>
      </c>
      <c r="D1359" s="1">
        <v>0</v>
      </c>
      <c r="E1359" s="1" t="str">
        <f t="shared" si="42"/>
        <v>(F4.0)</v>
      </c>
      <c r="F1359" s="1" t="str">
        <f t="shared" si="43"/>
        <v>alter type vr_30 (F4.0).</v>
      </c>
    </row>
    <row r="1360" spans="1:6" x14ac:dyDescent="0.25">
      <c r="A1360" s="1" t="s">
        <v>2689</v>
      </c>
      <c r="B1360" s="1" t="s">
        <v>27</v>
      </c>
      <c r="C1360" s="1">
        <v>300</v>
      </c>
      <c r="D1360" s="1">
        <v>0</v>
      </c>
      <c r="E1360" s="1" t="str">
        <f t="shared" si="42"/>
        <v>(A300)</v>
      </c>
      <c r="F1360" s="1" t="str">
        <f t="shared" si="43"/>
        <v>alter type result303_o_30 (A300).</v>
      </c>
    </row>
    <row r="1361" spans="1:6" x14ac:dyDescent="0.25">
      <c r="A1361" s="1" t="s">
        <v>2690</v>
      </c>
      <c r="B1361" s="1" t="s">
        <v>27</v>
      </c>
      <c r="C1361" s="1">
        <v>300</v>
      </c>
      <c r="D1361" s="1">
        <v>0</v>
      </c>
      <c r="E1361" s="1" t="str">
        <f t="shared" si="42"/>
        <v>(A300)</v>
      </c>
      <c r="F1361" s="1" t="str">
        <f t="shared" si="43"/>
        <v>alter type result3061_o_30 (A300).</v>
      </c>
    </row>
    <row r="1362" spans="1:6" x14ac:dyDescent="0.25">
      <c r="A1362" s="1" t="s">
        <v>2691</v>
      </c>
      <c r="B1362" s="1" t="s">
        <v>27</v>
      </c>
      <c r="C1362" s="1">
        <v>300</v>
      </c>
      <c r="D1362" s="1">
        <v>0</v>
      </c>
      <c r="E1362" s="1" t="str">
        <f t="shared" si="42"/>
        <v>(A300)</v>
      </c>
      <c r="F1362" s="1" t="str">
        <f t="shared" si="43"/>
        <v>alter type result3062_o_30 (A300).</v>
      </c>
    </row>
    <row r="1363" spans="1:6" x14ac:dyDescent="0.25">
      <c r="A1363" s="1" t="s">
        <v>2692</v>
      </c>
      <c r="B1363" s="1" t="s">
        <v>27</v>
      </c>
      <c r="C1363" s="1">
        <v>300</v>
      </c>
      <c r="D1363" s="1">
        <v>0</v>
      </c>
      <c r="E1363" s="1" t="str">
        <f t="shared" si="42"/>
        <v>(A300)</v>
      </c>
      <c r="F1363" s="1" t="str">
        <f t="shared" si="43"/>
        <v>alter type result404_o_30 (A300).</v>
      </c>
    </row>
    <row r="1364" spans="1:6" x14ac:dyDescent="0.25">
      <c r="A1364" s="1" t="s">
        <v>2693</v>
      </c>
      <c r="B1364" s="1" t="s">
        <v>27</v>
      </c>
      <c r="C1364" s="1">
        <v>300</v>
      </c>
      <c r="D1364" s="1">
        <v>0</v>
      </c>
      <c r="E1364" s="1" t="str">
        <f t="shared" si="42"/>
        <v>(A300)</v>
      </c>
      <c r="F1364" s="1" t="str">
        <f t="shared" si="43"/>
        <v>alter type result504_o_30 (A300).</v>
      </c>
    </row>
    <row r="1365" spans="1:6" x14ac:dyDescent="0.25">
      <c r="A1365" s="1" t="s">
        <v>2694</v>
      </c>
      <c r="B1365" s="1" t="s">
        <v>27</v>
      </c>
      <c r="C1365" s="1">
        <v>300</v>
      </c>
      <c r="D1365" s="1">
        <v>0</v>
      </c>
      <c r="E1365" s="1" t="str">
        <f t="shared" si="42"/>
        <v>(A300)</v>
      </c>
      <c r="F1365" s="1" t="str">
        <f t="shared" si="43"/>
        <v>alter type result608_o_30 (A300).</v>
      </c>
    </row>
    <row r="1366" spans="1:6" x14ac:dyDescent="0.25">
      <c r="A1366" s="1" t="s">
        <v>2695</v>
      </c>
      <c r="B1366" s="1" t="s">
        <v>27</v>
      </c>
      <c r="C1366" s="1">
        <v>300</v>
      </c>
      <c r="D1366" s="1">
        <v>0</v>
      </c>
      <c r="E1366" s="1" t="str">
        <f t="shared" si="42"/>
        <v>(A300)</v>
      </c>
      <c r="F1366" s="1" t="str">
        <f t="shared" si="43"/>
        <v>alter type result311_o_30 (A300).</v>
      </c>
    </row>
    <row r="1367" spans="1:6" x14ac:dyDescent="0.25">
      <c r="A1367" s="1" t="s">
        <v>2696</v>
      </c>
      <c r="B1367" s="1" t="s">
        <v>27</v>
      </c>
      <c r="C1367" s="1">
        <v>300</v>
      </c>
      <c r="D1367" s="1">
        <v>0</v>
      </c>
      <c r="E1367" s="1" t="str">
        <f t="shared" si="42"/>
        <v>(A300)</v>
      </c>
      <c r="F1367" s="1" t="str">
        <f t="shared" si="43"/>
        <v>alter type result607_o_30 (A300).</v>
      </c>
    </row>
    <row r="1368" spans="1:6" x14ac:dyDescent="0.25">
      <c r="A1368" s="1" t="s">
        <v>2697</v>
      </c>
      <c r="B1368" s="1" t="s">
        <v>27</v>
      </c>
      <c r="C1368" s="1">
        <v>300</v>
      </c>
      <c r="D1368" s="1">
        <v>0</v>
      </c>
      <c r="E1368" s="1" t="str">
        <f t="shared" si="42"/>
        <v>(A300)</v>
      </c>
      <c r="F1368" s="1" t="str">
        <f t="shared" si="43"/>
        <v>alter type result999_o_30 (A300).</v>
      </c>
    </row>
    <row r="1369" spans="1:6" x14ac:dyDescent="0.25">
      <c r="A1369" s="1" t="s">
        <v>2698</v>
      </c>
      <c r="B1369" s="1" t="s">
        <v>30</v>
      </c>
      <c r="C1369" s="1">
        <v>2</v>
      </c>
      <c r="D1369" s="1">
        <v>0</v>
      </c>
      <c r="E1369" s="1" t="str">
        <f t="shared" si="42"/>
        <v>(F2.0)</v>
      </c>
      <c r="F1369" s="1" t="str">
        <f t="shared" si="43"/>
        <v>alter type at1_30 (F2.0).</v>
      </c>
    </row>
    <row r="1370" spans="1:6" x14ac:dyDescent="0.25">
      <c r="A1370" s="1" t="s">
        <v>2699</v>
      </c>
      <c r="B1370" s="1" t="s">
        <v>27</v>
      </c>
      <c r="C1370" s="1">
        <v>300</v>
      </c>
      <c r="D1370" s="1">
        <v>0</v>
      </c>
      <c r="E1370" s="1" t="str">
        <f t="shared" si="42"/>
        <v>(A300)</v>
      </c>
      <c r="F1370" s="1" t="str">
        <f t="shared" si="43"/>
        <v>alter type at1_o04_30 (A300).</v>
      </c>
    </row>
    <row r="1371" spans="1:6" x14ac:dyDescent="0.25">
      <c r="A1371" s="1" t="s">
        <v>2700</v>
      </c>
      <c r="B1371" s="1" t="s">
        <v>30</v>
      </c>
      <c r="C1371" s="1">
        <v>4</v>
      </c>
      <c r="D1371" s="1">
        <v>0</v>
      </c>
      <c r="E1371" s="1" t="str">
        <f t="shared" si="42"/>
        <v>(F4.0)</v>
      </c>
      <c r="F1371" s="1" t="str">
        <f t="shared" si="43"/>
        <v>alter type vlast (F4.0).</v>
      </c>
    </row>
    <row r="1372" spans="1:6" x14ac:dyDescent="0.25">
      <c r="A1372" s="1" t="s">
        <v>2701</v>
      </c>
      <c r="B1372" s="1" t="s">
        <v>30</v>
      </c>
      <c r="C1372" s="1">
        <v>12</v>
      </c>
      <c r="D1372" s="1">
        <v>0</v>
      </c>
      <c r="E1372" s="1" t="str">
        <f t="shared" si="42"/>
        <v>(F12.0)</v>
      </c>
      <c r="F1372" s="1" t="str">
        <f t="shared" si="43"/>
        <v>alter type stime_1 (F12.0).</v>
      </c>
    </row>
    <row r="1373" spans="1:6" x14ac:dyDescent="0.25">
      <c r="A1373" s="1" t="s">
        <v>2702</v>
      </c>
      <c r="B1373" s="1" t="s">
        <v>30</v>
      </c>
      <c r="C1373" s="1">
        <v>12</v>
      </c>
      <c r="D1373" s="1">
        <v>0</v>
      </c>
      <c r="E1373" s="1" t="str">
        <f t="shared" si="42"/>
        <v>(F12.0)</v>
      </c>
      <c r="F1373" s="1" t="str">
        <f t="shared" si="43"/>
        <v>alter type etime_1 (F12.0).</v>
      </c>
    </row>
    <row r="1374" spans="1:6" x14ac:dyDescent="0.25">
      <c r="A1374" s="1" t="s">
        <v>2703</v>
      </c>
      <c r="B1374" s="1" t="s">
        <v>30</v>
      </c>
      <c r="C1374" s="1">
        <v>12</v>
      </c>
      <c r="D1374" s="1">
        <v>0</v>
      </c>
      <c r="E1374" s="1" t="str">
        <f t="shared" si="42"/>
        <v>(F12.0)</v>
      </c>
      <c r="F1374" s="1" t="str">
        <f t="shared" si="43"/>
        <v>alter type stime_2 (F12.0).</v>
      </c>
    </row>
    <row r="1375" spans="1:6" x14ac:dyDescent="0.25">
      <c r="A1375" s="1" t="s">
        <v>2704</v>
      </c>
      <c r="B1375" s="1" t="s">
        <v>30</v>
      </c>
      <c r="C1375" s="1">
        <v>12</v>
      </c>
      <c r="D1375" s="1">
        <v>0</v>
      </c>
      <c r="E1375" s="1" t="str">
        <f t="shared" si="42"/>
        <v>(F12.0)</v>
      </c>
      <c r="F1375" s="1" t="str">
        <f t="shared" si="43"/>
        <v>alter type etime_2 (F12.0).</v>
      </c>
    </row>
    <row r="1376" spans="1:6" x14ac:dyDescent="0.25">
      <c r="A1376" s="1" t="s">
        <v>2705</v>
      </c>
      <c r="B1376" s="1" t="s">
        <v>30</v>
      </c>
      <c r="C1376" s="1">
        <v>12</v>
      </c>
      <c r="D1376" s="1">
        <v>0</v>
      </c>
      <c r="E1376" s="1" t="str">
        <f t="shared" si="42"/>
        <v>(F12.0)</v>
      </c>
      <c r="F1376" s="1" t="str">
        <f t="shared" si="43"/>
        <v>alter type stime_3 (F12.0).</v>
      </c>
    </row>
    <row r="1377" spans="1:6" x14ac:dyDescent="0.25">
      <c r="A1377" s="1" t="s">
        <v>2706</v>
      </c>
      <c r="B1377" s="1" t="s">
        <v>30</v>
      </c>
      <c r="C1377" s="1">
        <v>12</v>
      </c>
      <c r="D1377" s="1">
        <v>0</v>
      </c>
      <c r="E1377" s="1" t="str">
        <f t="shared" si="42"/>
        <v>(F12.0)</v>
      </c>
      <c r="F1377" s="1" t="str">
        <f t="shared" si="43"/>
        <v>alter type etime_3 (F12.0).</v>
      </c>
    </row>
    <row r="1378" spans="1:6" x14ac:dyDescent="0.25">
      <c r="A1378" s="1" t="s">
        <v>2707</v>
      </c>
      <c r="B1378" s="1" t="s">
        <v>30</v>
      </c>
      <c r="C1378" s="1">
        <v>12</v>
      </c>
      <c r="D1378" s="1">
        <v>0</v>
      </c>
      <c r="E1378" s="1" t="str">
        <f t="shared" si="42"/>
        <v>(F12.0)</v>
      </c>
      <c r="F1378" s="1" t="str">
        <f t="shared" si="43"/>
        <v>alter type stime_4 (F12.0).</v>
      </c>
    </row>
    <row r="1379" spans="1:6" x14ac:dyDescent="0.25">
      <c r="A1379" s="1" t="s">
        <v>2708</v>
      </c>
      <c r="B1379" s="1" t="s">
        <v>30</v>
      </c>
      <c r="C1379" s="1">
        <v>12</v>
      </c>
      <c r="D1379" s="1">
        <v>0</v>
      </c>
      <c r="E1379" s="1" t="str">
        <f t="shared" si="42"/>
        <v>(F12.0)</v>
      </c>
      <c r="F1379" s="1" t="str">
        <f t="shared" si="43"/>
        <v>alter type etime_4 (F12.0).</v>
      </c>
    </row>
    <row r="1380" spans="1:6" x14ac:dyDescent="0.25">
      <c r="A1380" s="1" t="s">
        <v>2709</v>
      </c>
      <c r="B1380" s="1" t="s">
        <v>30</v>
      </c>
      <c r="C1380" s="1">
        <v>12</v>
      </c>
      <c r="D1380" s="1">
        <v>0</v>
      </c>
      <c r="E1380" s="1" t="str">
        <f t="shared" si="42"/>
        <v>(F12.0)</v>
      </c>
      <c r="F1380" s="1" t="str">
        <f t="shared" si="43"/>
        <v>alter type last_time (F12.0).</v>
      </c>
    </row>
    <row r="1381" spans="1:6" x14ac:dyDescent="0.25">
      <c r="A1381" s="1" t="s">
        <v>2710</v>
      </c>
      <c r="B1381" s="1" t="s">
        <v>30</v>
      </c>
      <c r="C1381" s="1">
        <v>2</v>
      </c>
      <c r="D1381" s="1">
        <v>0</v>
      </c>
      <c r="E1381" s="1" t="str">
        <f t="shared" si="42"/>
        <v>(F2.0)</v>
      </c>
      <c r="F1381" s="1" t="str">
        <f t="shared" si="43"/>
        <v>alter type ff (F2.0).</v>
      </c>
    </row>
    <row r="1382" spans="1:6" x14ac:dyDescent="0.25">
      <c r="A1382" s="1" t="s">
        <v>2711</v>
      </c>
      <c r="B1382" s="1" t="s">
        <v>30</v>
      </c>
      <c r="C1382" s="1">
        <v>2</v>
      </c>
      <c r="D1382" s="1">
        <v>0</v>
      </c>
      <c r="E1382" s="1" t="str">
        <f t="shared" si="42"/>
        <v>(F2.0)</v>
      </c>
      <c r="F1382" s="1" t="str">
        <f t="shared" si="43"/>
        <v>alter type fs (F2.0).</v>
      </c>
    </row>
    <row r="1383" spans="1:6" x14ac:dyDescent="0.25">
      <c r="A1383" s="1" t="s">
        <v>2712</v>
      </c>
      <c r="B1383" s="1" t="s">
        <v>30</v>
      </c>
      <c r="C1383" s="1">
        <v>2</v>
      </c>
      <c r="D1383" s="1">
        <v>0</v>
      </c>
      <c r="E1383" s="1" t="str">
        <f t="shared" si="42"/>
        <v>(F2.0)</v>
      </c>
      <c r="F1383" s="1" t="str">
        <f t="shared" si="43"/>
        <v>alter type mp (F2.0).</v>
      </c>
    </row>
    <row r="1384" spans="1:6" x14ac:dyDescent="0.25">
      <c r="A1384" s="1" t="s">
        <v>2713</v>
      </c>
      <c r="B1384" s="1" t="s">
        <v>30</v>
      </c>
      <c r="C1384" s="1">
        <v>2</v>
      </c>
      <c r="D1384" s="1">
        <v>0</v>
      </c>
      <c r="E1384" s="1" t="str">
        <f t="shared" si="42"/>
        <v>(F2.0)</v>
      </c>
      <c r="F1384" s="1" t="str">
        <f t="shared" si="43"/>
        <v>alter type sp (F2.0).</v>
      </c>
    </row>
    <row r="1385" spans="1:6" x14ac:dyDescent="0.25">
      <c r="A1385" s="1" t="s">
        <v>2714</v>
      </c>
      <c r="B1385" s="1" t="s">
        <v>30</v>
      </c>
      <c r="C1385" s="1">
        <v>2</v>
      </c>
      <c r="D1385" s="1">
        <v>0</v>
      </c>
      <c r="E1385" s="1" t="str">
        <f t="shared" si="42"/>
        <v>(F2.0)</v>
      </c>
      <c r="F1385" s="1" t="str">
        <f t="shared" si="43"/>
        <v>alter type c1_00 (F2.0).</v>
      </c>
    </row>
    <row r="1386" spans="1:6" x14ac:dyDescent="0.25">
      <c r="A1386" s="1" t="s">
        <v>2715</v>
      </c>
      <c r="B1386" s="1" t="s">
        <v>30</v>
      </c>
      <c r="C1386" s="1">
        <v>2</v>
      </c>
      <c r="D1386" s="1">
        <v>0</v>
      </c>
      <c r="E1386" s="1" t="str">
        <f t="shared" si="42"/>
        <v>(F2.0)</v>
      </c>
      <c r="F1386" s="1" t="str">
        <f t="shared" si="43"/>
        <v>alter type c1_01 (F2.0).</v>
      </c>
    </row>
    <row r="1387" spans="1:6" x14ac:dyDescent="0.25">
      <c r="A1387" s="1" t="s">
        <v>2716</v>
      </c>
      <c r="B1387" s="1" t="s">
        <v>30</v>
      </c>
      <c r="C1387" s="1">
        <v>2</v>
      </c>
      <c r="D1387" s="1">
        <v>0</v>
      </c>
      <c r="E1387" s="1" t="str">
        <f t="shared" si="42"/>
        <v>(F2.0)</v>
      </c>
      <c r="F1387" s="1" t="str">
        <f t="shared" si="43"/>
        <v>alter type c1_02 (F2.0).</v>
      </c>
    </row>
    <row r="1388" spans="1:6" x14ac:dyDescent="0.25">
      <c r="A1388" s="1" t="s">
        <v>2717</v>
      </c>
      <c r="B1388" s="1" t="s">
        <v>30</v>
      </c>
      <c r="C1388" s="1">
        <v>2</v>
      </c>
      <c r="D1388" s="1">
        <v>0</v>
      </c>
      <c r="E1388" s="1" t="str">
        <f t="shared" si="42"/>
        <v>(F2.0)</v>
      </c>
      <c r="F1388" s="1" t="str">
        <f t="shared" si="43"/>
        <v>alter type c1_03 (F2.0).</v>
      </c>
    </row>
    <row r="1389" spans="1:6" x14ac:dyDescent="0.25">
      <c r="A1389" s="1" t="s">
        <v>2718</v>
      </c>
      <c r="B1389" s="1" t="s">
        <v>30</v>
      </c>
      <c r="C1389" s="1">
        <v>2</v>
      </c>
      <c r="D1389" s="1">
        <v>0</v>
      </c>
      <c r="E1389" s="1" t="str">
        <f t="shared" si="42"/>
        <v>(F2.0)</v>
      </c>
      <c r="F1389" s="1" t="str">
        <f t="shared" si="43"/>
        <v>alter type c1_04 (F2.0).</v>
      </c>
    </row>
    <row r="1390" spans="1:6" x14ac:dyDescent="0.25">
      <c r="A1390" s="1" t="s">
        <v>2719</v>
      </c>
      <c r="B1390" s="1" t="s">
        <v>30</v>
      </c>
      <c r="C1390" s="1">
        <v>2</v>
      </c>
      <c r="D1390" s="1">
        <v>0</v>
      </c>
      <c r="E1390" s="1" t="str">
        <f t="shared" si="42"/>
        <v>(F2.0)</v>
      </c>
      <c r="F1390" s="1" t="str">
        <f t="shared" si="43"/>
        <v>alter type c1_05 (F2.0).</v>
      </c>
    </row>
    <row r="1391" spans="1:6" x14ac:dyDescent="0.25">
      <c r="A1391" s="1" t="s">
        <v>2720</v>
      </c>
      <c r="B1391" s="1" t="s">
        <v>30</v>
      </c>
      <c r="C1391" s="1">
        <v>2</v>
      </c>
      <c r="D1391" s="1">
        <v>0</v>
      </c>
      <c r="E1391" s="1" t="str">
        <f t="shared" si="42"/>
        <v>(F2.0)</v>
      </c>
      <c r="F1391" s="1" t="str">
        <f t="shared" si="43"/>
        <v>alter type c1_06 (F2.0).</v>
      </c>
    </row>
    <row r="1392" spans="1:6" x14ac:dyDescent="0.25">
      <c r="A1392" s="1" t="s">
        <v>2721</v>
      </c>
      <c r="B1392" s="1" t="s">
        <v>27</v>
      </c>
      <c r="C1392" s="1">
        <v>300</v>
      </c>
      <c r="D1392" s="1">
        <v>0</v>
      </c>
      <c r="E1392" s="1" t="str">
        <f t="shared" si="42"/>
        <v>(A300)</v>
      </c>
      <c r="F1392" s="1" t="str">
        <f t="shared" si="43"/>
        <v>alter type c1_o00 (A300).</v>
      </c>
    </row>
    <row r="1393" spans="1:6" x14ac:dyDescent="0.25">
      <c r="A1393" s="1" t="s">
        <v>2722</v>
      </c>
      <c r="B1393" s="1" t="s">
        <v>27</v>
      </c>
      <c r="C1393" s="1">
        <v>300</v>
      </c>
      <c r="D1393" s="1">
        <v>0</v>
      </c>
      <c r="E1393" s="1" t="str">
        <f t="shared" ref="E1393:E1456" si="44">IF(B1393="數值","(F"&amp;C1393&amp;"."&amp;D1393&amp;")","(A"&amp;C1393&amp;")")</f>
        <v>(A300)</v>
      </c>
      <c r="F1393" s="1" t="str">
        <f t="shared" ref="F1393:F1456" si="45">"alter type "&amp;A1393&amp;" "&amp;E1393&amp;"."</f>
        <v>alter type c1_o02 (A300).</v>
      </c>
    </row>
    <row r="1394" spans="1:6" x14ac:dyDescent="0.25">
      <c r="A1394" s="1" t="s">
        <v>2723</v>
      </c>
      <c r="B1394" s="1" t="s">
        <v>27</v>
      </c>
      <c r="C1394" s="1">
        <v>300</v>
      </c>
      <c r="D1394" s="1">
        <v>0</v>
      </c>
      <c r="E1394" s="1" t="str">
        <f t="shared" si="44"/>
        <v>(A300)</v>
      </c>
      <c r="F1394" s="1" t="str">
        <f t="shared" si="45"/>
        <v>alter type c1_o03 (A300).</v>
      </c>
    </row>
    <row r="1395" spans="1:6" x14ac:dyDescent="0.25">
      <c r="A1395" s="1" t="s">
        <v>2724</v>
      </c>
      <c r="B1395" s="1" t="s">
        <v>27</v>
      </c>
      <c r="C1395" s="1">
        <v>300</v>
      </c>
      <c r="D1395" s="1">
        <v>0</v>
      </c>
      <c r="E1395" s="1" t="str">
        <f t="shared" si="44"/>
        <v>(A300)</v>
      </c>
      <c r="F1395" s="1" t="str">
        <f t="shared" si="45"/>
        <v>alter type c1_o04 (A300).</v>
      </c>
    </row>
    <row r="1396" spans="1:6" x14ac:dyDescent="0.25">
      <c r="A1396" s="1" t="s">
        <v>2725</v>
      </c>
      <c r="B1396" s="1" t="s">
        <v>27</v>
      </c>
      <c r="C1396" s="1">
        <v>300</v>
      </c>
      <c r="D1396" s="1">
        <v>0</v>
      </c>
      <c r="E1396" s="1" t="str">
        <f t="shared" si="44"/>
        <v>(A300)</v>
      </c>
      <c r="F1396" s="1" t="str">
        <f t="shared" si="45"/>
        <v>alter type c1_o05 (A300).</v>
      </c>
    </row>
    <row r="1397" spans="1:6" x14ac:dyDescent="0.25">
      <c r="A1397" s="1" t="s">
        <v>2726</v>
      </c>
      <c r="B1397" s="1" t="s">
        <v>27</v>
      </c>
      <c r="C1397" s="1">
        <v>300</v>
      </c>
      <c r="D1397" s="1">
        <v>0</v>
      </c>
      <c r="E1397" s="1" t="str">
        <f t="shared" si="44"/>
        <v>(A300)</v>
      </c>
      <c r="F1397" s="1" t="str">
        <f t="shared" si="45"/>
        <v>alter type c1_o06 (A300).</v>
      </c>
    </row>
    <row r="1398" spans="1:6" x14ac:dyDescent="0.25">
      <c r="A1398" s="1" t="s">
        <v>2727</v>
      </c>
      <c r="B1398" s="1" t="s">
        <v>30</v>
      </c>
      <c r="C1398" s="1">
        <v>2</v>
      </c>
      <c r="D1398" s="1">
        <v>0</v>
      </c>
      <c r="E1398" s="1" t="str">
        <f t="shared" si="44"/>
        <v>(F2.0)</v>
      </c>
      <c r="F1398" s="1" t="str">
        <f t="shared" si="45"/>
        <v>alter type c2 (F2.0).</v>
      </c>
    </row>
    <row r="1399" spans="1:6" x14ac:dyDescent="0.25">
      <c r="A1399" s="1" t="s">
        <v>2728</v>
      </c>
      <c r="B1399" s="1" t="s">
        <v>27</v>
      </c>
      <c r="C1399" s="1">
        <v>300</v>
      </c>
      <c r="D1399" s="1">
        <v>0</v>
      </c>
      <c r="E1399" s="1" t="str">
        <f t="shared" si="44"/>
        <v>(A300)</v>
      </c>
      <c r="F1399" s="1" t="str">
        <f t="shared" si="45"/>
        <v>alter type c2_o11 (A300).</v>
      </c>
    </row>
    <row r="1400" spans="1:6" x14ac:dyDescent="0.25">
      <c r="A1400" s="1" t="s">
        <v>2729</v>
      </c>
      <c r="B1400" s="1" t="s">
        <v>30</v>
      </c>
      <c r="C1400" s="1">
        <v>2</v>
      </c>
      <c r="D1400" s="1">
        <v>0</v>
      </c>
      <c r="E1400" s="1" t="str">
        <f t="shared" si="44"/>
        <v>(F2.0)</v>
      </c>
      <c r="F1400" s="1" t="str">
        <f t="shared" si="45"/>
        <v>alter type c3_01 (F2.0).</v>
      </c>
    </row>
    <row r="1401" spans="1:6" x14ac:dyDescent="0.25">
      <c r="A1401" s="1" t="s">
        <v>2730</v>
      </c>
      <c r="B1401" s="1" t="s">
        <v>30</v>
      </c>
      <c r="C1401" s="1">
        <v>2</v>
      </c>
      <c r="D1401" s="1">
        <v>0</v>
      </c>
      <c r="E1401" s="1" t="str">
        <f t="shared" si="44"/>
        <v>(F2.0)</v>
      </c>
      <c r="F1401" s="1" t="str">
        <f t="shared" si="45"/>
        <v>alter type c3_02 (F2.0).</v>
      </c>
    </row>
    <row r="1402" spans="1:6" x14ac:dyDescent="0.25">
      <c r="A1402" s="1" t="s">
        <v>2731</v>
      </c>
      <c r="B1402" s="1" t="s">
        <v>30</v>
      </c>
      <c r="C1402" s="1">
        <v>2</v>
      </c>
      <c r="D1402" s="1">
        <v>0</v>
      </c>
      <c r="E1402" s="1" t="str">
        <f t="shared" si="44"/>
        <v>(F2.0)</v>
      </c>
      <c r="F1402" s="1" t="str">
        <f t="shared" si="45"/>
        <v>alter type c3_03 (F2.0).</v>
      </c>
    </row>
    <row r="1403" spans="1:6" x14ac:dyDescent="0.25">
      <c r="A1403" s="1" t="s">
        <v>2732</v>
      </c>
      <c r="B1403" s="1" t="s">
        <v>30</v>
      </c>
      <c r="C1403" s="1">
        <v>2</v>
      </c>
      <c r="D1403" s="1">
        <v>0</v>
      </c>
      <c r="E1403" s="1" t="str">
        <f t="shared" si="44"/>
        <v>(F2.0)</v>
      </c>
      <c r="F1403" s="1" t="str">
        <f t="shared" si="45"/>
        <v>alter type c3_04 (F2.0).</v>
      </c>
    </row>
    <row r="1404" spans="1:6" x14ac:dyDescent="0.25">
      <c r="A1404" s="1" t="s">
        <v>2733</v>
      </c>
      <c r="B1404" s="1" t="s">
        <v>27</v>
      </c>
      <c r="C1404" s="1">
        <v>300</v>
      </c>
      <c r="D1404" s="1">
        <v>0</v>
      </c>
      <c r="E1404" s="1" t="str">
        <f t="shared" si="44"/>
        <v>(A300)</v>
      </c>
      <c r="F1404" s="1" t="str">
        <f t="shared" si="45"/>
        <v>alter type c3_o01 (A300).</v>
      </c>
    </row>
    <row r="1405" spans="1:6" x14ac:dyDescent="0.25">
      <c r="A1405" s="1" t="s">
        <v>2734</v>
      </c>
      <c r="B1405" s="1" t="s">
        <v>27</v>
      </c>
      <c r="C1405" s="1">
        <v>300</v>
      </c>
      <c r="D1405" s="1">
        <v>0</v>
      </c>
      <c r="E1405" s="1" t="str">
        <f t="shared" si="44"/>
        <v>(A300)</v>
      </c>
      <c r="F1405" s="1" t="str">
        <f t="shared" si="45"/>
        <v>alter type c3_o03 (A300).</v>
      </c>
    </row>
    <row r="1406" spans="1:6" x14ac:dyDescent="0.25">
      <c r="A1406" s="1" t="s">
        <v>2735</v>
      </c>
      <c r="B1406" s="1" t="s">
        <v>27</v>
      </c>
      <c r="C1406" s="1">
        <v>300</v>
      </c>
      <c r="D1406" s="1">
        <v>0</v>
      </c>
      <c r="E1406" s="1" t="str">
        <f t="shared" si="44"/>
        <v>(A300)</v>
      </c>
      <c r="F1406" s="1" t="str">
        <f t="shared" si="45"/>
        <v>alter type c3_o04 (A300).</v>
      </c>
    </row>
    <row r="1407" spans="1:6" x14ac:dyDescent="0.25">
      <c r="A1407" s="1" t="s">
        <v>2736</v>
      </c>
      <c r="B1407" s="1" t="s">
        <v>27</v>
      </c>
      <c r="C1407" s="1">
        <v>1200</v>
      </c>
      <c r="D1407" s="1">
        <v>0</v>
      </c>
      <c r="E1407" s="1" t="str">
        <f t="shared" si="44"/>
        <v>(A1200)</v>
      </c>
      <c r="F1407" s="1" t="str">
        <f t="shared" si="45"/>
        <v>alter type note_i (A1200).</v>
      </c>
    </row>
    <row r="1408" spans="1:6" x14ac:dyDescent="0.25">
      <c r="A1408" s="1" t="s">
        <v>2737</v>
      </c>
      <c r="B1408" s="1" t="s">
        <v>27</v>
      </c>
      <c r="C1408" s="1">
        <v>1200</v>
      </c>
      <c r="D1408" s="1">
        <v>0</v>
      </c>
      <c r="E1408" s="1" t="str">
        <f t="shared" si="44"/>
        <v>(A1200)</v>
      </c>
      <c r="F1408" s="1" t="str">
        <f t="shared" si="45"/>
        <v>alter type note_s (A1200).</v>
      </c>
    </row>
    <row r="1409" spans="1:6" x14ac:dyDescent="0.25">
      <c r="A1409" s="1" t="s">
        <v>2738</v>
      </c>
      <c r="B1409" s="1" t="s">
        <v>27</v>
      </c>
      <c r="C1409" s="1">
        <v>3</v>
      </c>
      <c r="D1409" s="1">
        <v>0</v>
      </c>
      <c r="E1409" s="1" t="str">
        <f t="shared" si="44"/>
        <v>(A3)</v>
      </c>
      <c r="F1409" s="1" t="str">
        <f t="shared" si="45"/>
        <v>alter type sfno (A3).</v>
      </c>
    </row>
    <row r="1410" spans="1:6" x14ac:dyDescent="0.25">
      <c r="A1410" s="1" t="s">
        <v>2739</v>
      </c>
      <c r="B1410" s="1" t="s">
        <v>27</v>
      </c>
      <c r="C1410" s="1">
        <v>3</v>
      </c>
      <c r="D1410" s="1">
        <v>0</v>
      </c>
      <c r="E1410" s="1" t="str">
        <f t="shared" si="44"/>
        <v>(A3)</v>
      </c>
      <c r="F1410" s="1" t="str">
        <f t="shared" si="45"/>
        <v>alter type slno (A3).</v>
      </c>
    </row>
    <row r="1411" spans="1:6" x14ac:dyDescent="0.25">
      <c r="A1411" s="1" t="s">
        <v>2740</v>
      </c>
      <c r="B1411" s="1" t="s">
        <v>30</v>
      </c>
      <c r="C1411" s="1">
        <v>8</v>
      </c>
      <c r="D1411" s="1">
        <v>0</v>
      </c>
      <c r="E1411" s="1" t="str">
        <f t="shared" si="44"/>
        <v>(F8.0)</v>
      </c>
      <c r="F1411" s="1" t="str">
        <f t="shared" si="45"/>
        <v>alter type s_date_1 (F8.0).</v>
      </c>
    </row>
    <row r="1412" spans="1:6" x14ac:dyDescent="0.25">
      <c r="A1412" s="1" t="s">
        <v>2741</v>
      </c>
      <c r="B1412" s="1" t="s">
        <v>27</v>
      </c>
      <c r="C1412" s="1">
        <v>8</v>
      </c>
      <c r="D1412" s="1">
        <v>0</v>
      </c>
      <c r="E1412" s="1" t="str">
        <f t="shared" si="44"/>
        <v>(A8)</v>
      </c>
      <c r="F1412" s="1" t="str">
        <f t="shared" si="45"/>
        <v>alter type s_in_1 (A8).</v>
      </c>
    </row>
    <row r="1413" spans="1:6" x14ac:dyDescent="0.25">
      <c r="A1413" s="1" t="s">
        <v>2742</v>
      </c>
      <c r="B1413" s="1" t="s">
        <v>30</v>
      </c>
      <c r="C1413" s="1">
        <v>8</v>
      </c>
      <c r="D1413" s="1">
        <v>0</v>
      </c>
      <c r="E1413" s="1" t="str">
        <f t="shared" si="44"/>
        <v>(F8.0)</v>
      </c>
      <c r="F1413" s="1" t="str">
        <f t="shared" si="45"/>
        <v>alter type s_date_2 (F8.0).</v>
      </c>
    </row>
    <row r="1414" spans="1:6" x14ac:dyDescent="0.25">
      <c r="A1414" s="1" t="s">
        <v>2743</v>
      </c>
      <c r="B1414" s="1" t="s">
        <v>27</v>
      </c>
      <c r="C1414" s="1">
        <v>8</v>
      </c>
      <c r="D1414" s="1">
        <v>0</v>
      </c>
      <c r="E1414" s="1" t="str">
        <f t="shared" si="44"/>
        <v>(A8)</v>
      </c>
      <c r="F1414" s="1" t="str">
        <f t="shared" si="45"/>
        <v>alter type s_in_2 (A8).</v>
      </c>
    </row>
    <row r="1415" spans="1:6" x14ac:dyDescent="0.25">
      <c r="A1415" s="1" t="s">
        <v>2744</v>
      </c>
      <c r="B1415" s="1" t="s">
        <v>30</v>
      </c>
      <c r="C1415" s="1">
        <v>8</v>
      </c>
      <c r="D1415" s="1">
        <v>0</v>
      </c>
      <c r="E1415" s="1" t="str">
        <f t="shared" si="44"/>
        <v>(F8.0)</v>
      </c>
      <c r="F1415" s="1" t="str">
        <f t="shared" si="45"/>
        <v>alter type s_date_3 (F8.0).</v>
      </c>
    </row>
    <row r="1416" spans="1:6" x14ac:dyDescent="0.25">
      <c r="A1416" s="1" t="s">
        <v>2745</v>
      </c>
      <c r="B1416" s="1" t="s">
        <v>27</v>
      </c>
      <c r="C1416" s="1">
        <v>8</v>
      </c>
      <c r="D1416" s="1">
        <v>0</v>
      </c>
      <c r="E1416" s="1" t="str">
        <f t="shared" si="44"/>
        <v>(A8)</v>
      </c>
      <c r="F1416" s="1" t="str">
        <f t="shared" si="45"/>
        <v>alter type s_in_3 (A8).</v>
      </c>
    </row>
    <row r="1417" spans="1:6" x14ac:dyDescent="0.25">
      <c r="A1417" s="1" t="s">
        <v>2746</v>
      </c>
      <c r="B1417" s="1" t="s">
        <v>30</v>
      </c>
      <c r="C1417" s="1">
        <v>8</v>
      </c>
      <c r="D1417" s="1">
        <v>0</v>
      </c>
      <c r="E1417" s="1" t="str">
        <f t="shared" si="44"/>
        <v>(F8.0)</v>
      </c>
      <c r="F1417" s="1" t="str">
        <f t="shared" si="45"/>
        <v>alter type s_date_4 (F8.0).</v>
      </c>
    </row>
    <row r="1418" spans="1:6" x14ac:dyDescent="0.25">
      <c r="A1418" s="1" t="s">
        <v>2747</v>
      </c>
      <c r="B1418" s="1" t="s">
        <v>27</v>
      </c>
      <c r="C1418" s="1">
        <v>8</v>
      </c>
      <c r="D1418" s="1">
        <v>0</v>
      </c>
      <c r="E1418" s="1" t="str">
        <f t="shared" si="44"/>
        <v>(A8)</v>
      </c>
      <c r="F1418" s="1" t="str">
        <f t="shared" si="45"/>
        <v>alter type s_in_4 (A8).</v>
      </c>
    </row>
    <row r="1419" spans="1:6" x14ac:dyDescent="0.25">
      <c r="A1419" s="1" t="s">
        <v>2748</v>
      </c>
      <c r="B1419" s="1" t="s">
        <v>30</v>
      </c>
      <c r="C1419" s="1">
        <v>8</v>
      </c>
      <c r="D1419" s="1">
        <v>0</v>
      </c>
      <c r="E1419" s="1" t="str">
        <f t="shared" si="44"/>
        <v>(F8.0)</v>
      </c>
      <c r="F1419" s="1" t="str">
        <f t="shared" si="45"/>
        <v>alter type s_date_5 (F8.0).</v>
      </c>
    </row>
    <row r="1420" spans="1:6" x14ac:dyDescent="0.25">
      <c r="A1420" s="1" t="s">
        <v>2749</v>
      </c>
      <c r="B1420" s="1" t="s">
        <v>27</v>
      </c>
      <c r="C1420" s="1">
        <v>8</v>
      </c>
      <c r="D1420" s="1">
        <v>0</v>
      </c>
      <c r="E1420" s="1" t="str">
        <f t="shared" si="44"/>
        <v>(A8)</v>
      </c>
      <c r="F1420" s="1" t="str">
        <f t="shared" si="45"/>
        <v>alter type s_in_5 (A8).</v>
      </c>
    </row>
    <row r="1421" spans="1:6" x14ac:dyDescent="0.25">
      <c r="A1421" s="1" t="s">
        <v>2750</v>
      </c>
      <c r="B1421" s="1" t="s">
        <v>30</v>
      </c>
      <c r="C1421" s="1">
        <v>8</v>
      </c>
      <c r="D1421" s="1">
        <v>0</v>
      </c>
      <c r="E1421" s="1" t="str">
        <f t="shared" si="44"/>
        <v>(F8.0)</v>
      </c>
      <c r="F1421" s="1" t="str">
        <f t="shared" si="45"/>
        <v>alter type s_date_6 (F8.0).</v>
      </c>
    </row>
    <row r="1422" spans="1:6" x14ac:dyDescent="0.25">
      <c r="A1422" s="1" t="s">
        <v>2751</v>
      </c>
      <c r="B1422" s="1" t="s">
        <v>27</v>
      </c>
      <c r="C1422" s="1">
        <v>8</v>
      </c>
      <c r="D1422" s="1">
        <v>0</v>
      </c>
      <c r="E1422" s="1" t="str">
        <f t="shared" si="44"/>
        <v>(A8)</v>
      </c>
      <c r="F1422" s="1" t="str">
        <f t="shared" si="45"/>
        <v>alter type s_in_6 (A8).</v>
      </c>
    </row>
    <row r="1423" spans="1:6" x14ac:dyDescent="0.25">
      <c r="A1423" s="1" t="s">
        <v>2752</v>
      </c>
      <c r="B1423" s="1" t="s">
        <v>30</v>
      </c>
      <c r="C1423" s="1">
        <v>8</v>
      </c>
      <c r="D1423" s="1">
        <v>0</v>
      </c>
      <c r="E1423" s="1" t="str">
        <f t="shared" si="44"/>
        <v>(F8.0)</v>
      </c>
      <c r="F1423" s="1" t="str">
        <f t="shared" si="45"/>
        <v>alter type s_date_7 (F8.0).</v>
      </c>
    </row>
    <row r="1424" spans="1:6" x14ac:dyDescent="0.25">
      <c r="A1424" s="1" t="s">
        <v>2753</v>
      </c>
      <c r="B1424" s="1" t="s">
        <v>27</v>
      </c>
      <c r="C1424" s="1">
        <v>8</v>
      </c>
      <c r="D1424" s="1">
        <v>0</v>
      </c>
      <c r="E1424" s="1" t="str">
        <f t="shared" si="44"/>
        <v>(A8)</v>
      </c>
      <c r="F1424" s="1" t="str">
        <f t="shared" si="45"/>
        <v>alter type s_in_7 (A8).</v>
      </c>
    </row>
    <row r="1425" spans="1:6" x14ac:dyDescent="0.25">
      <c r="A1425" s="1" t="s">
        <v>2754</v>
      </c>
      <c r="B1425" s="1" t="s">
        <v>30</v>
      </c>
      <c r="C1425" s="1">
        <v>8</v>
      </c>
      <c r="D1425" s="1">
        <v>0</v>
      </c>
      <c r="E1425" s="1" t="str">
        <f t="shared" si="44"/>
        <v>(F8.0)</v>
      </c>
      <c r="F1425" s="1" t="str">
        <f t="shared" si="45"/>
        <v>alter type s_date_8 (F8.0).</v>
      </c>
    </row>
    <row r="1426" spans="1:6" x14ac:dyDescent="0.25">
      <c r="A1426" s="1" t="s">
        <v>2755</v>
      </c>
      <c r="B1426" s="1" t="s">
        <v>27</v>
      </c>
      <c r="C1426" s="1">
        <v>8</v>
      </c>
      <c r="D1426" s="1">
        <v>0</v>
      </c>
      <c r="E1426" s="1" t="str">
        <f t="shared" si="44"/>
        <v>(A8)</v>
      </c>
      <c r="F1426" s="1" t="str">
        <f t="shared" si="45"/>
        <v>alter type s_in_8 (A8).</v>
      </c>
    </row>
    <row r="1427" spans="1:6" x14ac:dyDescent="0.25">
      <c r="A1427" s="1" t="s">
        <v>2756</v>
      </c>
      <c r="B1427" s="1" t="s">
        <v>30</v>
      </c>
      <c r="C1427" s="1">
        <v>8</v>
      </c>
      <c r="D1427" s="1">
        <v>0</v>
      </c>
      <c r="E1427" s="1" t="str">
        <f t="shared" si="44"/>
        <v>(F8.0)</v>
      </c>
      <c r="F1427" s="1" t="str">
        <f t="shared" si="45"/>
        <v>alter type s_date_9 (F8.0).</v>
      </c>
    </row>
    <row r="1428" spans="1:6" x14ac:dyDescent="0.25">
      <c r="A1428" s="1" t="s">
        <v>2757</v>
      </c>
      <c r="B1428" s="1" t="s">
        <v>27</v>
      </c>
      <c r="C1428" s="1">
        <v>8</v>
      </c>
      <c r="D1428" s="1">
        <v>0</v>
      </c>
      <c r="E1428" s="1" t="str">
        <f t="shared" si="44"/>
        <v>(A8)</v>
      </c>
      <c r="F1428" s="1" t="str">
        <f t="shared" si="45"/>
        <v>alter type s_in_9 (A8).</v>
      </c>
    </row>
    <row r="1429" spans="1:6" x14ac:dyDescent="0.25">
      <c r="A1429" s="1" t="s">
        <v>2758</v>
      </c>
      <c r="B1429" s="1" t="s">
        <v>30</v>
      </c>
      <c r="C1429" s="1">
        <v>8</v>
      </c>
      <c r="D1429" s="1">
        <v>0</v>
      </c>
      <c r="E1429" s="1" t="str">
        <f t="shared" si="44"/>
        <v>(F8.0)</v>
      </c>
      <c r="F1429" s="1" t="str">
        <f t="shared" si="45"/>
        <v>alter type s_date_10 (F8.0).</v>
      </c>
    </row>
    <row r="1430" spans="1:6" x14ac:dyDescent="0.25">
      <c r="A1430" s="1" t="s">
        <v>2759</v>
      </c>
      <c r="B1430" s="1" t="s">
        <v>27</v>
      </c>
      <c r="C1430" s="1">
        <v>8</v>
      </c>
      <c r="D1430" s="1">
        <v>0</v>
      </c>
      <c r="E1430" s="1" t="str">
        <f t="shared" si="44"/>
        <v>(A8)</v>
      </c>
      <c r="F1430" s="1" t="str">
        <f t="shared" si="45"/>
        <v>alter type s_in_10 (A8).</v>
      </c>
    </row>
    <row r="1431" spans="1:6" x14ac:dyDescent="0.25">
      <c r="A1431" s="1" t="s">
        <v>2760</v>
      </c>
      <c r="B1431" s="1" t="s">
        <v>27</v>
      </c>
      <c r="C1431" s="1">
        <v>3</v>
      </c>
      <c r="D1431" s="1">
        <v>0</v>
      </c>
      <c r="E1431" s="1" t="str">
        <f t="shared" si="44"/>
        <v>(A3)</v>
      </c>
      <c r="F1431" s="1" t="str">
        <f t="shared" si="45"/>
        <v>alter type tfno (A3).</v>
      </c>
    </row>
    <row r="1432" spans="1:6" x14ac:dyDescent="0.25">
      <c r="A1432" s="1" t="s">
        <v>2761</v>
      </c>
      <c r="B1432" s="1" t="s">
        <v>27</v>
      </c>
      <c r="C1432" s="1">
        <v>3</v>
      </c>
      <c r="D1432" s="1">
        <v>0</v>
      </c>
      <c r="E1432" s="1" t="str">
        <f t="shared" si="44"/>
        <v>(A3)</v>
      </c>
      <c r="F1432" s="1" t="str">
        <f t="shared" si="45"/>
        <v>alter type tlno (A3).</v>
      </c>
    </row>
    <row r="1433" spans="1:6" x14ac:dyDescent="0.25">
      <c r="A1433" s="1" t="s">
        <v>2762</v>
      </c>
      <c r="B1433" s="1" t="s">
        <v>30</v>
      </c>
      <c r="C1433" s="1">
        <v>8</v>
      </c>
      <c r="D1433" s="1">
        <v>0</v>
      </c>
      <c r="E1433" s="1" t="str">
        <f t="shared" si="44"/>
        <v>(F8.0)</v>
      </c>
      <c r="F1433" s="1" t="str">
        <f t="shared" si="45"/>
        <v>alter type t_date_1 (F8.0).</v>
      </c>
    </row>
    <row r="1434" spans="1:6" x14ac:dyDescent="0.25">
      <c r="A1434" s="1" t="s">
        <v>2763</v>
      </c>
      <c r="B1434" s="1" t="s">
        <v>27</v>
      </c>
      <c r="C1434" s="1">
        <v>20</v>
      </c>
      <c r="D1434" s="1">
        <v>0</v>
      </c>
      <c r="E1434" s="1" t="str">
        <f t="shared" si="44"/>
        <v>(A20)</v>
      </c>
      <c r="F1434" s="1" t="str">
        <f t="shared" si="45"/>
        <v>alter type t_in_1 (A20).</v>
      </c>
    </row>
    <row r="1435" spans="1:6" x14ac:dyDescent="0.25">
      <c r="A1435" s="1" t="s">
        <v>2764</v>
      </c>
      <c r="B1435" s="1" t="s">
        <v>27</v>
      </c>
      <c r="C1435" s="1">
        <v>21</v>
      </c>
      <c r="D1435" s="1">
        <v>0</v>
      </c>
      <c r="E1435" s="1" t="str">
        <f t="shared" si="44"/>
        <v>(A21)</v>
      </c>
      <c r="F1435" s="1" t="str">
        <f t="shared" si="45"/>
        <v>alter type phone1_1 (A21).</v>
      </c>
    </row>
    <row r="1436" spans="1:6" x14ac:dyDescent="0.25">
      <c r="A1436" s="1" t="s">
        <v>2765</v>
      </c>
      <c r="B1436" s="1" t="s">
        <v>27</v>
      </c>
      <c r="C1436" s="1">
        <v>21</v>
      </c>
      <c r="D1436" s="1">
        <v>0</v>
      </c>
      <c r="E1436" s="1" t="str">
        <f t="shared" si="44"/>
        <v>(A21)</v>
      </c>
      <c r="F1436" s="1" t="str">
        <f t="shared" si="45"/>
        <v>alter type phone2_1 (A21).</v>
      </c>
    </row>
    <row r="1437" spans="1:6" x14ac:dyDescent="0.25">
      <c r="A1437" s="1" t="s">
        <v>2766</v>
      </c>
      <c r="B1437" s="1" t="s">
        <v>27</v>
      </c>
      <c r="C1437" s="1">
        <v>21</v>
      </c>
      <c r="D1437" s="1">
        <v>0</v>
      </c>
      <c r="E1437" s="1" t="str">
        <f t="shared" si="44"/>
        <v>(A21)</v>
      </c>
      <c r="F1437" s="1" t="str">
        <f t="shared" si="45"/>
        <v>alter type phone3_1 (A21).</v>
      </c>
    </row>
    <row r="1438" spans="1:6" x14ac:dyDescent="0.25">
      <c r="A1438" s="1" t="s">
        <v>2767</v>
      </c>
      <c r="B1438" s="1" t="s">
        <v>27</v>
      </c>
      <c r="C1438" s="1">
        <v>12</v>
      </c>
      <c r="D1438" s="1">
        <v>0</v>
      </c>
      <c r="E1438" s="1" t="str">
        <f t="shared" si="44"/>
        <v>(A12)</v>
      </c>
      <c r="F1438" s="1" t="str">
        <f t="shared" si="45"/>
        <v>alter type cell1_1 (A12).</v>
      </c>
    </row>
    <row r="1439" spans="1:6" x14ac:dyDescent="0.25">
      <c r="A1439" s="1" t="s">
        <v>2768</v>
      </c>
      <c r="B1439" s="1" t="s">
        <v>27</v>
      </c>
      <c r="C1439" s="1">
        <v>12</v>
      </c>
      <c r="D1439" s="1">
        <v>0</v>
      </c>
      <c r="E1439" s="1" t="str">
        <f t="shared" si="44"/>
        <v>(A12)</v>
      </c>
      <c r="F1439" s="1" t="str">
        <f t="shared" si="45"/>
        <v>alter type cell2_1 (A12).</v>
      </c>
    </row>
    <row r="1440" spans="1:6" x14ac:dyDescent="0.25">
      <c r="A1440" s="1" t="s">
        <v>2769</v>
      </c>
      <c r="B1440" s="1" t="s">
        <v>27</v>
      </c>
      <c r="C1440" s="1">
        <v>12</v>
      </c>
      <c r="D1440" s="1">
        <v>0</v>
      </c>
      <c r="E1440" s="1" t="str">
        <f t="shared" si="44"/>
        <v>(A12)</v>
      </c>
      <c r="F1440" s="1" t="str">
        <f t="shared" si="45"/>
        <v>alter type cell3_1 (A12).</v>
      </c>
    </row>
    <row r="1441" spans="1:6" x14ac:dyDescent="0.25">
      <c r="A1441" s="1" t="s">
        <v>2770</v>
      </c>
      <c r="B1441" s="1" t="s">
        <v>27</v>
      </c>
      <c r="C1441" s="1">
        <v>180</v>
      </c>
      <c r="D1441" s="1">
        <v>0</v>
      </c>
      <c r="E1441" s="1" t="str">
        <f t="shared" si="44"/>
        <v>(A180)</v>
      </c>
      <c r="F1441" s="1" t="str">
        <f t="shared" si="45"/>
        <v>alter type add1_1 (A180).</v>
      </c>
    </row>
    <row r="1442" spans="1:6" x14ac:dyDescent="0.25">
      <c r="A1442" s="1" t="s">
        <v>2771</v>
      </c>
      <c r="B1442" s="1" t="s">
        <v>27</v>
      </c>
      <c r="C1442" s="1">
        <v>180</v>
      </c>
      <c r="D1442" s="1">
        <v>0</v>
      </c>
      <c r="E1442" s="1" t="str">
        <f t="shared" si="44"/>
        <v>(A180)</v>
      </c>
      <c r="F1442" s="1" t="str">
        <f t="shared" si="45"/>
        <v>alter type add2_1 (A180).</v>
      </c>
    </row>
    <row r="1443" spans="1:6" x14ac:dyDescent="0.25">
      <c r="A1443" s="1" t="s">
        <v>2772</v>
      </c>
      <c r="B1443" s="1" t="s">
        <v>27</v>
      </c>
      <c r="C1443" s="1">
        <v>180</v>
      </c>
      <c r="D1443" s="1">
        <v>0</v>
      </c>
      <c r="E1443" s="1" t="str">
        <f t="shared" si="44"/>
        <v>(A180)</v>
      </c>
      <c r="F1443" s="1" t="str">
        <f t="shared" si="45"/>
        <v>alter type add3_1 (A180).</v>
      </c>
    </row>
    <row r="1444" spans="1:6" x14ac:dyDescent="0.25">
      <c r="A1444" s="1" t="s">
        <v>2773</v>
      </c>
      <c r="B1444" s="1" t="s">
        <v>30</v>
      </c>
      <c r="C1444" s="1">
        <v>8</v>
      </c>
      <c r="D1444" s="1">
        <v>0</v>
      </c>
      <c r="E1444" s="1" t="str">
        <f t="shared" si="44"/>
        <v>(F8.0)</v>
      </c>
      <c r="F1444" s="1" t="str">
        <f t="shared" si="45"/>
        <v>alter type t_date_2 (F8.0).</v>
      </c>
    </row>
    <row r="1445" spans="1:6" x14ac:dyDescent="0.25">
      <c r="A1445" s="1" t="s">
        <v>2774</v>
      </c>
      <c r="B1445" s="1" t="s">
        <v>27</v>
      </c>
      <c r="C1445" s="1">
        <v>20</v>
      </c>
      <c r="D1445" s="1">
        <v>0</v>
      </c>
      <c r="E1445" s="1" t="str">
        <f t="shared" si="44"/>
        <v>(A20)</v>
      </c>
      <c r="F1445" s="1" t="str">
        <f t="shared" si="45"/>
        <v>alter type t_in_2 (A20).</v>
      </c>
    </row>
    <row r="1446" spans="1:6" x14ac:dyDescent="0.25">
      <c r="A1446" s="1" t="s">
        <v>2775</v>
      </c>
      <c r="B1446" s="1" t="s">
        <v>27</v>
      </c>
      <c r="C1446" s="1">
        <v>21</v>
      </c>
      <c r="D1446" s="1">
        <v>0</v>
      </c>
      <c r="E1446" s="1" t="str">
        <f t="shared" si="44"/>
        <v>(A21)</v>
      </c>
      <c r="F1446" s="1" t="str">
        <f t="shared" si="45"/>
        <v>alter type phone1_2 (A21).</v>
      </c>
    </row>
    <row r="1447" spans="1:6" x14ac:dyDescent="0.25">
      <c r="A1447" s="1" t="s">
        <v>2776</v>
      </c>
      <c r="B1447" s="1" t="s">
        <v>27</v>
      </c>
      <c r="C1447" s="1">
        <v>21</v>
      </c>
      <c r="D1447" s="1">
        <v>0</v>
      </c>
      <c r="E1447" s="1" t="str">
        <f t="shared" si="44"/>
        <v>(A21)</v>
      </c>
      <c r="F1447" s="1" t="str">
        <f t="shared" si="45"/>
        <v>alter type phone2_2 (A21).</v>
      </c>
    </row>
    <row r="1448" spans="1:6" x14ac:dyDescent="0.25">
      <c r="A1448" s="1" t="s">
        <v>2777</v>
      </c>
      <c r="B1448" s="1" t="s">
        <v>27</v>
      </c>
      <c r="C1448" s="1">
        <v>21</v>
      </c>
      <c r="D1448" s="1">
        <v>0</v>
      </c>
      <c r="E1448" s="1" t="str">
        <f t="shared" si="44"/>
        <v>(A21)</v>
      </c>
      <c r="F1448" s="1" t="str">
        <f t="shared" si="45"/>
        <v>alter type phone3_2 (A21).</v>
      </c>
    </row>
    <row r="1449" spans="1:6" x14ac:dyDescent="0.25">
      <c r="A1449" s="1" t="s">
        <v>2778</v>
      </c>
      <c r="B1449" s="1" t="s">
        <v>27</v>
      </c>
      <c r="C1449" s="1">
        <v>12</v>
      </c>
      <c r="D1449" s="1">
        <v>0</v>
      </c>
      <c r="E1449" s="1" t="str">
        <f t="shared" si="44"/>
        <v>(A12)</v>
      </c>
      <c r="F1449" s="1" t="str">
        <f t="shared" si="45"/>
        <v>alter type cell1_2 (A12).</v>
      </c>
    </row>
    <row r="1450" spans="1:6" x14ac:dyDescent="0.25">
      <c r="A1450" s="1" t="s">
        <v>2779</v>
      </c>
      <c r="B1450" s="1" t="s">
        <v>27</v>
      </c>
      <c r="C1450" s="1">
        <v>12</v>
      </c>
      <c r="D1450" s="1">
        <v>0</v>
      </c>
      <c r="E1450" s="1" t="str">
        <f t="shared" si="44"/>
        <v>(A12)</v>
      </c>
      <c r="F1450" s="1" t="str">
        <f t="shared" si="45"/>
        <v>alter type cell2_2 (A12).</v>
      </c>
    </row>
    <row r="1451" spans="1:6" x14ac:dyDescent="0.25">
      <c r="A1451" s="1" t="s">
        <v>2780</v>
      </c>
      <c r="B1451" s="1" t="s">
        <v>27</v>
      </c>
      <c r="C1451" s="1">
        <v>12</v>
      </c>
      <c r="D1451" s="1">
        <v>0</v>
      </c>
      <c r="E1451" s="1" t="str">
        <f t="shared" si="44"/>
        <v>(A12)</v>
      </c>
      <c r="F1451" s="1" t="str">
        <f t="shared" si="45"/>
        <v>alter type cell3_2 (A12).</v>
      </c>
    </row>
    <row r="1452" spans="1:6" x14ac:dyDescent="0.25">
      <c r="A1452" s="1" t="s">
        <v>2781</v>
      </c>
      <c r="B1452" s="1" t="s">
        <v>27</v>
      </c>
      <c r="C1452" s="1">
        <v>180</v>
      </c>
      <c r="D1452" s="1">
        <v>0</v>
      </c>
      <c r="E1452" s="1" t="str">
        <f t="shared" si="44"/>
        <v>(A180)</v>
      </c>
      <c r="F1452" s="1" t="str">
        <f t="shared" si="45"/>
        <v>alter type add1_2 (A180).</v>
      </c>
    </row>
    <row r="1453" spans="1:6" x14ac:dyDescent="0.25">
      <c r="A1453" s="1" t="s">
        <v>2782</v>
      </c>
      <c r="B1453" s="1" t="s">
        <v>27</v>
      </c>
      <c r="C1453" s="1">
        <v>180</v>
      </c>
      <c r="D1453" s="1">
        <v>0</v>
      </c>
      <c r="E1453" s="1" t="str">
        <f t="shared" si="44"/>
        <v>(A180)</v>
      </c>
      <c r="F1453" s="1" t="str">
        <f t="shared" si="45"/>
        <v>alter type add2_2 (A180).</v>
      </c>
    </row>
    <row r="1454" spans="1:6" x14ac:dyDescent="0.25">
      <c r="A1454" s="1" t="s">
        <v>2783</v>
      </c>
      <c r="B1454" s="1" t="s">
        <v>27</v>
      </c>
      <c r="C1454" s="1">
        <v>180</v>
      </c>
      <c r="D1454" s="1">
        <v>0</v>
      </c>
      <c r="E1454" s="1" t="str">
        <f t="shared" si="44"/>
        <v>(A180)</v>
      </c>
      <c r="F1454" s="1" t="str">
        <f t="shared" si="45"/>
        <v>alter type add3_2 (A180).</v>
      </c>
    </row>
    <row r="1455" spans="1:6" x14ac:dyDescent="0.25">
      <c r="A1455" s="1" t="s">
        <v>2784</v>
      </c>
      <c r="B1455" s="1" t="s">
        <v>30</v>
      </c>
      <c r="C1455" s="1">
        <v>8</v>
      </c>
      <c r="D1455" s="1">
        <v>0</v>
      </c>
      <c r="E1455" s="1" t="str">
        <f t="shared" si="44"/>
        <v>(F8.0)</v>
      </c>
      <c r="F1455" s="1" t="str">
        <f t="shared" si="45"/>
        <v>alter type t_date_3 (F8.0).</v>
      </c>
    </row>
    <row r="1456" spans="1:6" x14ac:dyDescent="0.25">
      <c r="A1456" s="1" t="s">
        <v>2785</v>
      </c>
      <c r="B1456" s="1" t="s">
        <v>27</v>
      </c>
      <c r="C1456" s="1">
        <v>20</v>
      </c>
      <c r="D1456" s="1">
        <v>0</v>
      </c>
      <c r="E1456" s="1" t="str">
        <f t="shared" si="44"/>
        <v>(A20)</v>
      </c>
      <c r="F1456" s="1" t="str">
        <f t="shared" si="45"/>
        <v>alter type t_in_3 (A20).</v>
      </c>
    </row>
    <row r="1457" spans="1:6" x14ac:dyDescent="0.25">
      <c r="A1457" s="1" t="s">
        <v>2786</v>
      </c>
      <c r="B1457" s="1" t="s">
        <v>27</v>
      </c>
      <c r="C1457" s="1">
        <v>21</v>
      </c>
      <c r="D1457" s="1">
        <v>0</v>
      </c>
      <c r="E1457" s="1" t="str">
        <f t="shared" ref="E1457:E1520" si="46">IF(B1457="數值","(F"&amp;C1457&amp;"."&amp;D1457&amp;")","(A"&amp;C1457&amp;")")</f>
        <v>(A21)</v>
      </c>
      <c r="F1457" s="1" t="str">
        <f t="shared" ref="F1457:F1520" si="47">"alter type "&amp;A1457&amp;" "&amp;E1457&amp;"."</f>
        <v>alter type phone1_3 (A21).</v>
      </c>
    </row>
    <row r="1458" spans="1:6" x14ac:dyDescent="0.25">
      <c r="A1458" s="1" t="s">
        <v>2787</v>
      </c>
      <c r="B1458" s="1" t="s">
        <v>27</v>
      </c>
      <c r="C1458" s="1">
        <v>21</v>
      </c>
      <c r="D1458" s="1">
        <v>0</v>
      </c>
      <c r="E1458" s="1" t="str">
        <f t="shared" si="46"/>
        <v>(A21)</v>
      </c>
      <c r="F1458" s="1" t="str">
        <f t="shared" si="47"/>
        <v>alter type phone2_3 (A21).</v>
      </c>
    </row>
    <row r="1459" spans="1:6" x14ac:dyDescent="0.25">
      <c r="A1459" s="1" t="s">
        <v>2788</v>
      </c>
      <c r="B1459" s="1" t="s">
        <v>27</v>
      </c>
      <c r="C1459" s="1">
        <v>21</v>
      </c>
      <c r="D1459" s="1">
        <v>0</v>
      </c>
      <c r="E1459" s="1" t="str">
        <f t="shared" si="46"/>
        <v>(A21)</v>
      </c>
      <c r="F1459" s="1" t="str">
        <f t="shared" si="47"/>
        <v>alter type phone3_3 (A21).</v>
      </c>
    </row>
    <row r="1460" spans="1:6" x14ac:dyDescent="0.25">
      <c r="A1460" s="1" t="s">
        <v>2789</v>
      </c>
      <c r="B1460" s="1" t="s">
        <v>27</v>
      </c>
      <c r="C1460" s="1">
        <v>12</v>
      </c>
      <c r="D1460" s="1">
        <v>0</v>
      </c>
      <c r="E1460" s="1" t="str">
        <f t="shared" si="46"/>
        <v>(A12)</v>
      </c>
      <c r="F1460" s="1" t="str">
        <f t="shared" si="47"/>
        <v>alter type cell1_3 (A12).</v>
      </c>
    </row>
    <row r="1461" spans="1:6" x14ac:dyDescent="0.25">
      <c r="A1461" s="1" t="s">
        <v>2790</v>
      </c>
      <c r="B1461" s="1" t="s">
        <v>27</v>
      </c>
      <c r="C1461" s="1">
        <v>12</v>
      </c>
      <c r="D1461" s="1">
        <v>0</v>
      </c>
      <c r="E1461" s="1" t="str">
        <f t="shared" si="46"/>
        <v>(A12)</v>
      </c>
      <c r="F1461" s="1" t="str">
        <f t="shared" si="47"/>
        <v>alter type cell2_3 (A12).</v>
      </c>
    </row>
    <row r="1462" spans="1:6" x14ac:dyDescent="0.25">
      <c r="A1462" s="1" t="s">
        <v>2791</v>
      </c>
      <c r="B1462" s="1" t="s">
        <v>27</v>
      </c>
      <c r="C1462" s="1">
        <v>12</v>
      </c>
      <c r="D1462" s="1">
        <v>0</v>
      </c>
      <c r="E1462" s="1" t="str">
        <f t="shared" si="46"/>
        <v>(A12)</v>
      </c>
      <c r="F1462" s="1" t="str">
        <f t="shared" si="47"/>
        <v>alter type cell3_3 (A12).</v>
      </c>
    </row>
    <row r="1463" spans="1:6" x14ac:dyDescent="0.25">
      <c r="A1463" s="1" t="s">
        <v>2792</v>
      </c>
      <c r="B1463" s="1" t="s">
        <v>27</v>
      </c>
      <c r="C1463" s="1">
        <v>180</v>
      </c>
      <c r="D1463" s="1">
        <v>0</v>
      </c>
      <c r="E1463" s="1" t="str">
        <f t="shared" si="46"/>
        <v>(A180)</v>
      </c>
      <c r="F1463" s="1" t="str">
        <f t="shared" si="47"/>
        <v>alter type add1_3 (A180).</v>
      </c>
    </row>
    <row r="1464" spans="1:6" x14ac:dyDescent="0.25">
      <c r="A1464" s="1" t="s">
        <v>2793</v>
      </c>
      <c r="B1464" s="1" t="s">
        <v>27</v>
      </c>
      <c r="C1464" s="1">
        <v>180</v>
      </c>
      <c r="D1464" s="1">
        <v>0</v>
      </c>
      <c r="E1464" s="1" t="str">
        <f t="shared" si="46"/>
        <v>(A180)</v>
      </c>
      <c r="F1464" s="1" t="str">
        <f t="shared" si="47"/>
        <v>alter type add2_3 (A180).</v>
      </c>
    </row>
    <row r="1465" spans="1:6" x14ac:dyDescent="0.25">
      <c r="A1465" s="1" t="s">
        <v>2794</v>
      </c>
      <c r="B1465" s="1" t="s">
        <v>27</v>
      </c>
      <c r="C1465" s="1">
        <v>180</v>
      </c>
      <c r="D1465" s="1">
        <v>0</v>
      </c>
      <c r="E1465" s="1" t="str">
        <f t="shared" si="46"/>
        <v>(A180)</v>
      </c>
      <c r="F1465" s="1" t="str">
        <f t="shared" si="47"/>
        <v>alter type add3_3 (A180).</v>
      </c>
    </row>
    <row r="1466" spans="1:6" x14ac:dyDescent="0.25">
      <c r="A1466" s="1" t="s">
        <v>2795</v>
      </c>
      <c r="B1466" s="1" t="s">
        <v>30</v>
      </c>
      <c r="C1466" s="1">
        <v>8</v>
      </c>
      <c r="D1466" s="1">
        <v>0</v>
      </c>
      <c r="E1466" s="1" t="str">
        <f t="shared" si="46"/>
        <v>(F8.0)</v>
      </c>
      <c r="F1466" s="1" t="str">
        <f t="shared" si="47"/>
        <v>alter type t_date_4 (F8.0).</v>
      </c>
    </row>
    <row r="1467" spans="1:6" x14ac:dyDescent="0.25">
      <c r="A1467" s="1" t="s">
        <v>2796</v>
      </c>
      <c r="B1467" s="1" t="s">
        <v>27</v>
      </c>
      <c r="C1467" s="1">
        <v>20</v>
      </c>
      <c r="D1467" s="1">
        <v>0</v>
      </c>
      <c r="E1467" s="1" t="str">
        <f t="shared" si="46"/>
        <v>(A20)</v>
      </c>
      <c r="F1467" s="1" t="str">
        <f t="shared" si="47"/>
        <v>alter type t_in_4 (A20).</v>
      </c>
    </row>
    <row r="1468" spans="1:6" x14ac:dyDescent="0.25">
      <c r="A1468" s="1" t="s">
        <v>2797</v>
      </c>
      <c r="B1468" s="1" t="s">
        <v>27</v>
      </c>
      <c r="C1468" s="1">
        <v>21</v>
      </c>
      <c r="D1468" s="1">
        <v>0</v>
      </c>
      <c r="E1468" s="1" t="str">
        <f t="shared" si="46"/>
        <v>(A21)</v>
      </c>
      <c r="F1468" s="1" t="str">
        <f t="shared" si="47"/>
        <v>alter type phone1_4 (A21).</v>
      </c>
    </row>
    <row r="1469" spans="1:6" x14ac:dyDescent="0.25">
      <c r="A1469" s="1" t="s">
        <v>2798</v>
      </c>
      <c r="B1469" s="1" t="s">
        <v>27</v>
      </c>
      <c r="C1469" s="1">
        <v>21</v>
      </c>
      <c r="D1469" s="1">
        <v>0</v>
      </c>
      <c r="E1469" s="1" t="str">
        <f t="shared" si="46"/>
        <v>(A21)</v>
      </c>
      <c r="F1469" s="1" t="str">
        <f t="shared" si="47"/>
        <v>alter type phone2_4 (A21).</v>
      </c>
    </row>
    <row r="1470" spans="1:6" x14ac:dyDescent="0.25">
      <c r="A1470" s="1" t="s">
        <v>2799</v>
      </c>
      <c r="B1470" s="1" t="s">
        <v>27</v>
      </c>
      <c r="C1470" s="1">
        <v>21</v>
      </c>
      <c r="D1470" s="1">
        <v>0</v>
      </c>
      <c r="E1470" s="1" t="str">
        <f t="shared" si="46"/>
        <v>(A21)</v>
      </c>
      <c r="F1470" s="1" t="str">
        <f t="shared" si="47"/>
        <v>alter type phone3_4 (A21).</v>
      </c>
    </row>
    <row r="1471" spans="1:6" x14ac:dyDescent="0.25">
      <c r="A1471" s="1" t="s">
        <v>2800</v>
      </c>
      <c r="B1471" s="1" t="s">
        <v>27</v>
      </c>
      <c r="C1471" s="1">
        <v>12</v>
      </c>
      <c r="D1471" s="1">
        <v>0</v>
      </c>
      <c r="E1471" s="1" t="str">
        <f t="shared" si="46"/>
        <v>(A12)</v>
      </c>
      <c r="F1471" s="1" t="str">
        <f t="shared" si="47"/>
        <v>alter type cell1_4 (A12).</v>
      </c>
    </row>
    <row r="1472" spans="1:6" x14ac:dyDescent="0.25">
      <c r="A1472" s="1" t="s">
        <v>2801</v>
      </c>
      <c r="B1472" s="1" t="s">
        <v>27</v>
      </c>
      <c r="C1472" s="1">
        <v>12</v>
      </c>
      <c r="D1472" s="1">
        <v>0</v>
      </c>
      <c r="E1472" s="1" t="str">
        <f t="shared" si="46"/>
        <v>(A12)</v>
      </c>
      <c r="F1472" s="1" t="str">
        <f t="shared" si="47"/>
        <v>alter type cell2_4 (A12).</v>
      </c>
    </row>
    <row r="1473" spans="1:6" x14ac:dyDescent="0.25">
      <c r="A1473" s="1" t="s">
        <v>2802</v>
      </c>
      <c r="B1473" s="1" t="s">
        <v>27</v>
      </c>
      <c r="C1473" s="1">
        <v>12</v>
      </c>
      <c r="D1473" s="1">
        <v>0</v>
      </c>
      <c r="E1473" s="1" t="str">
        <f t="shared" si="46"/>
        <v>(A12)</v>
      </c>
      <c r="F1473" s="1" t="str">
        <f t="shared" si="47"/>
        <v>alter type cell3_4 (A12).</v>
      </c>
    </row>
    <row r="1474" spans="1:6" x14ac:dyDescent="0.25">
      <c r="A1474" s="1" t="s">
        <v>2803</v>
      </c>
      <c r="B1474" s="1" t="s">
        <v>27</v>
      </c>
      <c r="C1474" s="1">
        <v>180</v>
      </c>
      <c r="D1474" s="1">
        <v>0</v>
      </c>
      <c r="E1474" s="1" t="str">
        <f t="shared" si="46"/>
        <v>(A180)</v>
      </c>
      <c r="F1474" s="1" t="str">
        <f t="shared" si="47"/>
        <v>alter type add1_4 (A180).</v>
      </c>
    </row>
    <row r="1475" spans="1:6" x14ac:dyDescent="0.25">
      <c r="A1475" s="1" t="s">
        <v>2804</v>
      </c>
      <c r="B1475" s="1" t="s">
        <v>27</v>
      </c>
      <c r="C1475" s="1">
        <v>180</v>
      </c>
      <c r="D1475" s="1">
        <v>0</v>
      </c>
      <c r="E1475" s="1" t="str">
        <f t="shared" si="46"/>
        <v>(A180)</v>
      </c>
      <c r="F1475" s="1" t="str">
        <f t="shared" si="47"/>
        <v>alter type add2_4 (A180).</v>
      </c>
    </row>
    <row r="1476" spans="1:6" x14ac:dyDescent="0.25">
      <c r="A1476" s="1" t="s">
        <v>2805</v>
      </c>
      <c r="B1476" s="1" t="s">
        <v>27</v>
      </c>
      <c r="C1476" s="1">
        <v>180</v>
      </c>
      <c r="D1476" s="1">
        <v>0</v>
      </c>
      <c r="E1476" s="1" t="str">
        <f t="shared" si="46"/>
        <v>(A180)</v>
      </c>
      <c r="F1476" s="1" t="str">
        <f t="shared" si="47"/>
        <v>alter type add3_4 (A180).</v>
      </c>
    </row>
    <row r="1477" spans="1:6" x14ac:dyDescent="0.25">
      <c r="A1477" s="1" t="s">
        <v>2806</v>
      </c>
      <c r="B1477" s="1" t="s">
        <v>30</v>
      </c>
      <c r="C1477" s="1">
        <v>8</v>
      </c>
      <c r="D1477" s="1">
        <v>0</v>
      </c>
      <c r="E1477" s="1" t="str">
        <f t="shared" si="46"/>
        <v>(F8.0)</v>
      </c>
      <c r="F1477" s="1" t="str">
        <f t="shared" si="47"/>
        <v>alter type t_date_5 (F8.0).</v>
      </c>
    </row>
    <row r="1478" spans="1:6" x14ac:dyDescent="0.25">
      <c r="A1478" s="1" t="s">
        <v>2807</v>
      </c>
      <c r="B1478" s="1" t="s">
        <v>27</v>
      </c>
      <c r="C1478" s="1">
        <v>20</v>
      </c>
      <c r="D1478" s="1">
        <v>0</v>
      </c>
      <c r="E1478" s="1" t="str">
        <f t="shared" si="46"/>
        <v>(A20)</v>
      </c>
      <c r="F1478" s="1" t="str">
        <f t="shared" si="47"/>
        <v>alter type t_in_5 (A20).</v>
      </c>
    </row>
    <row r="1479" spans="1:6" x14ac:dyDescent="0.25">
      <c r="A1479" s="1" t="s">
        <v>2808</v>
      </c>
      <c r="B1479" s="1" t="s">
        <v>27</v>
      </c>
      <c r="C1479" s="1">
        <v>21</v>
      </c>
      <c r="D1479" s="1">
        <v>0</v>
      </c>
      <c r="E1479" s="1" t="str">
        <f t="shared" si="46"/>
        <v>(A21)</v>
      </c>
      <c r="F1479" s="1" t="str">
        <f t="shared" si="47"/>
        <v>alter type phone1_5 (A21).</v>
      </c>
    </row>
    <row r="1480" spans="1:6" x14ac:dyDescent="0.25">
      <c r="A1480" s="1" t="s">
        <v>2809</v>
      </c>
      <c r="B1480" s="1" t="s">
        <v>27</v>
      </c>
      <c r="C1480" s="1">
        <v>21</v>
      </c>
      <c r="D1480" s="1">
        <v>0</v>
      </c>
      <c r="E1480" s="1" t="str">
        <f t="shared" si="46"/>
        <v>(A21)</v>
      </c>
      <c r="F1480" s="1" t="str">
        <f t="shared" si="47"/>
        <v>alter type phone2_5 (A21).</v>
      </c>
    </row>
    <row r="1481" spans="1:6" x14ac:dyDescent="0.25">
      <c r="A1481" s="1" t="s">
        <v>2810</v>
      </c>
      <c r="B1481" s="1" t="s">
        <v>27</v>
      </c>
      <c r="C1481" s="1">
        <v>21</v>
      </c>
      <c r="D1481" s="1">
        <v>0</v>
      </c>
      <c r="E1481" s="1" t="str">
        <f t="shared" si="46"/>
        <v>(A21)</v>
      </c>
      <c r="F1481" s="1" t="str">
        <f t="shared" si="47"/>
        <v>alter type phone3_5 (A21).</v>
      </c>
    </row>
    <row r="1482" spans="1:6" x14ac:dyDescent="0.25">
      <c r="A1482" s="1" t="s">
        <v>2811</v>
      </c>
      <c r="B1482" s="1" t="s">
        <v>27</v>
      </c>
      <c r="C1482" s="1">
        <v>12</v>
      </c>
      <c r="D1482" s="1">
        <v>0</v>
      </c>
      <c r="E1482" s="1" t="str">
        <f t="shared" si="46"/>
        <v>(A12)</v>
      </c>
      <c r="F1482" s="1" t="str">
        <f t="shared" si="47"/>
        <v>alter type cell1_5 (A12).</v>
      </c>
    </row>
    <row r="1483" spans="1:6" x14ac:dyDescent="0.25">
      <c r="A1483" s="1" t="s">
        <v>2812</v>
      </c>
      <c r="B1483" s="1" t="s">
        <v>27</v>
      </c>
      <c r="C1483" s="1">
        <v>12</v>
      </c>
      <c r="D1483" s="1">
        <v>0</v>
      </c>
      <c r="E1483" s="1" t="str">
        <f t="shared" si="46"/>
        <v>(A12)</v>
      </c>
      <c r="F1483" s="1" t="str">
        <f t="shared" si="47"/>
        <v>alter type cell2_5 (A12).</v>
      </c>
    </row>
    <row r="1484" spans="1:6" x14ac:dyDescent="0.25">
      <c r="A1484" s="1" t="s">
        <v>2813</v>
      </c>
      <c r="B1484" s="1" t="s">
        <v>27</v>
      </c>
      <c r="C1484" s="1">
        <v>12</v>
      </c>
      <c r="D1484" s="1">
        <v>0</v>
      </c>
      <c r="E1484" s="1" t="str">
        <f t="shared" si="46"/>
        <v>(A12)</v>
      </c>
      <c r="F1484" s="1" t="str">
        <f t="shared" si="47"/>
        <v>alter type cell3_5 (A12).</v>
      </c>
    </row>
    <row r="1485" spans="1:6" x14ac:dyDescent="0.25">
      <c r="A1485" s="1" t="s">
        <v>2814</v>
      </c>
      <c r="B1485" s="1" t="s">
        <v>27</v>
      </c>
      <c r="C1485" s="1">
        <v>180</v>
      </c>
      <c r="D1485" s="1">
        <v>0</v>
      </c>
      <c r="E1485" s="1" t="str">
        <f t="shared" si="46"/>
        <v>(A180)</v>
      </c>
      <c r="F1485" s="1" t="str">
        <f t="shared" si="47"/>
        <v>alter type add1_5 (A180).</v>
      </c>
    </row>
    <row r="1486" spans="1:6" x14ac:dyDescent="0.25">
      <c r="A1486" s="1" t="s">
        <v>2815</v>
      </c>
      <c r="B1486" s="1" t="s">
        <v>27</v>
      </c>
      <c r="C1486" s="1">
        <v>180</v>
      </c>
      <c r="D1486" s="1">
        <v>0</v>
      </c>
      <c r="E1486" s="1" t="str">
        <f t="shared" si="46"/>
        <v>(A180)</v>
      </c>
      <c r="F1486" s="1" t="str">
        <f t="shared" si="47"/>
        <v>alter type add2_5 (A180).</v>
      </c>
    </row>
    <row r="1487" spans="1:6" x14ac:dyDescent="0.25">
      <c r="A1487" s="1" t="s">
        <v>2816</v>
      </c>
      <c r="B1487" s="1" t="s">
        <v>27</v>
      </c>
      <c r="C1487" s="1">
        <v>180</v>
      </c>
      <c r="D1487" s="1">
        <v>0</v>
      </c>
      <c r="E1487" s="1" t="str">
        <f t="shared" si="46"/>
        <v>(A180)</v>
      </c>
      <c r="F1487" s="1" t="str">
        <f t="shared" si="47"/>
        <v>alter type add3_5 (A180).</v>
      </c>
    </row>
    <row r="1488" spans="1:6" x14ac:dyDescent="0.25">
      <c r="A1488" s="1" t="s">
        <v>2817</v>
      </c>
      <c r="B1488" s="1" t="s">
        <v>30</v>
      </c>
      <c r="C1488" s="1">
        <v>8</v>
      </c>
      <c r="D1488" s="1">
        <v>0</v>
      </c>
      <c r="E1488" s="1" t="str">
        <f t="shared" si="46"/>
        <v>(F8.0)</v>
      </c>
      <c r="F1488" s="1" t="str">
        <f t="shared" si="47"/>
        <v>alter type t_date_6 (F8.0).</v>
      </c>
    </row>
    <row r="1489" spans="1:6" x14ac:dyDescent="0.25">
      <c r="A1489" s="1" t="s">
        <v>2818</v>
      </c>
      <c r="B1489" s="1" t="s">
        <v>27</v>
      </c>
      <c r="C1489" s="1">
        <v>20</v>
      </c>
      <c r="D1489" s="1">
        <v>0</v>
      </c>
      <c r="E1489" s="1" t="str">
        <f t="shared" si="46"/>
        <v>(A20)</v>
      </c>
      <c r="F1489" s="1" t="str">
        <f t="shared" si="47"/>
        <v>alter type t_in_6 (A20).</v>
      </c>
    </row>
    <row r="1490" spans="1:6" x14ac:dyDescent="0.25">
      <c r="A1490" s="1" t="s">
        <v>2819</v>
      </c>
      <c r="B1490" s="1" t="s">
        <v>27</v>
      </c>
      <c r="C1490" s="1">
        <v>21</v>
      </c>
      <c r="D1490" s="1">
        <v>0</v>
      </c>
      <c r="E1490" s="1" t="str">
        <f t="shared" si="46"/>
        <v>(A21)</v>
      </c>
      <c r="F1490" s="1" t="str">
        <f t="shared" si="47"/>
        <v>alter type phone1_6 (A21).</v>
      </c>
    </row>
    <row r="1491" spans="1:6" x14ac:dyDescent="0.25">
      <c r="A1491" s="1" t="s">
        <v>2820</v>
      </c>
      <c r="B1491" s="1" t="s">
        <v>27</v>
      </c>
      <c r="C1491" s="1">
        <v>21</v>
      </c>
      <c r="D1491" s="1">
        <v>0</v>
      </c>
      <c r="E1491" s="1" t="str">
        <f t="shared" si="46"/>
        <v>(A21)</v>
      </c>
      <c r="F1491" s="1" t="str">
        <f t="shared" si="47"/>
        <v>alter type phone2_6 (A21).</v>
      </c>
    </row>
    <row r="1492" spans="1:6" x14ac:dyDescent="0.25">
      <c r="A1492" s="1" t="s">
        <v>2821</v>
      </c>
      <c r="B1492" s="1" t="s">
        <v>27</v>
      </c>
      <c r="C1492" s="1">
        <v>21</v>
      </c>
      <c r="D1492" s="1">
        <v>0</v>
      </c>
      <c r="E1492" s="1" t="str">
        <f t="shared" si="46"/>
        <v>(A21)</v>
      </c>
      <c r="F1492" s="1" t="str">
        <f t="shared" si="47"/>
        <v>alter type phone3_6 (A21).</v>
      </c>
    </row>
    <row r="1493" spans="1:6" x14ac:dyDescent="0.25">
      <c r="A1493" s="1" t="s">
        <v>2822</v>
      </c>
      <c r="B1493" s="1" t="s">
        <v>27</v>
      </c>
      <c r="C1493" s="1">
        <v>12</v>
      </c>
      <c r="D1493" s="1">
        <v>0</v>
      </c>
      <c r="E1493" s="1" t="str">
        <f t="shared" si="46"/>
        <v>(A12)</v>
      </c>
      <c r="F1493" s="1" t="str">
        <f t="shared" si="47"/>
        <v>alter type cell1_6 (A12).</v>
      </c>
    </row>
    <row r="1494" spans="1:6" x14ac:dyDescent="0.25">
      <c r="A1494" s="1" t="s">
        <v>2823</v>
      </c>
      <c r="B1494" s="1" t="s">
        <v>27</v>
      </c>
      <c r="C1494" s="1">
        <v>12</v>
      </c>
      <c r="D1494" s="1">
        <v>0</v>
      </c>
      <c r="E1494" s="1" t="str">
        <f t="shared" si="46"/>
        <v>(A12)</v>
      </c>
      <c r="F1494" s="1" t="str">
        <f t="shared" si="47"/>
        <v>alter type cell2_6 (A12).</v>
      </c>
    </row>
    <row r="1495" spans="1:6" x14ac:dyDescent="0.25">
      <c r="A1495" s="1" t="s">
        <v>2824</v>
      </c>
      <c r="B1495" s="1" t="s">
        <v>27</v>
      </c>
      <c r="C1495" s="1">
        <v>12</v>
      </c>
      <c r="D1495" s="1">
        <v>0</v>
      </c>
      <c r="E1495" s="1" t="str">
        <f t="shared" si="46"/>
        <v>(A12)</v>
      </c>
      <c r="F1495" s="1" t="str">
        <f t="shared" si="47"/>
        <v>alter type cell3_6 (A12).</v>
      </c>
    </row>
    <row r="1496" spans="1:6" x14ac:dyDescent="0.25">
      <c r="A1496" s="1" t="s">
        <v>2825</v>
      </c>
      <c r="B1496" s="1" t="s">
        <v>27</v>
      </c>
      <c r="C1496" s="1">
        <v>180</v>
      </c>
      <c r="D1496" s="1">
        <v>0</v>
      </c>
      <c r="E1496" s="1" t="str">
        <f t="shared" si="46"/>
        <v>(A180)</v>
      </c>
      <c r="F1496" s="1" t="str">
        <f t="shared" si="47"/>
        <v>alter type add1_6 (A180).</v>
      </c>
    </row>
    <row r="1497" spans="1:6" x14ac:dyDescent="0.25">
      <c r="A1497" s="1" t="s">
        <v>2826</v>
      </c>
      <c r="B1497" s="1" t="s">
        <v>27</v>
      </c>
      <c r="C1497" s="1">
        <v>180</v>
      </c>
      <c r="D1497" s="1">
        <v>0</v>
      </c>
      <c r="E1497" s="1" t="str">
        <f t="shared" si="46"/>
        <v>(A180)</v>
      </c>
      <c r="F1497" s="1" t="str">
        <f t="shared" si="47"/>
        <v>alter type add2_6 (A180).</v>
      </c>
    </row>
    <row r="1498" spans="1:6" x14ac:dyDescent="0.25">
      <c r="A1498" s="1" t="s">
        <v>2827</v>
      </c>
      <c r="B1498" s="1" t="s">
        <v>27</v>
      </c>
      <c r="C1498" s="1">
        <v>180</v>
      </c>
      <c r="D1498" s="1">
        <v>0</v>
      </c>
      <c r="E1498" s="1" t="str">
        <f t="shared" si="46"/>
        <v>(A180)</v>
      </c>
      <c r="F1498" s="1" t="str">
        <f t="shared" si="47"/>
        <v>alter type add3_6 (A180).</v>
      </c>
    </row>
    <row r="1499" spans="1:6" x14ac:dyDescent="0.25">
      <c r="A1499" s="1" t="s">
        <v>2828</v>
      </c>
      <c r="B1499" s="1" t="s">
        <v>30</v>
      </c>
      <c r="C1499" s="1">
        <v>8</v>
      </c>
      <c r="D1499" s="1">
        <v>0</v>
      </c>
      <c r="E1499" s="1" t="str">
        <f t="shared" si="46"/>
        <v>(F8.0)</v>
      </c>
      <c r="F1499" s="1" t="str">
        <f t="shared" si="47"/>
        <v>alter type t_date_7 (F8.0).</v>
      </c>
    </row>
    <row r="1500" spans="1:6" x14ac:dyDescent="0.25">
      <c r="A1500" s="1" t="s">
        <v>2829</v>
      </c>
      <c r="B1500" s="1" t="s">
        <v>27</v>
      </c>
      <c r="C1500" s="1">
        <v>20</v>
      </c>
      <c r="D1500" s="1">
        <v>0</v>
      </c>
      <c r="E1500" s="1" t="str">
        <f t="shared" si="46"/>
        <v>(A20)</v>
      </c>
      <c r="F1500" s="1" t="str">
        <f t="shared" si="47"/>
        <v>alter type t_in_7 (A20).</v>
      </c>
    </row>
    <row r="1501" spans="1:6" x14ac:dyDescent="0.25">
      <c r="A1501" s="1" t="s">
        <v>2830</v>
      </c>
      <c r="B1501" s="1" t="s">
        <v>27</v>
      </c>
      <c r="C1501" s="1">
        <v>21</v>
      </c>
      <c r="D1501" s="1">
        <v>0</v>
      </c>
      <c r="E1501" s="1" t="str">
        <f t="shared" si="46"/>
        <v>(A21)</v>
      </c>
      <c r="F1501" s="1" t="str">
        <f t="shared" si="47"/>
        <v>alter type phone1_7 (A21).</v>
      </c>
    </row>
    <row r="1502" spans="1:6" x14ac:dyDescent="0.25">
      <c r="A1502" s="1" t="s">
        <v>2831</v>
      </c>
      <c r="B1502" s="1" t="s">
        <v>27</v>
      </c>
      <c r="C1502" s="1">
        <v>21</v>
      </c>
      <c r="D1502" s="1">
        <v>0</v>
      </c>
      <c r="E1502" s="1" t="str">
        <f t="shared" si="46"/>
        <v>(A21)</v>
      </c>
      <c r="F1502" s="1" t="str">
        <f t="shared" si="47"/>
        <v>alter type phone2_7 (A21).</v>
      </c>
    </row>
    <row r="1503" spans="1:6" x14ac:dyDescent="0.25">
      <c r="A1503" s="1" t="s">
        <v>2832</v>
      </c>
      <c r="B1503" s="1" t="s">
        <v>27</v>
      </c>
      <c r="C1503" s="1">
        <v>21</v>
      </c>
      <c r="D1503" s="1">
        <v>0</v>
      </c>
      <c r="E1503" s="1" t="str">
        <f t="shared" si="46"/>
        <v>(A21)</v>
      </c>
      <c r="F1503" s="1" t="str">
        <f t="shared" si="47"/>
        <v>alter type phone3_7 (A21).</v>
      </c>
    </row>
    <row r="1504" spans="1:6" x14ac:dyDescent="0.25">
      <c r="A1504" s="1" t="s">
        <v>2833</v>
      </c>
      <c r="B1504" s="1" t="s">
        <v>27</v>
      </c>
      <c r="C1504" s="1">
        <v>12</v>
      </c>
      <c r="D1504" s="1">
        <v>0</v>
      </c>
      <c r="E1504" s="1" t="str">
        <f t="shared" si="46"/>
        <v>(A12)</v>
      </c>
      <c r="F1504" s="1" t="str">
        <f t="shared" si="47"/>
        <v>alter type cell1_7 (A12).</v>
      </c>
    </row>
    <row r="1505" spans="1:6" x14ac:dyDescent="0.25">
      <c r="A1505" s="1" t="s">
        <v>2834</v>
      </c>
      <c r="B1505" s="1" t="s">
        <v>27</v>
      </c>
      <c r="C1505" s="1">
        <v>12</v>
      </c>
      <c r="D1505" s="1">
        <v>0</v>
      </c>
      <c r="E1505" s="1" t="str">
        <f t="shared" si="46"/>
        <v>(A12)</v>
      </c>
      <c r="F1505" s="1" t="str">
        <f t="shared" si="47"/>
        <v>alter type cell2_7 (A12).</v>
      </c>
    </row>
    <row r="1506" spans="1:6" x14ac:dyDescent="0.25">
      <c r="A1506" s="1" t="s">
        <v>2835</v>
      </c>
      <c r="B1506" s="1" t="s">
        <v>27</v>
      </c>
      <c r="C1506" s="1">
        <v>12</v>
      </c>
      <c r="D1506" s="1">
        <v>0</v>
      </c>
      <c r="E1506" s="1" t="str">
        <f t="shared" si="46"/>
        <v>(A12)</v>
      </c>
      <c r="F1506" s="1" t="str">
        <f t="shared" si="47"/>
        <v>alter type cell3_7 (A12).</v>
      </c>
    </row>
    <row r="1507" spans="1:6" x14ac:dyDescent="0.25">
      <c r="A1507" s="1" t="s">
        <v>2836</v>
      </c>
      <c r="B1507" s="1" t="s">
        <v>27</v>
      </c>
      <c r="C1507" s="1">
        <v>180</v>
      </c>
      <c r="D1507" s="1">
        <v>0</v>
      </c>
      <c r="E1507" s="1" t="str">
        <f t="shared" si="46"/>
        <v>(A180)</v>
      </c>
      <c r="F1507" s="1" t="str">
        <f t="shared" si="47"/>
        <v>alter type add1_7 (A180).</v>
      </c>
    </row>
    <row r="1508" spans="1:6" x14ac:dyDescent="0.25">
      <c r="A1508" s="1" t="s">
        <v>2837</v>
      </c>
      <c r="B1508" s="1" t="s">
        <v>27</v>
      </c>
      <c r="C1508" s="1">
        <v>180</v>
      </c>
      <c r="D1508" s="1">
        <v>0</v>
      </c>
      <c r="E1508" s="1" t="str">
        <f t="shared" si="46"/>
        <v>(A180)</v>
      </c>
      <c r="F1508" s="1" t="str">
        <f t="shared" si="47"/>
        <v>alter type add2_7 (A180).</v>
      </c>
    </row>
    <row r="1509" spans="1:6" x14ac:dyDescent="0.25">
      <c r="A1509" s="1" t="s">
        <v>2838</v>
      </c>
      <c r="B1509" s="1" t="s">
        <v>27</v>
      </c>
      <c r="C1509" s="1">
        <v>180</v>
      </c>
      <c r="D1509" s="1">
        <v>0</v>
      </c>
      <c r="E1509" s="1" t="str">
        <f t="shared" si="46"/>
        <v>(A180)</v>
      </c>
      <c r="F1509" s="1" t="str">
        <f t="shared" si="47"/>
        <v>alter type add3_7 (A180).</v>
      </c>
    </row>
    <row r="1510" spans="1:6" x14ac:dyDescent="0.25">
      <c r="A1510" s="1" t="s">
        <v>2839</v>
      </c>
      <c r="B1510" s="1" t="s">
        <v>30</v>
      </c>
      <c r="C1510" s="1">
        <v>8</v>
      </c>
      <c r="D1510" s="1">
        <v>0</v>
      </c>
      <c r="E1510" s="1" t="str">
        <f t="shared" si="46"/>
        <v>(F8.0)</v>
      </c>
      <c r="F1510" s="1" t="str">
        <f t="shared" si="47"/>
        <v>alter type t_date_8 (F8.0).</v>
      </c>
    </row>
    <row r="1511" spans="1:6" x14ac:dyDescent="0.25">
      <c r="A1511" s="1" t="s">
        <v>2840</v>
      </c>
      <c r="B1511" s="1" t="s">
        <v>27</v>
      </c>
      <c r="C1511" s="1">
        <v>20</v>
      </c>
      <c r="D1511" s="1">
        <v>0</v>
      </c>
      <c r="E1511" s="1" t="str">
        <f t="shared" si="46"/>
        <v>(A20)</v>
      </c>
      <c r="F1511" s="1" t="str">
        <f t="shared" si="47"/>
        <v>alter type t_in_8 (A20).</v>
      </c>
    </row>
    <row r="1512" spans="1:6" x14ac:dyDescent="0.25">
      <c r="A1512" s="1" t="s">
        <v>2841</v>
      </c>
      <c r="B1512" s="1" t="s">
        <v>27</v>
      </c>
      <c r="C1512" s="1">
        <v>21</v>
      </c>
      <c r="D1512" s="1">
        <v>0</v>
      </c>
      <c r="E1512" s="1" t="str">
        <f t="shared" si="46"/>
        <v>(A21)</v>
      </c>
      <c r="F1512" s="1" t="str">
        <f t="shared" si="47"/>
        <v>alter type phone1_8 (A21).</v>
      </c>
    </row>
    <row r="1513" spans="1:6" x14ac:dyDescent="0.25">
      <c r="A1513" s="1" t="s">
        <v>2842</v>
      </c>
      <c r="B1513" s="1" t="s">
        <v>27</v>
      </c>
      <c r="C1513" s="1">
        <v>21</v>
      </c>
      <c r="D1513" s="1">
        <v>0</v>
      </c>
      <c r="E1513" s="1" t="str">
        <f t="shared" si="46"/>
        <v>(A21)</v>
      </c>
      <c r="F1513" s="1" t="str">
        <f t="shared" si="47"/>
        <v>alter type phone2_8 (A21).</v>
      </c>
    </row>
    <row r="1514" spans="1:6" x14ac:dyDescent="0.25">
      <c r="A1514" s="1" t="s">
        <v>2843</v>
      </c>
      <c r="B1514" s="1" t="s">
        <v>27</v>
      </c>
      <c r="C1514" s="1">
        <v>21</v>
      </c>
      <c r="D1514" s="1">
        <v>0</v>
      </c>
      <c r="E1514" s="1" t="str">
        <f t="shared" si="46"/>
        <v>(A21)</v>
      </c>
      <c r="F1514" s="1" t="str">
        <f t="shared" si="47"/>
        <v>alter type phone3_8 (A21).</v>
      </c>
    </row>
    <row r="1515" spans="1:6" x14ac:dyDescent="0.25">
      <c r="A1515" s="1" t="s">
        <v>2844</v>
      </c>
      <c r="B1515" s="1" t="s">
        <v>27</v>
      </c>
      <c r="C1515" s="1">
        <v>12</v>
      </c>
      <c r="D1515" s="1">
        <v>0</v>
      </c>
      <c r="E1515" s="1" t="str">
        <f t="shared" si="46"/>
        <v>(A12)</v>
      </c>
      <c r="F1515" s="1" t="str">
        <f t="shared" si="47"/>
        <v>alter type cell1_8 (A12).</v>
      </c>
    </row>
    <row r="1516" spans="1:6" x14ac:dyDescent="0.25">
      <c r="A1516" s="1" t="s">
        <v>2845</v>
      </c>
      <c r="B1516" s="1" t="s">
        <v>27</v>
      </c>
      <c r="C1516" s="1">
        <v>12</v>
      </c>
      <c r="D1516" s="1">
        <v>0</v>
      </c>
      <c r="E1516" s="1" t="str">
        <f t="shared" si="46"/>
        <v>(A12)</v>
      </c>
      <c r="F1516" s="1" t="str">
        <f t="shared" si="47"/>
        <v>alter type cell2_8 (A12).</v>
      </c>
    </row>
    <row r="1517" spans="1:6" x14ac:dyDescent="0.25">
      <c r="A1517" s="1" t="s">
        <v>2846</v>
      </c>
      <c r="B1517" s="1" t="s">
        <v>27</v>
      </c>
      <c r="C1517" s="1">
        <v>12</v>
      </c>
      <c r="D1517" s="1">
        <v>0</v>
      </c>
      <c r="E1517" s="1" t="str">
        <f t="shared" si="46"/>
        <v>(A12)</v>
      </c>
      <c r="F1517" s="1" t="str">
        <f t="shared" si="47"/>
        <v>alter type cell3_8 (A12).</v>
      </c>
    </row>
    <row r="1518" spans="1:6" x14ac:dyDescent="0.25">
      <c r="A1518" s="1" t="s">
        <v>2847</v>
      </c>
      <c r="B1518" s="1" t="s">
        <v>27</v>
      </c>
      <c r="C1518" s="1">
        <v>180</v>
      </c>
      <c r="D1518" s="1">
        <v>0</v>
      </c>
      <c r="E1518" s="1" t="str">
        <f t="shared" si="46"/>
        <v>(A180)</v>
      </c>
      <c r="F1518" s="1" t="str">
        <f t="shared" si="47"/>
        <v>alter type add1_8 (A180).</v>
      </c>
    </row>
    <row r="1519" spans="1:6" x14ac:dyDescent="0.25">
      <c r="A1519" s="1" t="s">
        <v>2848</v>
      </c>
      <c r="B1519" s="1" t="s">
        <v>27</v>
      </c>
      <c r="C1519" s="1">
        <v>180</v>
      </c>
      <c r="D1519" s="1">
        <v>0</v>
      </c>
      <c r="E1519" s="1" t="str">
        <f t="shared" si="46"/>
        <v>(A180)</v>
      </c>
      <c r="F1519" s="1" t="str">
        <f t="shared" si="47"/>
        <v>alter type add2_8 (A180).</v>
      </c>
    </row>
    <row r="1520" spans="1:6" x14ac:dyDescent="0.25">
      <c r="A1520" s="1" t="s">
        <v>2849</v>
      </c>
      <c r="B1520" s="1" t="s">
        <v>27</v>
      </c>
      <c r="C1520" s="1">
        <v>180</v>
      </c>
      <c r="D1520" s="1">
        <v>0</v>
      </c>
      <c r="E1520" s="1" t="str">
        <f t="shared" si="46"/>
        <v>(A180)</v>
      </c>
      <c r="F1520" s="1" t="str">
        <f t="shared" si="47"/>
        <v>alter type add3_8 (A180).</v>
      </c>
    </row>
    <row r="1521" spans="1:6" x14ac:dyDescent="0.25">
      <c r="A1521" s="1" t="s">
        <v>2850</v>
      </c>
      <c r="B1521" s="1" t="s">
        <v>30</v>
      </c>
      <c r="C1521" s="1">
        <v>8</v>
      </c>
      <c r="D1521" s="1">
        <v>0</v>
      </c>
      <c r="E1521" s="1" t="str">
        <f t="shared" ref="E1521:E1584" si="48">IF(B1521="數值","(F"&amp;C1521&amp;"."&amp;D1521&amp;")","(A"&amp;C1521&amp;")")</f>
        <v>(F8.0)</v>
      </c>
      <c r="F1521" s="1" t="str">
        <f t="shared" ref="F1521:F1584" si="49">"alter type "&amp;A1521&amp;" "&amp;E1521&amp;"."</f>
        <v>alter type t_date_9 (F8.0).</v>
      </c>
    </row>
    <row r="1522" spans="1:6" x14ac:dyDescent="0.25">
      <c r="A1522" s="1" t="s">
        <v>2851</v>
      </c>
      <c r="B1522" s="1" t="s">
        <v>27</v>
      </c>
      <c r="C1522" s="1">
        <v>20</v>
      </c>
      <c r="D1522" s="1">
        <v>0</v>
      </c>
      <c r="E1522" s="1" t="str">
        <f t="shared" si="48"/>
        <v>(A20)</v>
      </c>
      <c r="F1522" s="1" t="str">
        <f t="shared" si="49"/>
        <v>alter type t_in_9 (A20).</v>
      </c>
    </row>
    <row r="1523" spans="1:6" x14ac:dyDescent="0.25">
      <c r="A1523" s="1" t="s">
        <v>2852</v>
      </c>
      <c r="B1523" s="1" t="s">
        <v>27</v>
      </c>
      <c r="C1523" s="1">
        <v>21</v>
      </c>
      <c r="D1523" s="1">
        <v>0</v>
      </c>
      <c r="E1523" s="1" t="str">
        <f t="shared" si="48"/>
        <v>(A21)</v>
      </c>
      <c r="F1523" s="1" t="str">
        <f t="shared" si="49"/>
        <v>alter type phone1_9 (A21).</v>
      </c>
    </row>
    <row r="1524" spans="1:6" x14ac:dyDescent="0.25">
      <c r="A1524" s="1" t="s">
        <v>2853</v>
      </c>
      <c r="B1524" s="1" t="s">
        <v>27</v>
      </c>
      <c r="C1524" s="1">
        <v>21</v>
      </c>
      <c r="D1524" s="1">
        <v>0</v>
      </c>
      <c r="E1524" s="1" t="str">
        <f t="shared" si="48"/>
        <v>(A21)</v>
      </c>
      <c r="F1524" s="1" t="str">
        <f t="shared" si="49"/>
        <v>alter type phone2_9 (A21).</v>
      </c>
    </row>
    <row r="1525" spans="1:6" x14ac:dyDescent="0.25">
      <c r="A1525" s="1" t="s">
        <v>2854</v>
      </c>
      <c r="B1525" s="1" t="s">
        <v>27</v>
      </c>
      <c r="C1525" s="1">
        <v>21</v>
      </c>
      <c r="D1525" s="1">
        <v>0</v>
      </c>
      <c r="E1525" s="1" t="str">
        <f t="shared" si="48"/>
        <v>(A21)</v>
      </c>
      <c r="F1525" s="1" t="str">
        <f t="shared" si="49"/>
        <v>alter type phone3_9 (A21).</v>
      </c>
    </row>
    <row r="1526" spans="1:6" x14ac:dyDescent="0.25">
      <c r="A1526" s="1" t="s">
        <v>2855</v>
      </c>
      <c r="B1526" s="1" t="s">
        <v>27</v>
      </c>
      <c r="C1526" s="1">
        <v>12</v>
      </c>
      <c r="D1526" s="1">
        <v>0</v>
      </c>
      <c r="E1526" s="1" t="str">
        <f t="shared" si="48"/>
        <v>(A12)</v>
      </c>
      <c r="F1526" s="1" t="str">
        <f t="shared" si="49"/>
        <v>alter type cell1_9 (A12).</v>
      </c>
    </row>
    <row r="1527" spans="1:6" x14ac:dyDescent="0.25">
      <c r="A1527" s="1" t="s">
        <v>2856</v>
      </c>
      <c r="B1527" s="1" t="s">
        <v>27</v>
      </c>
      <c r="C1527" s="1">
        <v>12</v>
      </c>
      <c r="D1527" s="1">
        <v>0</v>
      </c>
      <c r="E1527" s="1" t="str">
        <f t="shared" si="48"/>
        <v>(A12)</v>
      </c>
      <c r="F1527" s="1" t="str">
        <f t="shared" si="49"/>
        <v>alter type cell2_9 (A12).</v>
      </c>
    </row>
    <row r="1528" spans="1:6" x14ac:dyDescent="0.25">
      <c r="A1528" s="1" t="s">
        <v>2857</v>
      </c>
      <c r="B1528" s="1" t="s">
        <v>27</v>
      </c>
      <c r="C1528" s="1">
        <v>12</v>
      </c>
      <c r="D1528" s="1">
        <v>0</v>
      </c>
      <c r="E1528" s="1" t="str">
        <f t="shared" si="48"/>
        <v>(A12)</v>
      </c>
      <c r="F1528" s="1" t="str">
        <f t="shared" si="49"/>
        <v>alter type cell3_9 (A12).</v>
      </c>
    </row>
    <row r="1529" spans="1:6" x14ac:dyDescent="0.25">
      <c r="A1529" s="1" t="s">
        <v>2858</v>
      </c>
      <c r="B1529" s="1" t="s">
        <v>27</v>
      </c>
      <c r="C1529" s="1">
        <v>180</v>
      </c>
      <c r="D1529" s="1">
        <v>0</v>
      </c>
      <c r="E1529" s="1" t="str">
        <f t="shared" si="48"/>
        <v>(A180)</v>
      </c>
      <c r="F1529" s="1" t="str">
        <f t="shared" si="49"/>
        <v>alter type add1_9 (A180).</v>
      </c>
    </row>
    <row r="1530" spans="1:6" x14ac:dyDescent="0.25">
      <c r="A1530" s="1" t="s">
        <v>2859</v>
      </c>
      <c r="B1530" s="1" t="s">
        <v>27</v>
      </c>
      <c r="C1530" s="1">
        <v>180</v>
      </c>
      <c r="D1530" s="1">
        <v>0</v>
      </c>
      <c r="E1530" s="1" t="str">
        <f t="shared" si="48"/>
        <v>(A180)</v>
      </c>
      <c r="F1530" s="1" t="str">
        <f t="shared" si="49"/>
        <v>alter type add2_9 (A180).</v>
      </c>
    </row>
    <row r="1531" spans="1:6" x14ac:dyDescent="0.25">
      <c r="A1531" s="1" t="s">
        <v>2860</v>
      </c>
      <c r="B1531" s="1" t="s">
        <v>27</v>
      </c>
      <c r="C1531" s="1">
        <v>180</v>
      </c>
      <c r="D1531" s="1">
        <v>0</v>
      </c>
      <c r="E1531" s="1" t="str">
        <f t="shared" si="48"/>
        <v>(A180)</v>
      </c>
      <c r="F1531" s="1" t="str">
        <f t="shared" si="49"/>
        <v>alter type add3_9 (A180).</v>
      </c>
    </row>
    <row r="1532" spans="1:6" x14ac:dyDescent="0.25">
      <c r="A1532" s="1" t="s">
        <v>2861</v>
      </c>
      <c r="B1532" s="1" t="s">
        <v>30</v>
      </c>
      <c r="C1532" s="1">
        <v>8</v>
      </c>
      <c r="D1532" s="1">
        <v>0</v>
      </c>
      <c r="E1532" s="1" t="str">
        <f t="shared" si="48"/>
        <v>(F8.0)</v>
      </c>
      <c r="F1532" s="1" t="str">
        <f t="shared" si="49"/>
        <v>alter type t_date_10 (F8.0).</v>
      </c>
    </row>
    <row r="1533" spans="1:6" x14ac:dyDescent="0.25">
      <c r="A1533" s="1" t="s">
        <v>2862</v>
      </c>
      <c r="B1533" s="1" t="s">
        <v>27</v>
      </c>
      <c r="C1533" s="1">
        <v>20</v>
      </c>
      <c r="D1533" s="1">
        <v>0</v>
      </c>
      <c r="E1533" s="1" t="str">
        <f t="shared" si="48"/>
        <v>(A20)</v>
      </c>
      <c r="F1533" s="1" t="str">
        <f t="shared" si="49"/>
        <v>alter type t_in_10 (A20).</v>
      </c>
    </row>
    <row r="1534" spans="1:6" x14ac:dyDescent="0.25">
      <c r="A1534" s="1" t="s">
        <v>2863</v>
      </c>
      <c r="B1534" s="1" t="s">
        <v>27</v>
      </c>
      <c r="C1534" s="1">
        <v>21</v>
      </c>
      <c r="D1534" s="1">
        <v>0</v>
      </c>
      <c r="E1534" s="1" t="str">
        <f t="shared" si="48"/>
        <v>(A21)</v>
      </c>
      <c r="F1534" s="1" t="str">
        <f t="shared" si="49"/>
        <v>alter type phone1_10 (A21).</v>
      </c>
    </row>
    <row r="1535" spans="1:6" x14ac:dyDescent="0.25">
      <c r="A1535" s="1" t="s">
        <v>2864</v>
      </c>
      <c r="B1535" s="1" t="s">
        <v>27</v>
      </c>
      <c r="C1535" s="1">
        <v>21</v>
      </c>
      <c r="D1535" s="1">
        <v>0</v>
      </c>
      <c r="E1535" s="1" t="str">
        <f t="shared" si="48"/>
        <v>(A21)</v>
      </c>
      <c r="F1535" s="1" t="str">
        <f t="shared" si="49"/>
        <v>alter type phone2_10 (A21).</v>
      </c>
    </row>
    <row r="1536" spans="1:6" x14ac:dyDescent="0.25">
      <c r="A1536" s="1" t="s">
        <v>2865</v>
      </c>
      <c r="B1536" s="1" t="s">
        <v>27</v>
      </c>
      <c r="C1536" s="1">
        <v>21</v>
      </c>
      <c r="D1536" s="1">
        <v>0</v>
      </c>
      <c r="E1536" s="1" t="str">
        <f t="shared" si="48"/>
        <v>(A21)</v>
      </c>
      <c r="F1536" s="1" t="str">
        <f t="shared" si="49"/>
        <v>alter type phone3_10 (A21).</v>
      </c>
    </row>
    <row r="1537" spans="1:6" x14ac:dyDescent="0.25">
      <c r="A1537" s="1" t="s">
        <v>2866</v>
      </c>
      <c r="B1537" s="1" t="s">
        <v>27</v>
      </c>
      <c r="C1537" s="1">
        <v>12</v>
      </c>
      <c r="D1537" s="1">
        <v>0</v>
      </c>
      <c r="E1537" s="1" t="str">
        <f t="shared" si="48"/>
        <v>(A12)</v>
      </c>
      <c r="F1537" s="1" t="str">
        <f t="shared" si="49"/>
        <v>alter type cell1_10 (A12).</v>
      </c>
    </row>
    <row r="1538" spans="1:6" x14ac:dyDescent="0.25">
      <c r="A1538" s="1" t="s">
        <v>2867</v>
      </c>
      <c r="B1538" s="1" t="s">
        <v>27</v>
      </c>
      <c r="C1538" s="1">
        <v>12</v>
      </c>
      <c r="D1538" s="1">
        <v>0</v>
      </c>
      <c r="E1538" s="1" t="str">
        <f t="shared" si="48"/>
        <v>(A12)</v>
      </c>
      <c r="F1538" s="1" t="str">
        <f t="shared" si="49"/>
        <v>alter type cell2_10 (A12).</v>
      </c>
    </row>
    <row r="1539" spans="1:6" x14ac:dyDescent="0.25">
      <c r="A1539" s="1" t="s">
        <v>2868</v>
      </c>
      <c r="B1539" s="1" t="s">
        <v>27</v>
      </c>
      <c r="C1539" s="1">
        <v>12</v>
      </c>
      <c r="D1539" s="1">
        <v>0</v>
      </c>
      <c r="E1539" s="1" t="str">
        <f t="shared" si="48"/>
        <v>(A12)</v>
      </c>
      <c r="F1539" s="1" t="str">
        <f t="shared" si="49"/>
        <v>alter type cell3_10 (A12).</v>
      </c>
    </row>
    <row r="1540" spans="1:6" x14ac:dyDescent="0.25">
      <c r="A1540" s="1" t="s">
        <v>2869</v>
      </c>
      <c r="B1540" s="1" t="s">
        <v>27</v>
      </c>
      <c r="C1540" s="1">
        <v>180</v>
      </c>
      <c r="D1540" s="1">
        <v>0</v>
      </c>
      <c r="E1540" s="1" t="str">
        <f t="shared" si="48"/>
        <v>(A180)</v>
      </c>
      <c r="F1540" s="1" t="str">
        <f t="shared" si="49"/>
        <v>alter type add1_10 (A180).</v>
      </c>
    </row>
    <row r="1541" spans="1:6" x14ac:dyDescent="0.25">
      <c r="A1541" s="1" t="s">
        <v>2870</v>
      </c>
      <c r="B1541" s="1" t="s">
        <v>27</v>
      </c>
      <c r="C1541" s="1">
        <v>180</v>
      </c>
      <c r="D1541" s="1">
        <v>0</v>
      </c>
      <c r="E1541" s="1" t="str">
        <f t="shared" si="48"/>
        <v>(A180)</v>
      </c>
      <c r="F1541" s="1" t="str">
        <f t="shared" si="49"/>
        <v>alter type add2_10 (A180).</v>
      </c>
    </row>
    <row r="1542" spans="1:6" x14ac:dyDescent="0.25">
      <c r="A1542" s="1" t="s">
        <v>2871</v>
      </c>
      <c r="B1542" s="1" t="s">
        <v>27</v>
      </c>
      <c r="C1542" s="1">
        <v>180</v>
      </c>
      <c r="D1542" s="1">
        <v>0</v>
      </c>
      <c r="E1542" s="1" t="str">
        <f t="shared" si="48"/>
        <v>(A180)</v>
      </c>
      <c r="F1542" s="1" t="str">
        <f t="shared" si="49"/>
        <v>alter type add3_10 (A180).</v>
      </c>
    </row>
    <row r="1543" spans="1:6" x14ac:dyDescent="0.25">
      <c r="A1543" s="1" t="s">
        <v>2872</v>
      </c>
      <c r="B1543" s="1" t="s">
        <v>27</v>
      </c>
      <c r="C1543" s="1">
        <v>21</v>
      </c>
      <c r="D1543" s="1">
        <v>0</v>
      </c>
      <c r="E1543" s="1" t="str">
        <f t="shared" si="48"/>
        <v>(A21)</v>
      </c>
      <c r="F1543" s="1" t="str">
        <f t="shared" si="49"/>
        <v>alter type phone1 (A21).</v>
      </c>
    </row>
    <row r="1544" spans="1:6" x14ac:dyDescent="0.25">
      <c r="A1544" s="1" t="s">
        <v>2873</v>
      </c>
      <c r="B1544" s="1" t="s">
        <v>27</v>
      </c>
      <c r="C1544" s="1">
        <v>21</v>
      </c>
      <c r="D1544" s="1">
        <v>0</v>
      </c>
      <c r="E1544" s="1" t="str">
        <f t="shared" si="48"/>
        <v>(A21)</v>
      </c>
      <c r="F1544" s="1" t="str">
        <f t="shared" si="49"/>
        <v>alter type phone2 (A21).</v>
      </c>
    </row>
    <row r="1545" spans="1:6" x14ac:dyDescent="0.25">
      <c r="A1545" s="1" t="s">
        <v>2874</v>
      </c>
      <c r="B1545" s="1" t="s">
        <v>27</v>
      </c>
      <c r="C1545" s="1">
        <v>21</v>
      </c>
      <c r="D1545" s="1">
        <v>0</v>
      </c>
      <c r="E1545" s="1" t="str">
        <f t="shared" si="48"/>
        <v>(A21)</v>
      </c>
      <c r="F1545" s="1" t="str">
        <f t="shared" si="49"/>
        <v>alter type phone3 (A21).</v>
      </c>
    </row>
    <row r="1546" spans="1:6" x14ac:dyDescent="0.25">
      <c r="A1546" s="1" t="s">
        <v>2875</v>
      </c>
      <c r="B1546" s="1" t="s">
        <v>27</v>
      </c>
      <c r="C1546" s="1">
        <v>21</v>
      </c>
      <c r="D1546" s="1">
        <v>0</v>
      </c>
      <c r="E1546" s="1" t="str">
        <f t="shared" si="48"/>
        <v>(A21)</v>
      </c>
      <c r="F1546" s="1" t="str">
        <f t="shared" si="49"/>
        <v>alter type phone4 (A21).</v>
      </c>
    </row>
    <row r="1547" spans="1:6" x14ac:dyDescent="0.25">
      <c r="A1547" s="1" t="s">
        <v>2876</v>
      </c>
      <c r="B1547" s="1" t="s">
        <v>27</v>
      </c>
      <c r="C1547" s="1">
        <v>21</v>
      </c>
      <c r="D1547" s="1">
        <v>0</v>
      </c>
      <c r="E1547" s="1" t="str">
        <f t="shared" si="48"/>
        <v>(A21)</v>
      </c>
      <c r="F1547" s="1" t="str">
        <f t="shared" si="49"/>
        <v>alter type phone5 (A21).</v>
      </c>
    </row>
    <row r="1548" spans="1:6" x14ac:dyDescent="0.25">
      <c r="A1548" s="1" t="s">
        <v>2877</v>
      </c>
      <c r="B1548" s="1" t="s">
        <v>27</v>
      </c>
      <c r="C1548" s="1">
        <v>12</v>
      </c>
      <c r="D1548" s="1">
        <v>0</v>
      </c>
      <c r="E1548" s="1" t="str">
        <f t="shared" si="48"/>
        <v>(A12)</v>
      </c>
      <c r="F1548" s="1" t="str">
        <f t="shared" si="49"/>
        <v>alter type cell1 (A12).</v>
      </c>
    </row>
    <row r="1549" spans="1:6" x14ac:dyDescent="0.25">
      <c r="A1549" s="1" t="s">
        <v>2878</v>
      </c>
      <c r="B1549" s="1" t="s">
        <v>27</v>
      </c>
      <c r="C1549" s="1">
        <v>12</v>
      </c>
      <c r="D1549" s="1">
        <v>0</v>
      </c>
      <c r="E1549" s="1" t="str">
        <f t="shared" si="48"/>
        <v>(A12)</v>
      </c>
      <c r="F1549" s="1" t="str">
        <f t="shared" si="49"/>
        <v>alter type cell2 (A12).</v>
      </c>
    </row>
    <row r="1550" spans="1:6" x14ac:dyDescent="0.25">
      <c r="A1550" s="1" t="s">
        <v>2879</v>
      </c>
      <c r="B1550" s="1" t="s">
        <v>27</v>
      </c>
      <c r="C1550" s="1">
        <v>12</v>
      </c>
      <c r="D1550" s="1">
        <v>0</v>
      </c>
      <c r="E1550" s="1" t="str">
        <f t="shared" si="48"/>
        <v>(A12)</v>
      </c>
      <c r="F1550" s="1" t="str">
        <f t="shared" si="49"/>
        <v>alter type cell3 (A12).</v>
      </c>
    </row>
    <row r="1551" spans="1:6" x14ac:dyDescent="0.25">
      <c r="A1551" s="1" t="s">
        <v>2880</v>
      </c>
      <c r="B1551" s="1" t="s">
        <v>27</v>
      </c>
      <c r="C1551" s="1">
        <v>12</v>
      </c>
      <c r="D1551" s="1">
        <v>0</v>
      </c>
      <c r="E1551" s="1" t="str">
        <f t="shared" si="48"/>
        <v>(A12)</v>
      </c>
      <c r="F1551" s="1" t="str">
        <f t="shared" si="49"/>
        <v>alter type cell4 (A12).</v>
      </c>
    </row>
    <row r="1552" spans="1:6" x14ac:dyDescent="0.25">
      <c r="A1552" s="1" t="s">
        <v>2881</v>
      </c>
      <c r="B1552" s="1" t="s">
        <v>27</v>
      </c>
      <c r="C1552" s="1">
        <v>12</v>
      </c>
      <c r="D1552" s="1">
        <v>0</v>
      </c>
      <c r="E1552" s="1" t="str">
        <f t="shared" si="48"/>
        <v>(A12)</v>
      </c>
      <c r="F1552" s="1" t="str">
        <f t="shared" si="49"/>
        <v>alter type cell5 (A12).</v>
      </c>
    </row>
    <row r="1553" spans="1:6" x14ac:dyDescent="0.25">
      <c r="A1553" s="1" t="s">
        <v>2882</v>
      </c>
      <c r="B1553" s="1" t="s">
        <v>27</v>
      </c>
      <c r="C1553" s="1">
        <v>180</v>
      </c>
      <c r="D1553" s="1">
        <v>0</v>
      </c>
      <c r="E1553" s="1" t="str">
        <f t="shared" si="48"/>
        <v>(A180)</v>
      </c>
      <c r="F1553" s="1" t="str">
        <f t="shared" si="49"/>
        <v>alter type add1 (A180).</v>
      </c>
    </row>
    <row r="1554" spans="1:6" x14ac:dyDescent="0.25">
      <c r="A1554" s="1" t="s">
        <v>2883</v>
      </c>
      <c r="B1554" s="1" t="s">
        <v>27</v>
      </c>
      <c r="C1554" s="1">
        <v>180</v>
      </c>
      <c r="D1554" s="1">
        <v>0</v>
      </c>
      <c r="E1554" s="1" t="str">
        <f t="shared" si="48"/>
        <v>(A180)</v>
      </c>
      <c r="F1554" s="1" t="str">
        <f t="shared" si="49"/>
        <v>alter type add2 (A180).</v>
      </c>
    </row>
    <row r="1555" spans="1:6" x14ac:dyDescent="0.25">
      <c r="A1555" s="1" t="s">
        <v>2884</v>
      </c>
      <c r="B1555" s="1" t="s">
        <v>27</v>
      </c>
      <c r="C1555" s="1">
        <v>180</v>
      </c>
      <c r="D1555" s="1">
        <v>0</v>
      </c>
      <c r="E1555" s="1" t="str">
        <f t="shared" si="48"/>
        <v>(A180)</v>
      </c>
      <c r="F1555" s="1" t="str">
        <f t="shared" si="49"/>
        <v>alter type add3 (A180).</v>
      </c>
    </row>
    <row r="1556" spans="1:6" x14ac:dyDescent="0.25">
      <c r="A1556" s="1" t="s">
        <v>2885</v>
      </c>
      <c r="B1556" s="1" t="s">
        <v>27</v>
      </c>
      <c r="C1556" s="1">
        <v>180</v>
      </c>
      <c r="D1556" s="1">
        <v>0</v>
      </c>
      <c r="E1556" s="1" t="str">
        <f t="shared" si="48"/>
        <v>(A180)</v>
      </c>
      <c r="F1556" s="1" t="str">
        <f t="shared" si="49"/>
        <v>alter type add4 (A180).</v>
      </c>
    </row>
    <row r="1557" spans="1:6" x14ac:dyDescent="0.25">
      <c r="A1557" s="1" t="s">
        <v>2886</v>
      </c>
      <c r="B1557" s="1" t="s">
        <v>27</v>
      </c>
      <c r="C1557" s="1">
        <v>180</v>
      </c>
      <c r="D1557" s="1">
        <v>0</v>
      </c>
      <c r="E1557" s="1" t="str">
        <f t="shared" si="48"/>
        <v>(A180)</v>
      </c>
      <c r="F1557" s="1" t="str">
        <f t="shared" si="49"/>
        <v>alter type add5 (A180).</v>
      </c>
    </row>
    <row r="1558" spans="1:6" x14ac:dyDescent="0.25">
      <c r="A1558" s="1" t="s">
        <v>2887</v>
      </c>
      <c r="B1558" s="1" t="s">
        <v>27</v>
      </c>
      <c r="C1558" s="1">
        <v>60</v>
      </c>
      <c r="D1558" s="1">
        <v>0</v>
      </c>
      <c r="E1558" s="1" t="str">
        <f t="shared" si="48"/>
        <v>(A60)</v>
      </c>
      <c r="F1558" s="1" t="str">
        <f t="shared" si="49"/>
        <v>alter type name2023 (A60).</v>
      </c>
    </row>
    <row r="1559" spans="1:6" x14ac:dyDescent="0.25">
      <c r="A1559" s="1" t="s">
        <v>2888</v>
      </c>
      <c r="B1559" s="1" t="s">
        <v>30</v>
      </c>
      <c r="C1559" s="1">
        <v>3</v>
      </c>
      <c r="D1559" s="1">
        <v>0</v>
      </c>
      <c r="E1559" s="1" t="str">
        <f t="shared" si="48"/>
        <v>(F3.0)</v>
      </c>
      <c r="F1559" s="1" t="str">
        <f t="shared" si="49"/>
        <v>alter type year2023 (F3.0).</v>
      </c>
    </row>
    <row r="1560" spans="1:6" x14ac:dyDescent="0.25">
      <c r="A1560" s="1" t="s">
        <v>2889</v>
      </c>
      <c r="B1560" s="1" t="s">
        <v>30</v>
      </c>
      <c r="C1560" s="1">
        <v>8</v>
      </c>
      <c r="D1560" s="1">
        <v>0</v>
      </c>
      <c r="E1560" s="1" t="str">
        <f t="shared" si="48"/>
        <v>(F8.0)</v>
      </c>
      <c r="F1560" s="1" t="str">
        <f t="shared" si="49"/>
        <v>alter type gen2023 (F8.0).</v>
      </c>
    </row>
    <row r="1561" spans="1:6" x14ac:dyDescent="0.25">
      <c r="A1561" s="1" t="s">
        <v>2890</v>
      </c>
      <c r="B1561" s="1" t="s">
        <v>30</v>
      </c>
      <c r="C1561" s="1">
        <v>8</v>
      </c>
      <c r="D1561" s="1">
        <v>0</v>
      </c>
      <c r="E1561" s="1" t="str">
        <f t="shared" si="48"/>
        <v>(F8.0)</v>
      </c>
      <c r="F1561" s="1" t="str">
        <f t="shared" si="49"/>
        <v>alter type marry2023 (F8.0).</v>
      </c>
    </row>
    <row r="1562" spans="1:6" x14ac:dyDescent="0.25">
      <c r="A1562" s="1" t="s">
        <v>2891</v>
      </c>
      <c r="B1562" s="1" t="s">
        <v>30</v>
      </c>
      <c r="C1562" s="1">
        <v>8</v>
      </c>
      <c r="D1562" s="1">
        <v>0</v>
      </c>
      <c r="E1562" s="1" t="str">
        <f t="shared" si="48"/>
        <v>(F8.0)</v>
      </c>
      <c r="F1562" s="1" t="str">
        <f t="shared" si="49"/>
        <v>alter type edu2023 (F8.0).</v>
      </c>
    </row>
    <row r="1563" spans="1:6" x14ac:dyDescent="0.25">
      <c r="A1563" s="1" t="s">
        <v>2892</v>
      </c>
      <c r="B1563" s="1" t="s">
        <v>27</v>
      </c>
      <c r="C1563" s="1">
        <v>450</v>
      </c>
      <c r="D1563" s="1">
        <v>0</v>
      </c>
      <c r="E1563" s="1" t="str">
        <f t="shared" si="48"/>
        <v>(A450)</v>
      </c>
      <c r="F1563" s="1" t="str">
        <f t="shared" si="49"/>
        <v>alter type email2023 (A450).</v>
      </c>
    </row>
    <row r="1564" spans="1:6" x14ac:dyDescent="0.25">
      <c r="A1564" s="1" t="s">
        <v>2893</v>
      </c>
      <c r="B1564" s="1" t="s">
        <v>27</v>
      </c>
      <c r="C1564" s="1">
        <v>1200</v>
      </c>
      <c r="D1564" s="1">
        <v>0</v>
      </c>
      <c r="E1564" s="1" t="str">
        <f t="shared" si="48"/>
        <v>(A1200)</v>
      </c>
      <c r="F1564" s="1" t="str">
        <f t="shared" si="49"/>
        <v>alter type CAInote (A1200).</v>
      </c>
    </row>
    <row r="1565" spans="1:6" x14ac:dyDescent="0.25">
      <c r="A1565" s="1" t="s">
        <v>2894</v>
      </c>
      <c r="B1565" s="1" t="s">
        <v>30</v>
      </c>
      <c r="C1565" s="1">
        <v>8</v>
      </c>
      <c r="D1565" s="1">
        <v>0</v>
      </c>
      <c r="E1565" s="1" t="str">
        <f t="shared" si="48"/>
        <v>(F8.0)</v>
      </c>
      <c r="F1565" s="1" t="str">
        <f t="shared" si="49"/>
        <v>alter type appointment (F8.0).</v>
      </c>
    </row>
    <row r="1566" spans="1:6" x14ac:dyDescent="0.25">
      <c r="A1566" s="1" t="s">
        <v>2701</v>
      </c>
      <c r="B1566" s="1" t="s">
        <v>30</v>
      </c>
      <c r="C1566" s="1">
        <v>14</v>
      </c>
      <c r="D1566" s="1">
        <v>0</v>
      </c>
      <c r="E1566" s="1" t="str">
        <f t="shared" si="48"/>
        <v>(F14.0)</v>
      </c>
      <c r="F1566" s="1" t="str">
        <f t="shared" si="49"/>
        <v>alter type stime_1 (F14.0).</v>
      </c>
    </row>
    <row r="1567" spans="1:6" x14ac:dyDescent="0.25">
      <c r="A1567" s="1" t="s">
        <v>2702</v>
      </c>
      <c r="B1567" s="1" t="s">
        <v>30</v>
      </c>
      <c r="C1567" s="1">
        <v>14</v>
      </c>
      <c r="D1567" s="1">
        <v>0</v>
      </c>
      <c r="E1567" s="1" t="str">
        <f t="shared" si="48"/>
        <v>(F14.0)</v>
      </c>
      <c r="F1567" s="1" t="str">
        <f t="shared" si="49"/>
        <v>alter type etime_1 (F14.0).</v>
      </c>
    </row>
    <row r="1568" spans="1:6" x14ac:dyDescent="0.25">
      <c r="A1568" s="1" t="s">
        <v>2703</v>
      </c>
      <c r="B1568" s="1" t="s">
        <v>30</v>
      </c>
      <c r="C1568" s="1">
        <v>14</v>
      </c>
      <c r="D1568" s="1">
        <v>0</v>
      </c>
      <c r="E1568" s="1" t="str">
        <f t="shared" si="48"/>
        <v>(F14.0)</v>
      </c>
      <c r="F1568" s="1" t="str">
        <f t="shared" si="49"/>
        <v>alter type stime_2 (F14.0).</v>
      </c>
    </row>
    <row r="1569" spans="1:6" x14ac:dyDescent="0.25">
      <c r="A1569" s="1" t="s">
        <v>2704</v>
      </c>
      <c r="B1569" s="1" t="s">
        <v>30</v>
      </c>
      <c r="C1569" s="1">
        <v>14</v>
      </c>
      <c r="D1569" s="1">
        <v>0</v>
      </c>
      <c r="E1569" s="1" t="str">
        <f t="shared" si="48"/>
        <v>(F14.0)</v>
      </c>
      <c r="F1569" s="1" t="str">
        <f t="shared" si="49"/>
        <v>alter type etime_2 (F14.0).</v>
      </c>
    </row>
    <row r="1570" spans="1:6" x14ac:dyDescent="0.25">
      <c r="A1570" s="1" t="s">
        <v>2705</v>
      </c>
      <c r="B1570" s="1" t="s">
        <v>30</v>
      </c>
      <c r="C1570" s="1">
        <v>14</v>
      </c>
      <c r="D1570" s="1">
        <v>0</v>
      </c>
      <c r="E1570" s="1" t="str">
        <f t="shared" si="48"/>
        <v>(F14.0)</v>
      </c>
      <c r="F1570" s="1" t="str">
        <f t="shared" si="49"/>
        <v>alter type stime_3 (F14.0).</v>
      </c>
    </row>
    <row r="1571" spans="1:6" x14ac:dyDescent="0.25">
      <c r="A1571" s="1" t="s">
        <v>2706</v>
      </c>
      <c r="B1571" s="1" t="s">
        <v>30</v>
      </c>
      <c r="C1571" s="1">
        <v>14</v>
      </c>
      <c r="D1571" s="1">
        <v>0</v>
      </c>
      <c r="E1571" s="1" t="str">
        <f t="shared" si="48"/>
        <v>(F14.0)</v>
      </c>
      <c r="F1571" s="1" t="str">
        <f t="shared" si="49"/>
        <v>alter type etime_3 (F14.0).</v>
      </c>
    </row>
    <row r="1572" spans="1:6" x14ac:dyDescent="0.25">
      <c r="A1572" s="1" t="s">
        <v>2707</v>
      </c>
      <c r="B1572" s="1" t="s">
        <v>30</v>
      </c>
      <c r="C1572" s="1">
        <v>14</v>
      </c>
      <c r="D1572" s="1">
        <v>0</v>
      </c>
      <c r="E1572" s="1" t="str">
        <f t="shared" si="48"/>
        <v>(F14.0)</v>
      </c>
      <c r="F1572" s="1" t="str">
        <f t="shared" si="49"/>
        <v>alter type stime_4 (F14.0).</v>
      </c>
    </row>
    <row r="1573" spans="1:6" x14ac:dyDescent="0.25">
      <c r="A1573" s="1" t="s">
        <v>2708</v>
      </c>
      <c r="B1573" s="1" t="s">
        <v>30</v>
      </c>
      <c r="C1573" s="1">
        <v>14</v>
      </c>
      <c r="D1573" s="1">
        <v>0</v>
      </c>
      <c r="E1573" s="1" t="str">
        <f t="shared" si="48"/>
        <v>(F14.0)</v>
      </c>
      <c r="F1573" s="1" t="str">
        <f t="shared" si="49"/>
        <v>alter type etime_4 (F14.0).</v>
      </c>
    </row>
    <row r="1574" spans="1:6" x14ac:dyDescent="0.25">
      <c r="E1574" s="1"/>
      <c r="F1574" s="1"/>
    </row>
  </sheetData>
  <autoFilter ref="A1:D943" xr:uid="{00000000-0009-0000-0000-00000C000000}"/>
  <phoneticPr fontId="1"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7"/>
  <sheetViews>
    <sheetView workbookViewId="0">
      <selection activeCell="I9" sqref="I9"/>
    </sheetView>
  </sheetViews>
  <sheetFormatPr defaultRowHeight="16.5" x14ac:dyDescent="0.25"/>
  <sheetData>
    <row r="1" spans="1:1" x14ac:dyDescent="0.25">
      <c r="A1" s="1" t="s">
        <v>381</v>
      </c>
    </row>
    <row r="2" spans="1:1" x14ac:dyDescent="0.25">
      <c r="A2" s="1" t="s">
        <v>383</v>
      </c>
    </row>
    <row r="3" spans="1:1" x14ac:dyDescent="0.25">
      <c r="A3" s="1" t="s">
        <v>385</v>
      </c>
    </row>
    <row r="4" spans="1:1" x14ac:dyDescent="0.25">
      <c r="A4" s="1" t="s">
        <v>514</v>
      </c>
    </row>
    <row r="5" spans="1:1" x14ac:dyDescent="0.25">
      <c r="A5" s="1" t="s">
        <v>80</v>
      </c>
    </row>
    <row r="6" spans="1:1" x14ac:dyDescent="0.25">
      <c r="A6" s="1" t="s">
        <v>275</v>
      </c>
    </row>
    <row r="7" spans="1:1" x14ac:dyDescent="0.25">
      <c r="A7" s="1" t="s">
        <v>280</v>
      </c>
    </row>
    <row r="8" spans="1:1" x14ac:dyDescent="0.25">
      <c r="A8" s="1" t="s">
        <v>284</v>
      </c>
    </row>
    <row r="9" spans="1:1" x14ac:dyDescent="0.25">
      <c r="A9" s="1" t="s">
        <v>463</v>
      </c>
    </row>
    <row r="10" spans="1:1" x14ac:dyDescent="0.25">
      <c r="A10" s="1" t="s">
        <v>379</v>
      </c>
    </row>
    <row r="11" spans="1:1" x14ac:dyDescent="0.25">
      <c r="A11" s="1" t="s">
        <v>458</v>
      </c>
    </row>
    <row r="12" spans="1:1" x14ac:dyDescent="0.25">
      <c r="A12" s="1" t="s">
        <v>460</v>
      </c>
    </row>
    <row r="13" spans="1:1" x14ac:dyDescent="0.25">
      <c r="A13" s="1" t="s">
        <v>122</v>
      </c>
    </row>
    <row r="14" spans="1:1" x14ac:dyDescent="0.25">
      <c r="A14" s="1" t="s">
        <v>163</v>
      </c>
    </row>
    <row r="15" spans="1:1" x14ac:dyDescent="0.25">
      <c r="A15" s="1" t="s">
        <v>200</v>
      </c>
    </row>
    <row r="16" spans="1:1" x14ac:dyDescent="0.25">
      <c r="A16" s="1" t="s">
        <v>120</v>
      </c>
    </row>
    <row r="17" spans="1:1" x14ac:dyDescent="0.25">
      <c r="A17" s="1" t="s">
        <v>266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m&amp;P變項配置範圍</vt:lpstr>
      <vt:lpstr>all</vt:lpstr>
      <vt:lpstr>數值題</vt:lpstr>
      <vt:lpstr>開放欄位</vt:lpstr>
      <vt:lpstr>複選題_301-400</vt:lpstr>
      <vt:lpstr>複選題內_互斥</vt:lpstr>
      <vt:lpstr>複選題變項清單</vt:lpstr>
      <vt:lpstr>特殊變項範圍</vt:lpstr>
      <vt:lpstr>邏輯組</vt:lpstr>
      <vt:lpstr>96特殊處理變項</vt:lpstr>
      <vt:lpstr>變項清單_問卷</vt:lpstr>
      <vt:lpstr>變項清單_訪問紀錄</vt:lpstr>
      <vt:lpstr>問卷＋訪問紀錄</vt:lpstr>
      <vt:lpstr>可輸入小數點清單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kuang</cp:lastModifiedBy>
  <dcterms:created xsi:type="dcterms:W3CDTF">2018-09-06T07:00:34Z</dcterms:created>
  <dcterms:modified xsi:type="dcterms:W3CDTF">2026-06-13T10:59:10Z</dcterms:modified>
</cp:coreProperties>
</file>